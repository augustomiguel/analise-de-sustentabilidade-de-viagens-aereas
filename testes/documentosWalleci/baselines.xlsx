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Baseline"/>
    <sheet r:id="rId2" sheetId="2" name="Resultados Aplicação do Modelo"/>
    <sheet r:id="rId3" sheetId="3" name="Gráficos scores"/>
    <sheet r:id="rId4" sheetId="4" name="resultados emissões"/>
    <sheet r:id="rId5" sheetId="5" name="Planilha1"/>
    <sheet r:id="rId6" sheetId="6" name="Resultados DF"/>
    <sheet r:id="rId7" sheetId="7" name="Resultados IB"/>
  </sheets>
  <definedNames>
    <definedName name="_xlchart.v1.0">'Resultados DF'!$S$2:$S$26</definedName>
    <definedName name="_xlchart.v1.1">'Resultados DF'!$T$1</definedName>
    <definedName name="_xlchart.v1.2">'Resultados DF'!$T$2:$T$26</definedName>
    <definedName name="_xlchart.v1.3">'Resultados DF'!$U$1</definedName>
    <definedName name="_xlchart.v1.4">'Resultados DF'!$U$2:$U$26</definedName>
  </definedNames>
  <calcPr fullCalcOnLoad="1"/>
</workbook>
</file>

<file path=xl/sharedStrings.xml><?xml version="1.0" encoding="utf-8"?>
<sst xmlns="http://schemas.openxmlformats.org/spreadsheetml/2006/main" count="490" uniqueCount="142">
  <si>
    <t>2022.1</t>
  </si>
  <si>
    <t xml:space="preserve"> </t>
  </si>
  <si>
    <t>2022.2</t>
  </si>
  <si>
    <t>2023.1</t>
  </si>
  <si>
    <t>2023.2</t>
  </si>
  <si>
    <t>Motivo</t>
  </si>
  <si>
    <t>Qtd</t>
  </si>
  <si>
    <t>Semestre</t>
  </si>
  <si>
    <t>Servidor</t>
  </si>
  <si>
    <t>Acadêmico</t>
  </si>
  <si>
    <t>Participação em Banca Avaliadora</t>
  </si>
  <si>
    <t>Participação em Evento Acadêmico</t>
  </si>
  <si>
    <t>Representação em Reunião Institucional</t>
  </si>
  <si>
    <t>Representação em Evento Institucional</t>
  </si>
  <si>
    <t>Externo</t>
  </si>
  <si>
    <t>Discente</t>
  </si>
  <si>
    <t>Capacitação, Treinamento ou Auditorias</t>
  </si>
  <si>
    <t>Trabalho de Campo</t>
  </si>
  <si>
    <t>Intercâmbio</t>
  </si>
  <si>
    <t>Outros</t>
  </si>
  <si>
    <t>Total  (2022.1)</t>
  </si>
  <si>
    <t>Total Geral</t>
  </si>
  <si>
    <t>Total (2022.2)</t>
  </si>
  <si>
    <t>Soma de Qtd</t>
  </si>
  <si>
    <t>Rótulos de Coluna</t>
  </si>
  <si>
    <t>Rótulos de Linha</t>
  </si>
  <si>
    <t>Emissões por viagens de até 1 dia (KgCO2eq)</t>
  </si>
  <si>
    <t>Custos com viagens de até 1 dia</t>
  </si>
  <si>
    <t>Quantidade de viagens de até 1 dia</t>
  </si>
  <si>
    <t>Viagens facilmente evitáveis</t>
  </si>
  <si>
    <t>Viagens urgentes sem justificativa</t>
  </si>
  <si>
    <t>Período</t>
  </si>
  <si>
    <t>Emissions (KgCO2eq)</t>
  </si>
  <si>
    <t>Cost (R$)</t>
  </si>
  <si>
    <t>Amount</t>
  </si>
  <si>
    <t>Valor</t>
  </si>
  <si>
    <t>Porcentagem do total</t>
  </si>
  <si>
    <t>Avoidable flights (22.1)</t>
  </si>
  <si>
    <t>Emissões por viagens muito curtas, de até 600 km (KgCO2eq)</t>
  </si>
  <si>
    <t>Custos com viagens muito curtas (até 600 km)</t>
  </si>
  <si>
    <t>Quantidade de viagens muito curtas (até 600 km)</t>
  </si>
  <si>
    <t>Avoidable flights (22.2)</t>
  </si>
  <si>
    <t>Avoidable flights (23.1)</t>
  </si>
  <si>
    <t>Avoidable flights (23.2)</t>
  </si>
  <si>
    <t>Emissões por viagens facilmente evitáveis (KgCO2eq)</t>
  </si>
  <si>
    <t>Custos com viagens facilmente evitáveis</t>
  </si>
  <si>
    <t>Quantidade de viagens facilmente evitáveis</t>
  </si>
  <si>
    <t>Emissões por viagens urgentes sem justificativa (KgCO2eq)</t>
  </si>
  <si>
    <t>Custos com viagens urgentes sem justificativa</t>
  </si>
  <si>
    <t>Quantidade de viagens urgentes sem justificativa</t>
  </si>
  <si>
    <t>Descrição</t>
  </si>
  <si>
    <t>Indicador</t>
  </si>
  <si>
    <t>Baseline (18.1 - 21.1)</t>
  </si>
  <si>
    <t>Dados (2022.1)</t>
  </si>
  <si>
    <t>Score (2022.1)</t>
  </si>
  <si>
    <t>Baseline (18.2 - 21.2)</t>
  </si>
  <si>
    <t>Dados (2022.2)</t>
  </si>
  <si>
    <t>Score (2022.2)</t>
  </si>
  <si>
    <t>Baseline (19.1 - 22.1)</t>
  </si>
  <si>
    <t>Dados (2023.1)</t>
  </si>
  <si>
    <t>Score (2023.1)</t>
  </si>
  <si>
    <t>Baseline (19.2 - 22.2)</t>
  </si>
  <si>
    <t>Dados (2023.2)</t>
  </si>
  <si>
    <t>Score (2023.2)</t>
  </si>
  <si>
    <t>Total de emissões (kgCO2eq)</t>
  </si>
  <si>
    <t>ED1.1</t>
  </si>
  <si>
    <t>Emissão média por viagem (kgCO2eq/trip)</t>
  </si>
  <si>
    <t>ED1.2</t>
  </si>
  <si>
    <t>Distância Total percorrida (km)</t>
  </si>
  <si>
    <t>ED2.1</t>
  </si>
  <si>
    <t>Distância média por viagem (km/trip)</t>
  </si>
  <si>
    <t>ED2.2</t>
  </si>
  <si>
    <t>Número de Viagens (trip)</t>
  </si>
  <si>
    <t>ED2.3</t>
  </si>
  <si>
    <t>Taxa de voos com escala</t>
  </si>
  <si>
    <t>ED2.4</t>
  </si>
  <si>
    <t>Taxa de viagens em classe econômica</t>
  </si>
  <si>
    <t>ED2.5</t>
  </si>
  <si>
    <t>Custo das passagens (R$)</t>
  </si>
  <si>
    <t>ED3.1</t>
  </si>
  <si>
    <t>Custo de outros serviços (R$)</t>
  </si>
  <si>
    <t>ED3.2</t>
  </si>
  <si>
    <t>Custo médio por viagem (R$/trip)</t>
  </si>
  <si>
    <t>ED3.3</t>
  </si>
  <si>
    <t>Contabilização do voo como parte do trabalho</t>
  </si>
  <si>
    <t>DF1.1</t>
  </si>
  <si>
    <t>Intercâmbio sem deslocamento aéreo</t>
  </si>
  <si>
    <t>DF1.2</t>
  </si>
  <si>
    <t>Descrição do motivo do voo</t>
  </si>
  <si>
    <t>DF1.3</t>
  </si>
  <si>
    <t>Taxa de viagens evitáveis</t>
  </si>
  <si>
    <t>DF1.4</t>
  </si>
  <si>
    <t>Taxa de viagens urgentes não justificadas</t>
  </si>
  <si>
    <t>DF1.5</t>
  </si>
  <si>
    <t>Categoria de viagens por segmento</t>
  </si>
  <si>
    <t>DF2.1</t>
  </si>
  <si>
    <t>Uso de classe econômica</t>
  </si>
  <si>
    <t>IB1.1</t>
  </si>
  <si>
    <t>Gerenciamento, priorização e monitoramento de voos</t>
  </si>
  <si>
    <t>IB1.2</t>
  </si>
  <si>
    <t>Programas de mitigação de emissões aéreas</t>
  </si>
  <si>
    <t>IB1.3</t>
  </si>
  <si>
    <t>Hibridização de Eventos e Conferências</t>
  </si>
  <si>
    <t>IB2.1</t>
  </si>
  <si>
    <t>Acesso a alternativas ao voo</t>
  </si>
  <si>
    <t>IB2.2</t>
  </si>
  <si>
    <t>Incentivo a participações remotas</t>
  </si>
  <si>
    <t>IB2.3</t>
  </si>
  <si>
    <t>Inventário de viagens aéreas</t>
  </si>
  <si>
    <t>IB3.1</t>
  </si>
  <si>
    <t>Campanhas de conscientização</t>
  </si>
  <si>
    <t>IB3.2</t>
  </si>
  <si>
    <t>Viagens aéreas como critério de seleção</t>
  </si>
  <si>
    <t>IB3.3</t>
  </si>
  <si>
    <t>Relatório público de emissões</t>
  </si>
  <si>
    <t>IB3.4</t>
  </si>
  <si>
    <t>ED1</t>
  </si>
  <si>
    <t>ED2</t>
  </si>
  <si>
    <t>ED3</t>
  </si>
  <si>
    <t>DF1</t>
  </si>
  <si>
    <t>DF2</t>
  </si>
  <si>
    <t>IB1</t>
  </si>
  <si>
    <t>IB2</t>
  </si>
  <si>
    <t>IB3</t>
  </si>
  <si>
    <t>I</t>
  </si>
  <si>
    <t>Score 22.1</t>
  </si>
  <si>
    <t>Score 22.2</t>
  </si>
  <si>
    <t>Score 23.1</t>
  </si>
  <si>
    <t>Score 23.2</t>
  </si>
  <si>
    <t>ED</t>
  </si>
  <si>
    <t>DF</t>
  </si>
  <si>
    <t>IB</t>
  </si>
  <si>
    <t>Valores Absolutos</t>
  </si>
  <si>
    <t>Correção da inflação para 2022</t>
  </si>
  <si>
    <t>MM (18.1-19.1)</t>
  </si>
  <si>
    <t>MM (18.2-19.2)</t>
  </si>
  <si>
    <t>Correção da inflação para 2023</t>
  </si>
  <si>
    <t>MM (19.1-22.1)</t>
  </si>
  <si>
    <t>MM (19.2-22.2)</t>
  </si>
  <si>
    <t>IPCA</t>
  </si>
  <si>
    <t>Fator 2023</t>
  </si>
  <si>
    <t>Fator 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</si>
</sst>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5">
    <numFmt numFmtId="164" formatCode="#,##0.00%"/>
    <numFmt numFmtId="165" formatCode="#,##0.000"/>
    <numFmt numFmtId="166" formatCode="#,##0.0"/>
    <numFmt numFmtId="167" formatCode="#,##0.00000"/>
    <numFmt numFmtId="168" formatCode="#,##0.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c5e0b4"/>
      </patternFill>
    </fill>
    <fill>
      <patternFill patternType="solid">
        <fgColor rgb="FFa9d18e"/>
      </patternFill>
    </fill>
    <fill>
      <patternFill patternType="solid">
        <fgColor rgb="FFdae3f3"/>
      </patternFill>
    </fill>
    <fill>
      <patternFill patternType="solid">
        <fgColor rgb="FFb4c7e7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ffd966"/>
      </patternFill>
    </fill>
    <fill>
      <patternFill patternType="solid">
        <fgColor rgb="FFd0cece"/>
      </patternFill>
    </fill>
    <fill>
      <patternFill patternType="solid">
        <fgColor rgb="FFe2efda"/>
      </patternFill>
    </fill>
    <fill>
      <patternFill patternType="solid">
        <fgColor rgb="FFc6e0b4"/>
      </patternFill>
    </fill>
    <fill>
      <patternFill patternType="solid">
        <fgColor rgb="FFa9d08e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83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3" applyNumberFormat="1" borderId="2" applyBorder="1" fontId="1" applyFont="1" fillId="0" applyAlignment="1">
      <alignment horizontal="center"/>
    </xf>
    <xf xfId="0" numFmtId="164" applyNumberFormat="1" borderId="2" applyBorder="1" fontId="1" applyFont="1" fillId="0" applyAlignment="1">
      <alignment horizontal="center"/>
    </xf>
    <xf xfId="0" numFmtId="7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left"/>
    </xf>
    <xf xfId="0" numFmtId="164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right"/>
    </xf>
    <xf xfId="0" numFmtId="7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164" applyNumberFormat="1" borderId="2" applyBorder="1" fontId="1" applyFont="1" fillId="0" applyAlignment="1">
      <alignment horizontal="right"/>
    </xf>
    <xf xfId="0" numFmtId="164" applyNumberFormat="1" borderId="3" applyBorder="1" fontId="1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3" applyNumberFormat="1" borderId="5" applyBorder="1" fontId="1" applyFont="1" fillId="0" applyAlignment="1">
      <alignment horizontal="center"/>
    </xf>
    <xf xfId="0" numFmtId="164" applyNumberFormat="1" borderId="1" applyBorder="1" fontId="2" applyFont="1" fillId="0" applyAlignment="1">
      <alignment horizontal="right"/>
    </xf>
    <xf xfId="0" numFmtId="164" applyNumberFormat="1" borderId="5" applyBorder="1" fontId="1" applyFont="1" fillId="0" applyAlignment="1">
      <alignment horizontal="left"/>
    </xf>
    <xf xfId="0" numFmtId="4" applyNumberFormat="1" borderId="5" applyBorder="1" fontId="1" applyFont="1" fillId="0" applyAlignment="1">
      <alignment horizontal="right"/>
    </xf>
    <xf xfId="0" numFmtId="164" applyNumberFormat="1" borderId="5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7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165" applyNumberFormat="1" borderId="2" applyBorder="1" fontId="1" applyFont="1" fillId="0" applyAlignment="1">
      <alignment horizontal="left"/>
    </xf>
    <xf xfId="0" numFmtId="166" applyNumberFormat="1" borderId="2" applyBorder="1" fontId="1" applyFont="1" fillId="0" applyAlignment="1">
      <alignment horizontal="left"/>
    </xf>
    <xf xfId="0" numFmtId="165" applyNumberFormat="1" borderId="2" applyBorder="1" fontId="1" applyFont="1" fillId="2" applyFill="1" applyAlignment="1">
      <alignment horizontal="left"/>
    </xf>
    <xf xfId="0" numFmtId="166" applyNumberFormat="1" borderId="2" applyBorder="1" fontId="1" applyFont="1" fillId="0" applyAlignment="1">
      <alignment horizontal="right"/>
    </xf>
    <xf xfId="0" numFmtId="165" applyNumberFormat="1" borderId="2" applyBorder="1" fontId="1" applyFont="1" fillId="3" applyFill="1" applyAlignment="1">
      <alignment horizontal="left"/>
    </xf>
    <xf xfId="0" numFmtId="165" applyNumberFormat="1" borderId="2" applyBorder="1" fontId="1" applyFont="1" fillId="4" applyFill="1" applyAlignment="1">
      <alignment horizontal="left"/>
    </xf>
    <xf xfId="0" numFmtId="165" applyNumberFormat="1" borderId="2" applyBorder="1" fontId="1" applyFont="1" fillId="5" applyFill="1" applyAlignment="1">
      <alignment horizontal="left"/>
    </xf>
    <xf xfId="0" numFmtId="167" applyNumberFormat="1" borderId="2" applyBorder="1" fontId="1" applyFont="1" fillId="0" applyAlignment="1">
      <alignment horizontal="right"/>
    </xf>
    <xf xfId="0" numFmtId="168" applyNumberFormat="1" borderId="2" applyBorder="1" fontId="1" applyFont="1" fillId="0" applyAlignment="1">
      <alignment horizontal="right"/>
    </xf>
    <xf xfId="0" numFmtId="165" applyNumberFormat="1" borderId="2" applyBorder="1" fontId="1" applyFont="1" fillId="6" applyFill="1" applyAlignment="1">
      <alignment horizontal="left"/>
    </xf>
    <xf xfId="0" numFmtId="165" applyNumberFormat="1" borderId="2" applyBorder="1" fontId="1" applyFont="1" fillId="7" applyFill="1" applyAlignment="1">
      <alignment horizontal="left"/>
    </xf>
    <xf xfId="0" numFmtId="165" applyNumberFormat="1" borderId="2" applyBorder="1" fontId="1" applyFont="1" fillId="8" applyFill="1" applyAlignment="1">
      <alignment horizontal="left"/>
    </xf>
    <xf xfId="0" numFmtId="165" applyNumberFormat="1" borderId="2" applyBorder="1" fontId="1" applyFont="1" fillId="9" applyFill="1" applyAlignment="1">
      <alignment horizontal="left"/>
    </xf>
    <xf xfId="0" numFmtId="165" applyNumberFormat="1" borderId="1" applyBorder="1" fontId="2" applyFont="1" fillId="0" applyAlignment="1">
      <alignment horizontal="right"/>
    </xf>
    <xf xfId="0" numFmtId="166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165" applyNumberFormat="1" borderId="2" applyBorder="1" fontId="1" applyFont="1" fillId="2" applyFill="1" applyAlignment="1">
      <alignment horizontal="center"/>
    </xf>
    <xf xfId="0" numFmtId="165" applyNumberFormat="1" borderId="2" applyBorder="1" fontId="1" applyFont="1" fillId="3" applyFill="1" applyAlignment="1">
      <alignment horizontal="center"/>
    </xf>
    <xf xfId="0" numFmtId="165" applyNumberFormat="1" borderId="2" applyBorder="1" fontId="1" applyFont="1" fillId="4" applyFill="1" applyAlignment="1">
      <alignment horizontal="center"/>
    </xf>
    <xf xfId="0" numFmtId="165" applyNumberFormat="1" borderId="2" applyBorder="1" fontId="1" applyFont="1" fillId="5" applyFill="1" applyAlignment="1">
      <alignment horizontal="center"/>
    </xf>
    <xf xfId="0" numFmtId="0" borderId="2" applyBorder="1" fontId="1" applyFont="1" fillId="6" applyFill="1" applyAlignment="1">
      <alignment horizontal="center"/>
    </xf>
    <xf xfId="0" numFmtId="0" borderId="2" applyBorder="1" fontId="1" applyFont="1" fillId="7" applyFill="1" applyAlignment="1">
      <alignment horizontal="center"/>
    </xf>
    <xf xfId="0" numFmtId="0" borderId="2" applyBorder="1" fontId="1" applyFont="1" fillId="8" applyFill="1" applyAlignment="1">
      <alignment horizontal="center"/>
    </xf>
    <xf xfId="0" numFmtId="0" borderId="2" applyBorder="1" fontId="1" applyFont="1" fillId="9" applyFill="1" applyAlignment="1">
      <alignment horizontal="center"/>
    </xf>
    <xf xfId="0" numFmtId="0" borderId="2" applyBorder="1" fontId="1" applyFont="1" fillId="10" applyFill="1" applyAlignment="1">
      <alignment horizontal="center"/>
    </xf>
    <xf xfId="0" numFmtId="165" applyNumberFormat="1" borderId="2" applyBorder="1" fontId="1" applyFont="1" fillId="0" applyAlignment="1">
      <alignment horizontal="center"/>
    </xf>
    <xf xfId="0" numFmtId="165" applyNumberFormat="1" borderId="2" applyBorder="1" fontId="1" applyFont="1" fillId="6" applyFill="1" applyAlignment="1">
      <alignment horizontal="center"/>
    </xf>
    <xf xfId="0" numFmtId="165" applyNumberFormat="1" borderId="2" applyBorder="1" fontId="1" applyFont="1" fillId="9" applyFill="1" applyAlignment="1">
      <alignment horizontal="center"/>
    </xf>
    <xf xfId="0" numFmtId="165" applyNumberFormat="1" borderId="2" applyBorder="1" fontId="1" applyFont="1" fillId="10" applyFill="1" applyAlignment="1">
      <alignment horizontal="center"/>
    </xf>
    <xf xfId="0" numFmtId="0" borderId="0" fontId="0" fillId="0" applyAlignment="1">
      <alignment horizontal="general"/>
    </xf>
    <xf xfId="0" numFmtId="165" applyNumberFormat="1" borderId="1" applyBorder="1" fontId="1" applyFont="1" fillId="0" applyAlignment="1">
      <alignment horizontal="right"/>
    </xf>
    <xf xfId="0" numFmtId="165" applyNumberFormat="1" borderId="0" fontId="0" fillId="0" applyAlignment="1">
      <alignment horizontal="right"/>
    </xf>
    <xf xfId="0" numFmtId="166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6" applyBorder="1" fontId="1" applyFont="1" fillId="2" applyFill="1" applyAlignment="1">
      <alignment horizontal="left"/>
    </xf>
    <xf xfId="0" numFmtId="165" applyNumberFormat="1" borderId="6" applyBorder="1" fontId="1" applyFont="1" fillId="2" applyFill="1" applyAlignment="1">
      <alignment horizontal="center"/>
    </xf>
    <xf xfId="0" numFmtId="0" borderId="6" applyBorder="1" fontId="1" applyFont="1" fillId="3" applyFill="1" applyAlignment="1">
      <alignment horizontal="left"/>
    </xf>
    <xf xfId="0" numFmtId="165" applyNumberFormat="1" borderId="6" applyBorder="1" fontId="1" applyFont="1" fillId="3" applyFill="1" applyAlignment="1">
      <alignment horizontal="center"/>
    </xf>
    <xf xfId="0" numFmtId="164" applyNumberFormat="1" borderId="1" applyBorder="1" fontId="1" applyFont="1" fillId="0" applyAlignment="1">
      <alignment horizontal="right"/>
    </xf>
    <xf xfId="0" numFmtId="0" borderId="6" applyBorder="1" fontId="1" applyFont="1" fillId="4" applyFill="1" applyAlignment="1">
      <alignment horizontal="left"/>
    </xf>
    <xf xfId="0" numFmtId="165" applyNumberFormat="1" borderId="6" applyBorder="1" fontId="1" applyFont="1" fillId="4" applyFill="1" applyAlignment="1">
      <alignment horizontal="center"/>
    </xf>
    <xf xfId="0" numFmtId="0" borderId="6" applyBorder="1" fontId="1" applyFont="1" fillId="5" applyFill="1" applyAlignment="1">
      <alignment horizontal="left"/>
    </xf>
    <xf xfId="0" numFmtId="165" applyNumberFormat="1" borderId="6" applyBorder="1" fontId="1" applyFont="1" fillId="5" applyFill="1" applyAlignment="1">
      <alignment horizontal="center"/>
    </xf>
    <xf xfId="0" numFmtId="165" applyNumberFormat="1" borderId="6" applyBorder="1" fontId="1" applyFont="1" fillId="11" applyFill="1" applyAlignment="1">
      <alignment horizontal="center"/>
    </xf>
    <xf xfId="0" numFmtId="165" applyNumberFormat="1" borderId="6" applyBorder="1" fontId="1" applyFont="1" fillId="12" applyFill="1" applyAlignment="1">
      <alignment horizontal="center"/>
    </xf>
    <xf xfId="0" numFmtId="165" applyNumberFormat="1" borderId="6" applyBorder="1" fontId="1" applyFont="1" fillId="13" applyFill="1" applyAlignment="1">
      <alignment horizontal="center"/>
    </xf>
    <xf xfId="0" numFmtId="165" applyNumberFormat="1" borderId="6" applyBorder="1" fontId="1" applyFont="1" fillId="14" applyFill="1" applyAlignment="1">
      <alignment horizontal="center"/>
    </xf>
    <xf xfId="0" numFmtId="4" applyNumberFormat="1" borderId="1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93"/>
  <sheetViews>
    <sheetView workbookViewId="0"/>
  </sheetViews>
  <sheetFormatPr defaultRowHeight="15" x14ac:dyDescent="0.25"/>
  <cols>
    <col min="1" max="1" style="8" width="9.719285714285713" customWidth="1" bestFit="1"/>
    <col min="2" max="2" style="32" width="11.576428571428572" customWidth="1" bestFit="1"/>
    <col min="3" max="3" style="32" width="12.43357142857143" customWidth="1" bestFit="1"/>
    <col min="4" max="4" style="32" width="14.005" customWidth="1" bestFit="1"/>
    <col min="5" max="5" style="32" width="14.005" customWidth="1" bestFit="1"/>
    <col min="6" max="6" style="11" width="11.43357142857143" customWidth="1" bestFit="1"/>
    <col min="7" max="7" style="9" width="13.290714285714287" customWidth="1" bestFit="1"/>
    <col min="8" max="8" style="8" width="13.862142857142858" customWidth="1" bestFit="1"/>
    <col min="9" max="9" style="8" width="13.862142857142858" customWidth="1" bestFit="1"/>
    <col min="10" max="10" style="8" width="13.576428571428572" customWidth="1" bestFit="1"/>
    <col min="11" max="11" style="8" width="9.43357142857143" customWidth="1" bestFit="1"/>
    <col min="12" max="12" style="33" width="13.576428571428572" customWidth="1" bestFit="1"/>
    <col min="13" max="13" style="33" width="9.43357142857143" customWidth="1" bestFit="1"/>
  </cols>
  <sheetData>
    <row x14ac:dyDescent="0.25" r="1" customHeight="1" ht="18.75">
      <c r="A1" s="3" t="s">
        <v>132</v>
      </c>
      <c r="B1" s="49"/>
      <c r="C1" s="49"/>
      <c r="D1" s="49"/>
      <c r="E1" s="49"/>
      <c r="F1" s="5"/>
      <c r="G1" s="5"/>
      <c r="H1" s="3"/>
      <c r="I1" s="3"/>
      <c r="J1" s="3"/>
      <c r="K1" s="3"/>
      <c r="L1" s="26"/>
      <c r="M1" s="26"/>
    </row>
    <row x14ac:dyDescent="0.25" r="2" customHeight="1" ht="18.75">
      <c r="A2" s="1" t="s">
        <v>51</v>
      </c>
      <c r="B2" s="67">
        <v>2018.1</v>
      </c>
      <c r="C2" s="67">
        <v>2019.1</v>
      </c>
      <c r="D2" s="67">
        <v>2020.1</v>
      </c>
      <c r="E2" s="67">
        <v>2021.1</v>
      </c>
      <c r="F2" s="68">
        <v>2022.1</v>
      </c>
      <c r="G2" s="68">
        <v>2023.1</v>
      </c>
      <c r="H2" s="3"/>
      <c r="I2" s="3"/>
      <c r="J2" s="3"/>
      <c r="K2" s="3"/>
      <c r="L2" s="26"/>
      <c r="M2" s="26"/>
    </row>
    <row x14ac:dyDescent="0.25" r="3" customHeight="1" ht="18.75">
      <c r="A3" s="69" t="s">
        <v>65</v>
      </c>
      <c r="B3" s="70">
        <f>'[1]Agregação Lvl 3-1'!C3</f>
      </c>
      <c r="C3" s="70">
        <f>'[2]Agregação Lvl 3-1'!C3</f>
      </c>
      <c r="D3" s="70">
        <f>'[3]Agregação Lvl 3-1'!C3</f>
      </c>
      <c r="E3" s="70">
        <f>'[4]Agregação Lvl 3-1'!C3</f>
      </c>
      <c r="F3" s="70">
        <f>'[5]Agregação Lvl 3-1'!C3</f>
      </c>
      <c r="G3" s="70">
        <f>'[6]Agregação Lvl 3-1'!C3</f>
      </c>
      <c r="H3" s="64"/>
      <c r="I3" s="64"/>
      <c r="J3" s="64"/>
      <c r="K3" s="3"/>
      <c r="L3" s="26"/>
      <c r="M3" s="26"/>
    </row>
    <row x14ac:dyDescent="0.25" r="4" customHeight="1" ht="18.75">
      <c r="A4" s="69" t="s">
        <v>67</v>
      </c>
      <c r="B4" s="70">
        <f>'[1]Agregação Lvl 3-1'!C4</f>
      </c>
      <c r="C4" s="70">
        <f>'[2]Agregação Lvl 3-1'!C4</f>
      </c>
      <c r="D4" s="70">
        <f>'[3]Agregação Lvl 3-1'!C4</f>
      </c>
      <c r="E4" s="70">
        <f>'[4]Agregação Lvl 3-1'!C4</f>
      </c>
      <c r="F4" s="70">
        <f>'[5]Agregação Lvl 3-1'!C4</f>
      </c>
      <c r="G4" s="70">
        <f>'[6]Agregação Lvl 3-1'!C4</f>
      </c>
      <c r="H4" s="64"/>
      <c r="I4" s="3"/>
      <c r="J4" s="3"/>
      <c r="K4" s="3"/>
      <c r="L4" s="26"/>
      <c r="M4" s="26"/>
    </row>
    <row x14ac:dyDescent="0.25" r="5" customHeight="1" ht="18.75">
      <c r="A5" s="71" t="s">
        <v>69</v>
      </c>
      <c r="B5" s="72">
        <f>'[1]Agregação Lvl 3-1'!C5</f>
      </c>
      <c r="C5" s="72">
        <f>'[2]Agregação Lvl 3-1'!C5</f>
      </c>
      <c r="D5" s="72">
        <f>'[3]Agregação Lvl 3-1'!C5</f>
      </c>
      <c r="E5" s="72">
        <f>'[4]Agregação Lvl 3-1'!C5</f>
      </c>
      <c r="F5" s="72">
        <f>'[5]Agregação Lvl 3-1'!C5</f>
      </c>
      <c r="G5" s="72">
        <f>'[6]Agregação Lvl 3-1'!C5</f>
      </c>
      <c r="H5" s="64"/>
      <c r="I5" s="3"/>
      <c r="J5" s="3"/>
      <c r="K5" s="3"/>
      <c r="L5" s="26"/>
      <c r="M5" s="26"/>
    </row>
    <row x14ac:dyDescent="0.25" r="6" customHeight="1" ht="18.75">
      <c r="A6" s="71" t="s">
        <v>71</v>
      </c>
      <c r="B6" s="72">
        <f>'[1]Agregação Lvl 3-1'!C6</f>
      </c>
      <c r="C6" s="72">
        <f>'[2]Agregação Lvl 3-1'!C6</f>
      </c>
      <c r="D6" s="72">
        <f>'[3]Agregação Lvl 3-1'!C6</f>
      </c>
      <c r="E6" s="72">
        <f>'[4]Agregação Lvl 3-1'!C6</f>
      </c>
      <c r="F6" s="72">
        <f>'[5]Agregação Lvl 3-1'!C6</f>
      </c>
      <c r="G6" s="72">
        <f>'[6]Agregação Lvl 3-1'!C6</f>
      </c>
      <c r="H6" s="64"/>
      <c r="I6" s="3"/>
      <c r="J6" s="3"/>
      <c r="K6" s="3"/>
      <c r="L6" s="26"/>
      <c r="M6" s="26"/>
    </row>
    <row x14ac:dyDescent="0.25" r="7" customHeight="1" ht="18.75">
      <c r="A7" s="71" t="s">
        <v>73</v>
      </c>
      <c r="B7" s="72">
        <f>'[1]Agregação Lvl 3-1'!C7</f>
      </c>
      <c r="C7" s="72">
        <f>'[2]Agregação Lvl 3-1'!C7</f>
      </c>
      <c r="D7" s="72">
        <f>'[3]Agregação Lvl 3-1'!C7</f>
      </c>
      <c r="E7" s="72">
        <f>'[4]Agregação Lvl 3-1'!C7</f>
      </c>
      <c r="F7" s="72">
        <f>'[5]Agregação Lvl 3-1'!C7</f>
      </c>
      <c r="G7" s="72">
        <f>'[6]Agregação Lvl 3-1'!C7</f>
      </c>
      <c r="H7" s="64"/>
      <c r="I7" s="3"/>
      <c r="J7" s="3"/>
      <c r="K7" s="3"/>
      <c r="L7" s="73">
        <f>(G7-F7)/G7</f>
      </c>
      <c r="M7" s="73">
        <f>(G7-B7)/G7</f>
      </c>
    </row>
    <row x14ac:dyDescent="0.25" r="8" customHeight="1" ht="18.75">
      <c r="A8" s="71" t="s">
        <v>75</v>
      </c>
      <c r="B8" s="72">
        <f>'[1]Agregação Lvl 3-1'!C8</f>
      </c>
      <c r="C8" s="72">
        <f>'[2]Agregação Lvl 3-1'!C8</f>
      </c>
      <c r="D8" s="72">
        <f>'[3]Agregação Lvl 3-1'!C8</f>
      </c>
      <c r="E8" s="72">
        <f>'[4]Agregação Lvl 3-1'!C8</f>
      </c>
      <c r="F8" s="72">
        <f>'[5]Agregação Lvl 3-1'!C8</f>
      </c>
      <c r="G8" s="72">
        <f>'[6]Agregação Lvl 3-1'!C8</f>
      </c>
      <c r="H8" s="64"/>
      <c r="I8" s="3"/>
      <c r="J8" s="3"/>
      <c r="K8" s="3"/>
      <c r="L8" s="26"/>
      <c r="M8" s="26"/>
    </row>
    <row x14ac:dyDescent="0.25" r="9" customHeight="1" ht="18.75">
      <c r="A9" s="71" t="s">
        <v>77</v>
      </c>
      <c r="B9" s="72">
        <f>'[1]Agregação Lvl 3-1'!C9</f>
      </c>
      <c r="C9" s="72">
        <f>'[2]Agregação Lvl 3-1'!C9</f>
      </c>
      <c r="D9" s="72">
        <f>'[3]Agregação Lvl 3-1'!C9</f>
      </c>
      <c r="E9" s="72">
        <f>'[4]Agregação Lvl 3-1'!C9</f>
      </c>
      <c r="F9" s="72">
        <f>'[5]Agregação Lvl 3-1'!C9</f>
      </c>
      <c r="G9" s="72">
        <f>'[6]Agregação Lvl 3-1'!C9</f>
      </c>
      <c r="H9" s="64"/>
      <c r="I9" s="3"/>
      <c r="J9" s="3"/>
      <c r="K9" s="3"/>
      <c r="L9" s="73"/>
      <c r="M9" s="26"/>
    </row>
    <row x14ac:dyDescent="0.25" r="10" customHeight="1" ht="18.75">
      <c r="A10" s="74" t="s">
        <v>79</v>
      </c>
      <c r="B10" s="75">
        <f>'[1]Agregação Lvl 3-1'!C10</f>
      </c>
      <c r="C10" s="75">
        <f>'[2]Agregação Lvl 3-1'!C10</f>
      </c>
      <c r="D10" s="75">
        <f>'[3]Agregação Lvl 3-1'!C10</f>
      </c>
      <c r="E10" s="75">
        <f>'[4]Agregação Lvl 3-1'!C10</f>
      </c>
      <c r="F10" s="75">
        <f>'[5]Agregação Lvl 3-1'!C10</f>
      </c>
      <c r="G10" s="75">
        <f>'[6]Agregação Lvl 3-1'!C10</f>
      </c>
      <c r="H10" s="64"/>
      <c r="I10" s="3"/>
      <c r="J10" s="3"/>
      <c r="K10" s="3"/>
      <c r="L10" s="26"/>
      <c r="M10" s="26"/>
    </row>
    <row x14ac:dyDescent="0.25" r="11" customHeight="1" ht="18.75">
      <c r="A11" s="74" t="s">
        <v>81</v>
      </c>
      <c r="B11" s="75">
        <f>'[1]Agregação Lvl 3-1'!C11</f>
      </c>
      <c r="C11" s="75">
        <f>'[2]Agregação Lvl 3-1'!C11</f>
      </c>
      <c r="D11" s="75">
        <f>'[3]Agregação Lvl 3-1'!C11</f>
      </c>
      <c r="E11" s="75">
        <f>'[4]Agregação Lvl 3-1'!C11</f>
      </c>
      <c r="F11" s="75">
        <f>'[5]Agregação Lvl 3-1'!C11</f>
      </c>
      <c r="G11" s="75">
        <f>'[6]Agregação Lvl 3-1'!C11</f>
      </c>
      <c r="H11" s="64"/>
      <c r="I11" s="3"/>
      <c r="J11" s="3"/>
      <c r="K11" s="3"/>
      <c r="L11" s="26"/>
      <c r="M11" s="26"/>
    </row>
    <row x14ac:dyDescent="0.25" r="12" customHeight="1" ht="18.75">
      <c r="A12" s="74" t="s">
        <v>83</v>
      </c>
      <c r="B12" s="75">
        <f>'[1]Agregação Lvl 3-1'!C12</f>
      </c>
      <c r="C12" s="75">
        <f>'[2]Agregação Lvl 3-1'!C12</f>
      </c>
      <c r="D12" s="75">
        <f>'[3]Agregação Lvl 3-1'!C12</f>
      </c>
      <c r="E12" s="75">
        <f>'[4]Agregação Lvl 3-1'!C12</f>
      </c>
      <c r="F12" s="75">
        <f>'[5]Agregação Lvl 3-1'!C12</f>
      </c>
      <c r="G12" s="75">
        <f>'[6]Agregação Lvl 3-1'!C12</f>
      </c>
      <c r="H12" s="64"/>
      <c r="I12" s="3"/>
      <c r="J12" s="3"/>
      <c r="K12" s="3"/>
      <c r="L12" s="26"/>
      <c r="M12" s="26"/>
    </row>
    <row x14ac:dyDescent="0.25" r="13" customHeight="1" ht="18.75">
      <c r="A13" s="76" t="s">
        <v>91</v>
      </c>
      <c r="B13" s="77">
        <f>'[1]Agregação Lvl 3-1'!C13</f>
      </c>
      <c r="C13" s="77">
        <f>'[2]Agregação Lvl 3-1'!C13</f>
      </c>
      <c r="D13" s="77">
        <f>'[3]Agregação Lvl 3-1'!C13</f>
      </c>
      <c r="E13" s="77">
        <f>'[4]Agregação Lvl 3-1'!C13</f>
      </c>
      <c r="F13" s="77">
        <f>'[5]Agregação Lvl 3-1'!C13</f>
      </c>
      <c r="G13" s="77">
        <f>'[6]Agregação Lvl 3-1'!C13</f>
      </c>
      <c r="H13" s="64"/>
      <c r="I13" s="3"/>
      <c r="J13" s="3"/>
      <c r="K13" s="3"/>
      <c r="L13" s="26"/>
      <c r="M13" s="26"/>
    </row>
    <row x14ac:dyDescent="0.25" r="14" customHeight="1" ht="18.75">
      <c r="A14" s="76" t="s">
        <v>93</v>
      </c>
      <c r="B14" s="77">
        <f>'[1]Agregação Lvl 3-1'!C14</f>
      </c>
      <c r="C14" s="77">
        <f>'[2]Agregação Lvl 3-1'!C14</f>
      </c>
      <c r="D14" s="77">
        <f>'[3]Agregação Lvl 3-1'!C14</f>
      </c>
      <c r="E14" s="77">
        <f>'[4]Agregação Lvl 3-1'!C14</f>
      </c>
      <c r="F14" s="77">
        <f>'[5]Agregação Lvl 3-1'!C14</f>
      </c>
      <c r="G14" s="77">
        <f>'[6]Agregação Lvl 3-1'!C14</f>
      </c>
      <c r="H14" s="64"/>
      <c r="I14" s="3"/>
      <c r="J14" s="3"/>
      <c r="K14" s="3"/>
      <c r="L14" s="26"/>
      <c r="M14" s="26"/>
    </row>
    <row x14ac:dyDescent="0.25" r="15" customHeight="1" ht="18.75">
      <c r="A15" s="3"/>
      <c r="B15" s="49"/>
      <c r="C15" s="49"/>
      <c r="D15" s="49"/>
      <c r="E15" s="49"/>
      <c r="F15" s="5"/>
      <c r="G15" s="5"/>
      <c r="H15" s="3"/>
      <c r="I15" s="3"/>
      <c r="J15" s="3"/>
      <c r="K15" s="3"/>
      <c r="L15" s="26"/>
      <c r="M15" s="26"/>
    </row>
    <row x14ac:dyDescent="0.25" r="16" customHeight="1" ht="18.75">
      <c r="A16" s="1" t="s">
        <v>51</v>
      </c>
      <c r="B16" s="67">
        <v>2018.2</v>
      </c>
      <c r="C16" s="67">
        <v>2019.2</v>
      </c>
      <c r="D16" s="67">
        <v>2020.2</v>
      </c>
      <c r="E16" s="67">
        <v>2021.2</v>
      </c>
      <c r="F16" s="68">
        <v>2022.2</v>
      </c>
      <c r="G16" s="68">
        <v>2023.2</v>
      </c>
      <c r="H16" s="3"/>
      <c r="I16" s="3"/>
      <c r="J16" s="3"/>
      <c r="K16" s="3"/>
      <c r="L16" s="26"/>
      <c r="M16" s="26"/>
    </row>
    <row x14ac:dyDescent="0.25" r="17" customHeight="1" ht="19.5">
      <c r="A17" s="69" t="s">
        <v>65</v>
      </c>
      <c r="B17" s="70">
        <f>'[7]Agregação Lvl 3-1'!C3</f>
      </c>
      <c r="C17" s="70">
        <f>'[8]Agregação Lvl 3-1'!C3</f>
      </c>
      <c r="D17" s="78">
        <f>'[9]Agregação Lvl 3-1'!C3</f>
      </c>
      <c r="E17" s="70">
        <f>'[10]Agregação Lvl 3-1'!C3</f>
      </c>
      <c r="F17" s="70">
        <f>'[11]Agregação Lvl 3-1'!C3</f>
      </c>
      <c r="G17" s="70">
        <f>'[12]Agregação Lvl 3-1'!C3</f>
      </c>
      <c r="H17" s="64"/>
      <c r="I17" s="3"/>
      <c r="J17" s="3"/>
      <c r="K17" s="3"/>
      <c r="L17" s="26"/>
      <c r="M17" s="26"/>
    </row>
    <row x14ac:dyDescent="0.25" r="18" customHeight="1" ht="19.5">
      <c r="A18" s="69" t="s">
        <v>67</v>
      </c>
      <c r="B18" s="70">
        <f>'[7]Agregação Lvl 3-1'!C4</f>
      </c>
      <c r="C18" s="70">
        <f>'[8]Agregação Lvl 3-1'!C4</f>
      </c>
      <c r="D18" s="78">
        <f>'[9]Agregação Lvl 3-1'!C4</f>
      </c>
      <c r="E18" s="70">
        <f>'[10]Agregação Lvl 3-1'!C4</f>
      </c>
      <c r="F18" s="70">
        <f>'[11]Agregação Lvl 3-1'!C4</f>
      </c>
      <c r="G18" s="70">
        <f>'[12]Agregação Lvl 3-1'!C4</f>
      </c>
      <c r="H18" s="64"/>
      <c r="I18" s="3"/>
      <c r="J18" s="3"/>
      <c r="K18" s="3"/>
      <c r="L18" s="26"/>
      <c r="M18" s="26"/>
    </row>
    <row x14ac:dyDescent="0.25" r="19" customHeight="1" ht="19.5">
      <c r="A19" s="71" t="s">
        <v>69</v>
      </c>
      <c r="B19" s="72">
        <f>'[7]Agregação Lvl 3-1'!C5</f>
      </c>
      <c r="C19" s="72">
        <f>'[8]Agregação Lvl 3-1'!C5</f>
      </c>
      <c r="D19" s="79">
        <f>'[9]Agregação Lvl 3-1'!C5</f>
      </c>
      <c r="E19" s="72">
        <f>'[10]Agregação Lvl 3-1'!C5</f>
      </c>
      <c r="F19" s="72">
        <f>'[11]Agregação Lvl 3-1'!C5</f>
      </c>
      <c r="G19" s="72">
        <f>'[12]Agregação Lvl 3-1'!C5</f>
      </c>
      <c r="H19" s="64"/>
      <c r="I19" s="3"/>
      <c r="J19" s="3"/>
      <c r="K19" s="3"/>
      <c r="L19" s="26"/>
      <c r="M19" s="26"/>
    </row>
    <row x14ac:dyDescent="0.25" r="20" customHeight="1" ht="19.5">
      <c r="A20" s="71" t="s">
        <v>71</v>
      </c>
      <c r="B20" s="72">
        <f>'[7]Agregação Lvl 3-1'!C6</f>
      </c>
      <c r="C20" s="72">
        <f>'[8]Agregação Lvl 3-1'!C6</f>
      </c>
      <c r="D20" s="79">
        <f>'[9]Agregação Lvl 3-1'!C6</f>
      </c>
      <c r="E20" s="72">
        <f>'[10]Agregação Lvl 3-1'!C6</f>
      </c>
      <c r="F20" s="72">
        <f>'[11]Agregação Lvl 3-1'!C6</f>
      </c>
      <c r="G20" s="72">
        <f>'[12]Agregação Lvl 3-1'!C6</f>
      </c>
      <c r="H20" s="64"/>
      <c r="I20" s="3"/>
      <c r="J20" s="3"/>
      <c r="K20" s="3"/>
      <c r="L20" s="26"/>
      <c r="M20" s="26"/>
    </row>
    <row x14ac:dyDescent="0.25" r="21" customHeight="1" ht="19.5">
      <c r="A21" s="71" t="s">
        <v>73</v>
      </c>
      <c r="B21" s="72">
        <f>'[7]Agregação Lvl 3-1'!C7</f>
      </c>
      <c r="C21" s="72">
        <f>'[8]Agregação Lvl 3-1'!C7</f>
      </c>
      <c r="D21" s="79">
        <f>'[9]Agregação Lvl 3-1'!C7</f>
      </c>
      <c r="E21" s="72">
        <f>'[10]Agregação Lvl 3-1'!C7</f>
      </c>
      <c r="F21" s="72">
        <f>'[11]Agregação Lvl 3-1'!C7</f>
      </c>
      <c r="G21" s="72">
        <f>'[12]Agregação Lvl 3-1'!C7</f>
      </c>
      <c r="H21" s="64"/>
      <c r="I21" s="3"/>
      <c r="J21" s="3"/>
      <c r="K21" s="3"/>
      <c r="L21" s="73">
        <f>(G21-F21)/G21</f>
      </c>
      <c r="M21" s="73">
        <f>(G21-B21)/G21</f>
      </c>
    </row>
    <row x14ac:dyDescent="0.25" r="22" customHeight="1" ht="19.5">
      <c r="A22" s="71" t="s">
        <v>75</v>
      </c>
      <c r="B22" s="72">
        <f>'[7]Agregação Lvl 3-1'!C8</f>
      </c>
      <c r="C22" s="72">
        <f>'[8]Agregação Lvl 3-1'!C8</f>
      </c>
      <c r="D22" s="79">
        <f>'[9]Agregação Lvl 3-1'!C8</f>
      </c>
      <c r="E22" s="72">
        <f>'[10]Agregação Lvl 3-1'!C8</f>
      </c>
      <c r="F22" s="72">
        <f>'[11]Agregação Lvl 3-1'!C8</f>
      </c>
      <c r="G22" s="72">
        <f>'[12]Agregação Lvl 3-1'!C8</f>
      </c>
      <c r="H22" s="64"/>
      <c r="I22" s="3"/>
      <c r="J22" s="3"/>
      <c r="K22" s="3"/>
      <c r="L22" s="26"/>
      <c r="M22" s="26"/>
    </row>
    <row x14ac:dyDescent="0.25" r="23" customHeight="1" ht="19.5">
      <c r="A23" s="71" t="s">
        <v>77</v>
      </c>
      <c r="B23" s="72">
        <f>'[7]Agregação Lvl 3-1'!C9</f>
      </c>
      <c r="C23" s="72">
        <f>'[8]Agregação Lvl 3-1'!C9</f>
      </c>
      <c r="D23" s="79">
        <f>'[9]Agregação Lvl 3-1'!C9</f>
      </c>
      <c r="E23" s="72">
        <f>'[10]Agregação Lvl 3-1'!C9</f>
      </c>
      <c r="F23" s="72">
        <f>'[11]Agregação Lvl 3-1'!C9</f>
      </c>
      <c r="G23" s="72">
        <f>'[12]Agregação Lvl 3-1'!C9</f>
      </c>
      <c r="H23" s="64"/>
      <c r="I23" s="3"/>
      <c r="J23" s="3"/>
      <c r="K23" s="3"/>
      <c r="L23" s="26"/>
      <c r="M23" s="26"/>
    </row>
    <row x14ac:dyDescent="0.25" r="24" customHeight="1" ht="19.5">
      <c r="A24" s="74" t="s">
        <v>79</v>
      </c>
      <c r="B24" s="75">
        <f>'[7]Agregação Lvl 3-1'!C10</f>
      </c>
      <c r="C24" s="75">
        <f>'[8]Agregação Lvl 3-1'!C10*$C$91</f>
      </c>
      <c r="D24" s="80">
        <f>'[9]Agregação Lvl 3-1'!C10</f>
      </c>
      <c r="E24" s="75">
        <f>'[10]Agregação Lvl 3-1'!C10</f>
      </c>
      <c r="F24" s="75">
        <f>'[11]Agregação Lvl 3-1'!C10</f>
      </c>
      <c r="G24" s="75">
        <f>'[12]Agregação Lvl 3-1'!C10</f>
      </c>
      <c r="H24" s="64"/>
      <c r="I24" s="3"/>
      <c r="J24" s="3"/>
      <c r="K24" s="3"/>
      <c r="L24" s="73">
        <f>(G24-F24)/G24</f>
      </c>
      <c r="M24" s="26"/>
    </row>
    <row x14ac:dyDescent="0.25" r="25" customHeight="1" ht="19.5">
      <c r="A25" s="74" t="s">
        <v>81</v>
      </c>
      <c r="B25" s="75">
        <f>'[7]Agregação Lvl 3-1'!C11</f>
      </c>
      <c r="C25" s="75">
        <f>'[8]Agregação Lvl 3-1'!C11*$C$91</f>
      </c>
      <c r="D25" s="80">
        <f>'[9]Agregação Lvl 3-1'!C11</f>
      </c>
      <c r="E25" s="75">
        <f>'[10]Agregação Lvl 3-1'!C11</f>
      </c>
      <c r="F25" s="75">
        <f>'[11]Agregação Lvl 3-1'!C11</f>
      </c>
      <c r="G25" s="75">
        <f>'[12]Agregação Lvl 3-1'!C11</f>
      </c>
      <c r="H25" s="64"/>
      <c r="I25" s="3"/>
      <c r="J25" s="3"/>
      <c r="K25" s="3"/>
      <c r="L25" s="26"/>
      <c r="M25" s="26"/>
    </row>
    <row x14ac:dyDescent="0.25" r="26" customHeight="1" ht="19.5">
      <c r="A26" s="74" t="s">
        <v>83</v>
      </c>
      <c r="B26" s="75">
        <f>'[7]Agregação Lvl 3-1'!C12</f>
      </c>
      <c r="C26" s="75">
        <f>'[8]Agregação Lvl 3-1'!C12</f>
      </c>
      <c r="D26" s="80">
        <f>'[9]Agregação Lvl 3-1'!C12</f>
      </c>
      <c r="E26" s="75">
        <f>'[10]Agregação Lvl 3-1'!C12</f>
      </c>
      <c r="F26" s="75">
        <f>'[11]Agregação Lvl 3-1'!C12</f>
      </c>
      <c r="G26" s="75">
        <f>'[12]Agregação Lvl 3-1'!C12</f>
      </c>
      <c r="H26" s="64"/>
      <c r="I26" s="3"/>
      <c r="J26" s="3"/>
      <c r="K26" s="3"/>
      <c r="L26" s="26"/>
      <c r="M26" s="26"/>
    </row>
    <row x14ac:dyDescent="0.25" r="27" customHeight="1" ht="19.5">
      <c r="A27" s="76" t="s">
        <v>91</v>
      </c>
      <c r="B27" s="77">
        <f>'[7]Agregação Lvl 3-1'!C13</f>
      </c>
      <c r="C27" s="77">
        <f>'[8]Agregação Lvl 3-1'!C13</f>
      </c>
      <c r="D27" s="81">
        <f>'[9]Agregação Lvl 3-1'!C13</f>
      </c>
      <c r="E27" s="77">
        <f>'[10]Agregação Lvl 3-1'!C13</f>
      </c>
      <c r="F27" s="77">
        <f>'[11]Agregação Lvl 3-1'!C13</f>
      </c>
      <c r="G27" s="77">
        <f>'[12]Agregação Lvl 3-1'!C13</f>
      </c>
      <c r="H27" s="64"/>
      <c r="I27" s="3"/>
      <c r="J27" s="3"/>
      <c r="K27" s="3"/>
      <c r="L27" s="26"/>
      <c r="M27" s="26"/>
    </row>
    <row x14ac:dyDescent="0.25" r="28" customHeight="1" ht="19.5">
      <c r="A28" s="76" t="s">
        <v>93</v>
      </c>
      <c r="B28" s="77">
        <f>'[7]Agregação Lvl 3-1'!C14</f>
      </c>
      <c r="C28" s="77">
        <f>'[8]Agregação Lvl 3-1'!C14</f>
      </c>
      <c r="D28" s="81">
        <f>'[9]Agregação Lvl 3-1'!C14</f>
      </c>
      <c r="E28" s="77">
        <f>'[10]Agregação Lvl 3-1'!C14</f>
      </c>
      <c r="F28" s="77">
        <f>'[11]Agregação Lvl 3-1'!C14</f>
      </c>
      <c r="G28" s="77">
        <f>'[12]Agregação Lvl 3-1'!C14</f>
      </c>
      <c r="H28" s="64"/>
      <c r="I28" s="3"/>
      <c r="J28" s="3"/>
      <c r="K28" s="3"/>
      <c r="L28" s="26"/>
      <c r="M28" s="26"/>
    </row>
    <row x14ac:dyDescent="0.25" r="29" customHeight="1" ht="18.75">
      <c r="A29" s="3"/>
      <c r="B29" s="49"/>
      <c r="C29" s="49"/>
      <c r="D29" s="49"/>
      <c r="E29" s="49"/>
      <c r="F29" s="5"/>
      <c r="G29" s="5"/>
      <c r="H29" s="3"/>
      <c r="I29" s="3"/>
      <c r="J29" s="3"/>
      <c r="K29" s="3"/>
      <c r="L29" s="26"/>
      <c r="M29" s="26"/>
    </row>
    <row x14ac:dyDescent="0.25" r="30" customHeight="1" ht="18.75">
      <c r="A30" s="3" t="s">
        <v>133</v>
      </c>
      <c r="B30" s="49"/>
      <c r="C30" s="49"/>
      <c r="D30" s="49"/>
      <c r="E30" s="49"/>
      <c r="F30" s="5"/>
      <c r="G30" s="5"/>
      <c r="H30" s="3"/>
      <c r="I30" s="3"/>
      <c r="J30" s="3"/>
      <c r="K30" s="3"/>
      <c r="L30" s="26"/>
      <c r="M30" s="26"/>
    </row>
    <row x14ac:dyDescent="0.25" r="31" customHeight="1" ht="18.75">
      <c r="A31" s="1" t="s">
        <v>51</v>
      </c>
      <c r="B31" s="67">
        <v>2018.1</v>
      </c>
      <c r="C31" s="67">
        <v>2019.1</v>
      </c>
      <c r="D31" s="67">
        <v>2020.1</v>
      </c>
      <c r="E31" s="67">
        <v>2021.1</v>
      </c>
      <c r="F31" s="68">
        <v>2022.1</v>
      </c>
      <c r="G31" s="2" t="s">
        <v>134</v>
      </c>
      <c r="H31" s="3"/>
      <c r="I31" s="3"/>
      <c r="J31" s="3"/>
      <c r="K31" s="3"/>
      <c r="L31" s="26"/>
      <c r="M31" s="26"/>
    </row>
    <row x14ac:dyDescent="0.25" r="32" customHeight="1" ht="18.75">
      <c r="A32" s="69" t="s">
        <v>65</v>
      </c>
      <c r="B32" s="70">
        <f>B3</f>
      </c>
      <c r="C32" s="70">
        <f>C3</f>
      </c>
      <c r="D32" s="70">
        <f>D3</f>
      </c>
      <c r="E32" s="70">
        <f>E3</f>
      </c>
      <c r="F32" s="70">
        <f>F3</f>
      </c>
      <c r="G32" s="64">
        <f>AVERAGE(B32,C32)</f>
      </c>
      <c r="H32" s="64"/>
      <c r="I32" s="3"/>
      <c r="J32" s="3"/>
      <c r="K32" s="3"/>
      <c r="L32" s="26"/>
      <c r="M32" s="26"/>
    </row>
    <row x14ac:dyDescent="0.25" r="33" customHeight="1" ht="18.75">
      <c r="A33" s="69" t="s">
        <v>67</v>
      </c>
      <c r="B33" s="70">
        <f>B4</f>
      </c>
      <c r="C33" s="70">
        <f>C4</f>
      </c>
      <c r="D33" s="70">
        <f>D4</f>
      </c>
      <c r="E33" s="70">
        <f>E4</f>
      </c>
      <c r="F33" s="70">
        <f>F4</f>
      </c>
      <c r="G33" s="64">
        <f>AVERAGE(B33,C33)</f>
      </c>
      <c r="H33" s="64"/>
      <c r="I33" s="3"/>
      <c r="J33" s="3"/>
      <c r="K33" s="3"/>
      <c r="L33" s="26"/>
      <c r="M33" s="26"/>
    </row>
    <row x14ac:dyDescent="0.25" r="34" customHeight="1" ht="18.75">
      <c r="A34" s="71" t="s">
        <v>69</v>
      </c>
      <c r="B34" s="72">
        <f>B5</f>
      </c>
      <c r="C34" s="72">
        <f>C5</f>
      </c>
      <c r="D34" s="72">
        <f>D5</f>
      </c>
      <c r="E34" s="72">
        <f>E5</f>
      </c>
      <c r="F34" s="72">
        <f>F5</f>
      </c>
      <c r="G34" s="64">
        <f>AVERAGE(B34,C34)</f>
      </c>
      <c r="H34" s="64"/>
      <c r="I34" s="3"/>
      <c r="J34" s="3"/>
      <c r="K34" s="3"/>
      <c r="L34" s="26"/>
      <c r="M34" s="26"/>
    </row>
    <row x14ac:dyDescent="0.25" r="35" customHeight="1" ht="18.75">
      <c r="A35" s="71" t="s">
        <v>71</v>
      </c>
      <c r="B35" s="72">
        <f>B6</f>
      </c>
      <c r="C35" s="72">
        <f>C6</f>
      </c>
      <c r="D35" s="72">
        <f>D6</f>
      </c>
      <c r="E35" s="72">
        <f>E6</f>
      </c>
      <c r="F35" s="72">
        <f>F6</f>
      </c>
      <c r="G35" s="64">
        <f>AVERAGE(B35,C35)</f>
      </c>
      <c r="H35" s="64"/>
      <c r="I35" s="3"/>
      <c r="J35" s="3"/>
      <c r="K35" s="3"/>
      <c r="L35" s="26"/>
      <c r="M35" s="26"/>
    </row>
    <row x14ac:dyDescent="0.25" r="36" customHeight="1" ht="18.75">
      <c r="A36" s="71" t="s">
        <v>73</v>
      </c>
      <c r="B36" s="72">
        <f>B7</f>
      </c>
      <c r="C36" s="72">
        <f>C7</f>
      </c>
      <c r="D36" s="72">
        <f>D7</f>
      </c>
      <c r="E36" s="72">
        <f>E7</f>
      </c>
      <c r="F36" s="72">
        <f>F7</f>
      </c>
      <c r="G36" s="64">
        <f>AVERAGE(B36,C36)</f>
      </c>
      <c r="H36" s="64"/>
      <c r="I36" s="3"/>
      <c r="J36" s="3"/>
      <c r="K36" s="3"/>
      <c r="L36" s="26"/>
      <c r="M36" s="26"/>
    </row>
    <row x14ac:dyDescent="0.25" r="37" customHeight="1" ht="18.75">
      <c r="A37" s="71" t="s">
        <v>75</v>
      </c>
      <c r="B37" s="72">
        <f>B8</f>
      </c>
      <c r="C37" s="72">
        <f>C8</f>
      </c>
      <c r="D37" s="72">
        <f>D8</f>
      </c>
      <c r="E37" s="72">
        <f>E8</f>
      </c>
      <c r="F37" s="72">
        <f>F8</f>
      </c>
      <c r="G37" s="64">
        <f>AVERAGE(B37,C37)</f>
      </c>
      <c r="H37" s="64"/>
      <c r="I37" s="3"/>
      <c r="J37" s="3"/>
      <c r="K37" s="3"/>
      <c r="L37" s="26"/>
      <c r="M37" s="26"/>
    </row>
    <row x14ac:dyDescent="0.25" r="38" customHeight="1" ht="18.75">
      <c r="A38" s="71" t="s">
        <v>77</v>
      </c>
      <c r="B38" s="72">
        <f>B9</f>
      </c>
      <c r="C38" s="72">
        <f>C9</f>
      </c>
      <c r="D38" s="72">
        <f>D9</f>
      </c>
      <c r="E38" s="72">
        <f>E9</f>
      </c>
      <c r="F38" s="72">
        <f>F9</f>
      </c>
      <c r="G38" s="64">
        <f>AVERAGE(B38,C38)</f>
      </c>
      <c r="H38" s="64"/>
      <c r="I38" s="3"/>
      <c r="J38" s="3"/>
      <c r="K38" s="3"/>
      <c r="L38" s="26"/>
      <c r="M38" s="26"/>
    </row>
    <row x14ac:dyDescent="0.25" r="39" customHeight="1" ht="18.75">
      <c r="A39" s="74" t="s">
        <v>79</v>
      </c>
      <c r="B39" s="75">
        <f>B10*B$91</f>
      </c>
      <c r="C39" s="75">
        <f>C10*C$91</f>
      </c>
      <c r="D39" s="75">
        <f>D10*D$91</f>
      </c>
      <c r="E39" s="75">
        <f>E10*E$91</f>
      </c>
      <c r="F39" s="75">
        <f>F10*F$91</f>
      </c>
      <c r="G39" s="64">
        <f>AVERAGE(B39,C39)</f>
      </c>
      <c r="H39" s="64"/>
      <c r="I39" s="3"/>
      <c r="J39" s="3"/>
      <c r="K39" s="3"/>
      <c r="L39" s="26"/>
      <c r="M39" s="26"/>
    </row>
    <row x14ac:dyDescent="0.25" r="40" customHeight="1" ht="18.75">
      <c r="A40" s="74" t="s">
        <v>81</v>
      </c>
      <c r="B40" s="75">
        <f>B11*B$91</f>
      </c>
      <c r="C40" s="75">
        <f>C11*C$91</f>
      </c>
      <c r="D40" s="75">
        <f>D11*D$91</f>
      </c>
      <c r="E40" s="75">
        <f>E11*E$91</f>
      </c>
      <c r="F40" s="75">
        <f>F11*F$91</f>
      </c>
      <c r="G40" s="64">
        <f>AVERAGE(B40,C40)</f>
      </c>
      <c r="H40" s="64"/>
      <c r="I40" s="3"/>
      <c r="J40" s="3"/>
      <c r="K40" s="3"/>
      <c r="L40" s="26"/>
      <c r="M40" s="26"/>
    </row>
    <row x14ac:dyDescent="0.25" r="41" customHeight="1" ht="18.75">
      <c r="A41" s="74" t="s">
        <v>83</v>
      </c>
      <c r="B41" s="75">
        <f>B12*B$91</f>
      </c>
      <c r="C41" s="75">
        <f>C12*C$91</f>
      </c>
      <c r="D41" s="75">
        <f>D12*D$91</f>
      </c>
      <c r="E41" s="75">
        <f>E12*E$91</f>
      </c>
      <c r="F41" s="75">
        <f>F12*F$91</f>
      </c>
      <c r="G41" s="64">
        <f>AVERAGE(B41,C41)</f>
      </c>
      <c r="H41" s="64"/>
      <c r="I41" s="3"/>
      <c r="J41" s="3"/>
      <c r="K41" s="3"/>
      <c r="L41" s="26"/>
      <c r="M41" s="26"/>
    </row>
    <row x14ac:dyDescent="0.25" r="42" customHeight="1" ht="18.75">
      <c r="A42" s="76" t="s">
        <v>91</v>
      </c>
      <c r="B42" s="77">
        <f>B13</f>
      </c>
      <c r="C42" s="77">
        <f>C13</f>
      </c>
      <c r="D42" s="77">
        <f>D13</f>
      </c>
      <c r="E42" s="77">
        <f>E13</f>
      </c>
      <c r="F42" s="77">
        <f>F13</f>
      </c>
      <c r="G42" s="64">
        <f>AVERAGE(B42,C42)</f>
      </c>
      <c r="H42" s="64"/>
      <c r="I42" s="3"/>
      <c r="J42" s="3"/>
      <c r="K42" s="3"/>
      <c r="L42" s="26"/>
      <c r="M42" s="26"/>
    </row>
    <row x14ac:dyDescent="0.25" r="43" customHeight="1" ht="18.75">
      <c r="A43" s="76" t="s">
        <v>93</v>
      </c>
      <c r="B43" s="77">
        <f>B14</f>
      </c>
      <c r="C43" s="77">
        <f>C14</f>
      </c>
      <c r="D43" s="77">
        <f>D14</f>
      </c>
      <c r="E43" s="77">
        <f>E14</f>
      </c>
      <c r="F43" s="77">
        <f>F14</f>
      </c>
      <c r="G43" s="64">
        <f>AVERAGE(B43,C43)</f>
      </c>
      <c r="H43" s="64"/>
      <c r="I43" s="3"/>
      <c r="J43" s="3"/>
      <c r="K43" s="3"/>
      <c r="L43" s="26"/>
      <c r="M43" s="26"/>
    </row>
    <row x14ac:dyDescent="0.25" r="44" customHeight="1" ht="18.75">
      <c r="A44" s="3"/>
      <c r="B44" s="49"/>
      <c r="C44" s="49"/>
      <c r="D44" s="49"/>
      <c r="E44" s="49"/>
      <c r="F44" s="5"/>
      <c r="G44" s="5"/>
      <c r="H44" s="64"/>
      <c r="I44" s="3"/>
      <c r="J44" s="3"/>
      <c r="K44" s="3"/>
      <c r="L44" s="26"/>
      <c r="M44" s="26"/>
    </row>
    <row x14ac:dyDescent="0.25" r="45" customHeight="1" ht="18.75">
      <c r="A45" s="1" t="s">
        <v>51</v>
      </c>
      <c r="B45" s="67">
        <v>2018.2</v>
      </c>
      <c r="C45" s="67">
        <v>2019.2</v>
      </c>
      <c r="D45" s="67">
        <v>2020.2</v>
      </c>
      <c r="E45" s="67">
        <v>2021.2</v>
      </c>
      <c r="F45" s="68">
        <v>2022.2</v>
      </c>
      <c r="G45" s="2" t="s">
        <v>135</v>
      </c>
      <c r="H45" s="3"/>
      <c r="I45" s="3"/>
      <c r="J45" s="3"/>
      <c r="K45" s="3"/>
      <c r="L45" s="26"/>
      <c r="M45" s="26"/>
    </row>
    <row x14ac:dyDescent="0.25" r="46" customHeight="1" ht="18.75">
      <c r="A46" s="69" t="s">
        <v>65</v>
      </c>
      <c r="B46" s="70">
        <f>B17</f>
      </c>
      <c r="C46" s="70">
        <f>C17</f>
      </c>
      <c r="D46" s="70">
        <f>D17</f>
      </c>
      <c r="E46" s="70">
        <f>E17</f>
      </c>
      <c r="F46" s="70">
        <f>F17</f>
      </c>
      <c r="G46" s="64">
        <f>AVERAGE(B46,C46)</f>
      </c>
      <c r="H46" s="64"/>
      <c r="I46" s="3"/>
      <c r="J46" s="3"/>
      <c r="K46" s="3"/>
      <c r="L46" s="26"/>
      <c r="M46" s="26"/>
    </row>
    <row x14ac:dyDescent="0.25" r="47" customHeight="1" ht="18.75">
      <c r="A47" s="69" t="s">
        <v>67</v>
      </c>
      <c r="B47" s="70">
        <f>B18</f>
      </c>
      <c r="C47" s="70">
        <f>C18</f>
      </c>
      <c r="D47" s="78">
        <f>D18</f>
      </c>
      <c r="E47" s="70">
        <f>E18</f>
      </c>
      <c r="F47" s="70">
        <f>F18</f>
      </c>
      <c r="G47" s="64">
        <f>AVERAGE(B47,C47)</f>
      </c>
      <c r="H47" s="64"/>
      <c r="I47" s="3"/>
      <c r="J47" s="3"/>
      <c r="K47" s="3"/>
      <c r="L47" s="26"/>
      <c r="M47" s="26"/>
    </row>
    <row x14ac:dyDescent="0.25" r="48" customHeight="1" ht="18.75">
      <c r="A48" s="71" t="s">
        <v>69</v>
      </c>
      <c r="B48" s="72">
        <f>B19</f>
      </c>
      <c r="C48" s="72">
        <f>C19</f>
      </c>
      <c r="D48" s="79">
        <f>D19</f>
      </c>
      <c r="E48" s="72">
        <f>E19</f>
      </c>
      <c r="F48" s="72">
        <f>F19</f>
      </c>
      <c r="G48" s="64">
        <f>AVERAGE(B48,C48)</f>
      </c>
      <c r="H48" s="64"/>
      <c r="I48" s="3"/>
      <c r="J48" s="3"/>
      <c r="K48" s="3"/>
      <c r="L48" s="26"/>
      <c r="M48" s="26"/>
    </row>
    <row x14ac:dyDescent="0.25" r="49" customHeight="1" ht="18.75">
      <c r="A49" s="71" t="s">
        <v>71</v>
      </c>
      <c r="B49" s="72">
        <f>B20</f>
      </c>
      <c r="C49" s="72">
        <f>C20</f>
      </c>
      <c r="D49" s="79">
        <f>D20</f>
      </c>
      <c r="E49" s="72">
        <f>E20</f>
      </c>
      <c r="F49" s="72">
        <f>F20</f>
      </c>
      <c r="G49" s="64">
        <f>AVERAGE(B49,C49)</f>
      </c>
      <c r="H49" s="64"/>
      <c r="I49" s="3"/>
      <c r="J49" s="3"/>
      <c r="K49" s="3"/>
      <c r="L49" s="26"/>
      <c r="M49" s="26"/>
    </row>
    <row x14ac:dyDescent="0.25" r="50" customHeight="1" ht="18.75">
      <c r="A50" s="71" t="s">
        <v>73</v>
      </c>
      <c r="B50" s="72">
        <f>B21</f>
      </c>
      <c r="C50" s="72">
        <f>C21</f>
      </c>
      <c r="D50" s="79">
        <f>D21</f>
      </c>
      <c r="E50" s="72">
        <f>E21</f>
      </c>
      <c r="F50" s="72">
        <f>F21</f>
      </c>
      <c r="G50" s="64">
        <f>AVERAGE(B50,C50)</f>
      </c>
      <c r="H50" s="64"/>
      <c r="I50" s="3"/>
      <c r="J50" s="3"/>
      <c r="K50" s="3"/>
      <c r="L50" s="26"/>
      <c r="M50" s="26"/>
    </row>
    <row x14ac:dyDescent="0.25" r="51" customHeight="1" ht="18.75">
      <c r="A51" s="71" t="s">
        <v>75</v>
      </c>
      <c r="B51" s="72">
        <f>B22</f>
      </c>
      <c r="C51" s="72">
        <f>C22</f>
      </c>
      <c r="D51" s="79">
        <f>D22</f>
      </c>
      <c r="E51" s="72">
        <f>E22</f>
      </c>
      <c r="F51" s="72">
        <f>F22</f>
      </c>
      <c r="G51" s="64">
        <f>AVERAGE(B51,C51)</f>
      </c>
      <c r="H51" s="64"/>
      <c r="I51" s="3"/>
      <c r="J51" s="3"/>
      <c r="K51" s="3"/>
      <c r="L51" s="26"/>
      <c r="M51" s="26"/>
    </row>
    <row x14ac:dyDescent="0.25" r="52" customHeight="1" ht="18.75">
      <c r="A52" s="71" t="s">
        <v>77</v>
      </c>
      <c r="B52" s="72">
        <f>B23</f>
      </c>
      <c r="C52" s="72">
        <f>C23</f>
      </c>
      <c r="D52" s="79">
        <f>D23</f>
      </c>
      <c r="E52" s="72">
        <f>E23</f>
      </c>
      <c r="F52" s="72">
        <f>F23</f>
      </c>
      <c r="G52" s="64">
        <f>AVERAGE(B52,C52)</f>
      </c>
      <c r="H52" s="64"/>
      <c r="I52" s="3"/>
      <c r="J52" s="3"/>
      <c r="K52" s="3"/>
      <c r="L52" s="26"/>
      <c r="M52" s="26"/>
    </row>
    <row x14ac:dyDescent="0.25" r="53" customHeight="1" ht="18.75">
      <c r="A53" s="74" t="s">
        <v>79</v>
      </c>
      <c r="B53" s="75">
        <f>B24*B$93</f>
      </c>
      <c r="C53" s="75">
        <f>C24*C$93</f>
      </c>
      <c r="D53" s="75">
        <f>D24*D$93</f>
      </c>
      <c r="E53" s="75">
        <f>E24*E$93</f>
      </c>
      <c r="F53" s="75">
        <f>F24*F$93</f>
      </c>
      <c r="G53" s="64">
        <f>AVERAGE(B53,C53)</f>
      </c>
      <c r="H53" s="64"/>
      <c r="I53" s="3"/>
      <c r="J53" s="3"/>
      <c r="K53" s="3"/>
      <c r="L53" s="26"/>
      <c r="M53" s="26"/>
    </row>
    <row x14ac:dyDescent="0.25" r="54" customHeight="1" ht="18.75">
      <c r="A54" s="74" t="s">
        <v>81</v>
      </c>
      <c r="B54" s="75">
        <f>B25*B$93</f>
      </c>
      <c r="C54" s="75">
        <f>C25*C$93</f>
      </c>
      <c r="D54" s="75">
        <f>D25*D$93</f>
      </c>
      <c r="E54" s="75">
        <f>E25*E$93</f>
      </c>
      <c r="F54" s="75">
        <f>F25*F$93</f>
      </c>
      <c r="G54" s="64">
        <f>AVERAGE(B54,C54)</f>
      </c>
      <c r="H54" s="64"/>
      <c r="I54" s="3"/>
      <c r="J54" s="3"/>
      <c r="K54" s="3"/>
      <c r="L54" s="26"/>
      <c r="M54" s="26"/>
    </row>
    <row x14ac:dyDescent="0.25" r="55" customHeight="1" ht="18.75">
      <c r="A55" s="74" t="s">
        <v>83</v>
      </c>
      <c r="B55" s="75">
        <f>B26*B$93</f>
      </c>
      <c r="C55" s="75">
        <f>C26*C$93</f>
      </c>
      <c r="D55" s="75">
        <f>D26*D$93</f>
      </c>
      <c r="E55" s="75">
        <f>E26*E$93</f>
      </c>
      <c r="F55" s="75">
        <f>F26*F$93</f>
      </c>
      <c r="G55" s="64">
        <f>AVERAGE(B55,C55)</f>
      </c>
      <c r="H55" s="64"/>
      <c r="I55" s="3"/>
      <c r="J55" s="3"/>
      <c r="K55" s="3"/>
      <c r="L55" s="26"/>
      <c r="M55" s="26"/>
    </row>
    <row x14ac:dyDescent="0.25" r="56" customHeight="1" ht="18.75">
      <c r="A56" s="76" t="s">
        <v>91</v>
      </c>
      <c r="B56" s="77">
        <f>B27</f>
      </c>
      <c r="C56" s="77">
        <f>C27</f>
      </c>
      <c r="D56" s="81">
        <f>D27</f>
      </c>
      <c r="E56" s="77">
        <f>E27</f>
      </c>
      <c r="F56" s="77">
        <f>F27</f>
      </c>
      <c r="G56" s="64">
        <f>AVERAGE(B56,C56)</f>
      </c>
      <c r="H56" s="64"/>
      <c r="I56" s="3"/>
      <c r="J56" s="3"/>
      <c r="K56" s="3"/>
      <c r="L56" s="26"/>
      <c r="M56" s="26"/>
    </row>
    <row x14ac:dyDescent="0.25" r="57" customHeight="1" ht="18.75">
      <c r="A57" s="76" t="s">
        <v>93</v>
      </c>
      <c r="B57" s="77">
        <f>B28</f>
      </c>
      <c r="C57" s="77">
        <f>C28</f>
      </c>
      <c r="D57" s="81">
        <f>D28</f>
      </c>
      <c r="E57" s="77">
        <f>E28</f>
      </c>
      <c r="F57" s="77">
        <f>F28</f>
      </c>
      <c r="G57" s="64">
        <f>AVERAGE(B57,C57)</f>
      </c>
      <c r="H57" s="64"/>
      <c r="I57" s="3"/>
      <c r="J57" s="3"/>
      <c r="K57" s="3"/>
      <c r="L57" s="26"/>
      <c r="M57" s="26"/>
    </row>
    <row x14ac:dyDescent="0.25" r="58" customHeight="1" ht="18.75">
      <c r="A58" s="3"/>
      <c r="B58" s="49"/>
      <c r="C58" s="49"/>
      <c r="D58" s="49"/>
      <c r="E58" s="49"/>
      <c r="F58" s="5"/>
      <c r="G58" s="5"/>
      <c r="H58" s="3"/>
      <c r="I58" s="3"/>
      <c r="J58" s="3"/>
      <c r="K58" s="3"/>
      <c r="L58" s="26"/>
      <c r="M58" s="26"/>
    </row>
    <row x14ac:dyDescent="0.25" r="59" customHeight="1" ht="18.75">
      <c r="A59" s="3" t="s">
        <v>136</v>
      </c>
      <c r="B59" s="49"/>
      <c r="C59" s="49"/>
      <c r="D59" s="49"/>
      <c r="E59" s="49"/>
      <c r="F59" s="5"/>
      <c r="G59" s="5"/>
      <c r="H59" s="3"/>
      <c r="I59" s="3"/>
      <c r="J59" s="3"/>
      <c r="K59" s="3"/>
      <c r="L59" s="26"/>
      <c r="M59" s="26"/>
    </row>
    <row x14ac:dyDescent="0.25" r="60" customHeight="1" ht="18.75">
      <c r="A60" s="1" t="s">
        <v>51</v>
      </c>
      <c r="B60" s="67">
        <v>2019.1</v>
      </c>
      <c r="C60" s="67">
        <v>2020.1</v>
      </c>
      <c r="D60" s="67">
        <v>2021.1</v>
      </c>
      <c r="E60" s="67">
        <v>2022.1</v>
      </c>
      <c r="F60" s="68">
        <v>2023.1</v>
      </c>
      <c r="G60" s="2" t="s">
        <v>137</v>
      </c>
      <c r="H60" s="3"/>
      <c r="I60" s="3"/>
      <c r="J60" s="3"/>
      <c r="K60" s="3"/>
      <c r="L60" s="26"/>
      <c r="M60" s="26"/>
    </row>
    <row x14ac:dyDescent="0.25" r="61" customHeight="1" ht="18.75">
      <c r="A61" s="69" t="s">
        <v>65</v>
      </c>
      <c r="B61" s="70">
        <f>C3</f>
      </c>
      <c r="C61" s="70">
        <f>D3</f>
      </c>
      <c r="D61" s="70">
        <f>E3</f>
      </c>
      <c r="E61" s="70">
        <f>F3</f>
      </c>
      <c r="F61" s="70">
        <f>G3</f>
      </c>
      <c r="G61" s="64">
        <f>AVERAGE(B61,E61)</f>
      </c>
      <c r="H61" s="3"/>
      <c r="I61" s="3"/>
      <c r="J61" s="3"/>
      <c r="K61" s="3"/>
      <c r="L61" s="26"/>
      <c r="M61" s="26"/>
    </row>
    <row x14ac:dyDescent="0.25" r="62" customHeight="1" ht="18.75">
      <c r="A62" s="69" t="s">
        <v>67</v>
      </c>
      <c r="B62" s="70">
        <f>C4</f>
      </c>
      <c r="C62" s="70">
        <f>D4</f>
      </c>
      <c r="D62" s="70">
        <f>E4</f>
      </c>
      <c r="E62" s="70">
        <f>F4</f>
      </c>
      <c r="F62" s="70">
        <f>G4</f>
      </c>
      <c r="G62" s="64">
        <f>AVERAGE(B62,E62)</f>
      </c>
      <c r="H62" s="3"/>
      <c r="I62" s="3"/>
      <c r="J62" s="3"/>
      <c r="K62" s="3"/>
      <c r="L62" s="26"/>
      <c r="M62" s="26"/>
    </row>
    <row x14ac:dyDescent="0.25" r="63" customHeight="1" ht="18.75">
      <c r="A63" s="71" t="s">
        <v>69</v>
      </c>
      <c r="B63" s="72">
        <f>C5</f>
      </c>
      <c r="C63" s="72">
        <f>D5</f>
      </c>
      <c r="D63" s="72">
        <f>E5</f>
      </c>
      <c r="E63" s="72">
        <f>F5</f>
      </c>
      <c r="F63" s="72">
        <f>G5</f>
      </c>
      <c r="G63" s="64">
        <f>AVERAGE(B63,E63)</f>
      </c>
      <c r="H63" s="3"/>
      <c r="I63" s="3"/>
      <c r="J63" s="3"/>
      <c r="K63" s="3"/>
      <c r="L63" s="26"/>
      <c r="M63" s="26"/>
    </row>
    <row x14ac:dyDescent="0.25" r="64" customHeight="1" ht="18.75">
      <c r="A64" s="71" t="s">
        <v>71</v>
      </c>
      <c r="B64" s="72">
        <f>C6</f>
      </c>
      <c r="C64" s="72">
        <f>D6</f>
      </c>
      <c r="D64" s="72">
        <f>E6</f>
      </c>
      <c r="E64" s="72">
        <f>F6</f>
      </c>
      <c r="F64" s="72">
        <f>G6</f>
      </c>
      <c r="G64" s="64">
        <f>AVERAGE(B64,E64)</f>
      </c>
      <c r="H64" s="3"/>
      <c r="I64" s="3"/>
      <c r="J64" s="3"/>
      <c r="K64" s="3"/>
      <c r="L64" s="26"/>
      <c r="M64" s="26"/>
    </row>
    <row x14ac:dyDescent="0.25" r="65" customHeight="1" ht="18.75">
      <c r="A65" s="71" t="s">
        <v>73</v>
      </c>
      <c r="B65" s="72">
        <f>C7</f>
      </c>
      <c r="C65" s="72">
        <f>D7</f>
      </c>
      <c r="D65" s="72">
        <f>E7</f>
      </c>
      <c r="E65" s="72">
        <f>F7</f>
      </c>
      <c r="F65" s="72">
        <f>G7</f>
      </c>
      <c r="G65" s="64">
        <f>AVERAGE(B65,E65)</f>
      </c>
      <c r="H65" s="3"/>
      <c r="I65" s="3"/>
      <c r="J65" s="3"/>
      <c r="K65" s="3"/>
      <c r="L65" s="26"/>
      <c r="M65" s="26"/>
    </row>
    <row x14ac:dyDescent="0.25" r="66" customHeight="1" ht="18.75">
      <c r="A66" s="71" t="s">
        <v>75</v>
      </c>
      <c r="B66" s="72">
        <f>C8</f>
      </c>
      <c r="C66" s="72">
        <f>D8</f>
      </c>
      <c r="D66" s="72">
        <f>E8</f>
      </c>
      <c r="E66" s="72">
        <f>F8</f>
      </c>
      <c r="F66" s="72">
        <f>G8</f>
      </c>
      <c r="G66" s="64">
        <f>AVERAGE(B66,E66)</f>
      </c>
      <c r="H66" s="3"/>
      <c r="I66" s="3"/>
      <c r="J66" s="3"/>
      <c r="K66" s="3"/>
      <c r="L66" s="26"/>
      <c r="M66" s="26"/>
    </row>
    <row x14ac:dyDescent="0.25" r="67" customHeight="1" ht="18.75">
      <c r="A67" s="71" t="s">
        <v>77</v>
      </c>
      <c r="B67" s="72">
        <f>C9</f>
      </c>
      <c r="C67" s="72">
        <f>D9</f>
      </c>
      <c r="D67" s="72">
        <f>E9</f>
      </c>
      <c r="E67" s="72">
        <f>F9</f>
      </c>
      <c r="F67" s="72">
        <f>G9</f>
      </c>
      <c r="G67" s="64">
        <f>AVERAGE(B67,E67)</f>
      </c>
      <c r="H67" s="3"/>
      <c r="I67" s="3"/>
      <c r="J67" s="3"/>
      <c r="K67" s="3"/>
      <c r="L67" s="26"/>
      <c r="M67" s="26"/>
    </row>
    <row x14ac:dyDescent="0.25" r="68" customHeight="1" ht="18.75">
      <c r="A68" s="74" t="s">
        <v>79</v>
      </c>
      <c r="B68" s="75">
        <f>C10*C$91</f>
      </c>
      <c r="C68" s="75">
        <f>D10*D$91</f>
      </c>
      <c r="D68" s="75">
        <f>E10*E$91</f>
      </c>
      <c r="E68" s="75">
        <f>F10*F$91</f>
      </c>
      <c r="F68" s="75">
        <f>G10*G$91</f>
      </c>
      <c r="G68" s="64">
        <f>AVERAGE(B68,E68)</f>
      </c>
      <c r="H68" s="3"/>
      <c r="I68" s="3"/>
      <c r="J68" s="3"/>
      <c r="K68" s="3"/>
      <c r="L68" s="26"/>
      <c r="M68" s="26"/>
    </row>
    <row x14ac:dyDescent="0.25" r="69" customHeight="1" ht="18.75">
      <c r="A69" s="74" t="s">
        <v>81</v>
      </c>
      <c r="B69" s="75">
        <f>C11*C$91</f>
      </c>
      <c r="C69" s="75">
        <f>D11*D$91</f>
      </c>
      <c r="D69" s="75">
        <f>E11*E$91</f>
      </c>
      <c r="E69" s="75">
        <f>F11*F$91</f>
      </c>
      <c r="F69" s="75">
        <f>G11*G$91</f>
      </c>
      <c r="G69" s="64">
        <f>AVERAGE(B69,E69)</f>
      </c>
      <c r="H69" s="3"/>
      <c r="I69" s="3"/>
      <c r="J69" s="3"/>
      <c r="K69" s="3"/>
      <c r="L69" s="26"/>
      <c r="M69" s="26"/>
    </row>
    <row x14ac:dyDescent="0.25" r="70" customHeight="1" ht="18.75">
      <c r="A70" s="74" t="s">
        <v>83</v>
      </c>
      <c r="B70" s="75">
        <f>C12*C$91</f>
      </c>
      <c r="C70" s="75">
        <f>D12*D$91</f>
      </c>
      <c r="D70" s="75">
        <f>E12*E$91</f>
      </c>
      <c r="E70" s="75">
        <f>F12*F$91</f>
      </c>
      <c r="F70" s="75">
        <f>G12*G$91</f>
      </c>
      <c r="G70" s="64">
        <f>AVERAGE(B70,E70)</f>
      </c>
      <c r="H70" s="3"/>
      <c r="I70" s="3"/>
      <c r="J70" s="3"/>
      <c r="K70" s="3"/>
      <c r="L70" s="26"/>
      <c r="M70" s="26"/>
    </row>
    <row x14ac:dyDescent="0.25" r="71" customHeight="1" ht="18.75">
      <c r="A71" s="76" t="s">
        <v>91</v>
      </c>
      <c r="B71" s="77">
        <f>C13</f>
      </c>
      <c r="C71" s="77">
        <f>D13</f>
      </c>
      <c r="D71" s="77">
        <f>E13</f>
      </c>
      <c r="E71" s="77">
        <f>F13</f>
      </c>
      <c r="F71" s="77">
        <f>G13</f>
      </c>
      <c r="G71" s="64">
        <f>AVERAGE(B71,E71)</f>
      </c>
      <c r="H71" s="3"/>
      <c r="I71" s="3"/>
      <c r="J71" s="3"/>
      <c r="K71" s="3"/>
      <c r="L71" s="26"/>
      <c r="M71" s="26"/>
    </row>
    <row x14ac:dyDescent="0.25" r="72" customHeight="1" ht="18.75">
      <c r="A72" s="76" t="s">
        <v>93</v>
      </c>
      <c r="B72" s="77">
        <f>C14</f>
      </c>
      <c r="C72" s="77">
        <f>D14</f>
      </c>
      <c r="D72" s="77">
        <f>E14</f>
      </c>
      <c r="E72" s="77">
        <f>F14</f>
      </c>
      <c r="F72" s="77">
        <f>G14</f>
      </c>
      <c r="G72" s="64">
        <f>AVERAGE(B72,E72)</f>
      </c>
      <c r="H72" s="3"/>
      <c r="I72" s="3"/>
      <c r="J72" s="3"/>
      <c r="K72" s="3"/>
      <c r="L72" s="26"/>
      <c r="M72" s="26"/>
    </row>
    <row x14ac:dyDescent="0.25" r="73" customHeight="1" ht="18.75">
      <c r="A73" s="3"/>
      <c r="B73" s="49"/>
      <c r="C73" s="49"/>
      <c r="D73" s="49"/>
      <c r="E73" s="49"/>
      <c r="F73" s="5"/>
      <c r="G73" s="5"/>
      <c r="H73" s="3"/>
      <c r="I73" s="3"/>
      <c r="J73" s="3"/>
      <c r="K73" s="3"/>
      <c r="L73" s="26"/>
      <c r="M73" s="26"/>
    </row>
    <row x14ac:dyDescent="0.25" r="74" customHeight="1" ht="18.75">
      <c r="A74" s="1" t="s">
        <v>51</v>
      </c>
      <c r="B74" s="67">
        <v>2019.2</v>
      </c>
      <c r="C74" s="67">
        <v>2020.2</v>
      </c>
      <c r="D74" s="67">
        <v>2021.2</v>
      </c>
      <c r="E74" s="67">
        <v>2022.2</v>
      </c>
      <c r="F74" s="68">
        <v>2023.2</v>
      </c>
      <c r="G74" s="2" t="s">
        <v>138</v>
      </c>
      <c r="H74" s="3"/>
      <c r="I74" s="3"/>
      <c r="J74" s="3"/>
      <c r="K74" s="3"/>
      <c r="L74" s="26"/>
      <c r="M74" s="26"/>
    </row>
    <row x14ac:dyDescent="0.25" r="75" customHeight="1" ht="18.75">
      <c r="A75" s="69" t="s">
        <v>65</v>
      </c>
      <c r="B75" s="70">
        <f>C17</f>
      </c>
      <c r="C75" s="70">
        <f>D17</f>
      </c>
      <c r="D75" s="70">
        <f>E17</f>
      </c>
      <c r="E75" s="70">
        <f>F17</f>
      </c>
      <c r="F75" s="70">
        <f>G17</f>
      </c>
      <c r="G75" s="64">
        <f>AVERAGE(E75,B75)</f>
      </c>
      <c r="H75" s="3"/>
      <c r="I75" s="3"/>
      <c r="J75" s="3"/>
      <c r="K75" s="3"/>
      <c r="L75" s="26"/>
      <c r="M75" s="26"/>
    </row>
    <row x14ac:dyDescent="0.25" r="76" customHeight="1" ht="18.75">
      <c r="A76" s="69" t="s">
        <v>67</v>
      </c>
      <c r="B76" s="70">
        <f>C18</f>
      </c>
      <c r="C76" s="70">
        <f>D18</f>
      </c>
      <c r="D76" s="70">
        <f>E18</f>
      </c>
      <c r="E76" s="70">
        <f>F18</f>
      </c>
      <c r="F76" s="70">
        <f>G18</f>
      </c>
      <c r="G76" s="64">
        <f>AVERAGE(E76,B76)</f>
      </c>
      <c r="H76" s="3"/>
      <c r="I76" s="3"/>
      <c r="J76" s="3"/>
      <c r="K76" s="3"/>
      <c r="L76" s="26"/>
      <c r="M76" s="26"/>
    </row>
    <row x14ac:dyDescent="0.25" r="77" customHeight="1" ht="18.75">
      <c r="A77" s="71" t="s">
        <v>69</v>
      </c>
      <c r="B77" s="72">
        <f>C19</f>
      </c>
      <c r="C77" s="72">
        <f>D19</f>
      </c>
      <c r="D77" s="72">
        <f>E19</f>
      </c>
      <c r="E77" s="72">
        <f>F19</f>
      </c>
      <c r="F77" s="72">
        <f>G19</f>
      </c>
      <c r="G77" s="64">
        <f>AVERAGE(E77,B77)</f>
      </c>
      <c r="H77" s="3"/>
      <c r="I77" s="3"/>
      <c r="J77" s="3"/>
      <c r="K77" s="3"/>
      <c r="L77" s="26"/>
      <c r="M77" s="26"/>
    </row>
    <row x14ac:dyDescent="0.25" r="78" customHeight="1" ht="18.75">
      <c r="A78" s="71" t="s">
        <v>71</v>
      </c>
      <c r="B78" s="72">
        <f>C20</f>
      </c>
      <c r="C78" s="72">
        <f>D20</f>
      </c>
      <c r="D78" s="72">
        <f>E20</f>
      </c>
      <c r="E78" s="72">
        <f>F20</f>
      </c>
      <c r="F78" s="72">
        <f>G20</f>
      </c>
      <c r="G78" s="64">
        <f>AVERAGE(E78,B78)</f>
      </c>
      <c r="H78" s="3"/>
      <c r="I78" s="3"/>
      <c r="J78" s="3"/>
      <c r="K78" s="3"/>
      <c r="L78" s="26"/>
      <c r="M78" s="26"/>
    </row>
    <row x14ac:dyDescent="0.25" r="79" customHeight="1" ht="18.75">
      <c r="A79" s="71" t="s">
        <v>73</v>
      </c>
      <c r="B79" s="72">
        <f>C21</f>
      </c>
      <c r="C79" s="72">
        <f>D21</f>
      </c>
      <c r="D79" s="72">
        <f>E21</f>
      </c>
      <c r="E79" s="72">
        <f>F21</f>
      </c>
      <c r="F79" s="72">
        <f>G21</f>
      </c>
      <c r="G79" s="64">
        <f>AVERAGE(E79,B79)</f>
      </c>
      <c r="H79" s="3"/>
      <c r="I79" s="3"/>
      <c r="J79" s="3"/>
      <c r="K79" s="3"/>
      <c r="L79" s="26"/>
      <c r="M79" s="26"/>
    </row>
    <row x14ac:dyDescent="0.25" r="80" customHeight="1" ht="18.75">
      <c r="A80" s="71" t="s">
        <v>75</v>
      </c>
      <c r="B80" s="72">
        <f>C22</f>
      </c>
      <c r="C80" s="72">
        <f>D22</f>
      </c>
      <c r="D80" s="72">
        <f>E22</f>
      </c>
      <c r="E80" s="72">
        <f>F22</f>
      </c>
      <c r="F80" s="72">
        <f>G22</f>
      </c>
      <c r="G80" s="64">
        <f>AVERAGE(E80,B80)</f>
      </c>
      <c r="H80" s="3"/>
      <c r="I80" s="3"/>
      <c r="J80" s="3"/>
      <c r="K80" s="3"/>
      <c r="L80" s="26"/>
      <c r="M80" s="26"/>
    </row>
    <row x14ac:dyDescent="0.25" r="81" customHeight="1" ht="18.75">
      <c r="A81" s="71" t="s">
        <v>77</v>
      </c>
      <c r="B81" s="72">
        <f>C23</f>
      </c>
      <c r="C81" s="72">
        <f>D23</f>
      </c>
      <c r="D81" s="72">
        <f>E23</f>
      </c>
      <c r="E81" s="72">
        <f>F23</f>
      </c>
      <c r="F81" s="72">
        <f>G23</f>
      </c>
      <c r="G81" s="64">
        <f>AVERAGE(E81,B81)</f>
      </c>
      <c r="H81" s="3"/>
      <c r="I81" s="3"/>
      <c r="J81" s="3"/>
      <c r="K81" s="3"/>
      <c r="L81" s="26"/>
      <c r="M81" s="26"/>
    </row>
    <row x14ac:dyDescent="0.25" r="82" customHeight="1" ht="18.75">
      <c r="A82" s="74" t="s">
        <v>79</v>
      </c>
      <c r="B82" s="75">
        <f>C24*C$91</f>
      </c>
      <c r="C82" s="75">
        <f>D24*D$91</f>
      </c>
      <c r="D82" s="75">
        <f>E24*E$91</f>
      </c>
      <c r="E82" s="75">
        <f>F24*F$91</f>
      </c>
      <c r="F82" s="75">
        <f>G24*G$91</f>
      </c>
      <c r="G82" s="64">
        <f>AVERAGE(E82,B82)</f>
      </c>
      <c r="H82" s="3"/>
      <c r="I82" s="3"/>
      <c r="J82" s="3"/>
      <c r="K82" s="3"/>
      <c r="L82" s="26"/>
      <c r="M82" s="26"/>
    </row>
    <row x14ac:dyDescent="0.25" r="83" customHeight="1" ht="18.75">
      <c r="A83" s="74" t="s">
        <v>81</v>
      </c>
      <c r="B83" s="75">
        <f>C25*C$91</f>
      </c>
      <c r="C83" s="75">
        <f>D25*D$91</f>
      </c>
      <c r="D83" s="75">
        <f>E25*E$91</f>
      </c>
      <c r="E83" s="75">
        <f>F25*F$91</f>
      </c>
      <c r="F83" s="75">
        <f>G25*G$91</f>
      </c>
      <c r="G83" s="64">
        <f>AVERAGE(E83,B83)</f>
      </c>
      <c r="H83" s="3"/>
      <c r="I83" s="3"/>
      <c r="J83" s="3"/>
      <c r="K83" s="3"/>
      <c r="L83" s="26"/>
      <c r="M83" s="26"/>
    </row>
    <row x14ac:dyDescent="0.25" r="84" customHeight="1" ht="18.75">
      <c r="A84" s="74" t="s">
        <v>83</v>
      </c>
      <c r="B84" s="75">
        <f>C26*C$91</f>
      </c>
      <c r="C84" s="75">
        <f>D26*D$91</f>
      </c>
      <c r="D84" s="75">
        <f>E26*E$91</f>
      </c>
      <c r="E84" s="75">
        <f>F26*F$91</f>
      </c>
      <c r="F84" s="75">
        <f>G26*G$91</f>
      </c>
      <c r="G84" s="64">
        <f>AVERAGE(E84,B84)</f>
      </c>
      <c r="H84" s="3"/>
      <c r="I84" s="3"/>
      <c r="J84" s="3"/>
      <c r="K84" s="3"/>
      <c r="L84" s="26"/>
      <c r="M84" s="26"/>
    </row>
    <row x14ac:dyDescent="0.25" r="85" customHeight="1" ht="18.75">
      <c r="A85" s="76" t="s">
        <v>91</v>
      </c>
      <c r="B85" s="77">
        <f>C27</f>
      </c>
      <c r="C85" s="77">
        <f>D27</f>
      </c>
      <c r="D85" s="77">
        <f>E27</f>
      </c>
      <c r="E85" s="77">
        <f>F27</f>
      </c>
      <c r="F85" s="77">
        <f>G27</f>
      </c>
      <c r="G85" s="64">
        <f>AVERAGE(E85,B85)</f>
      </c>
      <c r="H85" s="3"/>
      <c r="I85" s="3"/>
      <c r="J85" s="3"/>
      <c r="K85" s="3"/>
      <c r="L85" s="26"/>
      <c r="M85" s="26"/>
    </row>
    <row x14ac:dyDescent="0.25" r="86" customHeight="1" ht="18.75">
      <c r="A86" s="76" t="s">
        <v>93</v>
      </c>
      <c r="B86" s="77">
        <f>C28</f>
      </c>
      <c r="C86" s="77">
        <f>D28</f>
      </c>
      <c r="D86" s="77">
        <f>E28</f>
      </c>
      <c r="E86" s="77">
        <f>F28</f>
      </c>
      <c r="F86" s="77">
        <f>G28</f>
      </c>
      <c r="G86" s="64">
        <f>AVERAGE(E86,B86)</f>
      </c>
      <c r="H86" s="3"/>
      <c r="I86" s="3"/>
      <c r="J86" s="3"/>
      <c r="K86" s="3"/>
      <c r="L86" s="26"/>
      <c r="M86" s="26"/>
    </row>
    <row x14ac:dyDescent="0.25" r="87" customHeight="1" ht="18.75">
      <c r="A87" s="3"/>
      <c r="B87" s="49"/>
      <c r="C87" s="49"/>
      <c r="D87" s="49"/>
      <c r="E87" s="49"/>
      <c r="F87" s="5"/>
      <c r="G87" s="5"/>
      <c r="H87" s="3"/>
      <c r="I87" s="3"/>
      <c r="J87" s="3"/>
      <c r="K87" s="3"/>
      <c r="L87" s="26"/>
      <c r="M87" s="26"/>
    </row>
    <row x14ac:dyDescent="0.25" r="88" customHeight="1" ht="18.75">
      <c r="A88" s="3"/>
      <c r="B88" s="7">
        <v>2018</v>
      </c>
      <c r="C88" s="7">
        <v>2019</v>
      </c>
      <c r="D88" s="7">
        <v>2020</v>
      </c>
      <c r="E88" s="7">
        <v>2021</v>
      </c>
      <c r="F88" s="7">
        <v>2022</v>
      </c>
      <c r="G88" s="7">
        <v>2023</v>
      </c>
      <c r="H88" s="3"/>
      <c r="I88" s="3"/>
      <c r="J88" s="3"/>
      <c r="K88" s="3"/>
      <c r="L88" s="26"/>
      <c r="M88" s="26"/>
    </row>
    <row x14ac:dyDescent="0.25" r="89" customHeight="1" ht="18.75">
      <c r="A89" s="3" t="s">
        <v>139</v>
      </c>
      <c r="B89" s="73">
        <v>0.0375</v>
      </c>
      <c r="C89" s="73">
        <v>0.0431</v>
      </c>
      <c r="D89" s="73">
        <v>0.0452</v>
      </c>
      <c r="E89" s="73">
        <v>0.1006</v>
      </c>
      <c r="F89" s="73">
        <v>0.0579</v>
      </c>
      <c r="G89" s="73">
        <v>0.0462</v>
      </c>
      <c r="H89" s="3"/>
      <c r="I89" s="3"/>
      <c r="J89" s="3"/>
      <c r="K89" s="3"/>
      <c r="L89" s="26"/>
      <c r="M89" s="26"/>
    </row>
    <row x14ac:dyDescent="0.25" r="90" customHeight="1" ht="18.75">
      <c r="A90" s="3" t="s">
        <v>140</v>
      </c>
      <c r="B90" s="82">
        <f>C90/(1+C$89)</f>
      </c>
      <c r="C90" s="82">
        <f>D90/(1+D$89)</f>
      </c>
      <c r="D90" s="82">
        <f>E90/(1+E$89)</f>
      </c>
      <c r="E90" s="82">
        <f>F90/(1+F$89)</f>
      </c>
      <c r="F90" s="82">
        <f>G90/(1+G$89)</f>
      </c>
      <c r="G90" s="7">
        <v>100</v>
      </c>
      <c r="H90" s="3"/>
      <c r="I90" s="3"/>
      <c r="J90" s="3"/>
      <c r="K90" s="3"/>
      <c r="L90" s="26"/>
      <c r="M90" s="26"/>
    </row>
    <row x14ac:dyDescent="0.25" r="91" customHeight="1" ht="18.75">
      <c r="A91" s="3"/>
      <c r="B91" s="82">
        <f>100/B90</f>
      </c>
      <c r="C91" s="82">
        <f>100/C90</f>
      </c>
      <c r="D91" s="82">
        <f>100/D90</f>
      </c>
      <c r="E91" s="82">
        <f>100/E90</f>
      </c>
      <c r="F91" s="82">
        <f>100/F90</f>
      </c>
      <c r="G91" s="7">
        <f>100/G90</f>
      </c>
      <c r="H91" s="3"/>
      <c r="I91" s="3"/>
      <c r="J91" s="3"/>
      <c r="K91" s="3"/>
      <c r="L91" s="26"/>
      <c r="M91" s="26"/>
    </row>
    <row x14ac:dyDescent="0.25" r="92" customHeight="1" ht="18.75">
      <c r="A92" s="3" t="s">
        <v>141</v>
      </c>
      <c r="B92" s="82">
        <f>C92/(1+C$89)</f>
      </c>
      <c r="C92" s="82">
        <f>D92/(1+D$89)</f>
      </c>
      <c r="D92" s="82">
        <f>E92/(1+E$89)</f>
      </c>
      <c r="E92" s="82">
        <f>F92/(1+F$89)</f>
      </c>
      <c r="F92" s="7">
        <v>100</v>
      </c>
      <c r="G92" s="5"/>
      <c r="H92" s="3"/>
      <c r="I92" s="3"/>
      <c r="J92" s="3"/>
      <c r="K92" s="3"/>
      <c r="L92" s="26"/>
      <c r="M92" s="26"/>
    </row>
    <row x14ac:dyDescent="0.25" r="93" customHeight="1" ht="18.75">
      <c r="A93" s="3"/>
      <c r="B93" s="82">
        <f>100/B92</f>
      </c>
      <c r="C93" s="82">
        <f>100/C92</f>
      </c>
      <c r="D93" s="82">
        <f>100/D92</f>
      </c>
      <c r="E93" s="82">
        <f>100/E92</f>
      </c>
      <c r="F93" s="7">
        <f>100/F92</f>
      </c>
      <c r="G93" s="5"/>
      <c r="H93" s="3"/>
      <c r="I93" s="3"/>
      <c r="J93" s="3"/>
      <c r="K93" s="3"/>
      <c r="L93" s="26"/>
      <c r="M93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51"/>
  <sheetViews>
    <sheetView workbookViewId="0" tabSelected="1"/>
  </sheetViews>
  <sheetFormatPr defaultRowHeight="15" x14ac:dyDescent="0.25"/>
  <cols>
    <col min="1" max="1" style="8" width="46.71928571428572" customWidth="1" bestFit="1"/>
    <col min="2" max="2" style="65" width="9.719285714285713" customWidth="1" bestFit="1"/>
    <col min="3" max="3" style="65" width="19.005" customWidth="1" bestFit="1"/>
    <col min="4" max="4" style="65" width="13.719285714285713" customWidth="1" bestFit="1"/>
    <col min="5" max="5" style="65" width="13.290714285714287" customWidth="1" bestFit="1"/>
    <col min="6" max="6" style="8" width="19.005" customWidth="1" bestFit="1"/>
    <col min="7" max="7" style="8" width="13.719285714285713" customWidth="1" bestFit="1"/>
    <col min="8" max="8" style="8" width="13.290714285714287" customWidth="1" bestFit="1"/>
    <col min="9" max="9" style="8" width="19.005" customWidth="1" bestFit="1"/>
    <col min="10" max="10" style="8" width="13.719285714285713" customWidth="1" bestFit="1"/>
    <col min="11" max="11" style="8" width="13.290714285714287" customWidth="1" bestFit="1"/>
    <col min="12" max="12" style="8" width="19.14785714285714" customWidth="1" bestFit="1"/>
    <col min="13" max="13" style="8" width="13.719285714285713" customWidth="1" bestFit="1"/>
    <col min="14" max="14" style="66" width="13.290714285714287" customWidth="1" bestFit="1"/>
  </cols>
  <sheetData>
    <row x14ac:dyDescent="0.25" r="1" customHeight="1" ht="19.5">
      <c r="A1" s="17" t="s">
        <v>50</v>
      </c>
      <c r="B1" s="34" t="s">
        <v>51</v>
      </c>
      <c r="C1" s="34" t="s">
        <v>52</v>
      </c>
      <c r="D1" s="34" t="s">
        <v>53</v>
      </c>
      <c r="E1" s="34" t="s">
        <v>54</v>
      </c>
      <c r="F1" s="17" t="s">
        <v>55</v>
      </c>
      <c r="G1" s="17" t="s">
        <v>56</v>
      </c>
      <c r="H1" s="17" t="s">
        <v>57</v>
      </c>
      <c r="I1" s="17" t="s">
        <v>58</v>
      </c>
      <c r="J1" s="17" t="s">
        <v>59</v>
      </c>
      <c r="K1" s="17" t="s">
        <v>60</v>
      </c>
      <c r="L1" s="17" t="s">
        <v>61</v>
      </c>
      <c r="M1" s="17" t="s">
        <v>62</v>
      </c>
      <c r="N1" s="35" t="s">
        <v>63</v>
      </c>
    </row>
    <row x14ac:dyDescent="0.25" r="2" customHeight="1" ht="19.5">
      <c r="A2" s="17" t="s">
        <v>64</v>
      </c>
      <c r="B2" s="36" t="s">
        <v>65</v>
      </c>
      <c r="C2" s="19">
        <f>'[5]Agregação Lvl 3-1'!B3</f>
      </c>
      <c r="D2" s="19">
        <f>'[5]Agregação Lvl 3-1'!C3</f>
      </c>
      <c r="E2" s="37">
        <f>'[5]Agregação Lvl 3-1'!E3</f>
      </c>
      <c r="F2" s="19">
        <f>'[11]Agregação Lvl 3-1'!B3</f>
      </c>
      <c r="G2" s="19">
        <f>'[11]Agregação Lvl 3-1'!C3</f>
      </c>
      <c r="H2" s="37">
        <f>'[11]Agregação Lvl 3-1'!E3</f>
      </c>
      <c r="I2" s="19">
        <f>'[6]Agregação Lvl 3-1'!B3</f>
      </c>
      <c r="J2" s="19">
        <f>'[6]Agregação Lvl 3-1'!C3</f>
      </c>
      <c r="K2" s="37">
        <f>'[6]Agregação Lvl 3-1'!E3</f>
      </c>
      <c r="L2" s="19">
        <f>'[12]Agregação Lvl 3-1'!B3</f>
      </c>
      <c r="M2" s="19">
        <f>'[12]Agregação Lvl 3-1'!C3</f>
      </c>
      <c r="N2" s="37">
        <f>'[12]Agregação Lvl 3-1'!E3</f>
      </c>
    </row>
    <row x14ac:dyDescent="0.25" r="3" customHeight="1" ht="19.5">
      <c r="A3" s="17" t="s">
        <v>66</v>
      </c>
      <c r="B3" s="36" t="s">
        <v>67</v>
      </c>
      <c r="C3" s="19">
        <f>'[5]Agregação Lvl 3-1'!B4</f>
      </c>
      <c r="D3" s="19">
        <f>'[5]Agregação Lvl 3-1'!C4</f>
      </c>
      <c r="E3" s="37">
        <f>'[5]Agregação Lvl 3-1'!E4</f>
      </c>
      <c r="F3" s="19">
        <f>'[11]Agregação Lvl 3-1'!B4</f>
      </c>
      <c r="G3" s="19">
        <f>'[11]Agregação Lvl 3-1'!C4</f>
      </c>
      <c r="H3" s="37">
        <f>'[11]Agregação Lvl 3-1'!E4</f>
      </c>
      <c r="I3" s="19">
        <f>'[6]Agregação Lvl 3-1'!B4</f>
      </c>
      <c r="J3" s="19">
        <f>'[6]Agregação Lvl 3-1'!C4</f>
      </c>
      <c r="K3" s="37">
        <f>'[6]Agregação Lvl 3-1'!E4</f>
      </c>
      <c r="L3" s="19">
        <f>'[12]Agregação Lvl 3-1'!B4</f>
      </c>
      <c r="M3" s="19">
        <f>'[12]Agregação Lvl 3-1'!C4</f>
      </c>
      <c r="N3" s="37">
        <f>'[12]Agregação Lvl 3-1'!E4</f>
      </c>
    </row>
    <row x14ac:dyDescent="0.25" r="4" customHeight="1" ht="19.5">
      <c r="A4" s="17" t="s">
        <v>68</v>
      </c>
      <c r="B4" s="38" t="s">
        <v>69</v>
      </c>
      <c r="C4" s="19">
        <f>'[5]Agregação Lvl 3-1'!B5</f>
      </c>
      <c r="D4" s="19">
        <f>'[5]Agregação Lvl 3-1'!C5</f>
      </c>
      <c r="E4" s="37">
        <f>'[5]Agregação Lvl 3-1'!E5</f>
      </c>
      <c r="F4" s="19">
        <f>'[11]Agregação Lvl 3-1'!B5</f>
      </c>
      <c r="G4" s="19">
        <f>'[11]Agregação Lvl 3-1'!C5</f>
      </c>
      <c r="H4" s="37">
        <f>'[11]Agregação Lvl 3-1'!E5</f>
      </c>
      <c r="I4" s="19">
        <f>'[6]Agregação Lvl 3-1'!B5</f>
      </c>
      <c r="J4" s="19">
        <f>'[6]Agregação Lvl 3-1'!C5</f>
      </c>
      <c r="K4" s="37">
        <f>'[6]Agregação Lvl 3-1'!E5</f>
      </c>
      <c r="L4" s="19">
        <f>'[12]Agregação Lvl 3-1'!B5</f>
      </c>
      <c r="M4" s="19">
        <f>'[12]Agregação Lvl 3-1'!C5</f>
      </c>
      <c r="N4" s="37">
        <f>'[12]Agregação Lvl 3-1'!E5</f>
      </c>
    </row>
    <row x14ac:dyDescent="0.25" r="5" customHeight="1" ht="19.5">
      <c r="A5" s="17" t="s">
        <v>70</v>
      </c>
      <c r="B5" s="38" t="s">
        <v>71</v>
      </c>
      <c r="C5" s="19">
        <f>'[5]Agregação Lvl 3-1'!B6</f>
      </c>
      <c r="D5" s="19">
        <f>'[5]Agregação Lvl 3-1'!C6</f>
      </c>
      <c r="E5" s="37">
        <f>'[5]Agregação Lvl 3-1'!E6</f>
      </c>
      <c r="F5" s="19">
        <f>'[11]Agregação Lvl 3-1'!B6</f>
      </c>
      <c r="G5" s="19">
        <f>'[11]Agregação Lvl 3-1'!C6</f>
      </c>
      <c r="H5" s="37">
        <f>'[11]Agregação Lvl 3-1'!E6</f>
      </c>
      <c r="I5" s="19">
        <f>'[6]Agregação Lvl 3-1'!B6</f>
      </c>
      <c r="J5" s="19">
        <f>'[6]Agregação Lvl 3-1'!C6</f>
      </c>
      <c r="K5" s="37">
        <f>'[6]Agregação Lvl 3-1'!E6</f>
      </c>
      <c r="L5" s="19">
        <f>'[12]Agregação Lvl 3-1'!B6</f>
      </c>
      <c r="M5" s="19">
        <f>'[12]Agregação Lvl 3-1'!C6</f>
      </c>
      <c r="N5" s="37">
        <f>'[12]Agregação Lvl 3-1'!E6</f>
      </c>
    </row>
    <row x14ac:dyDescent="0.25" r="6" customHeight="1" ht="19.5">
      <c r="A6" s="17" t="s">
        <v>72</v>
      </c>
      <c r="B6" s="38" t="s">
        <v>73</v>
      </c>
      <c r="C6" s="19">
        <f>'[5]Agregação Lvl 3-1'!B7</f>
      </c>
      <c r="D6" s="19">
        <f>'[5]Agregação Lvl 3-1'!C7</f>
      </c>
      <c r="E6" s="37">
        <f>'[5]Agregação Lvl 3-1'!E7</f>
      </c>
      <c r="F6" s="19">
        <f>'[11]Agregação Lvl 3-1'!B7</f>
      </c>
      <c r="G6" s="19">
        <f>'[11]Agregação Lvl 3-1'!C7</f>
      </c>
      <c r="H6" s="37">
        <f>'[11]Agregação Lvl 3-1'!E7</f>
      </c>
      <c r="I6" s="19">
        <f>'[6]Agregação Lvl 3-1'!B7</f>
      </c>
      <c r="J6" s="19">
        <f>'[6]Agregação Lvl 3-1'!C7</f>
      </c>
      <c r="K6" s="37">
        <f>'[6]Agregação Lvl 3-1'!E7</f>
      </c>
      <c r="L6" s="19">
        <f>'[12]Agregação Lvl 3-1'!B7</f>
      </c>
      <c r="M6" s="19">
        <f>'[12]Agregação Lvl 3-1'!C7</f>
      </c>
      <c r="N6" s="37">
        <f>'[12]Agregação Lvl 3-1'!E7</f>
      </c>
    </row>
    <row x14ac:dyDescent="0.25" r="7" customHeight="1" ht="19.5">
      <c r="A7" s="17" t="s">
        <v>74</v>
      </c>
      <c r="B7" s="38" t="s">
        <v>75</v>
      </c>
      <c r="C7" s="19">
        <f>'[5]Agregação Lvl 3-1'!B8</f>
      </c>
      <c r="D7" s="19">
        <f>'[5]Agregação Lvl 3-1'!C8</f>
      </c>
      <c r="E7" s="37">
        <f>'[5]Agregação Lvl 3-1'!E8</f>
      </c>
      <c r="F7" s="19">
        <f>'[11]Agregação Lvl 3-1'!B8</f>
      </c>
      <c r="G7" s="19">
        <f>'[11]Agregação Lvl 3-1'!C8</f>
      </c>
      <c r="H7" s="37">
        <f>'[11]Agregação Lvl 3-1'!E8</f>
      </c>
      <c r="I7" s="19">
        <f>'[6]Agregação Lvl 3-1'!B8</f>
      </c>
      <c r="J7" s="19">
        <f>'[6]Agregação Lvl 3-1'!C8</f>
      </c>
      <c r="K7" s="37">
        <f>'[6]Agregação Lvl 3-1'!E8</f>
      </c>
      <c r="L7" s="19">
        <f>'[12]Agregação Lvl 3-1'!B8</f>
      </c>
      <c r="M7" s="19">
        <f>'[12]Agregação Lvl 3-1'!C8</f>
      </c>
      <c r="N7" s="37">
        <f>'[12]Agregação Lvl 3-1'!E8</f>
      </c>
    </row>
    <row x14ac:dyDescent="0.25" r="8" customHeight="1" ht="19.5">
      <c r="A8" s="17" t="s">
        <v>76</v>
      </c>
      <c r="B8" s="38" t="s">
        <v>77</v>
      </c>
      <c r="C8" s="19">
        <f>'[5]Agregação Lvl 3-1'!B9</f>
      </c>
      <c r="D8" s="19">
        <f>'[5]Agregação Lvl 3-1'!C9</f>
      </c>
      <c r="E8" s="37">
        <f>'[5]Agregação Lvl 3-1'!E9</f>
      </c>
      <c r="F8" s="19">
        <f>'[11]Agregação Lvl 3-1'!B9</f>
      </c>
      <c r="G8" s="19">
        <f>'[11]Agregação Lvl 3-1'!C9</f>
      </c>
      <c r="H8" s="37">
        <f>'[11]Agregação Lvl 3-1'!E9</f>
      </c>
      <c r="I8" s="19">
        <f>'[6]Agregação Lvl 3-1'!B9</f>
      </c>
      <c r="J8" s="19">
        <f>'[6]Agregação Lvl 3-1'!C9</f>
      </c>
      <c r="K8" s="37">
        <f>'[6]Agregação Lvl 3-1'!E9</f>
      </c>
      <c r="L8" s="19">
        <f>'[12]Agregação Lvl 3-1'!B9</f>
      </c>
      <c r="M8" s="19">
        <f>'[12]Agregação Lvl 3-1'!C9</f>
      </c>
      <c r="N8" s="37">
        <f>'[12]Agregação Lvl 3-1'!E9</f>
      </c>
    </row>
    <row x14ac:dyDescent="0.25" r="9" customHeight="1" ht="19.5">
      <c r="A9" s="17" t="s">
        <v>78</v>
      </c>
      <c r="B9" s="39" t="s">
        <v>79</v>
      </c>
      <c r="C9" s="19">
        <f>'[5]Agregação Lvl 3-1'!B10</f>
      </c>
      <c r="D9" s="19">
        <f>'[5]Agregação Lvl 3-1'!C10</f>
      </c>
      <c r="E9" s="37">
        <f>'[5]Agregação Lvl 3-1'!E10</f>
      </c>
      <c r="F9" s="19">
        <f>'[11]Agregação Lvl 3-1'!B10</f>
      </c>
      <c r="G9" s="19">
        <f>'[11]Agregação Lvl 3-1'!C10</f>
      </c>
      <c r="H9" s="37">
        <f>'[11]Agregação Lvl 3-1'!E10</f>
      </c>
      <c r="I9" s="19">
        <f>'[6]Agregação Lvl 3-1'!B10</f>
      </c>
      <c r="J9" s="19">
        <f>'[6]Agregação Lvl 3-1'!C10</f>
      </c>
      <c r="K9" s="37">
        <f>'[6]Agregação Lvl 3-1'!E10</f>
      </c>
      <c r="L9" s="19">
        <f>'[12]Agregação Lvl 3-1'!B10</f>
      </c>
      <c r="M9" s="19">
        <f>'[12]Agregação Lvl 3-1'!C10</f>
      </c>
      <c r="N9" s="37">
        <f>'[12]Agregação Lvl 3-1'!E10</f>
      </c>
    </row>
    <row x14ac:dyDescent="0.25" r="10" customHeight="1" ht="19.5">
      <c r="A10" s="17" t="s">
        <v>80</v>
      </c>
      <c r="B10" s="39" t="s">
        <v>81</v>
      </c>
      <c r="C10" s="19">
        <f>'[5]Agregação Lvl 3-1'!B11</f>
      </c>
      <c r="D10" s="19">
        <f>'[5]Agregação Lvl 3-1'!C11</f>
      </c>
      <c r="E10" s="37">
        <f>'[5]Agregação Lvl 3-1'!E11</f>
      </c>
      <c r="F10" s="19">
        <f>'[11]Agregação Lvl 3-1'!B11</f>
      </c>
      <c r="G10" s="19">
        <f>'[11]Agregação Lvl 3-1'!C11</f>
      </c>
      <c r="H10" s="37">
        <f>'[11]Agregação Lvl 3-1'!E11</f>
      </c>
      <c r="I10" s="19">
        <f>'[6]Agregação Lvl 3-1'!B11</f>
      </c>
      <c r="J10" s="19">
        <f>'[6]Agregação Lvl 3-1'!C11</f>
      </c>
      <c r="K10" s="37">
        <f>'[6]Agregação Lvl 3-1'!E11</f>
      </c>
      <c r="L10" s="19">
        <f>'[12]Agregação Lvl 3-1'!B11</f>
      </c>
      <c r="M10" s="19">
        <f>'[12]Agregação Lvl 3-1'!C11</f>
      </c>
      <c r="N10" s="37">
        <f>'[12]Agregação Lvl 3-1'!E11</f>
      </c>
    </row>
    <row x14ac:dyDescent="0.25" r="11" customHeight="1" ht="19.5">
      <c r="A11" s="17" t="s">
        <v>82</v>
      </c>
      <c r="B11" s="39" t="s">
        <v>83</v>
      </c>
      <c r="C11" s="19">
        <f>'[5]Agregação Lvl 3-1'!B12</f>
      </c>
      <c r="D11" s="19">
        <f>'[5]Agregação Lvl 3-1'!C12</f>
      </c>
      <c r="E11" s="37">
        <f>'[5]Agregação Lvl 3-1'!E12</f>
      </c>
      <c r="F11" s="19">
        <f>'[11]Agregação Lvl 3-1'!B12</f>
      </c>
      <c r="G11" s="19">
        <f>'[11]Agregação Lvl 3-1'!C12</f>
      </c>
      <c r="H11" s="37">
        <f>'[11]Agregação Lvl 3-1'!E12</f>
      </c>
      <c r="I11" s="19">
        <f>'[6]Agregação Lvl 3-1'!B12</f>
      </c>
      <c r="J11" s="19">
        <f>'[6]Agregação Lvl 3-1'!C12</f>
      </c>
      <c r="K11" s="37">
        <f>'[6]Agregação Lvl 3-1'!E12</f>
      </c>
      <c r="L11" s="19">
        <f>'[12]Agregação Lvl 3-1'!B12</f>
      </c>
      <c r="M11" s="19">
        <f>'[12]Agregação Lvl 3-1'!C12</f>
      </c>
      <c r="N11" s="37">
        <f>'[12]Agregação Lvl 3-1'!E12</f>
      </c>
    </row>
    <row x14ac:dyDescent="0.25" r="12" customHeight="1" ht="19.5">
      <c r="A12" s="17" t="s">
        <v>84</v>
      </c>
      <c r="B12" s="40" t="s">
        <v>85</v>
      </c>
      <c r="C12" s="19"/>
      <c r="D12" s="19"/>
      <c r="E12" s="37">
        <f>'[5]Agregação Lvl 3-1'!E17</f>
      </c>
      <c r="F12" s="19"/>
      <c r="G12" s="19"/>
      <c r="H12" s="37">
        <f>'[11]Agregação Lvl 3-1'!E17</f>
      </c>
      <c r="I12" s="19"/>
      <c r="J12" s="19"/>
      <c r="K12" s="37">
        <f>'[6]Agregação Lvl 3-1'!E17</f>
      </c>
      <c r="L12" s="19"/>
      <c r="M12" s="19"/>
      <c r="N12" s="37">
        <v>1</v>
      </c>
    </row>
    <row x14ac:dyDescent="0.25" r="13" customHeight="1" ht="19.5">
      <c r="A13" s="17" t="s">
        <v>86</v>
      </c>
      <c r="B13" s="40" t="s">
        <v>87</v>
      </c>
      <c r="C13" s="19"/>
      <c r="D13" s="19"/>
      <c r="E13" s="37">
        <f>'[5]Agregação Lvl 3-1'!E18</f>
      </c>
      <c r="F13" s="19"/>
      <c r="G13" s="19"/>
      <c r="H13" s="37">
        <f>'[11]Agregação Lvl 3-1'!E18</f>
      </c>
      <c r="I13" s="19"/>
      <c r="J13" s="19"/>
      <c r="K13" s="37">
        <f>'[6]Agregação Lvl 3-1'!E18</f>
      </c>
      <c r="L13" s="19"/>
      <c r="M13" s="19"/>
      <c r="N13" s="37">
        <v>0</v>
      </c>
    </row>
    <row x14ac:dyDescent="0.25" r="14" customHeight="1" ht="19.5">
      <c r="A14" s="17" t="s">
        <v>88</v>
      </c>
      <c r="B14" s="40" t="s">
        <v>89</v>
      </c>
      <c r="C14" s="19"/>
      <c r="D14" s="19"/>
      <c r="E14" s="37">
        <f>'[5]Agregação Lvl 3-1'!E19</f>
      </c>
      <c r="F14" s="19"/>
      <c r="G14" s="19"/>
      <c r="H14" s="37">
        <f>'[11]Agregação Lvl 3-1'!E19</f>
      </c>
      <c r="I14" s="19"/>
      <c r="J14" s="19"/>
      <c r="K14" s="37">
        <f>'[6]Agregação Lvl 3-1'!E19</f>
      </c>
      <c r="L14" s="19"/>
      <c r="M14" s="19"/>
      <c r="N14" s="37">
        <v>1</v>
      </c>
    </row>
    <row x14ac:dyDescent="0.25" r="15" customHeight="1" ht="19.5">
      <c r="A15" s="17" t="s">
        <v>90</v>
      </c>
      <c r="B15" s="40" t="s">
        <v>91</v>
      </c>
      <c r="C15" s="19">
        <f>'[5]Agregação Lvl 3-1'!B13</f>
      </c>
      <c r="D15" s="19">
        <f>'[5]Agregação Lvl 3-1'!C13</f>
      </c>
      <c r="E15" s="37">
        <f>'[5]Agregação Lvl 3-1'!E13</f>
      </c>
      <c r="F15" s="19">
        <f>'[11]Agregação Lvl 3-1'!B13</f>
      </c>
      <c r="G15" s="19">
        <f>'[11]Agregação Lvl 3-1'!C13</f>
      </c>
      <c r="H15" s="37">
        <f>'[11]Agregação Lvl 3-1'!E13</f>
      </c>
      <c r="I15" s="19">
        <f>'[6]Agregação Lvl 3-1'!B13</f>
      </c>
      <c r="J15" s="19">
        <f>'[6]Agregação Lvl 3-1'!C13</f>
      </c>
      <c r="K15" s="37">
        <f>'[6]Agregação Lvl 3-1'!E13</f>
      </c>
      <c r="L15" s="41">
        <f>'[12]Agregação Lvl 3-1'!B13</f>
      </c>
      <c r="M15" s="42">
        <f>'[12]Agregação Lvl 3-1'!C13</f>
      </c>
      <c r="N15" s="37">
        <f>'[12]Agregação Lvl 3-1'!E13</f>
      </c>
    </row>
    <row x14ac:dyDescent="0.25" r="16" customHeight="1" ht="19.5">
      <c r="A16" s="17" t="s">
        <v>92</v>
      </c>
      <c r="B16" s="40" t="s">
        <v>93</v>
      </c>
      <c r="C16" s="19">
        <f>'[5]Agregação Lvl 3-1'!B14</f>
      </c>
      <c r="D16" s="19">
        <f>'[5]Agregação Lvl 3-1'!C14</f>
      </c>
      <c r="E16" s="37">
        <f>'[5]Agregação Lvl 3-1'!E14</f>
      </c>
      <c r="F16" s="19">
        <f>'[11]Agregação Lvl 3-1'!B14</f>
      </c>
      <c r="G16" s="19">
        <f>'[11]Agregação Lvl 3-1'!C14</f>
      </c>
      <c r="H16" s="37">
        <f>'[11]Agregação Lvl 3-1'!E14</f>
      </c>
      <c r="I16" s="19">
        <f>'[6]Agregação Lvl 3-1'!B14</f>
      </c>
      <c r="J16" s="19">
        <f>'[6]Agregação Lvl 3-1'!C14</f>
      </c>
      <c r="K16" s="37">
        <f>'[6]Agregação Lvl 3-1'!E14</f>
      </c>
      <c r="L16" s="19">
        <f>'[12]Agregação Lvl 3-1'!B14</f>
      </c>
      <c r="M16" s="19">
        <f>'[12]Agregação Lvl 3-1'!C14</f>
      </c>
      <c r="N16" s="37">
        <f>'[12]Agregação Lvl 3-1'!E14</f>
      </c>
    </row>
    <row x14ac:dyDescent="0.25" r="17" customHeight="1" ht="19.5">
      <c r="A17" s="17" t="s">
        <v>94</v>
      </c>
      <c r="B17" s="43" t="s">
        <v>95</v>
      </c>
      <c r="C17" s="19"/>
      <c r="D17" s="19"/>
      <c r="E17" s="37">
        <f>'[5]Agregação Lvl 3-1'!E20</f>
      </c>
      <c r="F17" s="19"/>
      <c r="G17" s="19"/>
      <c r="H17" s="37">
        <f>'[11]Agregação Lvl 3-1'!E20</f>
      </c>
      <c r="I17" s="19"/>
      <c r="J17" s="19"/>
      <c r="K17" s="37">
        <f>'[6]Agregação Lvl 3-1'!E20</f>
      </c>
      <c r="L17" s="19"/>
      <c r="M17" s="19"/>
      <c r="N17" s="37">
        <f>'[12]Agregação Lvl 3-1'!E20</f>
      </c>
    </row>
    <row x14ac:dyDescent="0.25" r="18" customHeight="1" ht="19.5">
      <c r="A18" s="17" t="s">
        <v>96</v>
      </c>
      <c r="B18" s="44" t="s">
        <v>97</v>
      </c>
      <c r="C18" s="19"/>
      <c r="D18" s="19"/>
      <c r="E18" s="37">
        <f>'[5]Agregação Lvl 3-1'!E21</f>
      </c>
      <c r="F18" s="19"/>
      <c r="G18" s="19"/>
      <c r="H18" s="37">
        <f>'[11]Agregação Lvl 3-1'!E21</f>
      </c>
      <c r="I18" s="19"/>
      <c r="J18" s="19"/>
      <c r="K18" s="37">
        <f>'[6]Agregação Lvl 3-1'!E21</f>
      </c>
      <c r="L18" s="19"/>
      <c r="M18" s="19"/>
      <c r="N18" s="37">
        <v>1</v>
      </c>
    </row>
    <row x14ac:dyDescent="0.25" r="19" customHeight="1" ht="19.5">
      <c r="A19" s="17" t="s">
        <v>98</v>
      </c>
      <c r="B19" s="44" t="s">
        <v>99</v>
      </c>
      <c r="C19" s="19"/>
      <c r="D19" s="19"/>
      <c r="E19" s="37">
        <f>'[5]Agregação Lvl 3-1'!E22</f>
      </c>
      <c r="F19" s="19"/>
      <c r="G19" s="19"/>
      <c r="H19" s="37">
        <f>'[11]Agregação Lvl 3-1'!E22</f>
      </c>
      <c r="I19" s="19"/>
      <c r="J19" s="19"/>
      <c r="K19" s="37">
        <f>'[6]Agregação Lvl 3-1'!E22</f>
      </c>
      <c r="L19" s="19"/>
      <c r="M19" s="19"/>
      <c r="N19" s="37">
        <v>1</v>
      </c>
    </row>
    <row x14ac:dyDescent="0.25" r="20" customHeight="1" ht="19.5">
      <c r="A20" s="17" t="s">
        <v>100</v>
      </c>
      <c r="B20" s="44" t="s">
        <v>101</v>
      </c>
      <c r="C20" s="19"/>
      <c r="D20" s="19"/>
      <c r="E20" s="37">
        <f>'[5]Agregação Lvl 3-1'!E23</f>
      </c>
      <c r="F20" s="19"/>
      <c r="G20" s="19"/>
      <c r="H20" s="37">
        <f>'[11]Agregação Lvl 3-1'!E23</f>
      </c>
      <c r="I20" s="19"/>
      <c r="J20" s="19"/>
      <c r="K20" s="37">
        <f>'[6]Agregação Lvl 3-1'!E23</f>
      </c>
      <c r="L20" s="19"/>
      <c r="M20" s="19"/>
      <c r="N20" s="37">
        <v>0</v>
      </c>
    </row>
    <row x14ac:dyDescent="0.25" r="21" customHeight="1" ht="19.5">
      <c r="A21" s="17" t="s">
        <v>102</v>
      </c>
      <c r="B21" s="45" t="s">
        <v>103</v>
      </c>
      <c r="C21" s="19"/>
      <c r="D21" s="19"/>
      <c r="E21" s="37">
        <f>'[5]Agregação Lvl 3-1'!E24</f>
      </c>
      <c r="F21" s="19"/>
      <c r="G21" s="19"/>
      <c r="H21" s="37">
        <f>'[11]Agregação Lvl 3-1'!E24</f>
      </c>
      <c r="I21" s="19"/>
      <c r="J21" s="19"/>
      <c r="K21" s="37">
        <f>'[6]Agregação Lvl 3-1'!E24</f>
      </c>
      <c r="L21" s="19"/>
      <c r="M21" s="19"/>
      <c r="N21" s="37">
        <v>0</v>
      </c>
    </row>
    <row x14ac:dyDescent="0.25" r="22" customHeight="1" ht="19.5">
      <c r="A22" s="17" t="s">
        <v>104</v>
      </c>
      <c r="B22" s="45" t="s">
        <v>105</v>
      </c>
      <c r="C22" s="19"/>
      <c r="D22" s="19"/>
      <c r="E22" s="37">
        <f>'[5]Agregação Lvl 3-1'!E25</f>
      </c>
      <c r="F22" s="19"/>
      <c r="G22" s="19"/>
      <c r="H22" s="37">
        <f>'[11]Agregação Lvl 3-1'!E25</f>
      </c>
      <c r="I22" s="19"/>
      <c r="J22" s="19"/>
      <c r="K22" s="37">
        <f>'[6]Agregação Lvl 3-1'!E25</f>
      </c>
      <c r="L22" s="19"/>
      <c r="M22" s="19"/>
      <c r="N22" s="37">
        <v>0</v>
      </c>
    </row>
    <row x14ac:dyDescent="0.25" r="23" customHeight="1" ht="19.5">
      <c r="A23" s="17" t="s">
        <v>106</v>
      </c>
      <c r="B23" s="45" t="s">
        <v>107</v>
      </c>
      <c r="C23" s="19"/>
      <c r="D23" s="19"/>
      <c r="E23" s="37">
        <f>'[5]Agregação Lvl 3-1'!E26</f>
      </c>
      <c r="F23" s="19"/>
      <c r="G23" s="19"/>
      <c r="H23" s="37">
        <f>'[11]Agregação Lvl 3-1'!E26</f>
      </c>
      <c r="I23" s="19"/>
      <c r="J23" s="19"/>
      <c r="K23" s="37">
        <f>'[6]Agregação Lvl 3-1'!E26</f>
      </c>
      <c r="L23" s="19"/>
      <c r="M23" s="19"/>
      <c r="N23" s="37">
        <v>0</v>
      </c>
    </row>
    <row x14ac:dyDescent="0.25" r="24" customHeight="1" ht="19.5">
      <c r="A24" s="17" t="s">
        <v>108</v>
      </c>
      <c r="B24" s="46" t="s">
        <v>109</v>
      </c>
      <c r="C24" s="19"/>
      <c r="D24" s="19"/>
      <c r="E24" s="37">
        <f>'[5]Agregação Lvl 3-1'!E27</f>
      </c>
      <c r="F24" s="19"/>
      <c r="G24" s="19"/>
      <c r="H24" s="37">
        <f>'[11]Agregação Lvl 3-1'!E27</f>
      </c>
      <c r="I24" s="19"/>
      <c r="J24" s="19"/>
      <c r="K24" s="37">
        <f>'[6]Agregação Lvl 3-1'!E27</f>
      </c>
      <c r="L24" s="19"/>
      <c r="M24" s="19"/>
      <c r="N24" s="37">
        <v>1</v>
      </c>
    </row>
    <row x14ac:dyDescent="0.25" r="25" customHeight="1" ht="19.5">
      <c r="A25" s="17" t="s">
        <v>110</v>
      </c>
      <c r="B25" s="46" t="s">
        <v>111</v>
      </c>
      <c r="C25" s="19"/>
      <c r="D25" s="19"/>
      <c r="E25" s="37">
        <f>'[5]Agregação Lvl 3-1'!E28</f>
      </c>
      <c r="F25" s="19"/>
      <c r="G25" s="19"/>
      <c r="H25" s="37">
        <f>'[11]Agregação Lvl 3-1'!E28</f>
      </c>
      <c r="I25" s="19"/>
      <c r="J25" s="19"/>
      <c r="K25" s="37">
        <f>'[6]Agregação Lvl 3-1'!E28</f>
      </c>
      <c r="L25" s="19"/>
      <c r="M25" s="19"/>
      <c r="N25" s="37">
        <v>0</v>
      </c>
    </row>
    <row x14ac:dyDescent="0.25" r="26" customHeight="1" ht="19.5">
      <c r="A26" s="17" t="s">
        <v>112</v>
      </c>
      <c r="B26" s="46" t="s">
        <v>113</v>
      </c>
      <c r="C26" s="19"/>
      <c r="D26" s="19"/>
      <c r="E26" s="37">
        <f>'[5]Agregação Lvl 3-1'!E29</f>
      </c>
      <c r="F26" s="19"/>
      <c r="G26" s="19"/>
      <c r="H26" s="37">
        <f>'[11]Agregação Lvl 3-1'!E29</f>
      </c>
      <c r="I26" s="19"/>
      <c r="J26" s="19"/>
      <c r="K26" s="37">
        <f>'[6]Agregação Lvl 3-1'!E29</f>
      </c>
      <c r="L26" s="19"/>
      <c r="M26" s="19"/>
      <c r="N26" s="37">
        <v>0</v>
      </c>
    </row>
    <row x14ac:dyDescent="0.25" r="27" customHeight="1" ht="20.25">
      <c r="A27" s="17" t="s">
        <v>114</v>
      </c>
      <c r="B27" s="46" t="s">
        <v>115</v>
      </c>
      <c r="C27" s="19"/>
      <c r="D27" s="19"/>
      <c r="E27" s="37">
        <f>'[5]Agregação Lvl 3-1'!E30</f>
      </c>
      <c r="F27" s="19"/>
      <c r="G27" s="19"/>
      <c r="H27" s="37">
        <f>'[11]Agregação Lvl 3-1'!E30</f>
      </c>
      <c r="I27" s="19"/>
      <c r="J27" s="19"/>
      <c r="K27" s="37">
        <f>'[6]Agregação Lvl 3-1'!E30</f>
      </c>
      <c r="L27" s="19"/>
      <c r="M27" s="19"/>
      <c r="N27" s="37">
        <v>0</v>
      </c>
    </row>
    <row x14ac:dyDescent="0.25" r="28" customHeight="1" ht="18.75">
      <c r="A28" s="3"/>
      <c r="B28" s="47"/>
      <c r="C28" s="47"/>
      <c r="D28" s="47"/>
      <c r="E28" s="47"/>
      <c r="F28" s="47"/>
      <c r="G28" s="47"/>
      <c r="H28" s="47"/>
      <c r="I28" s="47"/>
      <c r="J28" s="47"/>
      <c r="K28" s="48"/>
      <c r="L28" s="49"/>
      <c r="M28" s="49"/>
      <c r="N28" s="48"/>
    </row>
    <row x14ac:dyDescent="0.25" r="29" customHeight="1" ht="18.75">
      <c r="A29" s="16"/>
      <c r="B29" s="50" t="s">
        <v>116</v>
      </c>
      <c r="C29" s="51" t="s">
        <v>117</v>
      </c>
      <c r="D29" s="52" t="s">
        <v>118</v>
      </c>
      <c r="E29" s="53" t="s">
        <v>119</v>
      </c>
      <c r="F29" s="54" t="s">
        <v>120</v>
      </c>
      <c r="G29" s="55" t="s">
        <v>121</v>
      </c>
      <c r="H29" s="56" t="s">
        <v>122</v>
      </c>
      <c r="I29" s="57" t="s">
        <v>123</v>
      </c>
      <c r="J29" s="58" t="s">
        <v>124</v>
      </c>
      <c r="K29" s="48"/>
      <c r="L29" s="49"/>
      <c r="M29" s="49"/>
      <c r="N29" s="48"/>
    </row>
    <row x14ac:dyDescent="0.25" r="30" customHeight="1" ht="18.75">
      <c r="A30" s="16" t="s">
        <v>125</v>
      </c>
      <c r="B30" s="59">
        <f>'[5]Agregação Lvl 3-1'!K3</f>
      </c>
      <c r="C30" s="59">
        <f>'[5]Agregação Lvl 3-1'!L3</f>
      </c>
      <c r="D30" s="59">
        <f>'[5]Agregação Lvl 3-1'!M3</f>
      </c>
      <c r="E30" s="59">
        <f>'[5]Agregação Lvl 3-1'!N3</f>
      </c>
      <c r="F30" s="59">
        <f>'[5]Agregação Lvl 3-1'!O3</f>
      </c>
      <c r="G30" s="59">
        <f>'[5]Agregação Lvl 3-1'!P3</f>
      </c>
      <c r="H30" s="59">
        <f>'[5]Agregação Lvl 3-1'!Q3</f>
      </c>
      <c r="I30" s="59">
        <f>'[5]Agregação Lvl 3-1'!R3</f>
      </c>
      <c r="J30" s="59">
        <f>'[5]Agregação Lvl 3-1'!V3</f>
      </c>
      <c r="K30" s="48"/>
      <c r="L30" s="49"/>
      <c r="M30" s="49"/>
      <c r="N30" s="48"/>
    </row>
    <row x14ac:dyDescent="0.25" r="31" customHeight="1" ht="18.75">
      <c r="A31" s="16" t="s">
        <v>126</v>
      </c>
      <c r="B31" s="59">
        <f>'[11]Agregação Lvl 3-1'!K3</f>
      </c>
      <c r="C31" s="59">
        <f>'[11]Agregação Lvl 3-1'!L3</f>
      </c>
      <c r="D31" s="59">
        <f>'[11]Agregação Lvl 3-1'!M3</f>
      </c>
      <c r="E31" s="59">
        <f>'[11]Agregação Lvl 3-1'!N3</f>
      </c>
      <c r="F31" s="59">
        <f>'[11]Agregação Lvl 3-1'!O3</f>
      </c>
      <c r="G31" s="59">
        <f>'[11]Agregação Lvl 3-1'!P3</f>
      </c>
      <c r="H31" s="59">
        <f>'[11]Agregação Lvl 3-1'!Q3</f>
      </c>
      <c r="I31" s="59">
        <f>'[11]Agregação Lvl 3-1'!R3</f>
      </c>
      <c r="J31" s="59">
        <f>'[11]Agregação Lvl 3-1'!V3</f>
      </c>
      <c r="K31" s="48"/>
      <c r="L31" s="49"/>
      <c r="M31" s="49"/>
      <c r="N31" s="48"/>
    </row>
    <row x14ac:dyDescent="0.25" r="32" customHeight="1" ht="18.75">
      <c r="A32" s="16" t="s">
        <v>127</v>
      </c>
      <c r="B32" s="59">
        <f>'[6]Agregação Lvl 3-1'!K3</f>
      </c>
      <c r="C32" s="59">
        <f>'[6]Agregação Lvl 3-1'!L3</f>
      </c>
      <c r="D32" s="59">
        <f>'[6]Agregação Lvl 3-1'!M3</f>
      </c>
      <c r="E32" s="59">
        <f>'[6]Agregação Lvl 3-1'!N3</f>
      </c>
      <c r="F32" s="59">
        <f>'[6]Agregação Lvl 3-1'!O3</f>
      </c>
      <c r="G32" s="59">
        <f>'[6]Agregação Lvl 3-1'!P3</f>
      </c>
      <c r="H32" s="59">
        <f>'[6]Agregação Lvl 3-1'!Q3</f>
      </c>
      <c r="I32" s="59">
        <f>'[6]Agregação Lvl 3-1'!R3</f>
      </c>
      <c r="J32" s="59">
        <f>'[6]Agregação Lvl 3-1'!V3</f>
      </c>
      <c r="K32" s="48"/>
      <c r="L32" s="49"/>
      <c r="M32" s="49"/>
      <c r="N32" s="48"/>
    </row>
    <row x14ac:dyDescent="0.25" r="33" customHeight="1" ht="18.75">
      <c r="A33" s="16" t="s">
        <v>128</v>
      </c>
      <c r="B33" s="59">
        <f>'[12]Agregação Lvl 3-1'!K3</f>
      </c>
      <c r="C33" s="59">
        <f>'[12]Agregação Lvl 3-1'!L3</f>
      </c>
      <c r="D33" s="59">
        <f>'[12]Agregação Lvl 3-1'!M3</f>
      </c>
      <c r="E33" s="59">
        <f>'[12]Agregação Lvl 3-1'!N3</f>
      </c>
      <c r="F33" s="59">
        <f>'[12]Agregação Lvl 3-1'!O3</f>
      </c>
      <c r="G33" s="59">
        <f>'[12]Agregação Lvl 3-1'!P3</f>
      </c>
      <c r="H33" s="59">
        <f>'[12]Agregação Lvl 3-1'!Q3</f>
      </c>
      <c r="I33" s="59">
        <f>'[12]Agregação Lvl 3-1'!R3</f>
      </c>
      <c r="J33" s="59">
        <f>'[12]Agregação Lvl 3-1'!V3</f>
      </c>
      <c r="K33" s="48"/>
      <c r="L33" s="49"/>
      <c r="M33" s="49"/>
      <c r="N33" s="48"/>
    </row>
    <row x14ac:dyDescent="0.25" r="34" customHeight="1" ht="18.75">
      <c r="A34" s="3"/>
      <c r="B34" s="47"/>
      <c r="C34" s="47"/>
      <c r="D34" s="47"/>
      <c r="E34" s="47"/>
      <c r="F34" s="47"/>
      <c r="G34" s="47"/>
      <c r="H34" s="47"/>
      <c r="I34" s="47"/>
      <c r="J34" s="47"/>
      <c r="K34" s="48"/>
      <c r="L34" s="49"/>
      <c r="M34" s="49"/>
      <c r="N34" s="48"/>
    </row>
    <row x14ac:dyDescent="0.25" r="35" customHeight="1" ht="18.75">
      <c r="A35" s="3"/>
      <c r="B35" s="52" t="s">
        <v>129</v>
      </c>
      <c r="C35" s="60" t="s">
        <v>130</v>
      </c>
      <c r="D35" s="61" t="s">
        <v>131</v>
      </c>
      <c r="E35" s="62" t="s">
        <v>124</v>
      </c>
      <c r="F35" s="47"/>
      <c r="G35" s="47"/>
      <c r="H35" s="47"/>
      <c r="I35" s="47"/>
      <c r="J35" s="47"/>
      <c r="K35" s="48"/>
      <c r="L35" s="49"/>
      <c r="M35" s="49"/>
      <c r="N35" s="48"/>
    </row>
    <row x14ac:dyDescent="0.25" r="36" customHeight="1" ht="18.75">
      <c r="A36" s="16" t="s">
        <v>125</v>
      </c>
      <c r="B36" s="59">
        <f>'[5]Agregação Lvl 3-1'!S3</f>
      </c>
      <c r="C36" s="59">
        <f>'[5]Agregação Lvl 3-1'!T3</f>
      </c>
      <c r="D36" s="59">
        <f>'[5]Agregação Lvl 3-1'!U3</f>
      </c>
      <c r="E36" s="59">
        <f>'[5]Agregação Lvl 3-1'!V3</f>
      </c>
      <c r="F36" s="47"/>
      <c r="G36" s="47"/>
      <c r="H36" s="47"/>
      <c r="I36" s="47"/>
      <c r="J36" s="47"/>
      <c r="K36" s="48"/>
      <c r="L36" s="49"/>
      <c r="M36" s="49"/>
      <c r="N36" s="48"/>
    </row>
    <row x14ac:dyDescent="0.25" r="37" customHeight="1" ht="18.75">
      <c r="A37" s="16" t="s">
        <v>126</v>
      </c>
      <c r="B37" s="59">
        <f>'[11]Agregação Lvl 3-1'!S3</f>
      </c>
      <c r="C37" s="59">
        <f>'[11]Agregação Lvl 3-1'!T3</f>
      </c>
      <c r="D37" s="59">
        <f>'[11]Agregação Lvl 3-1'!U3</f>
      </c>
      <c r="E37" s="59">
        <f>'[11]Agregação Lvl 3-1'!V3</f>
      </c>
      <c r="F37" s="47"/>
      <c r="G37" s="47"/>
      <c r="H37" s="47"/>
      <c r="I37" s="47"/>
      <c r="J37" s="47"/>
      <c r="K37" s="48"/>
      <c r="L37" s="49"/>
      <c r="M37" s="49"/>
      <c r="N37" s="48"/>
    </row>
    <row x14ac:dyDescent="0.25" r="38" customHeight="1" ht="18.75">
      <c r="A38" s="16" t="s">
        <v>127</v>
      </c>
      <c r="B38" s="59">
        <f>'[6]Agregação Lvl 3-1'!S3</f>
      </c>
      <c r="C38" s="59">
        <f>'[6]Agregação Lvl 3-1'!T3</f>
      </c>
      <c r="D38" s="59">
        <f>'[6]Agregação Lvl 3-1'!U3</f>
      </c>
      <c r="E38" s="59">
        <f>'[6]Agregação Lvl 3-1'!V3</f>
      </c>
      <c r="F38" s="47"/>
      <c r="G38" s="47"/>
      <c r="H38" s="47"/>
      <c r="I38" s="47"/>
      <c r="J38" s="47"/>
      <c r="K38" s="48"/>
      <c r="L38" s="49"/>
      <c r="M38" s="49"/>
      <c r="N38" s="48"/>
    </row>
    <row x14ac:dyDescent="0.25" r="39" customHeight="1" ht="18.75">
      <c r="A39" s="16" t="s">
        <v>128</v>
      </c>
      <c r="B39" s="59">
        <f>'[12]Agregação Lvl 3-1'!S3</f>
      </c>
      <c r="C39" s="59">
        <f>'[12]Agregação Lvl 3-1'!T3</f>
      </c>
      <c r="D39" s="59">
        <f>'[12]Agregação Lvl 3-1'!U3</f>
      </c>
      <c r="E39" s="59">
        <f>'[12]Agregação Lvl 3-1'!V3</f>
      </c>
      <c r="F39" s="47"/>
      <c r="G39" s="47"/>
      <c r="H39" s="47"/>
      <c r="I39" s="47"/>
      <c r="J39" s="47"/>
      <c r="K39" s="48"/>
      <c r="L39" s="49"/>
      <c r="M39" s="49"/>
      <c r="N39" s="48"/>
    </row>
    <row x14ac:dyDescent="0.25" r="40" customHeight="1" ht="18.75">
      <c r="A40" s="3"/>
      <c r="B40" s="47"/>
      <c r="C40" s="47"/>
      <c r="D40" s="47"/>
      <c r="E40" s="47"/>
      <c r="F40" s="47"/>
      <c r="G40" s="47"/>
      <c r="H40" s="47"/>
      <c r="I40" s="47"/>
      <c r="J40" s="47"/>
      <c r="K40" s="48"/>
      <c r="L40" s="49"/>
      <c r="M40" s="49"/>
      <c r="N40" s="48"/>
    </row>
    <row x14ac:dyDescent="0.25" r="41" customHeight="1" ht="18.75">
      <c r="A41" s="3"/>
      <c r="B41" s="47"/>
      <c r="C41" s="47"/>
      <c r="D41" s="47"/>
      <c r="E41" s="47"/>
      <c r="F41" s="47"/>
      <c r="G41" s="47"/>
      <c r="H41" s="47"/>
      <c r="I41" s="47"/>
      <c r="J41" s="47"/>
      <c r="K41" s="48"/>
      <c r="L41" s="49"/>
      <c r="M41" s="49"/>
      <c r="N41" s="48"/>
    </row>
    <row x14ac:dyDescent="0.25" r="42" customHeight="1" ht="18.75">
      <c r="A42" s="3"/>
      <c r="B42" s="47">
        <f>TRANSPOSE(A30:A33)</f>
      </c>
      <c r="C42" s="47" t="s">
        <v>126</v>
      </c>
      <c r="D42" s="47" t="s">
        <v>127</v>
      </c>
      <c r="E42" s="47" t="s">
        <v>128</v>
      </c>
      <c r="F42" s="47"/>
      <c r="G42" s="47"/>
      <c r="H42" s="47"/>
      <c r="I42" s="47"/>
      <c r="J42" s="47"/>
      <c r="K42" s="48"/>
      <c r="L42" s="49"/>
      <c r="M42" s="49"/>
      <c r="N42" s="48"/>
    </row>
    <row x14ac:dyDescent="0.25" r="43" customHeight="1" ht="18.75">
      <c r="A43" s="63">
        <f>TRANSPOSE(B29:J29)</f>
      </c>
      <c r="B43" s="64">
        <f>TRANSPOSE(B30:J33)</f>
      </c>
      <c r="C43" s="64">
        <v>0.65</v>
      </c>
      <c r="D43" s="64">
        <v>0.39999999999999997</v>
      </c>
      <c r="E43" s="64">
        <v>0.4</v>
      </c>
      <c r="F43" s="47"/>
      <c r="G43" s="47"/>
      <c r="H43" s="47"/>
      <c r="I43" s="47"/>
      <c r="J43" s="47"/>
      <c r="K43" s="48"/>
      <c r="L43" s="49"/>
      <c r="M43" s="49"/>
      <c r="N43" s="48"/>
    </row>
    <row x14ac:dyDescent="0.25" r="44" customHeight="1" ht="18.75">
      <c r="A44" s="3" t="s">
        <v>117</v>
      </c>
      <c r="B44" s="64">
        <v>0.8800000000000001</v>
      </c>
      <c r="C44" s="64">
        <v>0.8800000000000001</v>
      </c>
      <c r="D44" s="64">
        <v>0.7</v>
      </c>
      <c r="E44" s="64">
        <v>0.6799999999999999</v>
      </c>
      <c r="F44" s="47"/>
      <c r="G44" s="47"/>
      <c r="H44" s="47"/>
      <c r="I44" s="47"/>
      <c r="J44" s="47"/>
      <c r="K44" s="48"/>
      <c r="L44" s="49"/>
      <c r="M44" s="49"/>
      <c r="N44" s="48"/>
    </row>
    <row x14ac:dyDescent="0.25" r="45" customHeight="1" ht="18.75">
      <c r="A45" s="3" t="s">
        <v>118</v>
      </c>
      <c r="B45" s="64">
        <v>0.6</v>
      </c>
      <c r="C45" s="64">
        <v>0.7000000000000001</v>
      </c>
      <c r="D45" s="64">
        <v>0.49999999999999994</v>
      </c>
      <c r="E45" s="64">
        <v>0.3333333333333333</v>
      </c>
      <c r="F45" s="47"/>
      <c r="G45" s="47"/>
      <c r="H45" s="47"/>
      <c r="I45" s="47"/>
      <c r="J45" s="47"/>
      <c r="K45" s="48"/>
      <c r="L45" s="49"/>
      <c r="M45" s="49"/>
      <c r="N45" s="48"/>
    </row>
    <row x14ac:dyDescent="0.25" r="46" customHeight="1" ht="18.75">
      <c r="A46" s="3" t="s">
        <v>119</v>
      </c>
      <c r="B46" s="64">
        <v>0.76</v>
      </c>
      <c r="C46" s="64">
        <v>0.8</v>
      </c>
      <c r="D46" s="64">
        <v>0.48</v>
      </c>
      <c r="E46" s="64">
        <v>0.72</v>
      </c>
      <c r="F46" s="47"/>
      <c r="G46" s="47"/>
      <c r="H46" s="47"/>
      <c r="I46" s="47"/>
      <c r="J46" s="47"/>
      <c r="K46" s="48"/>
      <c r="L46" s="49"/>
      <c r="M46" s="49"/>
      <c r="N46" s="48"/>
    </row>
    <row x14ac:dyDescent="0.25" r="47" customHeight="1" ht="18.75">
      <c r="A47" s="3" t="s">
        <v>120</v>
      </c>
      <c r="B47" s="64">
        <v>1</v>
      </c>
      <c r="C47" s="64">
        <v>1</v>
      </c>
      <c r="D47" s="64">
        <v>1</v>
      </c>
      <c r="E47" s="64">
        <v>1</v>
      </c>
      <c r="F47" s="47"/>
      <c r="G47" s="47"/>
      <c r="H47" s="47"/>
      <c r="I47" s="47"/>
      <c r="J47" s="47"/>
      <c r="K47" s="48"/>
      <c r="L47" s="49"/>
      <c r="M47" s="49"/>
      <c r="N47" s="48"/>
    </row>
    <row x14ac:dyDescent="0.25" r="48" customHeight="1" ht="18.75">
      <c r="A48" s="3" t="s">
        <v>121</v>
      </c>
      <c r="B48" s="64">
        <v>0.6666666666666666</v>
      </c>
      <c r="C48" s="64">
        <v>0.6666666666666666</v>
      </c>
      <c r="D48" s="64">
        <v>0.6666666666666666</v>
      </c>
      <c r="E48" s="64">
        <v>0.6666666666666666</v>
      </c>
      <c r="F48" s="47"/>
      <c r="G48" s="47"/>
      <c r="H48" s="47"/>
      <c r="I48" s="47"/>
      <c r="J48" s="47"/>
      <c r="K48" s="48"/>
      <c r="L48" s="49"/>
      <c r="M48" s="49"/>
      <c r="N48" s="48"/>
    </row>
    <row x14ac:dyDescent="0.25" r="49" customHeight="1" ht="18.75">
      <c r="A49" s="3" t="s">
        <v>122</v>
      </c>
      <c r="B49" s="64">
        <v>0</v>
      </c>
      <c r="C49" s="64">
        <v>0</v>
      </c>
      <c r="D49" s="64">
        <v>0</v>
      </c>
      <c r="E49" s="64">
        <v>0</v>
      </c>
      <c r="F49" s="47"/>
      <c r="G49" s="47"/>
      <c r="H49" s="47"/>
      <c r="I49" s="47"/>
      <c r="J49" s="47"/>
      <c r="K49" s="48"/>
      <c r="L49" s="49"/>
      <c r="M49" s="49"/>
      <c r="N49" s="48"/>
    </row>
    <row x14ac:dyDescent="0.25" r="50" customHeight="1" ht="18.75">
      <c r="A50" s="3" t="s">
        <v>123</v>
      </c>
      <c r="B50" s="64">
        <v>0.25</v>
      </c>
      <c r="C50" s="64">
        <v>0.25</v>
      </c>
      <c r="D50" s="64">
        <v>0.25</v>
      </c>
      <c r="E50" s="64">
        <v>0.25</v>
      </c>
      <c r="F50" s="47"/>
      <c r="G50" s="47"/>
      <c r="H50" s="47"/>
      <c r="I50" s="47"/>
      <c r="J50" s="47"/>
      <c r="K50" s="48"/>
      <c r="L50" s="49"/>
      <c r="M50" s="49"/>
      <c r="N50" s="48"/>
    </row>
    <row x14ac:dyDescent="0.25" r="51" customHeight="1" ht="18.75">
      <c r="A51" s="3" t="s">
        <v>124</v>
      </c>
      <c r="B51" s="64">
        <v>0.5544444444444444</v>
      </c>
      <c r="C51" s="64">
        <v>0.5636111111111112</v>
      </c>
      <c r="D51" s="64">
        <v>0.47111111111111115</v>
      </c>
      <c r="E51" s="64">
        <v>0.4855555555555555</v>
      </c>
      <c r="F51" s="47"/>
      <c r="G51" s="47"/>
      <c r="H51" s="47"/>
      <c r="I51" s="47"/>
      <c r="J51" s="47"/>
      <c r="K51" s="48"/>
      <c r="L51" s="49"/>
      <c r="M51" s="49"/>
      <c r="N51" s="4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2"/>
  <sheetViews>
    <sheetView workbookViewId="0"/>
  </sheetViews>
  <sheetFormatPr defaultRowHeight="15" x14ac:dyDescent="0.25"/>
  <cols>
    <col min="1" max="1" style="10" width="13.576428571428572" customWidth="1" bestFit="1"/>
    <col min="2" max="2" style="11" width="15.719285714285713" customWidth="1" bestFit="1"/>
    <col min="3" max="3" style="11" width="15.719285714285713" customWidth="1" bestFit="1"/>
    <col min="4" max="4" style="30" width="15.719285714285713" customWidth="1" bestFit="1"/>
    <col min="5" max="5" style="11" width="15.719285714285713" customWidth="1" bestFit="1"/>
    <col min="6" max="6" style="8" width="5.005" customWidth="1" bestFit="1"/>
    <col min="7" max="7" style="31" width="15.719285714285713" customWidth="1" bestFit="1"/>
    <col min="8" max="8" style="31" width="15.719285714285713" customWidth="1" bestFit="1"/>
    <col min="9" max="9" style="32" width="15.719285714285713" customWidth="1" bestFit="1"/>
    <col min="10" max="10" style="31" width="15.719285714285713" customWidth="1" bestFit="1"/>
    <col min="11" max="11" style="8" width="5.147857142857143" customWidth="1" bestFit="1"/>
    <col min="12" max="12" style="11" width="15.719285714285713" customWidth="1" bestFit="1"/>
    <col min="13" max="13" style="11" width="15.719285714285713" customWidth="1" bestFit="1"/>
    <col min="14" max="14" style="11" width="15.719285714285713" customWidth="1" bestFit="1"/>
    <col min="15" max="15" style="11" width="15.719285714285713" customWidth="1" bestFit="1"/>
    <col min="16" max="16" style="8" width="6.005" customWidth="1" bestFit="1"/>
    <col min="17" max="17" style="8" width="31.862142857142857" customWidth="1" bestFit="1"/>
    <col min="18" max="18" style="8" width="18.005" customWidth="1" bestFit="1"/>
    <col min="19" max="19" style="33" width="13.290714285714287" customWidth="1" bestFit="1"/>
    <col min="20" max="20" style="33" width="10.719285714285713" customWidth="1" bestFit="1"/>
    <col min="21" max="21" style="8" width="18.005" customWidth="1" bestFit="1"/>
    <col min="22" max="22" style="33" width="12.290714285714287" customWidth="1" bestFit="1"/>
    <col min="23" max="23" style="33" width="10.719285714285713" customWidth="1" bestFit="1"/>
  </cols>
  <sheetData>
    <row x14ac:dyDescent="0.25" r="1" customHeight="1" ht="18.75">
      <c r="A1" s="12"/>
      <c r="B1" s="13" t="s">
        <v>26</v>
      </c>
      <c r="C1" s="14"/>
      <c r="D1" s="14"/>
      <c r="E1" s="14"/>
      <c r="F1" s="3"/>
      <c r="G1" s="15" t="s">
        <v>27</v>
      </c>
      <c r="H1" s="14"/>
      <c r="I1" s="14"/>
      <c r="J1" s="14"/>
      <c r="K1" s="3"/>
      <c r="L1" s="13" t="s">
        <v>28</v>
      </c>
      <c r="M1" s="14"/>
      <c r="N1" s="14"/>
      <c r="O1" s="14"/>
      <c r="P1" s="3"/>
      <c r="Q1" s="3"/>
      <c r="R1" s="16" t="s">
        <v>29</v>
      </c>
      <c r="S1" s="14"/>
      <c r="T1" s="14"/>
      <c r="U1" s="16" t="s">
        <v>30</v>
      </c>
      <c r="V1" s="14"/>
      <c r="W1" s="14"/>
    </row>
    <row x14ac:dyDescent="0.25" r="2" customHeight="1" ht="18.75">
      <c r="A2" s="17" t="s">
        <v>31</v>
      </c>
      <c r="B2" s="18">
        <v>2022.1</v>
      </c>
      <c r="C2" s="18">
        <v>2022.2</v>
      </c>
      <c r="D2" s="18">
        <v>2023.1</v>
      </c>
      <c r="E2" s="18">
        <v>2023.2</v>
      </c>
      <c r="F2" s="3"/>
      <c r="G2" s="18">
        <v>2022.1</v>
      </c>
      <c r="H2" s="18">
        <v>2022.2</v>
      </c>
      <c r="I2" s="18">
        <v>2023.1</v>
      </c>
      <c r="J2" s="18">
        <v>2023.2</v>
      </c>
      <c r="K2" s="3"/>
      <c r="L2" s="18">
        <v>2022.1</v>
      </c>
      <c r="M2" s="18">
        <v>2022.2</v>
      </c>
      <c r="N2" s="18">
        <v>2023.1</v>
      </c>
      <c r="O2" s="18">
        <v>2023.2</v>
      </c>
      <c r="P2" s="3"/>
      <c r="Q2" s="17"/>
      <c r="R2" s="17" t="s">
        <v>32</v>
      </c>
      <c r="S2" s="18" t="s">
        <v>33</v>
      </c>
      <c r="T2" s="18" t="s">
        <v>34</v>
      </c>
      <c r="U2" s="17" t="s">
        <v>32</v>
      </c>
      <c r="V2" s="18" t="s">
        <v>33</v>
      </c>
      <c r="W2" s="18" t="s">
        <v>34</v>
      </c>
    </row>
    <row x14ac:dyDescent="0.25" r="3" customHeight="1" ht="18.75">
      <c r="A3" s="17" t="s">
        <v>35</v>
      </c>
      <c r="B3" s="19">
        <v>999.28</v>
      </c>
      <c r="C3" s="19">
        <v>626.66</v>
      </c>
      <c r="D3" s="19">
        <v>3660.06</v>
      </c>
      <c r="E3" s="19">
        <v>3968.26</v>
      </c>
      <c r="F3" s="3"/>
      <c r="G3" s="20">
        <f>5729.08+1031.86</f>
      </c>
      <c r="H3" s="20">
        <f>3826.01+625.07</f>
      </c>
      <c r="I3" s="20">
        <f>21773+2879.96</f>
      </c>
      <c r="J3" s="20">
        <f>16509.04+3820.07</f>
      </c>
      <c r="K3" s="3"/>
      <c r="L3" s="21">
        <v>2</v>
      </c>
      <c r="M3" s="21">
        <v>1</v>
      </c>
      <c r="N3" s="21">
        <v>6</v>
      </c>
      <c r="O3" s="21">
        <v>7</v>
      </c>
      <c r="P3" s="3"/>
      <c r="Q3" s="17" t="s">
        <v>0</v>
      </c>
      <c r="R3" s="19">
        <f>B13</f>
      </c>
      <c r="S3" s="20">
        <f>G13</f>
      </c>
      <c r="T3" s="21">
        <f>L13</f>
      </c>
      <c r="U3" s="21">
        <f>B21</f>
      </c>
      <c r="V3" s="20">
        <f>G21</f>
      </c>
      <c r="W3" s="21">
        <f>L21</f>
      </c>
    </row>
    <row x14ac:dyDescent="0.25" r="4" customHeight="1" ht="18.75">
      <c r="A4" s="17" t="s">
        <v>36</v>
      </c>
      <c r="B4" s="22">
        <f>B3/'Resultados Aplicação do Modelo'!$D$2</f>
      </c>
      <c r="C4" s="22">
        <f>C3/'Resultados Aplicação do Modelo'!$G$2</f>
      </c>
      <c r="D4" s="22">
        <f>D3/'Resultados Aplicação do Modelo'!$J$2</f>
      </c>
      <c r="E4" s="22">
        <f>E3/'Resultados Aplicação do Modelo'!$M$2</f>
      </c>
      <c r="F4" s="3"/>
      <c r="G4" s="22">
        <f>G3/(SUM('Resultados Aplicação do Modelo'!$D$9:$D$10))</f>
      </c>
      <c r="H4" s="22">
        <f>H3/(SUM('Resultados Aplicação do Modelo'!$F$9:$F$10))</f>
      </c>
      <c r="I4" s="22">
        <f>I3/(SUM('Resultados Aplicação do Modelo'!$J$9:$J$10))</f>
      </c>
      <c r="J4" s="22">
        <f>J3/(SUM('Resultados Aplicação do Modelo'!$M$9:$M$10))</f>
      </c>
      <c r="K4" s="3"/>
      <c r="L4" s="22">
        <f>L3/'Resultados Aplicação do Modelo'!$D$6</f>
      </c>
      <c r="M4" s="22">
        <f>M3/'Resultados Aplicação do Modelo'!$G$6</f>
      </c>
      <c r="N4" s="22">
        <f>N3/(SUM('Resultados Aplicação do Modelo'!$J$6))</f>
      </c>
      <c r="O4" s="22">
        <f>O3/(SUM('Resultados Aplicação do Modelo'!$M$6))</f>
      </c>
      <c r="P4" s="3"/>
      <c r="Q4" s="17" t="s">
        <v>37</v>
      </c>
      <c r="R4" s="22">
        <f>B14</f>
      </c>
      <c r="S4" s="22">
        <f>G14</f>
      </c>
      <c r="T4" s="22">
        <f>L14</f>
      </c>
      <c r="U4" s="22">
        <f>B22</f>
      </c>
      <c r="V4" s="22">
        <f>G22</f>
      </c>
      <c r="W4" s="22">
        <f>L22</f>
      </c>
    </row>
    <row x14ac:dyDescent="0.25" r="5" customHeight="1" ht="18.75">
      <c r="A5" s="12"/>
      <c r="B5" s="23"/>
      <c r="C5" s="23"/>
      <c r="D5" s="23"/>
      <c r="E5" s="23"/>
      <c r="F5" s="3"/>
      <c r="G5" s="23"/>
      <c r="H5" s="23"/>
      <c r="I5" s="23"/>
      <c r="J5" s="23"/>
      <c r="K5" s="3"/>
      <c r="L5" s="23"/>
      <c r="M5" s="23"/>
      <c r="N5" s="23"/>
      <c r="O5" s="23"/>
      <c r="P5" s="3"/>
      <c r="Q5" s="17" t="s">
        <v>2</v>
      </c>
      <c r="R5" s="19">
        <f>C13</f>
      </c>
      <c r="S5" s="20">
        <f>H13</f>
      </c>
      <c r="T5" s="21">
        <f>M13</f>
      </c>
      <c r="U5" s="21">
        <f>C21</f>
      </c>
      <c r="V5" s="20">
        <f>H21</f>
      </c>
      <c r="W5" s="21">
        <f>M21</f>
      </c>
    </row>
    <row x14ac:dyDescent="0.25" r="6" customHeight="1" ht="18.75">
      <c r="A6" s="12"/>
      <c r="B6" s="13" t="s">
        <v>38</v>
      </c>
      <c r="C6" s="14"/>
      <c r="D6" s="14"/>
      <c r="E6" s="14"/>
      <c r="F6" s="3"/>
      <c r="G6" s="15" t="s">
        <v>39</v>
      </c>
      <c r="H6" s="14"/>
      <c r="I6" s="14"/>
      <c r="J6" s="14"/>
      <c r="K6" s="3"/>
      <c r="L6" s="13" t="s">
        <v>40</v>
      </c>
      <c r="M6" s="14"/>
      <c r="N6" s="14"/>
      <c r="O6" s="14"/>
      <c r="P6" s="3"/>
      <c r="Q6" s="17" t="s">
        <v>41</v>
      </c>
      <c r="R6" s="22">
        <f>C14</f>
      </c>
      <c r="S6" s="22">
        <f>H14</f>
      </c>
      <c r="T6" s="22">
        <f>M14</f>
      </c>
      <c r="U6" s="22">
        <f>C22</f>
      </c>
      <c r="V6" s="22">
        <f>H22</f>
      </c>
      <c r="W6" s="22">
        <f>M22</f>
      </c>
    </row>
    <row x14ac:dyDescent="0.25" r="7" customHeight="1" ht="18.75">
      <c r="A7" s="12"/>
      <c r="B7" s="18">
        <v>2022.1</v>
      </c>
      <c r="C7" s="18">
        <v>2022.2</v>
      </c>
      <c r="D7" s="18">
        <v>2023.1</v>
      </c>
      <c r="E7" s="18">
        <v>2023.2</v>
      </c>
      <c r="F7" s="3"/>
      <c r="G7" s="18">
        <v>2022.1</v>
      </c>
      <c r="H7" s="18">
        <v>2022.2</v>
      </c>
      <c r="I7" s="18">
        <v>2023.1</v>
      </c>
      <c r="J7" s="18">
        <v>2023.2</v>
      </c>
      <c r="K7" s="3"/>
      <c r="L7" s="18">
        <v>2022.1</v>
      </c>
      <c r="M7" s="18">
        <v>2022.2</v>
      </c>
      <c r="N7" s="18">
        <v>2023.1</v>
      </c>
      <c r="O7" s="18">
        <v>2023.2</v>
      </c>
      <c r="P7" s="3"/>
      <c r="Q7" s="17" t="s">
        <v>3</v>
      </c>
      <c r="R7" s="19">
        <f>D13</f>
      </c>
      <c r="S7" s="20">
        <f>I13</f>
      </c>
      <c r="T7" s="21">
        <f>N13</f>
      </c>
      <c r="U7" s="19">
        <f>D21</f>
      </c>
      <c r="V7" s="20">
        <f>I21</f>
      </c>
      <c r="W7" s="21">
        <f>N21</f>
      </c>
    </row>
    <row x14ac:dyDescent="0.25" r="8" customHeight="1" ht="18.75">
      <c r="A8" s="12"/>
      <c r="B8" s="19">
        <v>274.46</v>
      </c>
      <c r="C8" s="19">
        <v>98.66</v>
      </c>
      <c r="D8" s="21">
        <v>0</v>
      </c>
      <c r="E8" s="19">
        <v>805.87</v>
      </c>
      <c r="F8" s="3"/>
      <c r="G8" s="20">
        <f>6433.38+1294.8</f>
      </c>
      <c r="H8" s="20">
        <f>1173.24+1205.29</f>
      </c>
      <c r="I8" s="20">
        <v>0</v>
      </c>
      <c r="J8" s="20">
        <f>11130.48+12258.94</f>
      </c>
      <c r="K8" s="3"/>
      <c r="L8" s="21">
        <v>2</v>
      </c>
      <c r="M8" s="21">
        <v>1</v>
      </c>
      <c r="N8" s="21">
        <v>0</v>
      </c>
      <c r="O8" s="21">
        <v>6</v>
      </c>
      <c r="P8" s="3"/>
      <c r="Q8" s="17" t="s">
        <v>42</v>
      </c>
      <c r="R8" s="22">
        <f>D14</f>
      </c>
      <c r="S8" s="22">
        <f>I14</f>
      </c>
      <c r="T8" s="22">
        <f>N14</f>
      </c>
      <c r="U8" s="22">
        <f>D22</f>
      </c>
      <c r="V8" s="22">
        <f>I22</f>
      </c>
      <c r="W8" s="22">
        <f>N22</f>
      </c>
    </row>
    <row x14ac:dyDescent="0.25" r="9" customHeight="1" ht="18.75">
      <c r="A9" s="12"/>
      <c r="B9" s="22">
        <f>B8/'Resultados Aplicação do Modelo'!$D$2</f>
      </c>
      <c r="C9" s="22">
        <f>C8/'Resultados Aplicação do Modelo'!$G$2</f>
      </c>
      <c r="D9" s="22">
        <f>D8/'Resultados Aplicação do Modelo'!$J$2</f>
      </c>
      <c r="E9" s="22">
        <f>E8/'Resultados Aplicação do Modelo'!$M$2</f>
      </c>
      <c r="F9" s="3"/>
      <c r="G9" s="22">
        <f>G3/(SUM('Resultados Aplicação do Modelo'!$D$9:$D$10))</f>
      </c>
      <c r="H9" s="22">
        <f>H8/(SUM('Resultados Aplicação do Modelo'!$F$9:$F$10))</f>
      </c>
      <c r="I9" s="22">
        <f>I8/(SUM('Resultados Aplicação do Modelo'!$J$9:$J$10))</f>
      </c>
      <c r="J9" s="22">
        <f>J8/(SUM('Resultados Aplicação do Modelo'!$M$9:$M$10))</f>
      </c>
      <c r="K9" s="3"/>
      <c r="L9" s="22">
        <f>L8/'Resultados Aplicação do Modelo'!$D$6</f>
      </c>
      <c r="M9" s="22">
        <f>M8/'Resultados Aplicação do Modelo'!$G$6</f>
      </c>
      <c r="N9" s="22">
        <f>N8/(SUM('Resultados Aplicação do Modelo'!$J$6))</f>
      </c>
      <c r="O9" s="22">
        <f>O8/(SUM('Resultados Aplicação do Modelo'!$M$6))</f>
      </c>
      <c r="P9" s="3"/>
      <c r="Q9" s="17" t="s">
        <v>4</v>
      </c>
      <c r="R9" s="19">
        <f>E13</f>
      </c>
      <c r="S9" s="20">
        <f>J13</f>
      </c>
      <c r="T9" s="21">
        <f>O13</f>
      </c>
      <c r="U9" s="21">
        <f>E21</f>
      </c>
      <c r="V9" s="20">
        <f>J21</f>
      </c>
      <c r="W9" s="21">
        <f>O21</f>
      </c>
    </row>
    <row x14ac:dyDescent="0.25" r="10" customHeight="1" ht="18.75">
      <c r="A10" s="12"/>
      <c r="B10" s="23"/>
      <c r="C10" s="23"/>
      <c r="D10" s="23"/>
      <c r="E10" s="23"/>
      <c r="F10" s="3"/>
      <c r="G10" s="23"/>
      <c r="H10" s="23"/>
      <c r="I10" s="23"/>
      <c r="J10" s="23"/>
      <c r="K10" s="3"/>
      <c r="L10" s="23"/>
      <c r="M10" s="23"/>
      <c r="N10" s="23"/>
      <c r="O10" s="23"/>
      <c r="P10" s="3"/>
      <c r="Q10" s="17" t="s">
        <v>43</v>
      </c>
      <c r="R10" s="22">
        <f>E14</f>
      </c>
      <c r="S10" s="22">
        <f>J14</f>
      </c>
      <c r="T10" s="22">
        <f>O14</f>
      </c>
      <c r="U10" s="22">
        <f>E22</f>
      </c>
      <c r="V10" s="22">
        <f>J22</f>
      </c>
      <c r="W10" s="22">
        <f>O22</f>
      </c>
    </row>
    <row x14ac:dyDescent="0.25" r="11" customHeight="1" ht="18.75">
      <c r="A11" s="24"/>
      <c r="B11" s="25" t="s">
        <v>44</v>
      </c>
      <c r="C11" s="14"/>
      <c r="D11" s="14"/>
      <c r="E11" s="14"/>
      <c r="F11" s="3"/>
      <c r="G11" s="15" t="s">
        <v>45</v>
      </c>
      <c r="H11" s="14"/>
      <c r="I11" s="14"/>
      <c r="J11" s="14"/>
      <c r="K11" s="3"/>
      <c r="L11" s="13" t="s">
        <v>46</v>
      </c>
      <c r="M11" s="14"/>
      <c r="N11" s="14"/>
      <c r="O11" s="14"/>
      <c r="P11" s="3"/>
      <c r="Q11" s="3"/>
      <c r="R11" s="26"/>
      <c r="S11" s="26"/>
      <c r="T11" s="26"/>
      <c r="U11" s="26"/>
      <c r="V11" s="26"/>
      <c r="W11" s="26"/>
    </row>
    <row x14ac:dyDescent="0.25" r="12" customHeight="1" ht="18.75">
      <c r="A12" s="17" t="s">
        <v>31</v>
      </c>
      <c r="B12" s="27">
        <v>2022.1</v>
      </c>
      <c r="C12" s="18">
        <v>2022.2</v>
      </c>
      <c r="D12" s="18">
        <v>2023.1</v>
      </c>
      <c r="E12" s="18">
        <v>2023.2</v>
      </c>
      <c r="F12" s="3"/>
      <c r="G12" s="18">
        <v>2022.1</v>
      </c>
      <c r="H12" s="18">
        <v>2022.2</v>
      </c>
      <c r="I12" s="18">
        <v>2023.1</v>
      </c>
      <c r="J12" s="18">
        <v>2023.2</v>
      </c>
      <c r="K12" s="3"/>
      <c r="L12" s="18">
        <v>2022.1</v>
      </c>
      <c r="M12" s="18">
        <v>2022.2</v>
      </c>
      <c r="N12" s="18">
        <v>2023.1</v>
      </c>
      <c r="O12" s="18">
        <v>2023.2</v>
      </c>
      <c r="P12" s="3"/>
      <c r="Q12" s="3"/>
      <c r="R12" s="26"/>
      <c r="S12" s="26"/>
      <c r="T12" s="26"/>
      <c r="U12" s="26"/>
      <c r="V12" s="26"/>
      <c r="W12" s="26"/>
    </row>
    <row x14ac:dyDescent="0.25" r="13" customHeight="1" ht="18.75">
      <c r="A13" s="17" t="s">
        <v>35</v>
      </c>
      <c r="B13" s="28">
        <f>SUM(B3,B8)</f>
      </c>
      <c r="C13" s="19">
        <f>SUM(C3,C8)</f>
      </c>
      <c r="D13" s="19">
        <f>SUM(D3,D8)</f>
      </c>
      <c r="E13" s="19">
        <f>SUM(E3,E8)</f>
      </c>
      <c r="F13" s="3"/>
      <c r="G13" s="20">
        <f>SUM(G3,G8)</f>
      </c>
      <c r="H13" s="20">
        <f>SUM(H3,H8)</f>
      </c>
      <c r="I13" s="20">
        <f>SUM(I3,I8)</f>
      </c>
      <c r="J13" s="20">
        <f>SUM(J3,J8)</f>
      </c>
      <c r="K13" s="3"/>
      <c r="L13" s="21">
        <f>SUM(L3,L8)</f>
      </c>
      <c r="M13" s="21">
        <f>SUM(M3,M8)</f>
      </c>
      <c r="N13" s="21">
        <f>SUM(N3,N8)</f>
      </c>
      <c r="O13" s="21">
        <f>SUM(O3,O8)</f>
      </c>
      <c r="P13" s="3"/>
      <c r="Q13" s="3"/>
      <c r="R13" s="26"/>
      <c r="S13" s="26"/>
      <c r="T13" s="26"/>
      <c r="U13" s="26"/>
      <c r="V13" s="26"/>
      <c r="W13" s="26"/>
    </row>
    <row x14ac:dyDescent="0.25" r="14" customHeight="1" ht="18.75">
      <c r="A14" s="17" t="s">
        <v>36</v>
      </c>
      <c r="B14" s="29">
        <f>SUM(B4,B9)</f>
      </c>
      <c r="C14" s="22">
        <f>SUM(C4,C9)</f>
      </c>
      <c r="D14" s="22">
        <f>SUM(D4,D9)</f>
      </c>
      <c r="E14" s="22">
        <f>SUM(E4,E9)</f>
      </c>
      <c r="F14" s="3"/>
      <c r="G14" s="22">
        <f>SUM(G4,G9)</f>
      </c>
      <c r="H14" s="22">
        <f>SUM(H4,H9)</f>
      </c>
      <c r="I14" s="22">
        <f>SUM(I4,I9)</f>
      </c>
      <c r="J14" s="22">
        <f>SUM(J4,J9)</f>
      </c>
      <c r="K14" s="3"/>
      <c r="L14" s="22">
        <f>SUM(L4,L9)</f>
      </c>
      <c r="M14" s="22">
        <f>SUM(M4,M9)</f>
      </c>
      <c r="N14" s="22">
        <f>SUM(N4,N9)</f>
      </c>
      <c r="O14" s="22">
        <f>SUM(O4,O9)</f>
      </c>
      <c r="P14" s="3"/>
      <c r="Q14" s="3"/>
      <c r="R14" s="26"/>
      <c r="S14" s="26"/>
      <c r="T14" s="26"/>
      <c r="U14" s="26"/>
      <c r="V14" s="26"/>
      <c r="W14" s="26"/>
    </row>
    <row x14ac:dyDescent="0.25" r="15" customHeight="1" ht="18.75">
      <c r="A15" s="12"/>
      <c r="B15" s="26"/>
      <c r="C15" s="26"/>
      <c r="D15" s="26"/>
      <c r="E15" s="26"/>
      <c r="F15" s="3"/>
      <c r="G15" s="26"/>
      <c r="H15" s="26"/>
      <c r="I15" s="26"/>
      <c r="J15" s="26"/>
      <c r="K15" s="3"/>
      <c r="L15" s="26"/>
      <c r="M15" s="26"/>
      <c r="N15" s="26"/>
      <c r="O15" s="26"/>
      <c r="P15" s="3"/>
      <c r="Q15" s="3"/>
      <c r="R15" s="26"/>
      <c r="S15" s="26"/>
      <c r="T15" s="26"/>
      <c r="U15" s="26"/>
      <c r="V15" s="26"/>
      <c r="W15" s="26"/>
    </row>
    <row x14ac:dyDescent="0.25" r="16" customHeight="1" ht="18.75">
      <c r="A16" s="12"/>
      <c r="B16" s="26"/>
      <c r="C16" s="26"/>
      <c r="D16" s="26"/>
      <c r="E16" s="26"/>
      <c r="F16" s="3"/>
      <c r="G16" s="26"/>
      <c r="H16" s="26"/>
      <c r="I16" s="26"/>
      <c r="J16" s="26"/>
      <c r="K16" s="3"/>
      <c r="L16" s="26"/>
      <c r="M16" s="26"/>
      <c r="N16" s="26"/>
      <c r="O16" s="26"/>
      <c r="P16" s="3"/>
      <c r="Q16" s="3"/>
      <c r="R16" s="26"/>
      <c r="S16" s="26"/>
      <c r="T16" s="26"/>
      <c r="U16" s="26"/>
      <c r="V16" s="26"/>
      <c r="W16" s="26"/>
    </row>
    <row x14ac:dyDescent="0.25" r="17" customHeight="1" ht="18.75">
      <c r="A17" s="12"/>
      <c r="B17" s="26"/>
      <c r="C17" s="26"/>
      <c r="D17" s="26"/>
      <c r="E17" s="26"/>
      <c r="F17" s="3"/>
      <c r="G17" s="26"/>
      <c r="H17" s="26"/>
      <c r="I17" s="26"/>
      <c r="J17" s="26"/>
      <c r="K17" s="3"/>
      <c r="L17" s="26"/>
      <c r="M17" s="26"/>
      <c r="N17" s="26"/>
      <c r="O17" s="26"/>
      <c r="P17" s="3"/>
      <c r="Q17" s="3"/>
      <c r="R17" s="26"/>
      <c r="S17" s="26"/>
      <c r="T17" s="26"/>
      <c r="U17" s="26"/>
      <c r="V17" s="26"/>
      <c r="W17" s="26"/>
    </row>
    <row x14ac:dyDescent="0.25" r="18" customHeight="1" ht="18.75">
      <c r="A18" s="12"/>
      <c r="B18" s="26"/>
      <c r="C18" s="26"/>
      <c r="D18" s="26"/>
      <c r="E18" s="26"/>
      <c r="F18" s="3"/>
      <c r="G18" s="26"/>
      <c r="H18" s="26"/>
      <c r="I18" s="26"/>
      <c r="J18" s="26"/>
      <c r="K18" s="3"/>
      <c r="L18" s="26"/>
      <c r="M18" s="26"/>
      <c r="N18" s="26"/>
      <c r="O18" s="26"/>
      <c r="P18" s="3"/>
      <c r="Q18" s="3"/>
      <c r="R18" s="26"/>
      <c r="S18" s="26"/>
      <c r="T18" s="26"/>
      <c r="U18" s="26"/>
      <c r="V18" s="26"/>
      <c r="W18" s="26"/>
    </row>
    <row x14ac:dyDescent="0.25" r="19" customHeight="1" ht="18.75">
      <c r="A19" s="12"/>
      <c r="B19" s="13" t="s">
        <v>47</v>
      </c>
      <c r="C19" s="14"/>
      <c r="D19" s="14"/>
      <c r="E19" s="14"/>
      <c r="F19" s="3"/>
      <c r="G19" s="15" t="s">
        <v>48</v>
      </c>
      <c r="H19" s="14"/>
      <c r="I19" s="14"/>
      <c r="J19" s="14"/>
      <c r="K19" s="3"/>
      <c r="L19" s="13" t="s">
        <v>49</v>
      </c>
      <c r="M19" s="14"/>
      <c r="N19" s="14"/>
      <c r="O19" s="14"/>
      <c r="P19" s="3"/>
      <c r="Q19" s="3"/>
      <c r="R19" s="26"/>
      <c r="S19" s="26"/>
      <c r="T19" s="26"/>
      <c r="U19" s="26"/>
      <c r="V19" s="26"/>
      <c r="W19" s="26"/>
    </row>
    <row x14ac:dyDescent="0.25" r="20" customHeight="1" ht="18.75">
      <c r="A20" s="17" t="s">
        <v>31</v>
      </c>
      <c r="B20" s="18">
        <v>2022.1</v>
      </c>
      <c r="C20" s="18">
        <v>2022.2</v>
      </c>
      <c r="D20" s="18">
        <v>2023.1</v>
      </c>
      <c r="E20" s="18">
        <v>2023.2</v>
      </c>
      <c r="F20" s="3"/>
      <c r="G20" s="18">
        <v>2022.1</v>
      </c>
      <c r="H20" s="18">
        <v>2022.2</v>
      </c>
      <c r="I20" s="18">
        <v>2023.1</v>
      </c>
      <c r="J20" s="18">
        <v>2023.2</v>
      </c>
      <c r="K20" s="3"/>
      <c r="L20" s="18">
        <v>2022.1</v>
      </c>
      <c r="M20" s="18">
        <v>2022.2</v>
      </c>
      <c r="N20" s="18">
        <v>2023.1</v>
      </c>
      <c r="O20" s="18">
        <v>2023.2</v>
      </c>
      <c r="P20" s="3"/>
      <c r="Q20" s="3"/>
      <c r="R20" s="26"/>
      <c r="S20" s="26"/>
      <c r="T20" s="26"/>
      <c r="U20" s="26"/>
      <c r="V20" s="26"/>
      <c r="W20" s="26"/>
    </row>
    <row x14ac:dyDescent="0.25" r="21" customHeight="1" ht="18.75">
      <c r="A21" s="17" t="s">
        <v>35</v>
      </c>
      <c r="B21" s="21">
        <v>0</v>
      </c>
      <c r="C21" s="21">
        <v>0</v>
      </c>
      <c r="D21" s="19">
        <v>1066.88</v>
      </c>
      <c r="E21" s="21">
        <v>0</v>
      </c>
      <c r="F21" s="3"/>
      <c r="G21" s="20">
        <v>0</v>
      </c>
      <c r="H21" s="20">
        <v>0</v>
      </c>
      <c r="I21" s="20">
        <f>5049.16+1645.85</f>
      </c>
      <c r="J21" s="20">
        <v>0</v>
      </c>
      <c r="K21" s="3"/>
      <c r="L21" s="21">
        <v>0</v>
      </c>
      <c r="M21" s="21">
        <v>0</v>
      </c>
      <c r="N21" s="21">
        <v>1</v>
      </c>
      <c r="O21" s="21">
        <v>0</v>
      </c>
      <c r="P21" s="3"/>
      <c r="Q21" s="3"/>
      <c r="R21" s="26"/>
      <c r="S21" s="26"/>
      <c r="T21" s="26"/>
      <c r="U21" s="26"/>
      <c r="V21" s="26"/>
      <c r="W21" s="26"/>
    </row>
    <row x14ac:dyDescent="0.25" r="22" customHeight="1" ht="18.75">
      <c r="A22" s="17" t="s">
        <v>36</v>
      </c>
      <c r="B22" s="22">
        <f>B21/'Resultados Aplicação do Modelo'!$D$2</f>
      </c>
      <c r="C22" s="22">
        <f>C21/'Resultados Aplicação do Modelo'!$G$2</f>
      </c>
      <c r="D22" s="22">
        <f>D21/'Resultados Aplicação do Modelo'!$J$2</f>
      </c>
      <c r="E22" s="22">
        <f>E21/'Resultados Aplicação do Modelo'!$M$2</f>
      </c>
      <c r="F22" s="3"/>
      <c r="G22" s="22">
        <f>G16/(SUM('Resultados Aplicação do Modelo'!$D$9:$D$10))</f>
      </c>
      <c r="H22" s="22">
        <f>H21/(SUM('Resultados Aplicação do Modelo'!$F$9:$F$10))</f>
      </c>
      <c r="I22" s="22">
        <f>I21/(SUM('Resultados Aplicação do Modelo'!$J$9:$J$10))</f>
      </c>
      <c r="J22" s="22">
        <f>J21/(SUM('Resultados Aplicação do Modelo'!$M$9:$M$10))</f>
      </c>
      <c r="K22" s="3"/>
      <c r="L22" s="22">
        <f>L21/'Resultados Aplicação do Modelo'!$D$6</f>
      </c>
      <c r="M22" s="22">
        <f>M21/'Resultados Aplicação do Modelo'!$G$6</f>
      </c>
      <c r="N22" s="22">
        <f>N21/(SUM('Resultados Aplicação do Modelo'!$J$6))</f>
      </c>
      <c r="O22" s="22">
        <f>O21/(SUM('Resultados Aplicação do Modelo'!$M$6))</f>
      </c>
      <c r="P22" s="3"/>
      <c r="Q22" s="3"/>
      <c r="R22" s="26"/>
      <c r="S22" s="26"/>
      <c r="T22" s="26"/>
      <c r="U22" s="26"/>
      <c r="V22" s="26"/>
      <c r="W22" s="26"/>
    </row>
  </sheetData>
  <mergeCells count="14">
    <mergeCell ref="B1:E1"/>
    <mergeCell ref="G1:J1"/>
    <mergeCell ref="L1:O1"/>
    <mergeCell ref="R1:T1"/>
    <mergeCell ref="U1:W1"/>
    <mergeCell ref="B6:E6"/>
    <mergeCell ref="G6:J6"/>
    <mergeCell ref="L6:O6"/>
    <mergeCell ref="B11:E11"/>
    <mergeCell ref="G11:J11"/>
    <mergeCell ref="L11:O11"/>
    <mergeCell ref="B19:E19"/>
    <mergeCell ref="G19:J19"/>
    <mergeCell ref="L19:O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"/>
  <sheetViews>
    <sheetView workbookViewId="0"/>
  </sheetViews>
  <sheetFormatPr defaultRowHeight="15" x14ac:dyDescent="0.25"/>
  <cols>
    <col min="1" max="1" style="10" width="27.290714285714284" customWidth="1" bestFit="1"/>
    <col min="2" max="2" style="11" width="46.43357142857143" customWidth="1" bestFit="1"/>
    <col min="3" max="3" style="11" width="50.86214285714286" customWidth="1" bestFit="1"/>
    <col min="4" max="4" style="11" width="44.71928571428572" customWidth="1" bestFit="1"/>
    <col min="5" max="5" style="11" width="52.29071428571429" customWidth="1" bestFit="1"/>
    <col min="6" max="6" style="11" width="52.29071428571429" customWidth="1" bestFit="1"/>
    <col min="7" max="7" style="11" width="10.290714285714287" customWidth="1" bestFit="1"/>
    <col min="8" max="8" style="11" width="26.14785714285714" customWidth="1" bestFit="1"/>
    <col min="9" max="9" style="11" width="16.290714285714284" customWidth="1" bestFit="1"/>
    <col min="10" max="10" style="11" width="15.43357142857143" customWidth="1" bestFit="1"/>
  </cols>
  <sheetData>
    <row x14ac:dyDescent="0.25" r="1" customHeight="1" ht="18.75">
      <c r="A1" s="4" t="s">
        <v>23</v>
      </c>
      <c r="B1" s="5" t="s">
        <v>24</v>
      </c>
      <c r="C1" s="5"/>
      <c r="D1" s="5"/>
      <c r="E1" s="5"/>
      <c r="F1" s="5"/>
      <c r="G1" s="5"/>
      <c r="H1" s="5"/>
      <c r="I1" s="5"/>
      <c r="J1" s="5"/>
    </row>
    <row x14ac:dyDescent="0.25" r="2" customHeight="1" ht="18.75">
      <c r="A2" s="4" t="s">
        <v>25</v>
      </c>
      <c r="B2" s="5" t="s">
        <v>11</v>
      </c>
      <c r="C2" s="5" t="s">
        <v>13</v>
      </c>
      <c r="D2" s="5" t="s">
        <v>10</v>
      </c>
      <c r="E2" s="5" t="s">
        <v>12</v>
      </c>
      <c r="F2" s="5" t="s">
        <v>16</v>
      </c>
      <c r="G2" s="5" t="s">
        <v>19</v>
      </c>
      <c r="H2" s="5" t="s">
        <v>17</v>
      </c>
      <c r="I2" s="5" t="s">
        <v>18</v>
      </c>
      <c r="J2" s="5" t="s">
        <v>21</v>
      </c>
    </row>
    <row x14ac:dyDescent="0.25" r="3" customHeight="1" ht="18.75">
      <c r="A3" s="6" t="s">
        <v>0</v>
      </c>
      <c r="B3" s="7">
        <v>16</v>
      </c>
      <c r="C3" s="7">
        <v>17</v>
      </c>
      <c r="D3" s="7">
        <v>24</v>
      </c>
      <c r="E3" s="7">
        <v>16</v>
      </c>
      <c r="F3" s="7">
        <v>6</v>
      </c>
      <c r="G3" s="7">
        <v>0</v>
      </c>
      <c r="H3" s="7">
        <v>0</v>
      </c>
      <c r="I3" s="7">
        <v>0</v>
      </c>
      <c r="J3" s="7">
        <v>79</v>
      </c>
    </row>
    <row x14ac:dyDescent="0.25" r="4" customHeight="1" ht="18.75">
      <c r="A4" s="6" t="s">
        <v>2</v>
      </c>
      <c r="B4" s="7">
        <v>147</v>
      </c>
      <c r="C4" s="7">
        <v>37</v>
      </c>
      <c r="D4" s="7">
        <v>6</v>
      </c>
      <c r="E4" s="7">
        <v>17</v>
      </c>
      <c r="F4" s="7">
        <v>15</v>
      </c>
      <c r="G4" s="7">
        <v>5</v>
      </c>
      <c r="H4" s="7">
        <v>2</v>
      </c>
      <c r="I4" s="7">
        <v>0</v>
      </c>
      <c r="J4" s="7">
        <v>229</v>
      </c>
    </row>
    <row x14ac:dyDescent="0.25" r="5" customHeight="1" ht="18.75">
      <c r="A5" s="6" t="s">
        <v>3</v>
      </c>
      <c r="B5" s="7">
        <v>21</v>
      </c>
      <c r="C5" s="7">
        <v>22</v>
      </c>
      <c r="D5" s="7">
        <v>25</v>
      </c>
      <c r="E5" s="7">
        <v>18</v>
      </c>
      <c r="F5" s="7">
        <v>7</v>
      </c>
      <c r="G5" s="7">
        <v>0</v>
      </c>
      <c r="H5" s="7">
        <v>0</v>
      </c>
      <c r="I5" s="7">
        <v>0</v>
      </c>
      <c r="J5" s="7">
        <v>93</v>
      </c>
    </row>
    <row x14ac:dyDescent="0.25" r="6" customHeight="1" ht="18.75">
      <c r="A6" s="6" t="s">
        <v>4</v>
      </c>
      <c r="B6" s="7">
        <v>216</v>
      </c>
      <c r="C6" s="7">
        <v>85</v>
      </c>
      <c r="D6" s="7">
        <v>29</v>
      </c>
      <c r="E6" s="7">
        <v>31</v>
      </c>
      <c r="F6" s="7">
        <v>23</v>
      </c>
      <c r="G6" s="7">
        <v>20</v>
      </c>
      <c r="H6" s="7">
        <v>5</v>
      </c>
      <c r="I6" s="7">
        <v>5</v>
      </c>
      <c r="J6" s="7">
        <v>414</v>
      </c>
    </row>
    <row x14ac:dyDescent="0.25" r="7" customHeight="1" ht="18.75">
      <c r="A7" s="6" t="s">
        <v>21</v>
      </c>
      <c r="B7" s="7">
        <v>400</v>
      </c>
      <c r="C7" s="7">
        <v>161</v>
      </c>
      <c r="D7" s="7">
        <v>84</v>
      </c>
      <c r="E7" s="7">
        <v>82</v>
      </c>
      <c r="F7" s="7">
        <v>51</v>
      </c>
      <c r="G7" s="7">
        <v>25</v>
      </c>
      <c r="H7" s="7">
        <v>7</v>
      </c>
      <c r="I7" s="7">
        <v>5</v>
      </c>
      <c r="J7" s="7">
        <v>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32"/>
  <sheetViews>
    <sheetView workbookViewId="0"/>
  </sheetViews>
  <sheetFormatPr defaultRowHeight="15" x14ac:dyDescent="0.25"/>
  <cols>
    <col min="1" max="1" style="8" width="38.43357142857143" customWidth="1" bestFit="1"/>
    <col min="2" max="2" style="9" width="3.005" customWidth="1" bestFit="1"/>
    <col min="3" max="3" style="8" width="38.43357142857143" customWidth="1" bestFit="1"/>
    <col min="4" max="4" style="9" width="4.005" customWidth="1" bestFit="1"/>
    <col min="5" max="5" style="8" width="38.43357142857143" customWidth="1" bestFit="1"/>
    <col min="6" max="6" style="9" width="3.005" customWidth="1" bestFit="1"/>
    <col min="7" max="7" style="8" width="38.43357142857143" customWidth="1" bestFit="1"/>
    <col min="8" max="8" style="9" width="4.005" customWidth="1" bestFit="1"/>
    <col min="9" max="9" style="8" width="13.576428571428572" customWidth="1" bestFit="1"/>
    <col min="10" max="10" style="8" width="39.29071428571429" customWidth="1" bestFit="1"/>
    <col min="11" max="11" style="9" width="3.005" customWidth="1" bestFit="1"/>
    <col min="12" max="12" style="8" width="39.29071428571429" customWidth="1" bestFit="1"/>
    <col min="13" max="13" style="9" width="4.005" customWidth="1" bestFit="1"/>
    <col min="14" max="14" style="8" width="39.29071428571429" customWidth="1" bestFit="1"/>
    <col min="15" max="15" style="9" width="3.005" customWidth="1" bestFit="1"/>
    <col min="16" max="16" style="10" width="39.29071428571429" customWidth="1" bestFit="1"/>
    <col min="17" max="17" style="11" width="4.005" customWidth="1" bestFit="1"/>
    <col min="18" max="18" style="8" width="13.576428571428572" customWidth="1" bestFit="1"/>
    <col min="19" max="19" style="8" width="35.86214285714286" customWidth="1" bestFit="1"/>
    <col min="20" max="20" style="9" width="4.005" customWidth="1" bestFit="1"/>
    <col min="21" max="21" style="8" width="8.719285714285713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1</v>
      </c>
      <c r="E1" s="3" t="s">
        <v>3</v>
      </c>
      <c r="F1" s="2" t="s">
        <v>1</v>
      </c>
      <c r="G1" s="3" t="s">
        <v>4</v>
      </c>
      <c r="H1" s="2" t="s">
        <v>1</v>
      </c>
      <c r="I1" s="3"/>
      <c r="J1" s="1" t="s">
        <v>0</v>
      </c>
      <c r="K1" s="2" t="s">
        <v>1</v>
      </c>
      <c r="L1" s="1" t="s">
        <v>2</v>
      </c>
      <c r="M1" s="2" t="s">
        <v>1</v>
      </c>
      <c r="N1" s="3" t="s">
        <v>3</v>
      </c>
      <c r="O1" s="2" t="s">
        <v>1</v>
      </c>
      <c r="P1" s="4" t="s">
        <v>4</v>
      </c>
      <c r="Q1" s="5" t="s">
        <v>1</v>
      </c>
      <c r="R1" s="3"/>
      <c r="S1" s="3" t="s">
        <v>5</v>
      </c>
      <c r="T1" s="2" t="s">
        <v>6</v>
      </c>
      <c r="U1" s="3" t="s">
        <v>7</v>
      </c>
    </row>
    <row x14ac:dyDescent="0.25" r="2" customHeight="1" ht="18.75">
      <c r="A2" s="6" t="s">
        <v>8</v>
      </c>
      <c r="B2" s="7">
        <v>35</v>
      </c>
      <c r="C2" s="6" t="s">
        <v>9</v>
      </c>
      <c r="D2" s="7">
        <v>111</v>
      </c>
      <c r="E2" s="6" t="s">
        <v>8</v>
      </c>
      <c r="F2" s="7">
        <v>43</v>
      </c>
      <c r="G2" s="6" t="s">
        <v>9</v>
      </c>
      <c r="H2" s="7">
        <v>178</v>
      </c>
      <c r="I2" s="3"/>
      <c r="J2" s="6" t="s">
        <v>10</v>
      </c>
      <c r="K2" s="7">
        <v>24</v>
      </c>
      <c r="L2" s="6" t="s">
        <v>11</v>
      </c>
      <c r="M2" s="7">
        <v>147</v>
      </c>
      <c r="N2" s="6" t="s">
        <v>10</v>
      </c>
      <c r="O2" s="7">
        <v>25</v>
      </c>
      <c r="P2" s="6" t="s">
        <v>11</v>
      </c>
      <c r="Q2" s="7">
        <v>216</v>
      </c>
      <c r="R2" s="3"/>
      <c r="S2" s="3" t="s">
        <v>10</v>
      </c>
      <c r="T2" s="7">
        <v>24</v>
      </c>
      <c r="U2" s="3" t="s">
        <v>0</v>
      </c>
    </row>
    <row x14ac:dyDescent="0.25" r="3" customHeight="1" ht="18.75">
      <c r="A3" s="6" t="s">
        <v>12</v>
      </c>
      <c r="B3" s="7">
        <v>16</v>
      </c>
      <c r="C3" s="6" t="s">
        <v>11</v>
      </c>
      <c r="D3" s="7">
        <v>99</v>
      </c>
      <c r="E3" s="6" t="s">
        <v>13</v>
      </c>
      <c r="F3" s="7">
        <v>21</v>
      </c>
      <c r="G3" s="6" t="s">
        <v>11</v>
      </c>
      <c r="H3" s="7">
        <v>128</v>
      </c>
      <c r="I3" s="3"/>
      <c r="J3" s="6" t="s">
        <v>14</v>
      </c>
      <c r="K3" s="7">
        <v>12</v>
      </c>
      <c r="L3" s="6" t="s">
        <v>9</v>
      </c>
      <c r="M3" s="7">
        <v>99</v>
      </c>
      <c r="N3" s="6" t="s">
        <v>9</v>
      </c>
      <c r="O3" s="7">
        <v>12</v>
      </c>
      <c r="P3" s="6" t="s">
        <v>9</v>
      </c>
      <c r="Q3" s="7">
        <v>128</v>
      </c>
      <c r="R3" s="3"/>
      <c r="S3" s="3" t="s">
        <v>13</v>
      </c>
      <c r="T3" s="7">
        <v>17</v>
      </c>
      <c r="U3" s="3" t="s">
        <v>0</v>
      </c>
    </row>
    <row x14ac:dyDescent="0.25" r="4" customHeight="1" ht="18.75">
      <c r="A4" s="6" t="s">
        <v>13</v>
      </c>
      <c r="B4" s="7">
        <v>16</v>
      </c>
      <c r="C4" s="6" t="s">
        <v>13</v>
      </c>
      <c r="D4" s="7">
        <v>5</v>
      </c>
      <c r="E4" s="6" t="s">
        <v>12</v>
      </c>
      <c r="F4" s="7">
        <v>18</v>
      </c>
      <c r="G4" s="6" t="s">
        <v>10</v>
      </c>
      <c r="H4" s="7">
        <v>21</v>
      </c>
      <c r="I4" s="3"/>
      <c r="J4" s="6" t="s">
        <v>9</v>
      </c>
      <c r="K4" s="7">
        <v>11</v>
      </c>
      <c r="L4" s="6" t="s">
        <v>15</v>
      </c>
      <c r="M4" s="7">
        <v>30</v>
      </c>
      <c r="N4" s="6" t="s">
        <v>14</v>
      </c>
      <c r="O4" s="7">
        <v>12</v>
      </c>
      <c r="P4" s="6" t="s">
        <v>15</v>
      </c>
      <c r="Q4" s="7">
        <v>53</v>
      </c>
      <c r="R4" s="3"/>
      <c r="S4" s="3" t="s">
        <v>12</v>
      </c>
      <c r="T4" s="7">
        <v>16</v>
      </c>
      <c r="U4" s="3" t="s">
        <v>0</v>
      </c>
    </row>
    <row x14ac:dyDescent="0.25" r="5" customHeight="1" ht="18.75">
      <c r="A5" s="6" t="s">
        <v>16</v>
      </c>
      <c r="B5" s="7">
        <v>2</v>
      </c>
      <c r="C5" s="6" t="s">
        <v>16</v>
      </c>
      <c r="D5" s="7">
        <v>3</v>
      </c>
      <c r="E5" s="6" t="s">
        <v>16</v>
      </c>
      <c r="F5" s="7">
        <v>3</v>
      </c>
      <c r="G5" s="6" t="s">
        <v>13</v>
      </c>
      <c r="H5" s="7">
        <v>14</v>
      </c>
      <c r="I5" s="3"/>
      <c r="J5" s="6" t="s">
        <v>8</v>
      </c>
      <c r="K5" s="7">
        <v>1</v>
      </c>
      <c r="L5" s="6" t="s">
        <v>14</v>
      </c>
      <c r="M5" s="7">
        <v>17</v>
      </c>
      <c r="N5" s="6" t="s">
        <v>8</v>
      </c>
      <c r="O5" s="7">
        <v>1</v>
      </c>
      <c r="P5" s="6" t="s">
        <v>8</v>
      </c>
      <c r="Q5" s="7">
        <v>19</v>
      </c>
      <c r="R5" s="3"/>
      <c r="S5" s="3" t="s">
        <v>11</v>
      </c>
      <c r="T5" s="7">
        <v>16</v>
      </c>
      <c r="U5" s="3" t="s">
        <v>0</v>
      </c>
    </row>
    <row x14ac:dyDescent="0.25" r="6" customHeight="1" ht="18.75">
      <c r="A6" s="6" t="s">
        <v>10</v>
      </c>
      <c r="B6" s="7">
        <v>1</v>
      </c>
      <c r="C6" s="6" t="s">
        <v>10</v>
      </c>
      <c r="D6" s="7">
        <v>2</v>
      </c>
      <c r="E6" s="6" t="s">
        <v>10</v>
      </c>
      <c r="F6" s="7">
        <v>1</v>
      </c>
      <c r="G6" s="6" t="s">
        <v>12</v>
      </c>
      <c r="H6" s="7">
        <v>6</v>
      </c>
      <c r="I6" s="3"/>
      <c r="J6" s="6" t="s">
        <v>13</v>
      </c>
      <c r="K6" s="7">
        <v>17</v>
      </c>
      <c r="L6" s="6" t="s">
        <v>8</v>
      </c>
      <c r="M6" s="7">
        <v>1</v>
      </c>
      <c r="N6" s="6" t="s">
        <v>13</v>
      </c>
      <c r="O6" s="7">
        <v>22</v>
      </c>
      <c r="P6" s="6" t="s">
        <v>14</v>
      </c>
      <c r="Q6" s="7">
        <v>16</v>
      </c>
      <c r="R6" s="3"/>
      <c r="S6" s="3" t="s">
        <v>16</v>
      </c>
      <c r="T6" s="7">
        <v>6</v>
      </c>
      <c r="U6" s="3" t="s">
        <v>0</v>
      </c>
    </row>
    <row x14ac:dyDescent="0.25" r="7" customHeight="1" ht="18.75">
      <c r="A7" s="6" t="s">
        <v>9</v>
      </c>
      <c r="B7" s="7">
        <v>24</v>
      </c>
      <c r="C7" s="6" t="s">
        <v>17</v>
      </c>
      <c r="D7" s="7">
        <v>1</v>
      </c>
      <c r="E7" s="6" t="s">
        <v>9</v>
      </c>
      <c r="F7" s="7">
        <v>29</v>
      </c>
      <c r="G7" s="6" t="s">
        <v>16</v>
      </c>
      <c r="H7" s="7">
        <v>5</v>
      </c>
      <c r="I7" s="3"/>
      <c r="J7" s="6" t="s">
        <v>8</v>
      </c>
      <c r="K7" s="7">
        <v>16</v>
      </c>
      <c r="L7" s="6" t="s">
        <v>13</v>
      </c>
      <c r="M7" s="7">
        <v>37</v>
      </c>
      <c r="N7" s="6" t="s">
        <v>8</v>
      </c>
      <c r="O7" s="7">
        <v>21</v>
      </c>
      <c r="P7" s="6" t="s">
        <v>13</v>
      </c>
      <c r="Q7" s="7">
        <v>85</v>
      </c>
      <c r="R7" s="3"/>
      <c r="S7" s="3" t="s">
        <v>11</v>
      </c>
      <c r="T7" s="7">
        <v>147</v>
      </c>
      <c r="U7" s="3" t="s">
        <v>2</v>
      </c>
    </row>
    <row x14ac:dyDescent="0.25" r="8" customHeight="1" ht="18.75">
      <c r="A8" s="6" t="s">
        <v>10</v>
      </c>
      <c r="B8" s="7">
        <v>11</v>
      </c>
      <c r="C8" s="6" t="s">
        <v>12</v>
      </c>
      <c r="D8" s="7">
        <v>1</v>
      </c>
      <c r="E8" s="6" t="s">
        <v>11</v>
      </c>
      <c r="F8" s="7">
        <v>14</v>
      </c>
      <c r="G8" s="6" t="s">
        <v>17</v>
      </c>
      <c r="H8" s="7">
        <v>3</v>
      </c>
      <c r="I8" s="3"/>
      <c r="J8" s="6" t="s">
        <v>14</v>
      </c>
      <c r="K8" s="7">
        <v>1</v>
      </c>
      <c r="L8" s="6" t="s">
        <v>8</v>
      </c>
      <c r="M8" s="7">
        <v>17</v>
      </c>
      <c r="N8" s="6" t="s">
        <v>14</v>
      </c>
      <c r="O8" s="7">
        <v>1</v>
      </c>
      <c r="P8" s="6" t="s">
        <v>8</v>
      </c>
      <c r="Q8" s="7">
        <v>69</v>
      </c>
      <c r="R8" s="3"/>
      <c r="S8" s="3" t="s">
        <v>13</v>
      </c>
      <c r="T8" s="7">
        <v>37</v>
      </c>
      <c r="U8" s="3" t="s">
        <v>2</v>
      </c>
    </row>
    <row x14ac:dyDescent="0.25" r="9" customHeight="1" ht="18.75">
      <c r="A9" s="6" t="s">
        <v>11</v>
      </c>
      <c r="B9" s="7">
        <v>10</v>
      </c>
      <c r="C9" s="6" t="s">
        <v>8</v>
      </c>
      <c r="D9" s="7">
        <v>43</v>
      </c>
      <c r="E9" s="6" t="s">
        <v>10</v>
      </c>
      <c r="F9" s="7">
        <v>12</v>
      </c>
      <c r="G9" s="6" t="s">
        <v>18</v>
      </c>
      <c r="H9" s="7">
        <v>1</v>
      </c>
      <c r="I9" s="3"/>
      <c r="J9" s="6" t="s">
        <v>12</v>
      </c>
      <c r="K9" s="7">
        <v>16</v>
      </c>
      <c r="L9" s="6" t="s">
        <v>14</v>
      </c>
      <c r="M9" s="7">
        <v>15</v>
      </c>
      <c r="N9" s="6" t="s">
        <v>11</v>
      </c>
      <c r="O9" s="7">
        <v>21</v>
      </c>
      <c r="P9" s="6" t="s">
        <v>9</v>
      </c>
      <c r="Q9" s="7">
        <v>14</v>
      </c>
      <c r="R9" s="3"/>
      <c r="S9" s="3" t="s">
        <v>12</v>
      </c>
      <c r="T9" s="7">
        <v>17</v>
      </c>
      <c r="U9" s="3" t="s">
        <v>2</v>
      </c>
    </row>
    <row x14ac:dyDescent="0.25" r="10" customHeight="1" ht="18.75">
      <c r="A10" s="6" t="s">
        <v>16</v>
      </c>
      <c r="B10" s="7">
        <v>3</v>
      </c>
      <c r="C10" s="6" t="s">
        <v>13</v>
      </c>
      <c r="D10" s="7">
        <v>17</v>
      </c>
      <c r="E10" s="6" t="s">
        <v>16</v>
      </c>
      <c r="F10" s="7">
        <v>3</v>
      </c>
      <c r="G10" s="6" t="s">
        <v>8</v>
      </c>
      <c r="H10" s="7">
        <v>132</v>
      </c>
      <c r="I10" s="3"/>
      <c r="J10" s="6" t="s">
        <v>8</v>
      </c>
      <c r="K10" s="7">
        <v>16</v>
      </c>
      <c r="L10" s="6" t="s">
        <v>9</v>
      </c>
      <c r="M10" s="7">
        <v>5</v>
      </c>
      <c r="N10" s="6" t="s">
        <v>9</v>
      </c>
      <c r="O10" s="7">
        <v>14</v>
      </c>
      <c r="P10" s="6" t="s">
        <v>14</v>
      </c>
      <c r="Q10" s="7">
        <v>2</v>
      </c>
      <c r="R10" s="3"/>
      <c r="S10" s="3" t="s">
        <v>16</v>
      </c>
      <c r="T10" s="7">
        <v>15</v>
      </c>
      <c r="U10" s="3" t="s">
        <v>2</v>
      </c>
    </row>
    <row x14ac:dyDescent="0.25" r="11" customHeight="1" ht="18.75">
      <c r="A11" s="6" t="s">
        <v>14</v>
      </c>
      <c r="B11" s="7">
        <v>17</v>
      </c>
      <c r="C11" s="6" t="s">
        <v>12</v>
      </c>
      <c r="D11" s="7">
        <v>16</v>
      </c>
      <c r="E11" s="6" t="s">
        <v>14</v>
      </c>
      <c r="F11" s="7">
        <v>18</v>
      </c>
      <c r="G11" s="6" t="s">
        <v>13</v>
      </c>
      <c r="H11" s="7">
        <v>69</v>
      </c>
      <c r="I11" s="3"/>
      <c r="J11" s="6" t="s">
        <v>11</v>
      </c>
      <c r="K11" s="7">
        <v>16</v>
      </c>
      <c r="L11" s="6" t="s">
        <v>12</v>
      </c>
      <c r="M11" s="7">
        <v>17</v>
      </c>
      <c r="N11" s="6" t="s">
        <v>14</v>
      </c>
      <c r="O11" s="7">
        <v>4</v>
      </c>
      <c r="P11" s="6" t="s">
        <v>12</v>
      </c>
      <c r="Q11" s="7">
        <v>31</v>
      </c>
      <c r="R11" s="3"/>
      <c r="S11" s="3" t="s">
        <v>10</v>
      </c>
      <c r="T11" s="7">
        <v>6</v>
      </c>
      <c r="U11" s="3" t="s">
        <v>2</v>
      </c>
    </row>
    <row x14ac:dyDescent="0.25" r="12" customHeight="1" ht="18.75">
      <c r="A12" s="6" t="s">
        <v>10</v>
      </c>
      <c r="B12" s="7">
        <v>12</v>
      </c>
      <c r="C12" s="6" t="s">
        <v>16</v>
      </c>
      <c r="D12" s="7">
        <v>7</v>
      </c>
      <c r="E12" s="6" t="s">
        <v>10</v>
      </c>
      <c r="F12" s="7">
        <v>12</v>
      </c>
      <c r="G12" s="6" t="s">
        <v>12</v>
      </c>
      <c r="H12" s="7">
        <v>23</v>
      </c>
      <c r="I12" s="3"/>
      <c r="J12" s="6" t="s">
        <v>9</v>
      </c>
      <c r="K12" s="7">
        <v>10</v>
      </c>
      <c r="L12" s="6" t="s">
        <v>8</v>
      </c>
      <c r="M12" s="7">
        <v>16</v>
      </c>
      <c r="N12" s="6" t="s">
        <v>15</v>
      </c>
      <c r="O12" s="7">
        <v>3</v>
      </c>
      <c r="P12" s="6" t="s">
        <v>8</v>
      </c>
      <c r="Q12" s="7">
        <v>23</v>
      </c>
      <c r="R12" s="3"/>
      <c r="S12" s="3" t="s">
        <v>19</v>
      </c>
      <c r="T12" s="7">
        <v>5</v>
      </c>
      <c r="U12" s="3" t="s">
        <v>2</v>
      </c>
    </row>
    <row x14ac:dyDescent="0.25" r="13" customHeight="1" ht="18.75">
      <c r="A13" s="6" t="s">
        <v>11</v>
      </c>
      <c r="B13" s="7">
        <v>3</v>
      </c>
      <c r="C13" s="6" t="s">
        <v>19</v>
      </c>
      <c r="D13" s="7">
        <v>2</v>
      </c>
      <c r="E13" s="6" t="s">
        <v>11</v>
      </c>
      <c r="F13" s="7">
        <v>4</v>
      </c>
      <c r="G13" s="6" t="s">
        <v>11</v>
      </c>
      <c r="H13" s="7">
        <v>19</v>
      </c>
      <c r="I13" s="3"/>
      <c r="J13" s="6" t="s">
        <v>15</v>
      </c>
      <c r="K13" s="7">
        <v>3</v>
      </c>
      <c r="L13" s="6" t="s">
        <v>9</v>
      </c>
      <c r="M13" s="7">
        <v>1</v>
      </c>
      <c r="N13" s="6" t="s">
        <v>12</v>
      </c>
      <c r="O13" s="7">
        <v>18</v>
      </c>
      <c r="P13" s="6" t="s">
        <v>9</v>
      </c>
      <c r="Q13" s="7">
        <v>6</v>
      </c>
      <c r="R13" s="3"/>
      <c r="S13" s="3" t="s">
        <v>17</v>
      </c>
      <c r="T13" s="7">
        <v>2</v>
      </c>
      <c r="U13" s="3" t="s">
        <v>2</v>
      </c>
    </row>
    <row x14ac:dyDescent="0.25" r="14" customHeight="1" ht="18.75">
      <c r="A14" s="6" t="s">
        <v>16</v>
      </c>
      <c r="B14" s="7">
        <v>1</v>
      </c>
      <c r="C14" s="6" t="s">
        <v>11</v>
      </c>
      <c r="D14" s="7">
        <v>1</v>
      </c>
      <c r="E14" s="6" t="s">
        <v>13</v>
      </c>
      <c r="F14" s="7">
        <v>1</v>
      </c>
      <c r="G14" s="6" t="s">
        <v>16</v>
      </c>
      <c r="H14" s="7">
        <v>15</v>
      </c>
      <c r="I14" s="3"/>
      <c r="J14" s="6" t="s">
        <v>14</v>
      </c>
      <c r="K14" s="7">
        <v>3</v>
      </c>
      <c r="L14" s="6" t="s">
        <v>16</v>
      </c>
      <c r="M14" s="7">
        <v>15</v>
      </c>
      <c r="N14" s="6" t="s">
        <v>8</v>
      </c>
      <c r="O14" s="7">
        <v>18</v>
      </c>
      <c r="P14" s="6" t="s">
        <v>15</v>
      </c>
      <c r="Q14" s="7">
        <v>2</v>
      </c>
      <c r="R14" s="3"/>
      <c r="S14" s="3" t="s">
        <v>10</v>
      </c>
      <c r="T14" s="7">
        <v>25</v>
      </c>
      <c r="U14" s="3" t="s">
        <v>3</v>
      </c>
    </row>
    <row x14ac:dyDescent="0.25" r="15" customHeight="1" ht="18.75">
      <c r="A15" s="6" t="s">
        <v>13</v>
      </c>
      <c r="B15" s="7">
        <v>1</v>
      </c>
      <c r="C15" s="6" t="s">
        <v>14</v>
      </c>
      <c r="D15" s="7">
        <v>41</v>
      </c>
      <c r="E15" s="6" t="s">
        <v>16</v>
      </c>
      <c r="F15" s="7">
        <v>1</v>
      </c>
      <c r="G15" s="6" t="s">
        <v>19</v>
      </c>
      <c r="H15" s="7">
        <v>6</v>
      </c>
      <c r="I15" s="3"/>
      <c r="J15" s="6" t="s">
        <v>16</v>
      </c>
      <c r="K15" s="7">
        <v>6</v>
      </c>
      <c r="L15" s="6" t="s">
        <v>8</v>
      </c>
      <c r="M15" s="7">
        <v>7</v>
      </c>
      <c r="N15" s="6" t="s">
        <v>16</v>
      </c>
      <c r="O15" s="7">
        <v>7</v>
      </c>
      <c r="P15" s="6" t="s">
        <v>10</v>
      </c>
      <c r="Q15" s="7">
        <v>29</v>
      </c>
      <c r="R15" s="3"/>
      <c r="S15" s="3" t="s">
        <v>13</v>
      </c>
      <c r="T15" s="7">
        <v>22</v>
      </c>
      <c r="U15" s="3" t="s">
        <v>3</v>
      </c>
    </row>
    <row x14ac:dyDescent="0.25" r="16" customHeight="1" ht="18.75">
      <c r="A16" s="6" t="s">
        <v>15</v>
      </c>
      <c r="B16" s="7">
        <v>3</v>
      </c>
      <c r="C16" s="6" t="s">
        <v>11</v>
      </c>
      <c r="D16" s="7">
        <v>17</v>
      </c>
      <c r="E16" s="6" t="s">
        <v>15</v>
      </c>
      <c r="F16" s="7">
        <v>3</v>
      </c>
      <c r="G16" s="6" t="s">
        <v>15</v>
      </c>
      <c r="H16" s="7">
        <v>63</v>
      </c>
      <c r="I16" s="3"/>
      <c r="J16" s="6" t="s">
        <v>9</v>
      </c>
      <c r="K16" s="7">
        <v>3</v>
      </c>
      <c r="L16" s="6" t="s">
        <v>14</v>
      </c>
      <c r="M16" s="7">
        <v>4</v>
      </c>
      <c r="N16" s="6" t="s">
        <v>9</v>
      </c>
      <c r="O16" s="7">
        <v>3</v>
      </c>
      <c r="P16" s="6" t="s">
        <v>9</v>
      </c>
      <c r="Q16" s="7">
        <v>21</v>
      </c>
      <c r="R16" s="3"/>
      <c r="S16" s="3" t="s">
        <v>11</v>
      </c>
      <c r="T16" s="7">
        <v>21</v>
      </c>
      <c r="U16" s="3" t="s">
        <v>3</v>
      </c>
    </row>
    <row x14ac:dyDescent="0.25" r="17" customHeight="1" ht="18.75">
      <c r="A17" s="6" t="s">
        <v>11</v>
      </c>
      <c r="B17" s="7">
        <v>3</v>
      </c>
      <c r="C17" s="6" t="s">
        <v>13</v>
      </c>
      <c r="D17" s="7">
        <v>15</v>
      </c>
      <c r="E17" s="6" t="s">
        <v>11</v>
      </c>
      <c r="F17" s="7">
        <v>3</v>
      </c>
      <c r="G17" s="6" t="s">
        <v>11</v>
      </c>
      <c r="H17" s="7">
        <v>53</v>
      </c>
      <c r="I17" s="3"/>
      <c r="J17" s="6" t="s">
        <v>8</v>
      </c>
      <c r="K17" s="7">
        <v>2</v>
      </c>
      <c r="L17" s="6" t="s">
        <v>9</v>
      </c>
      <c r="M17" s="7">
        <v>3</v>
      </c>
      <c r="N17" s="6" t="s">
        <v>8</v>
      </c>
      <c r="O17" s="7">
        <v>3</v>
      </c>
      <c r="P17" s="6" t="s">
        <v>14</v>
      </c>
      <c r="Q17" s="7">
        <v>8</v>
      </c>
      <c r="R17" s="3"/>
      <c r="S17" s="3" t="s">
        <v>12</v>
      </c>
      <c r="T17" s="7">
        <v>18</v>
      </c>
      <c r="U17" s="3" t="s">
        <v>3</v>
      </c>
    </row>
    <row x14ac:dyDescent="0.25" r="18" customHeight="1" ht="18.75">
      <c r="A18" s="6" t="s">
        <v>20</v>
      </c>
      <c r="B18" s="7">
        <v>79</v>
      </c>
      <c r="C18" s="6" t="s">
        <v>16</v>
      </c>
      <c r="D18" s="7">
        <v>4</v>
      </c>
      <c r="E18" s="6" t="s">
        <v>21</v>
      </c>
      <c r="F18" s="7">
        <v>93</v>
      </c>
      <c r="G18" s="6" t="s">
        <v>18</v>
      </c>
      <c r="H18" s="7">
        <v>4</v>
      </c>
      <c r="I18" s="3"/>
      <c r="J18" s="6" t="s">
        <v>14</v>
      </c>
      <c r="K18" s="7">
        <v>1</v>
      </c>
      <c r="L18" s="6" t="s">
        <v>15</v>
      </c>
      <c r="M18" s="7">
        <v>1</v>
      </c>
      <c r="N18" s="6" t="s">
        <v>14</v>
      </c>
      <c r="O18" s="7">
        <v>1</v>
      </c>
      <c r="P18" s="6" t="s">
        <v>16</v>
      </c>
      <c r="Q18" s="7">
        <v>23</v>
      </c>
      <c r="R18" s="3"/>
      <c r="S18" s="3" t="s">
        <v>16</v>
      </c>
      <c r="T18" s="7">
        <v>7</v>
      </c>
      <c r="U18" s="3" t="s">
        <v>3</v>
      </c>
    </row>
    <row x14ac:dyDescent="0.25" r="19" customHeight="1" ht="18.75">
      <c r="A19" s="3"/>
      <c r="B19" s="5"/>
      <c r="C19" s="6" t="s">
        <v>10</v>
      </c>
      <c r="D19" s="7">
        <v>4</v>
      </c>
      <c r="E19" s="3"/>
      <c r="F19" s="5"/>
      <c r="G19" s="6" t="s">
        <v>12</v>
      </c>
      <c r="H19" s="7">
        <v>2</v>
      </c>
      <c r="I19" s="3"/>
      <c r="J19" s="6" t="s">
        <v>20</v>
      </c>
      <c r="K19" s="7">
        <v>79</v>
      </c>
      <c r="L19" s="6" t="s">
        <v>10</v>
      </c>
      <c r="M19" s="7">
        <v>6</v>
      </c>
      <c r="N19" s="6" t="s">
        <v>21</v>
      </c>
      <c r="O19" s="7">
        <v>93</v>
      </c>
      <c r="P19" s="6" t="s">
        <v>8</v>
      </c>
      <c r="Q19" s="7">
        <v>15</v>
      </c>
      <c r="R19" s="3"/>
      <c r="S19" s="3" t="s">
        <v>11</v>
      </c>
      <c r="T19" s="7">
        <v>216</v>
      </c>
      <c r="U19" s="3" t="s">
        <v>4</v>
      </c>
    </row>
    <row x14ac:dyDescent="0.25" r="20" customHeight="1" ht="18.75">
      <c r="A20" s="3"/>
      <c r="B20" s="5"/>
      <c r="C20" s="6" t="s">
        <v>19</v>
      </c>
      <c r="D20" s="7">
        <v>1</v>
      </c>
      <c r="E20" s="3"/>
      <c r="F20" s="5"/>
      <c r="G20" s="6" t="s">
        <v>17</v>
      </c>
      <c r="H20" s="7">
        <v>2</v>
      </c>
      <c r="I20" s="3"/>
      <c r="J20" s="3"/>
      <c r="K20" s="5"/>
      <c r="L20" s="6" t="s">
        <v>14</v>
      </c>
      <c r="M20" s="7">
        <v>4</v>
      </c>
      <c r="N20" s="3"/>
      <c r="O20" s="5"/>
      <c r="P20" s="6" t="s">
        <v>9</v>
      </c>
      <c r="Q20" s="7">
        <v>5</v>
      </c>
      <c r="R20" s="3"/>
      <c r="S20" s="3" t="s">
        <v>13</v>
      </c>
      <c r="T20" s="7">
        <v>85</v>
      </c>
      <c r="U20" s="3" t="s">
        <v>4</v>
      </c>
    </row>
    <row x14ac:dyDescent="0.25" r="21" customHeight="1" ht="18.75">
      <c r="A21" s="3"/>
      <c r="B21" s="5"/>
      <c r="C21" s="6" t="s">
        <v>15</v>
      </c>
      <c r="D21" s="7">
        <v>34</v>
      </c>
      <c r="E21" s="3"/>
      <c r="F21" s="5"/>
      <c r="G21" s="6" t="s">
        <v>16</v>
      </c>
      <c r="H21" s="7">
        <v>2</v>
      </c>
      <c r="I21" s="3"/>
      <c r="J21" s="3"/>
      <c r="K21" s="5"/>
      <c r="L21" s="6" t="s">
        <v>9</v>
      </c>
      <c r="M21" s="7">
        <v>2</v>
      </c>
      <c r="N21" s="3"/>
      <c r="O21" s="5"/>
      <c r="P21" s="6" t="s">
        <v>15</v>
      </c>
      <c r="Q21" s="7">
        <v>2</v>
      </c>
      <c r="R21" s="3"/>
      <c r="S21" s="3" t="s">
        <v>12</v>
      </c>
      <c r="T21" s="7">
        <v>31</v>
      </c>
      <c r="U21" s="3" t="s">
        <v>4</v>
      </c>
    </row>
    <row x14ac:dyDescent="0.25" r="22" customHeight="1" ht="18.75">
      <c r="A22" s="3"/>
      <c r="B22" s="5"/>
      <c r="C22" s="6" t="s">
        <v>11</v>
      </c>
      <c r="D22" s="7">
        <v>30</v>
      </c>
      <c r="E22" s="3"/>
      <c r="F22" s="5"/>
      <c r="G22" s="6" t="s">
        <v>14</v>
      </c>
      <c r="H22" s="7">
        <v>41</v>
      </c>
      <c r="I22" s="3"/>
      <c r="J22" s="3"/>
      <c r="K22" s="5"/>
      <c r="L22" s="6" t="s">
        <v>19</v>
      </c>
      <c r="M22" s="7">
        <v>5</v>
      </c>
      <c r="N22" s="3"/>
      <c r="O22" s="5"/>
      <c r="P22" s="6" t="s">
        <v>14</v>
      </c>
      <c r="Q22" s="7">
        <v>1</v>
      </c>
      <c r="R22" s="3"/>
      <c r="S22" s="3" t="s">
        <v>10</v>
      </c>
      <c r="T22" s="7">
        <v>29</v>
      </c>
      <c r="U22" s="3" t="s">
        <v>4</v>
      </c>
    </row>
    <row x14ac:dyDescent="0.25" r="23" customHeight="1" ht="18.75">
      <c r="A23" s="3"/>
      <c r="B23" s="5"/>
      <c r="C23" s="6" t="s">
        <v>19</v>
      </c>
      <c r="D23" s="7">
        <v>2</v>
      </c>
      <c r="E23" s="3"/>
      <c r="F23" s="5"/>
      <c r="G23" s="6" t="s">
        <v>11</v>
      </c>
      <c r="H23" s="7">
        <v>16</v>
      </c>
      <c r="I23" s="3"/>
      <c r="J23" s="3"/>
      <c r="K23" s="5"/>
      <c r="L23" s="6" t="s">
        <v>8</v>
      </c>
      <c r="M23" s="7">
        <v>2</v>
      </c>
      <c r="N23" s="3"/>
      <c r="O23" s="5"/>
      <c r="P23" s="6" t="s">
        <v>19</v>
      </c>
      <c r="Q23" s="7">
        <v>20</v>
      </c>
      <c r="R23" s="3"/>
      <c r="S23" s="3" t="s">
        <v>16</v>
      </c>
      <c r="T23" s="7">
        <v>23</v>
      </c>
      <c r="U23" s="3" t="s">
        <v>4</v>
      </c>
    </row>
    <row x14ac:dyDescent="0.25" r="24" customHeight="1" ht="18.75">
      <c r="A24" s="3"/>
      <c r="B24" s="5"/>
      <c r="C24" s="6" t="s">
        <v>16</v>
      </c>
      <c r="D24" s="7">
        <v>1</v>
      </c>
      <c r="E24" s="3"/>
      <c r="F24" s="5"/>
      <c r="G24" s="6" t="s">
        <v>19</v>
      </c>
      <c r="H24" s="7">
        <v>14</v>
      </c>
      <c r="I24" s="3"/>
      <c r="J24" s="3"/>
      <c r="K24" s="5"/>
      <c r="L24" s="6" t="s">
        <v>15</v>
      </c>
      <c r="M24" s="7">
        <v>2</v>
      </c>
      <c r="N24" s="3"/>
      <c r="O24" s="5"/>
      <c r="P24" s="6" t="s">
        <v>14</v>
      </c>
      <c r="Q24" s="7">
        <v>14</v>
      </c>
      <c r="R24" s="3"/>
      <c r="S24" s="3" t="s">
        <v>19</v>
      </c>
      <c r="T24" s="7">
        <v>20</v>
      </c>
      <c r="U24" s="3" t="s">
        <v>4</v>
      </c>
    </row>
    <row x14ac:dyDescent="0.25" r="25" customHeight="1" ht="18.75">
      <c r="A25" s="3"/>
      <c r="B25" s="5"/>
      <c r="C25" s="6" t="s">
        <v>17</v>
      </c>
      <c r="D25" s="7">
        <v>1</v>
      </c>
      <c r="E25" s="3"/>
      <c r="F25" s="5"/>
      <c r="G25" s="6" t="s">
        <v>10</v>
      </c>
      <c r="H25" s="7">
        <v>8</v>
      </c>
      <c r="I25" s="3"/>
      <c r="J25" s="3"/>
      <c r="K25" s="5"/>
      <c r="L25" s="6" t="s">
        <v>14</v>
      </c>
      <c r="M25" s="7">
        <v>1</v>
      </c>
      <c r="N25" s="3"/>
      <c r="O25" s="5"/>
      <c r="P25" s="6" t="s">
        <v>8</v>
      </c>
      <c r="Q25" s="7">
        <v>6</v>
      </c>
      <c r="R25" s="3"/>
      <c r="S25" s="3" t="s">
        <v>17</v>
      </c>
      <c r="T25" s="7">
        <v>5</v>
      </c>
      <c r="U25" s="3" t="s">
        <v>4</v>
      </c>
    </row>
    <row x14ac:dyDescent="0.25" r="26" customHeight="1" ht="18.75">
      <c r="A26" s="3"/>
      <c r="B26" s="5"/>
      <c r="C26" s="6" t="s">
        <v>22</v>
      </c>
      <c r="D26" s="7">
        <v>229</v>
      </c>
      <c r="E26" s="3"/>
      <c r="F26" s="5"/>
      <c r="G26" s="6" t="s">
        <v>13</v>
      </c>
      <c r="H26" s="7">
        <v>2</v>
      </c>
      <c r="I26" s="3"/>
      <c r="J26" s="3"/>
      <c r="K26" s="5"/>
      <c r="L26" s="6" t="s">
        <v>17</v>
      </c>
      <c r="M26" s="7">
        <v>2</v>
      </c>
      <c r="N26" s="3"/>
      <c r="O26" s="5"/>
      <c r="P26" s="6" t="s">
        <v>17</v>
      </c>
      <c r="Q26" s="7">
        <v>5</v>
      </c>
      <c r="R26" s="3"/>
      <c r="S26" s="3" t="s">
        <v>18</v>
      </c>
      <c r="T26" s="7">
        <v>5</v>
      </c>
      <c r="U26" s="3" t="s">
        <v>4</v>
      </c>
    </row>
    <row x14ac:dyDescent="0.25" r="27" customHeight="1" ht="18.75">
      <c r="A27" s="3"/>
      <c r="B27" s="5"/>
      <c r="C27" s="3"/>
      <c r="D27" s="5"/>
      <c r="E27" s="3"/>
      <c r="F27" s="5"/>
      <c r="G27" s="6" t="s">
        <v>16</v>
      </c>
      <c r="H27" s="7">
        <v>1</v>
      </c>
      <c r="I27" s="3"/>
      <c r="J27" s="3"/>
      <c r="K27" s="5"/>
      <c r="L27" s="6" t="s">
        <v>15</v>
      </c>
      <c r="M27" s="7">
        <v>1</v>
      </c>
      <c r="N27" s="3"/>
      <c r="O27" s="5"/>
      <c r="P27" s="6" t="s">
        <v>9</v>
      </c>
      <c r="Q27" s="7">
        <v>3</v>
      </c>
      <c r="R27" s="3"/>
      <c r="S27" s="3"/>
      <c r="T27" s="5"/>
      <c r="U27" s="3"/>
    </row>
    <row x14ac:dyDescent="0.25" r="28" customHeight="1" ht="18.75">
      <c r="A28" s="3"/>
      <c r="B28" s="5"/>
      <c r="C28" s="3"/>
      <c r="D28" s="5"/>
      <c r="E28" s="3"/>
      <c r="F28" s="5"/>
      <c r="G28" s="6" t="s">
        <v>21</v>
      </c>
      <c r="H28" s="7">
        <v>414</v>
      </c>
      <c r="I28" s="3"/>
      <c r="J28" s="3"/>
      <c r="K28" s="5"/>
      <c r="L28" s="6" t="s">
        <v>9</v>
      </c>
      <c r="M28" s="7">
        <v>1</v>
      </c>
      <c r="N28" s="3"/>
      <c r="O28" s="5"/>
      <c r="P28" s="6" t="s">
        <v>15</v>
      </c>
      <c r="Q28" s="7">
        <v>2</v>
      </c>
      <c r="R28" s="3"/>
      <c r="S28" s="3"/>
      <c r="T28" s="5"/>
      <c r="U28" s="3"/>
    </row>
    <row x14ac:dyDescent="0.25" r="29" customHeight="1" ht="18.75">
      <c r="A29" s="3"/>
      <c r="B29" s="5"/>
      <c r="C29" s="3"/>
      <c r="D29" s="5"/>
      <c r="E29" s="3"/>
      <c r="F29" s="5"/>
      <c r="G29" s="3"/>
      <c r="H29" s="5"/>
      <c r="I29" s="3"/>
      <c r="J29" s="3"/>
      <c r="K29" s="5"/>
      <c r="L29" s="6" t="s">
        <v>22</v>
      </c>
      <c r="M29" s="7">
        <v>229</v>
      </c>
      <c r="N29" s="3"/>
      <c r="O29" s="5"/>
      <c r="P29" s="6" t="s">
        <v>18</v>
      </c>
      <c r="Q29" s="7">
        <v>5</v>
      </c>
      <c r="R29" s="3"/>
      <c r="S29" s="3"/>
      <c r="T29" s="5"/>
      <c r="U29" s="3"/>
    </row>
    <row x14ac:dyDescent="0.25" r="30" customHeight="1" ht="18.75">
      <c r="A30" s="3"/>
      <c r="B30" s="5"/>
      <c r="C30" s="3"/>
      <c r="D30" s="5"/>
      <c r="E30" s="3"/>
      <c r="F30" s="5"/>
      <c r="G30" s="3"/>
      <c r="H30" s="5"/>
      <c r="I30" s="3"/>
      <c r="J30" s="3"/>
      <c r="K30" s="5"/>
      <c r="L30" s="3"/>
      <c r="M30" s="5"/>
      <c r="N30" s="3"/>
      <c r="O30" s="5"/>
      <c r="P30" s="6" t="s">
        <v>15</v>
      </c>
      <c r="Q30" s="7">
        <v>4</v>
      </c>
      <c r="R30" s="3"/>
      <c r="S30" s="3"/>
      <c r="T30" s="5"/>
      <c r="U30" s="3"/>
    </row>
    <row x14ac:dyDescent="0.25" r="31" customHeight="1" ht="18.75">
      <c r="A31" s="3"/>
      <c r="B31" s="5"/>
      <c r="C31" s="3"/>
      <c r="D31" s="5"/>
      <c r="E31" s="3"/>
      <c r="F31" s="5"/>
      <c r="G31" s="3"/>
      <c r="H31" s="5"/>
      <c r="I31" s="3"/>
      <c r="J31" s="3"/>
      <c r="K31" s="5"/>
      <c r="L31" s="3"/>
      <c r="M31" s="5"/>
      <c r="N31" s="3"/>
      <c r="O31" s="5"/>
      <c r="P31" s="6" t="s">
        <v>9</v>
      </c>
      <c r="Q31" s="7">
        <v>1</v>
      </c>
      <c r="R31" s="3"/>
      <c r="S31" s="3"/>
      <c r="T31" s="5"/>
      <c r="U31" s="3"/>
    </row>
    <row x14ac:dyDescent="0.25" r="32" customHeight="1" ht="18.75">
      <c r="A32" s="3"/>
      <c r="B32" s="5"/>
      <c r="C32" s="3"/>
      <c r="D32" s="5"/>
      <c r="E32" s="3"/>
      <c r="F32" s="5"/>
      <c r="G32" s="3"/>
      <c r="H32" s="5"/>
      <c r="I32" s="3"/>
      <c r="J32" s="3"/>
      <c r="K32" s="5"/>
      <c r="L32" s="3"/>
      <c r="M32" s="5"/>
      <c r="N32" s="3"/>
      <c r="O32" s="5"/>
      <c r="P32" s="6" t="s">
        <v>21</v>
      </c>
      <c r="Q32" s="7">
        <v>414</v>
      </c>
      <c r="R32" s="3"/>
      <c r="S32" s="3"/>
      <c r="T32" s="5"/>
      <c r="U32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Baseline</vt:lpstr>
      <vt:lpstr>Resultados Aplicação do Modelo</vt:lpstr>
      <vt:lpstr>Gráficos scores</vt:lpstr>
      <vt:lpstr>resultados emissões</vt:lpstr>
      <vt:lpstr>Planilha1</vt:lpstr>
      <vt:lpstr>Resultados DF</vt:lpstr>
      <vt:lpstr>Resultados IB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2025-10-14T19:56:40.272Z</dcterms:created>
  <dcterms:modified xsi:type="dcterms:W3CDTF">2025-10-14T19:56:40.272Z</dcterms:modified>
</cp:coreProperties>
</file>