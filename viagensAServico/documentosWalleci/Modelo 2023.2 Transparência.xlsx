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Local\Estudos\Mestrado\Dissertação\03 - Dados\Artigo 3\Modelo\data\Portal da Transparência\2023_20240512_Viagens\"/>
    </mc:Choice>
  </mc:AlternateContent>
  <xr:revisionPtr revIDLastSave="0" documentId="13_ncr:1_{58AA994C-61A5-406D-923D-299B99B580B4}" xr6:coauthVersionLast="47" xr6:coauthVersionMax="47" xr10:uidLastSave="{00000000-0000-0000-0000-000000000000}"/>
  <bookViews>
    <workbookView xWindow="-108" yWindow="-108" windowWidth="23256" windowHeight="12456" firstSheet="1" activeTab="1" xr2:uid="{00000000-000D-0000-FFFF-FFFF00000000}"/>
  </bookViews>
  <sheets>
    <sheet name="Entradas" sheetId="15" r:id="rId1"/>
    <sheet name="Entrada Lvl 5-4 qt" sheetId="13" r:id="rId2"/>
    <sheet name="Entrada Lvl 5-4 ql" sheetId="14" r:id="rId3"/>
    <sheet name="Agregação Lvl 3-1" sheetId="6" r:id="rId4"/>
    <sheet name="Overview" sheetId="8" r:id="rId5"/>
    <sheet name="Constantes" sheetId="7" r:id="rId6"/>
    <sheet name="Dados Dashboard" sheetId="11" r:id="rId7"/>
  </sheets>
  <externalReferences>
    <externalReference r:id="rId8"/>
    <externalReference r:id="rId9"/>
  </externalReferences>
  <definedNames>
    <definedName name="_xlnm._FilterDatabase" localSheetId="1" hidden="1">'Entrada Lvl 5-4 qt'!$A$1:$BD$415</definedName>
    <definedName name="_xlnm._FilterDatabase" localSheetId="0" hidden="1">Entradas!$A$1:$AC$823</definedName>
    <definedName name="SegmentaçãodeDados_Dias_de_viagem2">#N/A</definedName>
    <definedName name="SegmentaçãodeDados_dsh__dmh_ou_dlh">#N/A</definedName>
    <definedName name="SegmentaçãodeDados_Viagem_Urgente_sem_justificativa">#N/A</definedName>
    <definedName name="SegmentaçãodeDados_Vínculo_Institucional">#N/A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23" i="15" l="1"/>
  <c r="P823" i="15"/>
  <c r="Q822" i="15"/>
  <c r="P822" i="15"/>
  <c r="Q821" i="15"/>
  <c r="P821" i="15"/>
  <c r="Q820" i="15"/>
  <c r="P820" i="15"/>
  <c r="Q819" i="15"/>
  <c r="P819" i="15"/>
  <c r="Q818" i="15"/>
  <c r="P818" i="15"/>
  <c r="Q817" i="15"/>
  <c r="P817" i="15"/>
  <c r="Q816" i="15"/>
  <c r="P816" i="15"/>
  <c r="Q815" i="15"/>
  <c r="P815" i="15"/>
  <c r="Q814" i="15"/>
  <c r="P814" i="15"/>
  <c r="Q813" i="15"/>
  <c r="P813" i="15"/>
  <c r="Q812" i="15"/>
  <c r="P812" i="15"/>
  <c r="Q811" i="15"/>
  <c r="P811" i="15"/>
  <c r="Q810" i="15"/>
  <c r="P810" i="15"/>
  <c r="Q809" i="15"/>
  <c r="P809" i="15"/>
  <c r="Q808" i="15"/>
  <c r="P808" i="15"/>
  <c r="Q807" i="15"/>
  <c r="P807" i="15"/>
  <c r="Q806" i="15"/>
  <c r="P806" i="15"/>
  <c r="Q805" i="15"/>
  <c r="P805" i="15"/>
  <c r="Q804" i="15"/>
  <c r="P804" i="15"/>
  <c r="Q803" i="15"/>
  <c r="P803" i="15"/>
  <c r="Q802" i="15"/>
  <c r="P802" i="15"/>
  <c r="Q801" i="15"/>
  <c r="P801" i="15"/>
  <c r="Q800" i="15"/>
  <c r="P800" i="15"/>
  <c r="Q799" i="15"/>
  <c r="P799" i="15"/>
  <c r="Q798" i="15"/>
  <c r="P798" i="15"/>
  <c r="Q797" i="15"/>
  <c r="P797" i="15"/>
  <c r="Q796" i="15"/>
  <c r="P796" i="15"/>
  <c r="Q795" i="15"/>
  <c r="P795" i="15"/>
  <c r="Q794" i="15"/>
  <c r="P794" i="15"/>
  <c r="Q793" i="15"/>
  <c r="P793" i="15"/>
  <c r="Q792" i="15"/>
  <c r="P792" i="15"/>
  <c r="Q791" i="15"/>
  <c r="P791" i="15"/>
  <c r="Q790" i="15"/>
  <c r="P790" i="15"/>
  <c r="Q789" i="15"/>
  <c r="P789" i="15"/>
  <c r="Q788" i="15"/>
  <c r="P788" i="15"/>
  <c r="Q787" i="15"/>
  <c r="P787" i="15"/>
  <c r="Q786" i="15"/>
  <c r="P786" i="15"/>
  <c r="Q785" i="15"/>
  <c r="P785" i="15"/>
  <c r="Q784" i="15"/>
  <c r="P784" i="15"/>
  <c r="Q783" i="15"/>
  <c r="P783" i="15"/>
  <c r="Q782" i="15"/>
  <c r="P782" i="15"/>
  <c r="Q781" i="15"/>
  <c r="P781" i="15"/>
  <c r="Q780" i="15"/>
  <c r="P780" i="15"/>
  <c r="Q779" i="15"/>
  <c r="P779" i="15"/>
  <c r="Q778" i="15"/>
  <c r="P778" i="15"/>
  <c r="Q777" i="15"/>
  <c r="P777" i="15"/>
  <c r="Q776" i="15"/>
  <c r="P776" i="15"/>
  <c r="Q775" i="15"/>
  <c r="P775" i="15"/>
  <c r="Q774" i="15"/>
  <c r="P774" i="15"/>
  <c r="Q773" i="15"/>
  <c r="P773" i="15"/>
  <c r="Q772" i="15"/>
  <c r="P772" i="15"/>
  <c r="Q771" i="15"/>
  <c r="P771" i="15"/>
  <c r="Q770" i="15"/>
  <c r="P770" i="15"/>
  <c r="Q769" i="15"/>
  <c r="P769" i="15"/>
  <c r="Q768" i="15"/>
  <c r="P768" i="15"/>
  <c r="Q767" i="15"/>
  <c r="P767" i="15"/>
  <c r="Q766" i="15"/>
  <c r="P766" i="15"/>
  <c r="Q765" i="15"/>
  <c r="P765" i="15"/>
  <c r="Q764" i="15"/>
  <c r="P764" i="15"/>
  <c r="Q763" i="15"/>
  <c r="P763" i="15"/>
  <c r="Q762" i="15"/>
  <c r="P762" i="15"/>
  <c r="Q761" i="15"/>
  <c r="P761" i="15"/>
  <c r="Q760" i="15"/>
  <c r="P760" i="15"/>
  <c r="Q759" i="15"/>
  <c r="P759" i="15"/>
  <c r="Q758" i="15"/>
  <c r="P758" i="15"/>
  <c r="Q757" i="15"/>
  <c r="P757" i="15"/>
  <c r="Q756" i="15"/>
  <c r="P756" i="15"/>
  <c r="Q755" i="15"/>
  <c r="P755" i="15"/>
  <c r="Q754" i="15"/>
  <c r="P754" i="15"/>
  <c r="Q753" i="15"/>
  <c r="P753" i="15"/>
  <c r="Q752" i="15"/>
  <c r="P752" i="15"/>
  <c r="Q751" i="15"/>
  <c r="P751" i="15"/>
  <c r="Q750" i="15"/>
  <c r="P750" i="15"/>
  <c r="Q749" i="15"/>
  <c r="P749" i="15"/>
  <c r="Q748" i="15"/>
  <c r="P748" i="15"/>
  <c r="Q747" i="15"/>
  <c r="P747" i="15"/>
  <c r="Q746" i="15"/>
  <c r="P746" i="15"/>
  <c r="Q745" i="15"/>
  <c r="P745" i="15"/>
  <c r="Q744" i="15"/>
  <c r="P744" i="15"/>
  <c r="Q743" i="15"/>
  <c r="P743" i="15"/>
  <c r="Q742" i="15"/>
  <c r="P742" i="15"/>
  <c r="Q741" i="15"/>
  <c r="P741" i="15"/>
  <c r="Q740" i="15"/>
  <c r="P740" i="15"/>
  <c r="Q739" i="15"/>
  <c r="P739" i="15"/>
  <c r="Q738" i="15"/>
  <c r="P738" i="15"/>
  <c r="Q737" i="15"/>
  <c r="P737" i="15"/>
  <c r="Q736" i="15"/>
  <c r="P736" i="15"/>
  <c r="Q735" i="15"/>
  <c r="P735" i="15"/>
  <c r="Q734" i="15"/>
  <c r="P734" i="15"/>
  <c r="Q733" i="15"/>
  <c r="P733" i="15"/>
  <c r="Q732" i="15"/>
  <c r="P732" i="15"/>
  <c r="Q731" i="15"/>
  <c r="P731" i="15"/>
  <c r="Q730" i="15"/>
  <c r="P730" i="15"/>
  <c r="Q729" i="15"/>
  <c r="P729" i="15"/>
  <c r="Q728" i="15"/>
  <c r="P728" i="15"/>
  <c r="Q727" i="15"/>
  <c r="P727" i="15"/>
  <c r="Q726" i="15"/>
  <c r="P726" i="15"/>
  <c r="Q725" i="15"/>
  <c r="P725" i="15"/>
  <c r="Q724" i="15"/>
  <c r="P724" i="15"/>
  <c r="Q723" i="15"/>
  <c r="P723" i="15"/>
  <c r="Q722" i="15"/>
  <c r="P722" i="15"/>
  <c r="Q721" i="15"/>
  <c r="P721" i="15"/>
  <c r="Q720" i="15"/>
  <c r="P720" i="15"/>
  <c r="Q719" i="15"/>
  <c r="P719" i="15"/>
  <c r="Q718" i="15"/>
  <c r="P718" i="15"/>
  <c r="Q717" i="15"/>
  <c r="P717" i="15"/>
  <c r="Q716" i="15"/>
  <c r="P716" i="15"/>
  <c r="Q715" i="15"/>
  <c r="P715" i="15"/>
  <c r="Q714" i="15"/>
  <c r="P714" i="15"/>
  <c r="Q713" i="15"/>
  <c r="P713" i="15"/>
  <c r="Q712" i="15"/>
  <c r="P712" i="15"/>
  <c r="Q711" i="15"/>
  <c r="P711" i="15"/>
  <c r="Q710" i="15"/>
  <c r="P710" i="15"/>
  <c r="Q709" i="15"/>
  <c r="P709" i="15"/>
  <c r="Q708" i="15"/>
  <c r="P708" i="15"/>
  <c r="Q707" i="15"/>
  <c r="P707" i="15"/>
  <c r="Q706" i="15"/>
  <c r="P706" i="15"/>
  <c r="Q705" i="15"/>
  <c r="P705" i="15"/>
  <c r="Q704" i="15"/>
  <c r="P704" i="15"/>
  <c r="Q703" i="15"/>
  <c r="P703" i="15"/>
  <c r="Q702" i="15"/>
  <c r="P702" i="15"/>
  <c r="Q701" i="15"/>
  <c r="P701" i="15"/>
  <c r="Q700" i="15"/>
  <c r="P700" i="15"/>
  <c r="Q699" i="15"/>
  <c r="P699" i="15"/>
  <c r="Q698" i="15"/>
  <c r="P698" i="15"/>
  <c r="Q697" i="15"/>
  <c r="P697" i="15"/>
  <c r="Q696" i="15"/>
  <c r="P696" i="15"/>
  <c r="Q695" i="15"/>
  <c r="P695" i="15"/>
  <c r="Q694" i="15"/>
  <c r="P694" i="15"/>
  <c r="Q693" i="15"/>
  <c r="P693" i="15"/>
  <c r="Q692" i="15"/>
  <c r="P692" i="15"/>
  <c r="Q691" i="15"/>
  <c r="P691" i="15"/>
  <c r="Q690" i="15"/>
  <c r="P690" i="15"/>
  <c r="Q689" i="15"/>
  <c r="P689" i="15"/>
  <c r="Q688" i="15"/>
  <c r="P688" i="15"/>
  <c r="Q687" i="15"/>
  <c r="P687" i="15"/>
  <c r="Q686" i="15"/>
  <c r="P686" i="15"/>
  <c r="Q685" i="15"/>
  <c r="P685" i="15"/>
  <c r="Q684" i="15"/>
  <c r="P684" i="15"/>
  <c r="Q683" i="15"/>
  <c r="P683" i="15"/>
  <c r="Q682" i="15"/>
  <c r="P682" i="15"/>
  <c r="Q681" i="15"/>
  <c r="P681" i="15"/>
  <c r="Q680" i="15"/>
  <c r="P680" i="15"/>
  <c r="Q679" i="15"/>
  <c r="P679" i="15"/>
  <c r="Q678" i="15"/>
  <c r="P678" i="15"/>
  <c r="Q677" i="15"/>
  <c r="P677" i="15"/>
  <c r="Q676" i="15"/>
  <c r="P676" i="15"/>
  <c r="Q675" i="15"/>
  <c r="P675" i="15"/>
  <c r="Q674" i="15"/>
  <c r="P674" i="15"/>
  <c r="Q673" i="15"/>
  <c r="P673" i="15"/>
  <c r="Q672" i="15"/>
  <c r="P672" i="15"/>
  <c r="Q671" i="15"/>
  <c r="P671" i="15"/>
  <c r="Q670" i="15"/>
  <c r="P670" i="15"/>
  <c r="Q669" i="15"/>
  <c r="P669" i="15"/>
  <c r="Q668" i="15"/>
  <c r="P668" i="15"/>
  <c r="Q667" i="15"/>
  <c r="P667" i="15"/>
  <c r="Q666" i="15"/>
  <c r="P666" i="15"/>
  <c r="Q665" i="15"/>
  <c r="P665" i="15"/>
  <c r="Q664" i="15"/>
  <c r="P664" i="15"/>
  <c r="Q663" i="15"/>
  <c r="P663" i="15"/>
  <c r="Q662" i="15"/>
  <c r="P662" i="15"/>
  <c r="Q661" i="15"/>
  <c r="P661" i="15"/>
  <c r="Q660" i="15"/>
  <c r="P660" i="15"/>
  <c r="Q659" i="15"/>
  <c r="P659" i="15"/>
  <c r="Q658" i="15"/>
  <c r="P658" i="15"/>
  <c r="Q657" i="15"/>
  <c r="P657" i="15"/>
  <c r="Q656" i="15"/>
  <c r="P656" i="15"/>
  <c r="Q655" i="15"/>
  <c r="P655" i="15"/>
  <c r="Q654" i="15"/>
  <c r="P654" i="15"/>
  <c r="Q653" i="15"/>
  <c r="P653" i="15"/>
  <c r="Q652" i="15"/>
  <c r="P652" i="15"/>
  <c r="Q651" i="15"/>
  <c r="P651" i="15"/>
  <c r="Q650" i="15"/>
  <c r="P650" i="15"/>
  <c r="Q649" i="15"/>
  <c r="P649" i="15"/>
  <c r="Q648" i="15"/>
  <c r="P648" i="15"/>
  <c r="Q647" i="15"/>
  <c r="P647" i="15"/>
  <c r="Q646" i="15"/>
  <c r="P646" i="15"/>
  <c r="Q645" i="15"/>
  <c r="P645" i="15"/>
  <c r="Q644" i="15"/>
  <c r="P644" i="15"/>
  <c r="Q643" i="15"/>
  <c r="P643" i="15"/>
  <c r="Q642" i="15"/>
  <c r="P642" i="15"/>
  <c r="Q641" i="15"/>
  <c r="P641" i="15"/>
  <c r="Q640" i="15"/>
  <c r="P640" i="15"/>
  <c r="Q639" i="15"/>
  <c r="P639" i="15"/>
  <c r="Q638" i="15"/>
  <c r="P638" i="15"/>
  <c r="Q637" i="15"/>
  <c r="P637" i="15"/>
  <c r="Q636" i="15"/>
  <c r="P636" i="15"/>
  <c r="Q635" i="15"/>
  <c r="P635" i="15"/>
  <c r="Q634" i="15"/>
  <c r="P634" i="15"/>
  <c r="Q633" i="15"/>
  <c r="P633" i="15"/>
  <c r="Q632" i="15"/>
  <c r="P632" i="15"/>
  <c r="Q631" i="15"/>
  <c r="P631" i="15"/>
  <c r="Q630" i="15"/>
  <c r="P630" i="15"/>
  <c r="Q629" i="15"/>
  <c r="P629" i="15"/>
  <c r="Q628" i="15"/>
  <c r="P628" i="15"/>
  <c r="Q627" i="15"/>
  <c r="P627" i="15"/>
  <c r="Q626" i="15"/>
  <c r="P626" i="15"/>
  <c r="Q625" i="15"/>
  <c r="P625" i="15"/>
  <c r="Q624" i="15"/>
  <c r="P624" i="15"/>
  <c r="Q623" i="15"/>
  <c r="P623" i="15"/>
  <c r="Q622" i="15"/>
  <c r="P622" i="15"/>
  <c r="Q621" i="15"/>
  <c r="P621" i="15"/>
  <c r="Q620" i="15"/>
  <c r="P620" i="15"/>
  <c r="Q619" i="15"/>
  <c r="P619" i="15"/>
  <c r="Q618" i="15"/>
  <c r="P618" i="15"/>
  <c r="Q617" i="15"/>
  <c r="P617" i="15"/>
  <c r="Q616" i="15"/>
  <c r="P616" i="15"/>
  <c r="Q615" i="15"/>
  <c r="P615" i="15"/>
  <c r="Q614" i="15"/>
  <c r="P614" i="15"/>
  <c r="Q613" i="15"/>
  <c r="P613" i="15"/>
  <c r="Q612" i="15"/>
  <c r="P612" i="15"/>
  <c r="Q611" i="15"/>
  <c r="P611" i="15"/>
  <c r="Q610" i="15"/>
  <c r="P610" i="15"/>
  <c r="Q609" i="15"/>
  <c r="P609" i="15"/>
  <c r="Q608" i="15"/>
  <c r="P608" i="15"/>
  <c r="Q607" i="15"/>
  <c r="P607" i="15"/>
  <c r="Q606" i="15"/>
  <c r="P606" i="15"/>
  <c r="Q605" i="15"/>
  <c r="P605" i="15"/>
  <c r="Q604" i="15"/>
  <c r="P604" i="15"/>
  <c r="Q603" i="15"/>
  <c r="P603" i="15"/>
  <c r="Q602" i="15"/>
  <c r="P602" i="15"/>
  <c r="Q601" i="15"/>
  <c r="P601" i="15"/>
  <c r="Q600" i="15"/>
  <c r="P600" i="15"/>
  <c r="Q599" i="15"/>
  <c r="P599" i="15"/>
  <c r="Q598" i="15"/>
  <c r="P598" i="15"/>
  <c r="Q597" i="15"/>
  <c r="P597" i="15"/>
  <c r="Q596" i="15"/>
  <c r="P596" i="15"/>
  <c r="Q595" i="15"/>
  <c r="P595" i="15"/>
  <c r="Q594" i="15"/>
  <c r="P594" i="15"/>
  <c r="Q593" i="15"/>
  <c r="P593" i="15"/>
  <c r="Q592" i="15"/>
  <c r="P592" i="15"/>
  <c r="Q591" i="15"/>
  <c r="P591" i="15"/>
  <c r="Q590" i="15"/>
  <c r="P590" i="15"/>
  <c r="Q589" i="15"/>
  <c r="P589" i="15"/>
  <c r="Q588" i="15"/>
  <c r="P588" i="15"/>
  <c r="Q587" i="15"/>
  <c r="P587" i="15"/>
  <c r="Q586" i="15"/>
  <c r="P586" i="15"/>
  <c r="Q585" i="15"/>
  <c r="P585" i="15"/>
  <c r="Q584" i="15"/>
  <c r="P584" i="15"/>
  <c r="Q583" i="15"/>
  <c r="P583" i="15"/>
  <c r="Q582" i="15"/>
  <c r="P582" i="15"/>
  <c r="Q581" i="15"/>
  <c r="P581" i="15"/>
  <c r="Q580" i="15"/>
  <c r="P580" i="15"/>
  <c r="Q579" i="15"/>
  <c r="P579" i="15"/>
  <c r="Q578" i="15"/>
  <c r="P578" i="15"/>
  <c r="Q577" i="15"/>
  <c r="P577" i="15"/>
  <c r="Q576" i="15"/>
  <c r="P576" i="15"/>
  <c r="Q575" i="15"/>
  <c r="P575" i="15"/>
  <c r="Q574" i="15"/>
  <c r="P574" i="15"/>
  <c r="Q573" i="15"/>
  <c r="P573" i="15"/>
  <c r="Q572" i="15"/>
  <c r="P572" i="15"/>
  <c r="Q571" i="15"/>
  <c r="P571" i="15"/>
  <c r="Q570" i="15"/>
  <c r="P570" i="15"/>
  <c r="Q569" i="15"/>
  <c r="P569" i="15"/>
  <c r="Q568" i="15"/>
  <c r="P568" i="15"/>
  <c r="Q567" i="15"/>
  <c r="P567" i="15"/>
  <c r="Q566" i="15"/>
  <c r="P566" i="15"/>
  <c r="Q565" i="15"/>
  <c r="P565" i="15"/>
  <c r="Q564" i="15"/>
  <c r="P564" i="15"/>
  <c r="Q563" i="15"/>
  <c r="P563" i="15"/>
  <c r="Q562" i="15"/>
  <c r="P562" i="15"/>
  <c r="Q561" i="15"/>
  <c r="P561" i="15"/>
  <c r="Q560" i="15"/>
  <c r="P560" i="15"/>
  <c r="Q559" i="15"/>
  <c r="P559" i="15"/>
  <c r="Q558" i="15"/>
  <c r="P558" i="15"/>
  <c r="Q557" i="15"/>
  <c r="P557" i="15"/>
  <c r="Q556" i="15"/>
  <c r="P556" i="15"/>
  <c r="Q555" i="15"/>
  <c r="P555" i="15"/>
  <c r="Q554" i="15"/>
  <c r="P554" i="15"/>
  <c r="Q553" i="15"/>
  <c r="P553" i="15"/>
  <c r="Q552" i="15"/>
  <c r="P552" i="15"/>
  <c r="Q551" i="15"/>
  <c r="P551" i="15"/>
  <c r="Q550" i="15"/>
  <c r="P550" i="15"/>
  <c r="Q549" i="15"/>
  <c r="P549" i="15"/>
  <c r="Q548" i="15"/>
  <c r="P548" i="15"/>
  <c r="Q547" i="15"/>
  <c r="P547" i="15"/>
  <c r="Q546" i="15"/>
  <c r="P546" i="15"/>
  <c r="Q545" i="15"/>
  <c r="P545" i="15"/>
  <c r="Q544" i="15"/>
  <c r="P544" i="15"/>
  <c r="Q543" i="15"/>
  <c r="P543" i="15"/>
  <c r="Q542" i="15"/>
  <c r="P542" i="15"/>
  <c r="Q541" i="15"/>
  <c r="P541" i="15"/>
  <c r="Q540" i="15"/>
  <c r="P540" i="15"/>
  <c r="Q539" i="15"/>
  <c r="P539" i="15"/>
  <c r="Q538" i="15"/>
  <c r="P538" i="15"/>
  <c r="Q537" i="15"/>
  <c r="P537" i="15"/>
  <c r="Q536" i="15"/>
  <c r="P536" i="15"/>
  <c r="Q535" i="15"/>
  <c r="P535" i="15"/>
  <c r="Q534" i="15"/>
  <c r="P534" i="15"/>
  <c r="Q533" i="15"/>
  <c r="P533" i="15"/>
  <c r="Q532" i="15"/>
  <c r="P532" i="15"/>
  <c r="Q531" i="15"/>
  <c r="P531" i="15"/>
  <c r="Q530" i="15"/>
  <c r="P530" i="15"/>
  <c r="Q529" i="15"/>
  <c r="P529" i="15"/>
  <c r="Q528" i="15"/>
  <c r="P528" i="15"/>
  <c r="Q527" i="15"/>
  <c r="P527" i="15"/>
  <c r="Q526" i="15"/>
  <c r="P526" i="15"/>
  <c r="Q525" i="15"/>
  <c r="P525" i="15"/>
  <c r="Q524" i="15"/>
  <c r="P524" i="15"/>
  <c r="Q523" i="15"/>
  <c r="P523" i="15"/>
  <c r="Q522" i="15"/>
  <c r="P522" i="15"/>
  <c r="Q521" i="15"/>
  <c r="P521" i="15"/>
  <c r="Q520" i="15"/>
  <c r="P520" i="15"/>
  <c r="Q519" i="15"/>
  <c r="P519" i="15"/>
  <c r="Q518" i="15"/>
  <c r="P518" i="15"/>
  <c r="Q517" i="15"/>
  <c r="P517" i="15"/>
  <c r="Q516" i="15"/>
  <c r="P516" i="15"/>
  <c r="Q515" i="15"/>
  <c r="P515" i="15"/>
  <c r="Q514" i="15"/>
  <c r="P514" i="15"/>
  <c r="Q513" i="15"/>
  <c r="P513" i="15"/>
  <c r="Q512" i="15"/>
  <c r="P512" i="15"/>
  <c r="Q511" i="15"/>
  <c r="P511" i="15"/>
  <c r="Q510" i="15"/>
  <c r="P510" i="15"/>
  <c r="Q509" i="15"/>
  <c r="P509" i="15"/>
  <c r="Q508" i="15"/>
  <c r="P508" i="15"/>
  <c r="Q507" i="15"/>
  <c r="P507" i="15"/>
  <c r="Q506" i="15"/>
  <c r="P506" i="15"/>
  <c r="Q505" i="15"/>
  <c r="P505" i="15"/>
  <c r="Q504" i="15"/>
  <c r="P504" i="15"/>
  <c r="Q503" i="15"/>
  <c r="P503" i="15"/>
  <c r="Q502" i="15"/>
  <c r="P502" i="15"/>
  <c r="Q501" i="15"/>
  <c r="P501" i="15"/>
  <c r="Q500" i="15"/>
  <c r="P500" i="15"/>
  <c r="Q499" i="15"/>
  <c r="P499" i="15"/>
  <c r="Q498" i="15"/>
  <c r="P498" i="15"/>
  <c r="Q497" i="15"/>
  <c r="P497" i="15"/>
  <c r="Q496" i="15"/>
  <c r="P496" i="15"/>
  <c r="Q495" i="15"/>
  <c r="P495" i="15"/>
  <c r="Q494" i="15"/>
  <c r="P494" i="15"/>
  <c r="Q493" i="15"/>
  <c r="P493" i="15"/>
  <c r="Q492" i="15"/>
  <c r="P492" i="15"/>
  <c r="Q491" i="15"/>
  <c r="P491" i="15"/>
  <c r="Q490" i="15"/>
  <c r="P490" i="15"/>
  <c r="Q489" i="15"/>
  <c r="P489" i="15"/>
  <c r="Q488" i="15"/>
  <c r="P488" i="15"/>
  <c r="Q487" i="15"/>
  <c r="P487" i="15"/>
  <c r="Q486" i="15"/>
  <c r="P486" i="15"/>
  <c r="Q485" i="15"/>
  <c r="P485" i="15"/>
  <c r="Q484" i="15"/>
  <c r="P484" i="15"/>
  <c r="Q483" i="15"/>
  <c r="P483" i="15"/>
  <c r="Q482" i="15"/>
  <c r="P482" i="15"/>
  <c r="Q481" i="15"/>
  <c r="P481" i="15"/>
  <c r="Q480" i="15"/>
  <c r="P480" i="15"/>
  <c r="Q479" i="15"/>
  <c r="P479" i="15"/>
  <c r="Q478" i="15"/>
  <c r="P478" i="15"/>
  <c r="Q477" i="15"/>
  <c r="P477" i="15"/>
  <c r="Q476" i="15"/>
  <c r="P476" i="15"/>
  <c r="Q475" i="15"/>
  <c r="P475" i="15"/>
  <c r="Q474" i="15"/>
  <c r="P474" i="15"/>
  <c r="Q473" i="15"/>
  <c r="P473" i="15"/>
  <c r="Q472" i="15"/>
  <c r="P472" i="15"/>
  <c r="Q471" i="15"/>
  <c r="P471" i="15"/>
  <c r="Q470" i="15"/>
  <c r="P470" i="15"/>
  <c r="Q469" i="15"/>
  <c r="P469" i="15"/>
  <c r="Q468" i="15"/>
  <c r="P468" i="15"/>
  <c r="Q467" i="15"/>
  <c r="P467" i="15"/>
  <c r="Q466" i="15"/>
  <c r="P466" i="15"/>
  <c r="Q465" i="15"/>
  <c r="P465" i="15"/>
  <c r="Q464" i="15"/>
  <c r="P464" i="15"/>
  <c r="Q463" i="15"/>
  <c r="P463" i="15"/>
  <c r="Q462" i="15"/>
  <c r="P462" i="15"/>
  <c r="Q461" i="15"/>
  <c r="P461" i="15"/>
  <c r="Q460" i="15"/>
  <c r="P460" i="15"/>
  <c r="Q459" i="15"/>
  <c r="P459" i="15"/>
  <c r="Q458" i="15"/>
  <c r="P458" i="15"/>
  <c r="Q457" i="15"/>
  <c r="P457" i="15"/>
  <c r="Q456" i="15"/>
  <c r="P456" i="15"/>
  <c r="Q455" i="15"/>
  <c r="P455" i="15"/>
  <c r="Q454" i="15"/>
  <c r="P454" i="15"/>
  <c r="Q453" i="15"/>
  <c r="P453" i="15"/>
  <c r="Q452" i="15"/>
  <c r="P452" i="15"/>
  <c r="Q451" i="15"/>
  <c r="P451" i="15"/>
  <c r="Q450" i="15"/>
  <c r="P450" i="15"/>
  <c r="Q449" i="15"/>
  <c r="P449" i="15"/>
  <c r="Q448" i="15"/>
  <c r="P448" i="15"/>
  <c r="Q447" i="15"/>
  <c r="P447" i="15"/>
  <c r="Q446" i="15"/>
  <c r="P446" i="15"/>
  <c r="Q445" i="15"/>
  <c r="P445" i="15"/>
  <c r="Q444" i="15"/>
  <c r="P444" i="15"/>
  <c r="Q443" i="15"/>
  <c r="P443" i="15"/>
  <c r="Q442" i="15"/>
  <c r="P442" i="15"/>
  <c r="Q441" i="15"/>
  <c r="P441" i="15"/>
  <c r="Q440" i="15"/>
  <c r="P440" i="15"/>
  <c r="Q439" i="15"/>
  <c r="P439" i="15"/>
  <c r="Q438" i="15"/>
  <c r="P438" i="15"/>
  <c r="Q437" i="15"/>
  <c r="P437" i="15"/>
  <c r="Q436" i="15"/>
  <c r="P436" i="15"/>
  <c r="Q435" i="15"/>
  <c r="P435" i="15"/>
  <c r="Q434" i="15"/>
  <c r="P434" i="15"/>
  <c r="Q433" i="15"/>
  <c r="P433" i="15"/>
  <c r="Q432" i="15"/>
  <c r="P432" i="15"/>
  <c r="Q431" i="15"/>
  <c r="P431" i="15"/>
  <c r="Q430" i="15"/>
  <c r="P430" i="15"/>
  <c r="Q429" i="15"/>
  <c r="P429" i="15"/>
  <c r="Q428" i="15"/>
  <c r="P428" i="15"/>
  <c r="Q427" i="15"/>
  <c r="P427" i="15"/>
  <c r="Q426" i="15"/>
  <c r="P426" i="15"/>
  <c r="Q425" i="15"/>
  <c r="P425" i="15"/>
  <c r="Q424" i="15"/>
  <c r="P424" i="15"/>
  <c r="Q423" i="15"/>
  <c r="P423" i="15"/>
  <c r="Q422" i="15"/>
  <c r="P422" i="15"/>
  <c r="Q421" i="15"/>
  <c r="P421" i="15"/>
  <c r="Q420" i="15"/>
  <c r="P420" i="15"/>
  <c r="Q419" i="15"/>
  <c r="P419" i="15"/>
  <c r="Q418" i="15"/>
  <c r="P418" i="15"/>
  <c r="Q417" i="15"/>
  <c r="P417" i="15"/>
  <c r="Q416" i="15"/>
  <c r="P416" i="15"/>
  <c r="Q415" i="15"/>
  <c r="P415" i="15"/>
  <c r="Q414" i="15"/>
  <c r="P414" i="15"/>
  <c r="Q413" i="15"/>
  <c r="P413" i="15"/>
  <c r="Q412" i="15"/>
  <c r="P412" i="15"/>
  <c r="Q411" i="15"/>
  <c r="P411" i="15"/>
  <c r="Q410" i="15"/>
  <c r="P410" i="15"/>
  <c r="Q409" i="15"/>
  <c r="P409" i="15"/>
  <c r="Q408" i="15"/>
  <c r="P408" i="15"/>
  <c r="Q407" i="15"/>
  <c r="P407" i="15"/>
  <c r="Q406" i="15"/>
  <c r="P406" i="15"/>
  <c r="Q405" i="15"/>
  <c r="P405" i="15"/>
  <c r="Q404" i="15"/>
  <c r="P404" i="15"/>
  <c r="Q403" i="15"/>
  <c r="P403" i="15"/>
  <c r="Q402" i="15"/>
  <c r="P402" i="15"/>
  <c r="Q401" i="15"/>
  <c r="P401" i="15"/>
  <c r="Q400" i="15"/>
  <c r="P400" i="15"/>
  <c r="Q399" i="15"/>
  <c r="P399" i="15"/>
  <c r="Q398" i="15"/>
  <c r="P398" i="15"/>
  <c r="Q397" i="15"/>
  <c r="P397" i="15"/>
  <c r="Q396" i="15"/>
  <c r="P396" i="15"/>
  <c r="Q395" i="15"/>
  <c r="P395" i="15"/>
  <c r="Q394" i="15"/>
  <c r="P394" i="15"/>
  <c r="Q393" i="15"/>
  <c r="P393" i="15"/>
  <c r="Q392" i="15"/>
  <c r="P392" i="15"/>
  <c r="Q391" i="15"/>
  <c r="P391" i="15"/>
  <c r="Q390" i="15"/>
  <c r="P390" i="15"/>
  <c r="Q389" i="15"/>
  <c r="P389" i="15"/>
  <c r="Q388" i="15"/>
  <c r="P388" i="15"/>
  <c r="Q387" i="15"/>
  <c r="P387" i="15"/>
  <c r="Q386" i="15"/>
  <c r="P386" i="15"/>
  <c r="Q385" i="15"/>
  <c r="P385" i="15"/>
  <c r="Q384" i="15"/>
  <c r="P384" i="15"/>
  <c r="Q383" i="15"/>
  <c r="P383" i="15"/>
  <c r="Q382" i="15"/>
  <c r="P382" i="15"/>
  <c r="Q381" i="15"/>
  <c r="P381" i="15"/>
  <c r="Q380" i="15"/>
  <c r="P380" i="15"/>
  <c r="Q379" i="15"/>
  <c r="P379" i="15"/>
  <c r="Q378" i="15"/>
  <c r="P378" i="15"/>
  <c r="Q377" i="15"/>
  <c r="P377" i="15"/>
  <c r="Q376" i="15"/>
  <c r="P376" i="15"/>
  <c r="Q375" i="15"/>
  <c r="P375" i="15"/>
  <c r="Q374" i="15"/>
  <c r="P374" i="15"/>
  <c r="Q373" i="15"/>
  <c r="P373" i="15"/>
  <c r="Q372" i="15"/>
  <c r="P372" i="15"/>
  <c r="Q371" i="15"/>
  <c r="P371" i="15"/>
  <c r="Q370" i="15"/>
  <c r="P370" i="15"/>
  <c r="Q369" i="15"/>
  <c r="P369" i="15"/>
  <c r="Q368" i="15"/>
  <c r="P368" i="15"/>
  <c r="Q367" i="15"/>
  <c r="P367" i="15"/>
  <c r="Q366" i="15"/>
  <c r="P366" i="15"/>
  <c r="Q365" i="15"/>
  <c r="P365" i="15"/>
  <c r="Q364" i="15"/>
  <c r="P364" i="15"/>
  <c r="Q363" i="15"/>
  <c r="P363" i="15"/>
  <c r="Q362" i="15"/>
  <c r="P362" i="15"/>
  <c r="Q361" i="15"/>
  <c r="P361" i="15"/>
  <c r="Q360" i="15"/>
  <c r="P360" i="15"/>
  <c r="Q359" i="15"/>
  <c r="P359" i="15"/>
  <c r="Q358" i="15"/>
  <c r="P358" i="15"/>
  <c r="Q357" i="15"/>
  <c r="P357" i="15"/>
  <c r="Q356" i="15"/>
  <c r="P356" i="15"/>
  <c r="Q355" i="15"/>
  <c r="P355" i="15"/>
  <c r="Q354" i="15"/>
  <c r="P354" i="15"/>
  <c r="Q353" i="15"/>
  <c r="P353" i="15"/>
  <c r="Q352" i="15"/>
  <c r="P352" i="15"/>
  <c r="Q351" i="15"/>
  <c r="P351" i="15"/>
  <c r="Q350" i="15"/>
  <c r="P350" i="15"/>
  <c r="Q349" i="15"/>
  <c r="P349" i="15"/>
  <c r="Q348" i="15"/>
  <c r="P348" i="15"/>
  <c r="Q347" i="15"/>
  <c r="P347" i="15"/>
  <c r="Q346" i="15"/>
  <c r="P346" i="15"/>
  <c r="Q345" i="15"/>
  <c r="P345" i="15"/>
  <c r="Q344" i="15"/>
  <c r="P344" i="15"/>
  <c r="Q343" i="15"/>
  <c r="P343" i="15"/>
  <c r="Q342" i="15"/>
  <c r="P342" i="15"/>
  <c r="Q341" i="15"/>
  <c r="P341" i="15"/>
  <c r="Q340" i="15"/>
  <c r="P340" i="15"/>
  <c r="Q339" i="15"/>
  <c r="P339" i="15"/>
  <c r="Q338" i="15"/>
  <c r="P338" i="15"/>
  <c r="Q337" i="15"/>
  <c r="P337" i="15"/>
  <c r="Q336" i="15"/>
  <c r="P336" i="15"/>
  <c r="Q335" i="15"/>
  <c r="P335" i="15"/>
  <c r="Q334" i="15"/>
  <c r="P334" i="15"/>
  <c r="Q333" i="15"/>
  <c r="P333" i="15"/>
  <c r="Q332" i="15"/>
  <c r="P332" i="15"/>
  <c r="Q331" i="15"/>
  <c r="P331" i="15"/>
  <c r="Q330" i="15"/>
  <c r="P330" i="15"/>
  <c r="Q329" i="15"/>
  <c r="P329" i="15"/>
  <c r="Q328" i="15"/>
  <c r="P328" i="15"/>
  <c r="Q327" i="15"/>
  <c r="P327" i="15"/>
  <c r="Q326" i="15"/>
  <c r="P326" i="15"/>
  <c r="Q325" i="15"/>
  <c r="P325" i="15"/>
  <c r="Q324" i="15"/>
  <c r="P324" i="15"/>
  <c r="Q323" i="15"/>
  <c r="P323" i="15"/>
  <c r="Q322" i="15"/>
  <c r="P322" i="15"/>
  <c r="Q321" i="15"/>
  <c r="P321" i="15"/>
  <c r="Q320" i="15"/>
  <c r="P320" i="15"/>
  <c r="Q319" i="15"/>
  <c r="P319" i="15"/>
  <c r="Q318" i="15"/>
  <c r="P318" i="15"/>
  <c r="Q317" i="15"/>
  <c r="P317" i="15"/>
  <c r="Q316" i="15"/>
  <c r="P316" i="15"/>
  <c r="Q315" i="15"/>
  <c r="P315" i="15"/>
  <c r="Q314" i="15"/>
  <c r="P314" i="15"/>
  <c r="Q313" i="15"/>
  <c r="P313" i="15"/>
  <c r="Q312" i="15"/>
  <c r="P312" i="15"/>
  <c r="Q311" i="15"/>
  <c r="P311" i="15"/>
  <c r="Q310" i="15"/>
  <c r="P310" i="15"/>
  <c r="Q309" i="15"/>
  <c r="P309" i="15"/>
  <c r="Q308" i="15"/>
  <c r="P308" i="15"/>
  <c r="Q307" i="15"/>
  <c r="P307" i="15"/>
  <c r="Q306" i="15"/>
  <c r="P306" i="15"/>
  <c r="Q305" i="15"/>
  <c r="P305" i="15"/>
  <c r="Q304" i="15"/>
  <c r="P304" i="15"/>
  <c r="Q303" i="15"/>
  <c r="P303" i="15"/>
  <c r="Q302" i="15"/>
  <c r="P302" i="15"/>
  <c r="Q301" i="15"/>
  <c r="P301" i="15"/>
  <c r="Q300" i="15"/>
  <c r="P300" i="15"/>
  <c r="Q299" i="15"/>
  <c r="P299" i="15"/>
  <c r="Q298" i="15"/>
  <c r="P298" i="15"/>
  <c r="Q297" i="15"/>
  <c r="P297" i="15"/>
  <c r="Q296" i="15"/>
  <c r="P296" i="15"/>
  <c r="Q295" i="15"/>
  <c r="P295" i="15"/>
  <c r="Q294" i="15"/>
  <c r="P294" i="15"/>
  <c r="Q293" i="15"/>
  <c r="P293" i="15"/>
  <c r="Q292" i="15"/>
  <c r="P292" i="15"/>
  <c r="Q291" i="15"/>
  <c r="P291" i="15"/>
  <c r="Q290" i="15"/>
  <c r="P290" i="15"/>
  <c r="Q289" i="15"/>
  <c r="P289" i="15"/>
  <c r="Q288" i="15"/>
  <c r="P288" i="15"/>
  <c r="Q287" i="15"/>
  <c r="P287" i="15"/>
  <c r="Q286" i="15"/>
  <c r="P286" i="15"/>
  <c r="Q285" i="15"/>
  <c r="P285" i="15"/>
  <c r="Q284" i="15"/>
  <c r="P284" i="15"/>
  <c r="Q283" i="15"/>
  <c r="P283" i="15"/>
  <c r="Q282" i="15"/>
  <c r="P282" i="15"/>
  <c r="Q281" i="15"/>
  <c r="P281" i="15"/>
  <c r="Q280" i="15"/>
  <c r="P280" i="15"/>
  <c r="Q279" i="15"/>
  <c r="P279" i="15"/>
  <c r="Q278" i="15"/>
  <c r="P278" i="15"/>
  <c r="Q277" i="15"/>
  <c r="P277" i="15"/>
  <c r="Q276" i="15"/>
  <c r="P276" i="15"/>
  <c r="Q275" i="15"/>
  <c r="P275" i="15"/>
  <c r="Q274" i="15"/>
  <c r="P274" i="15"/>
  <c r="Q273" i="15"/>
  <c r="P273" i="15"/>
  <c r="Q272" i="15"/>
  <c r="P272" i="15"/>
  <c r="Q271" i="15"/>
  <c r="P271" i="15"/>
  <c r="Q270" i="15"/>
  <c r="P270" i="15"/>
  <c r="Q269" i="15"/>
  <c r="P269" i="15"/>
  <c r="Q268" i="15"/>
  <c r="P268" i="15"/>
  <c r="Q267" i="15"/>
  <c r="P267" i="15"/>
  <c r="Q266" i="15"/>
  <c r="P266" i="15"/>
  <c r="Q265" i="15"/>
  <c r="P265" i="15"/>
  <c r="Q264" i="15"/>
  <c r="P264" i="15"/>
  <c r="Q263" i="15"/>
  <c r="P263" i="15"/>
  <c r="Q262" i="15"/>
  <c r="P262" i="15"/>
  <c r="Q261" i="15"/>
  <c r="P261" i="15"/>
  <c r="Q260" i="15"/>
  <c r="P260" i="15"/>
  <c r="Q259" i="15"/>
  <c r="P259" i="15"/>
  <c r="Q258" i="15"/>
  <c r="P258" i="15"/>
  <c r="Q257" i="15"/>
  <c r="P257" i="15"/>
  <c r="Q256" i="15"/>
  <c r="P256" i="15"/>
  <c r="Q255" i="15"/>
  <c r="P255" i="15"/>
  <c r="Q254" i="15"/>
  <c r="P254" i="15"/>
  <c r="Q253" i="15"/>
  <c r="P253" i="15"/>
  <c r="Q252" i="15"/>
  <c r="P252" i="15"/>
  <c r="Q251" i="15"/>
  <c r="P251" i="15"/>
  <c r="Q250" i="15"/>
  <c r="P250" i="15"/>
  <c r="Q249" i="15"/>
  <c r="P249" i="15"/>
  <c r="Q248" i="15"/>
  <c r="P248" i="15"/>
  <c r="Q247" i="15"/>
  <c r="P247" i="15"/>
  <c r="Q246" i="15"/>
  <c r="P246" i="15"/>
  <c r="Q245" i="15"/>
  <c r="P245" i="15"/>
  <c r="Q244" i="15"/>
  <c r="P244" i="15"/>
  <c r="Q243" i="15"/>
  <c r="P243" i="15"/>
  <c r="Q242" i="15"/>
  <c r="P242" i="15"/>
  <c r="Q241" i="15"/>
  <c r="P241" i="15"/>
  <c r="Q240" i="15"/>
  <c r="P240" i="15"/>
  <c r="Q239" i="15"/>
  <c r="P239" i="15"/>
  <c r="Q238" i="15"/>
  <c r="P238" i="15"/>
  <c r="Q237" i="15"/>
  <c r="P237" i="15"/>
  <c r="Q236" i="15"/>
  <c r="P236" i="15"/>
  <c r="Q235" i="15"/>
  <c r="P235" i="15"/>
  <c r="Q234" i="15"/>
  <c r="P234" i="15"/>
  <c r="Q233" i="15"/>
  <c r="P233" i="15"/>
  <c r="Q232" i="15"/>
  <c r="P232" i="15"/>
  <c r="Q231" i="15"/>
  <c r="P231" i="15"/>
  <c r="Q230" i="15"/>
  <c r="P230" i="15"/>
  <c r="Q229" i="15"/>
  <c r="P229" i="15"/>
  <c r="Q228" i="15"/>
  <c r="P228" i="15"/>
  <c r="Q227" i="15"/>
  <c r="P227" i="15"/>
  <c r="Q226" i="15"/>
  <c r="P226" i="15"/>
  <c r="Q225" i="15"/>
  <c r="P225" i="15"/>
  <c r="Q224" i="15"/>
  <c r="P224" i="15"/>
  <c r="Q223" i="15"/>
  <c r="P223" i="15"/>
  <c r="Q222" i="15"/>
  <c r="P222" i="15"/>
  <c r="Q221" i="15"/>
  <c r="P221" i="15"/>
  <c r="Q220" i="15"/>
  <c r="P220" i="15"/>
  <c r="Q219" i="15"/>
  <c r="P219" i="15"/>
  <c r="Q218" i="15"/>
  <c r="P218" i="15"/>
  <c r="Q217" i="15"/>
  <c r="P217" i="15"/>
  <c r="Q216" i="15"/>
  <c r="P216" i="15"/>
  <c r="Q215" i="15"/>
  <c r="P215" i="15"/>
  <c r="Q214" i="15"/>
  <c r="P214" i="15"/>
  <c r="Q213" i="15"/>
  <c r="P213" i="15"/>
  <c r="Q212" i="15"/>
  <c r="P212" i="15"/>
  <c r="Q211" i="15"/>
  <c r="P211" i="15"/>
  <c r="Q210" i="15"/>
  <c r="P210" i="15"/>
  <c r="Q209" i="15"/>
  <c r="P209" i="15"/>
  <c r="Q208" i="15"/>
  <c r="P208" i="15"/>
  <c r="Q207" i="15"/>
  <c r="P207" i="15"/>
  <c r="Q206" i="15"/>
  <c r="P206" i="15"/>
  <c r="Q205" i="15"/>
  <c r="P205" i="15"/>
  <c r="Q204" i="15"/>
  <c r="P204" i="15"/>
  <c r="Q203" i="15"/>
  <c r="P203" i="15"/>
  <c r="Q202" i="15"/>
  <c r="P202" i="15"/>
  <c r="Q201" i="15"/>
  <c r="P201" i="15"/>
  <c r="Q200" i="15"/>
  <c r="P200" i="15"/>
  <c r="Q199" i="15"/>
  <c r="P199" i="15"/>
  <c r="Q198" i="15"/>
  <c r="P198" i="15"/>
  <c r="Q197" i="15"/>
  <c r="P197" i="15"/>
  <c r="Q196" i="15"/>
  <c r="P196" i="15"/>
  <c r="Q195" i="15"/>
  <c r="P195" i="15"/>
  <c r="Q194" i="15"/>
  <c r="P194" i="15"/>
  <c r="Q193" i="15"/>
  <c r="P193" i="15"/>
  <c r="Q192" i="15"/>
  <c r="P192" i="15"/>
  <c r="Q191" i="15"/>
  <c r="P191" i="15"/>
  <c r="Q190" i="15"/>
  <c r="P190" i="15"/>
  <c r="Q189" i="15"/>
  <c r="P189" i="15"/>
  <c r="Q188" i="15"/>
  <c r="P188" i="15"/>
  <c r="Q187" i="15"/>
  <c r="P187" i="15"/>
  <c r="Q186" i="15"/>
  <c r="P186" i="15"/>
  <c r="Q185" i="15"/>
  <c r="P185" i="15"/>
  <c r="Q184" i="15"/>
  <c r="P184" i="15"/>
  <c r="Q183" i="15"/>
  <c r="P183" i="15"/>
  <c r="Q182" i="15"/>
  <c r="P182" i="15"/>
  <c r="Q181" i="15"/>
  <c r="P181" i="15"/>
  <c r="Q180" i="15"/>
  <c r="P180" i="15"/>
  <c r="Q179" i="15"/>
  <c r="P179" i="15"/>
  <c r="Q178" i="15"/>
  <c r="P178" i="15"/>
  <c r="Q177" i="15"/>
  <c r="P177" i="15"/>
  <c r="Q176" i="15"/>
  <c r="P176" i="15"/>
  <c r="Q175" i="15"/>
  <c r="P175" i="15"/>
  <c r="Q174" i="15"/>
  <c r="P174" i="15"/>
  <c r="Q173" i="15"/>
  <c r="P173" i="15"/>
  <c r="Q172" i="15"/>
  <c r="P172" i="15"/>
  <c r="Q171" i="15"/>
  <c r="P171" i="15"/>
  <c r="Q170" i="15"/>
  <c r="P170" i="15"/>
  <c r="Q169" i="15"/>
  <c r="P169" i="15"/>
  <c r="Q168" i="15"/>
  <c r="P168" i="15"/>
  <c r="Q167" i="15"/>
  <c r="P167" i="15"/>
  <c r="Q166" i="15"/>
  <c r="P166" i="15"/>
  <c r="Q165" i="15"/>
  <c r="P165" i="15"/>
  <c r="Q164" i="15"/>
  <c r="P164" i="15"/>
  <c r="Q163" i="15"/>
  <c r="P163" i="15"/>
  <c r="Q162" i="15"/>
  <c r="P162" i="15"/>
  <c r="Q161" i="15"/>
  <c r="P161" i="15"/>
  <c r="Q160" i="15"/>
  <c r="P160" i="15"/>
  <c r="Q159" i="15"/>
  <c r="P159" i="15"/>
  <c r="Q158" i="15"/>
  <c r="P158" i="15"/>
  <c r="Q157" i="15"/>
  <c r="P157" i="15"/>
  <c r="Q156" i="15"/>
  <c r="P156" i="15"/>
  <c r="Q155" i="15"/>
  <c r="P155" i="15"/>
  <c r="Q154" i="15"/>
  <c r="P154" i="15"/>
  <c r="Q153" i="15"/>
  <c r="P153" i="15"/>
  <c r="Q152" i="15"/>
  <c r="P152" i="15"/>
  <c r="Q151" i="15"/>
  <c r="P151" i="15"/>
  <c r="Q150" i="15"/>
  <c r="P150" i="15"/>
  <c r="Q149" i="15"/>
  <c r="P149" i="15"/>
  <c r="Q148" i="15"/>
  <c r="P148" i="15"/>
  <c r="Q147" i="15"/>
  <c r="P147" i="15"/>
  <c r="Q146" i="15"/>
  <c r="P146" i="15"/>
  <c r="Q145" i="15"/>
  <c r="P145" i="15"/>
  <c r="Q144" i="15"/>
  <c r="P144" i="15"/>
  <c r="Q143" i="15"/>
  <c r="P143" i="15"/>
  <c r="Q142" i="15"/>
  <c r="P142" i="15"/>
  <c r="Q141" i="15"/>
  <c r="P141" i="15"/>
  <c r="Q140" i="15"/>
  <c r="P140" i="15"/>
  <c r="Q139" i="15"/>
  <c r="P139" i="15"/>
  <c r="Q138" i="15"/>
  <c r="P138" i="15"/>
  <c r="Q137" i="15"/>
  <c r="P137" i="15"/>
  <c r="Q136" i="15"/>
  <c r="P136" i="15"/>
  <c r="Q135" i="15"/>
  <c r="P135" i="15"/>
  <c r="Q134" i="15"/>
  <c r="P134" i="15"/>
  <c r="Q133" i="15"/>
  <c r="P133" i="15"/>
  <c r="Q132" i="15"/>
  <c r="P132" i="15"/>
  <c r="Q131" i="15"/>
  <c r="P131" i="15"/>
  <c r="Q130" i="15"/>
  <c r="P130" i="15"/>
  <c r="Q129" i="15"/>
  <c r="P129" i="15"/>
  <c r="Q128" i="15"/>
  <c r="P128" i="15"/>
  <c r="Q127" i="15"/>
  <c r="P127" i="15"/>
  <c r="Q126" i="15"/>
  <c r="P126" i="15"/>
  <c r="Q125" i="15"/>
  <c r="P125" i="15"/>
  <c r="Q124" i="15"/>
  <c r="P124" i="15"/>
  <c r="Q123" i="15"/>
  <c r="P123" i="15"/>
  <c r="Q122" i="15"/>
  <c r="P122" i="15"/>
  <c r="Q121" i="15"/>
  <c r="P121" i="15"/>
  <c r="Q120" i="15"/>
  <c r="P120" i="15"/>
  <c r="Q119" i="15"/>
  <c r="P119" i="15"/>
  <c r="Q118" i="15"/>
  <c r="P118" i="15"/>
  <c r="Q117" i="15"/>
  <c r="P117" i="15"/>
  <c r="Q116" i="15"/>
  <c r="P116" i="15"/>
  <c r="Q115" i="15"/>
  <c r="P115" i="15"/>
  <c r="Q114" i="15"/>
  <c r="P114" i="15"/>
  <c r="Q113" i="15"/>
  <c r="P113" i="15"/>
  <c r="Q112" i="15"/>
  <c r="P112" i="15"/>
  <c r="Q111" i="15"/>
  <c r="P111" i="15"/>
  <c r="Q110" i="15"/>
  <c r="P110" i="15"/>
  <c r="Q109" i="15"/>
  <c r="P109" i="15"/>
  <c r="Q108" i="15"/>
  <c r="P108" i="15"/>
  <c r="Q107" i="15"/>
  <c r="P107" i="15"/>
  <c r="Q106" i="15"/>
  <c r="P106" i="15"/>
  <c r="Q105" i="15"/>
  <c r="P105" i="15"/>
  <c r="Q104" i="15"/>
  <c r="P104" i="15"/>
  <c r="Q103" i="15"/>
  <c r="P103" i="15"/>
  <c r="Q102" i="15"/>
  <c r="P102" i="15"/>
  <c r="Q101" i="15"/>
  <c r="P101" i="15"/>
  <c r="Q100" i="15"/>
  <c r="P100" i="15"/>
  <c r="Q99" i="15"/>
  <c r="P99" i="15"/>
  <c r="Q98" i="15"/>
  <c r="P98" i="15"/>
  <c r="Q97" i="15"/>
  <c r="P97" i="15"/>
  <c r="Q96" i="15"/>
  <c r="P96" i="15"/>
  <c r="Q95" i="15"/>
  <c r="P95" i="15"/>
  <c r="Q94" i="15"/>
  <c r="P94" i="15"/>
  <c r="Q93" i="15"/>
  <c r="P93" i="15"/>
  <c r="Q92" i="15"/>
  <c r="P92" i="15"/>
  <c r="Q91" i="15"/>
  <c r="P91" i="15"/>
  <c r="Q90" i="15"/>
  <c r="P90" i="15"/>
  <c r="Q89" i="15"/>
  <c r="P89" i="15"/>
  <c r="Q88" i="15"/>
  <c r="P88" i="15"/>
  <c r="Q87" i="15"/>
  <c r="P87" i="15"/>
  <c r="Q86" i="15"/>
  <c r="P86" i="15"/>
  <c r="Q85" i="15"/>
  <c r="P85" i="15"/>
  <c r="Q84" i="15"/>
  <c r="P84" i="15"/>
  <c r="Q83" i="15"/>
  <c r="P83" i="15"/>
  <c r="Q82" i="15"/>
  <c r="P82" i="15"/>
  <c r="Q81" i="15"/>
  <c r="P81" i="15"/>
  <c r="Q80" i="15"/>
  <c r="P80" i="15"/>
  <c r="Q79" i="15"/>
  <c r="P79" i="15"/>
  <c r="Q78" i="15"/>
  <c r="P78" i="15"/>
  <c r="Q77" i="15"/>
  <c r="P77" i="15"/>
  <c r="Q76" i="15"/>
  <c r="P76" i="15"/>
  <c r="Q75" i="15"/>
  <c r="P75" i="15"/>
  <c r="Q74" i="15"/>
  <c r="P74" i="15"/>
  <c r="Q73" i="15"/>
  <c r="P73" i="15"/>
  <c r="Q72" i="15"/>
  <c r="P72" i="15"/>
  <c r="Q71" i="15"/>
  <c r="P71" i="15"/>
  <c r="Q70" i="15"/>
  <c r="P70" i="15"/>
  <c r="Q69" i="15"/>
  <c r="P69" i="15"/>
  <c r="Q68" i="15"/>
  <c r="P68" i="15"/>
  <c r="Q67" i="15"/>
  <c r="P67" i="15"/>
  <c r="Q66" i="15"/>
  <c r="P66" i="15"/>
  <c r="Q65" i="15"/>
  <c r="P65" i="15"/>
  <c r="Q64" i="15"/>
  <c r="P64" i="15"/>
  <c r="Q63" i="15"/>
  <c r="P63" i="15"/>
  <c r="Q62" i="15"/>
  <c r="P62" i="15"/>
  <c r="Q61" i="15"/>
  <c r="P61" i="15"/>
  <c r="Q60" i="15"/>
  <c r="P60" i="15"/>
  <c r="Q59" i="15"/>
  <c r="P59" i="15"/>
  <c r="Q58" i="15"/>
  <c r="P58" i="15"/>
  <c r="Q57" i="15"/>
  <c r="P57" i="15"/>
  <c r="Q56" i="15"/>
  <c r="P56" i="15"/>
  <c r="Q55" i="15"/>
  <c r="P55" i="15"/>
  <c r="Q54" i="15"/>
  <c r="P54" i="15"/>
  <c r="Q53" i="15"/>
  <c r="P53" i="15"/>
  <c r="Q52" i="15"/>
  <c r="P52" i="15"/>
  <c r="Q51" i="15"/>
  <c r="P51" i="15"/>
  <c r="Q50" i="15"/>
  <c r="P50" i="15"/>
  <c r="Q49" i="15"/>
  <c r="P49" i="15"/>
  <c r="Q48" i="15"/>
  <c r="P48" i="15"/>
  <c r="Q47" i="15"/>
  <c r="P47" i="15"/>
  <c r="Q46" i="15"/>
  <c r="P46" i="15"/>
  <c r="Q45" i="15"/>
  <c r="P45" i="15"/>
  <c r="Q44" i="15"/>
  <c r="P44" i="15"/>
  <c r="Q43" i="15"/>
  <c r="P43" i="15"/>
  <c r="Q42" i="15"/>
  <c r="P42" i="15"/>
  <c r="Q41" i="15"/>
  <c r="P41" i="15"/>
  <c r="Q40" i="15"/>
  <c r="P40" i="15"/>
  <c r="Q39" i="15"/>
  <c r="P39" i="15"/>
  <c r="Q38" i="15"/>
  <c r="P38" i="15"/>
  <c r="Q37" i="15"/>
  <c r="P37" i="15"/>
  <c r="Q36" i="15"/>
  <c r="P36" i="15"/>
  <c r="Q35" i="15"/>
  <c r="P35" i="15"/>
  <c r="Q34" i="15"/>
  <c r="P34" i="15"/>
  <c r="Q33" i="15"/>
  <c r="P33" i="15"/>
  <c r="Q32" i="15"/>
  <c r="P32" i="15"/>
  <c r="Q31" i="15"/>
  <c r="P31" i="15"/>
  <c r="Q30" i="15"/>
  <c r="P30" i="15"/>
  <c r="Q29" i="15"/>
  <c r="P29" i="15"/>
  <c r="Q28" i="15"/>
  <c r="P28" i="15"/>
  <c r="Q27" i="15"/>
  <c r="P27" i="15"/>
  <c r="Q26" i="15"/>
  <c r="P26" i="15"/>
  <c r="Q25" i="15"/>
  <c r="P25" i="15"/>
  <c r="Q24" i="15"/>
  <c r="P24" i="15"/>
  <c r="Q23" i="15"/>
  <c r="P23" i="15"/>
  <c r="Q22" i="15"/>
  <c r="P22" i="15"/>
  <c r="Q21" i="15"/>
  <c r="P21" i="15"/>
  <c r="Q20" i="15"/>
  <c r="P20" i="15"/>
  <c r="Q19" i="15"/>
  <c r="P19" i="15"/>
  <c r="Q18" i="15"/>
  <c r="P18" i="15"/>
  <c r="Q17" i="15"/>
  <c r="P17" i="15"/>
  <c r="Q16" i="15"/>
  <c r="P16" i="15"/>
  <c r="Q15" i="15"/>
  <c r="P15" i="15"/>
  <c r="Q14" i="15"/>
  <c r="P14" i="15"/>
  <c r="Q13" i="15"/>
  <c r="P13" i="15"/>
  <c r="Q12" i="15"/>
  <c r="P12" i="15"/>
  <c r="Q11" i="15"/>
  <c r="P11" i="15"/>
  <c r="Q10" i="15"/>
  <c r="P10" i="15"/>
  <c r="Q9" i="15"/>
  <c r="P9" i="15"/>
  <c r="Q8" i="15"/>
  <c r="P8" i="15"/>
  <c r="Q7" i="15"/>
  <c r="P7" i="15"/>
  <c r="Q6" i="15"/>
  <c r="P6" i="15"/>
  <c r="Q5" i="15"/>
  <c r="P5" i="15"/>
  <c r="Q4" i="15"/>
  <c r="P4" i="15"/>
  <c r="Q3" i="15"/>
  <c r="P3" i="15"/>
  <c r="Q2" i="15"/>
  <c r="P2" i="15"/>
  <c r="B14" i="6"/>
  <c r="B13" i="6"/>
  <c r="B12" i="6"/>
  <c r="B11" i="6"/>
  <c r="B10" i="6"/>
  <c r="B9" i="6"/>
  <c r="B8" i="6"/>
  <c r="B7" i="6"/>
  <c r="B6" i="6"/>
  <c r="B5" i="6"/>
  <c r="B4" i="6"/>
  <c r="B3" i="6"/>
  <c r="AE2" i="13"/>
  <c r="N3" i="6" l="1"/>
  <c r="K3" i="6"/>
  <c r="I44" i="11"/>
  <c r="B44" i="11"/>
  <c r="Y43" i="11"/>
  <c r="AB43" i="11"/>
  <c r="Y44" i="11"/>
  <c r="I45" i="11" l="1"/>
  <c r="M3" i="6"/>
  <c r="L3" i="6"/>
  <c r="B1" i="13" a="1"/>
  <c r="B1" i="13" s="1"/>
  <c r="A788" i="15"/>
  <c r="A787" i="15"/>
  <c r="A667" i="15"/>
  <c r="A666" i="15"/>
  <c r="A809" i="15"/>
  <c r="A808" i="15"/>
  <c r="A665" i="15"/>
  <c r="A664" i="15"/>
  <c r="A757" i="15"/>
  <c r="A756" i="15"/>
  <c r="A723" i="15"/>
  <c r="A722" i="15"/>
  <c r="A782" i="15"/>
  <c r="A781" i="15"/>
  <c r="A780" i="15"/>
  <c r="A779" i="15"/>
  <c r="A778" i="15"/>
  <c r="A755" i="15"/>
  <c r="A754" i="15"/>
  <c r="A777" i="15"/>
  <c r="A776" i="15"/>
  <c r="A715" i="15"/>
  <c r="A714" i="15"/>
  <c r="A721" i="15"/>
  <c r="A720" i="15"/>
  <c r="A719" i="15"/>
  <c r="A718" i="15"/>
  <c r="A753" i="15"/>
  <c r="A752" i="15"/>
  <c r="A751" i="15"/>
  <c r="A750" i="15"/>
  <c r="A775" i="15"/>
  <c r="A774" i="15"/>
  <c r="A653" i="15"/>
  <c r="A652" i="15"/>
  <c r="A773" i="15"/>
  <c r="A772" i="15"/>
  <c r="A771" i="15"/>
  <c r="A770" i="15"/>
  <c r="A769" i="15"/>
  <c r="A768" i="15"/>
  <c r="A749" i="15"/>
  <c r="A748" i="15"/>
  <c r="A651" i="15"/>
  <c r="A650" i="15"/>
  <c r="A747" i="15"/>
  <c r="A746" i="15"/>
  <c r="A725" i="15"/>
  <c r="A724" i="15"/>
  <c r="A767" i="15"/>
  <c r="A766" i="15"/>
  <c r="A801" i="15"/>
  <c r="A800" i="15"/>
  <c r="A617" i="15"/>
  <c r="A616" i="15"/>
  <c r="A637" i="15"/>
  <c r="A636" i="15"/>
  <c r="A635" i="15"/>
  <c r="A634" i="15"/>
  <c r="A530" i="15"/>
  <c r="A529" i="15"/>
  <c r="A528" i="15"/>
  <c r="A527" i="15"/>
  <c r="A765" i="15"/>
  <c r="A764" i="15"/>
  <c r="A763" i="15"/>
  <c r="A762" i="15"/>
  <c r="A761" i="15"/>
  <c r="A760" i="15"/>
  <c r="A807" i="15"/>
  <c r="A806" i="15"/>
  <c r="A805" i="15"/>
  <c r="A804" i="15"/>
  <c r="A545" i="15"/>
  <c r="A544" i="15"/>
  <c r="A745" i="15"/>
  <c r="A744" i="15"/>
  <c r="A803" i="15"/>
  <c r="A802" i="15"/>
  <c r="A526" i="15"/>
  <c r="A525" i="15"/>
  <c r="A815" i="15"/>
  <c r="A814" i="15"/>
  <c r="A504" i="15"/>
  <c r="A503" i="15"/>
  <c r="A799" i="15"/>
  <c r="A798" i="15"/>
  <c r="A743" i="15"/>
  <c r="A742" i="15"/>
  <c r="A703" i="15"/>
  <c r="A702" i="15"/>
  <c r="A689" i="15"/>
  <c r="A688" i="15"/>
  <c r="A823" i="15"/>
  <c r="A822" i="15"/>
  <c r="A673" i="15"/>
  <c r="A672" i="15"/>
  <c r="A661" i="15"/>
  <c r="A660" i="15"/>
  <c r="A671" i="15"/>
  <c r="A670" i="15"/>
  <c r="A555" i="15"/>
  <c r="A554" i="15"/>
  <c r="A553" i="15"/>
  <c r="A552" i="15"/>
  <c r="A615" i="15"/>
  <c r="A614" i="15"/>
  <c r="A603" i="15"/>
  <c r="A602" i="15"/>
  <c r="A573" i="15"/>
  <c r="A572" i="15"/>
  <c r="A571" i="15"/>
  <c r="A570" i="15"/>
  <c r="A569" i="15"/>
  <c r="A568" i="15"/>
  <c r="A543" i="15"/>
  <c r="A542" i="15"/>
  <c r="A601" i="15"/>
  <c r="A600" i="15"/>
  <c r="A567" i="15"/>
  <c r="A566" i="15"/>
  <c r="A687" i="15"/>
  <c r="A686" i="15"/>
  <c r="A408" i="15"/>
  <c r="A407" i="15"/>
  <c r="A685" i="15"/>
  <c r="A684" i="15"/>
  <c r="A541" i="15"/>
  <c r="A540" i="15"/>
  <c r="A565" i="15"/>
  <c r="A564" i="15"/>
  <c r="A520" i="15"/>
  <c r="A519" i="15"/>
  <c r="A468" i="15"/>
  <c r="A467" i="15"/>
  <c r="A466" i="15"/>
  <c r="A465" i="15"/>
  <c r="A329" i="15"/>
  <c r="A328" i="15"/>
  <c r="A354" i="15"/>
  <c r="A353" i="15"/>
  <c r="A327" i="15"/>
  <c r="A326" i="15"/>
  <c r="A352" i="15"/>
  <c r="A351" i="15"/>
  <c r="A350" i="15"/>
  <c r="A349" i="15"/>
  <c r="A348" i="15"/>
  <c r="A347" i="15"/>
  <c r="A346" i="15"/>
  <c r="A345" i="15"/>
  <c r="A344" i="15"/>
  <c r="A343" i="15"/>
  <c r="A539" i="15"/>
  <c r="A538" i="15"/>
  <c r="A563" i="15"/>
  <c r="A562" i="15"/>
  <c r="A613" i="15"/>
  <c r="A612" i="15"/>
  <c r="A478" i="15"/>
  <c r="A477" i="15"/>
  <c r="A476" i="15"/>
  <c r="A475" i="15"/>
  <c r="A474" i="15"/>
  <c r="A473" i="15"/>
  <c r="A464" i="15"/>
  <c r="A463" i="15"/>
  <c r="A786" i="15"/>
  <c r="A785" i="15"/>
  <c r="A599" i="15"/>
  <c r="A598" i="15"/>
  <c r="A444" i="15"/>
  <c r="A443" i="15"/>
  <c r="A442" i="15"/>
  <c r="A441" i="15"/>
  <c r="A440" i="15"/>
  <c r="A439" i="15"/>
  <c r="A342" i="15"/>
  <c r="A341" i="15"/>
  <c r="A649" i="15"/>
  <c r="A648" i="15"/>
  <c r="A551" i="15"/>
  <c r="A550" i="15"/>
  <c r="A426" i="15"/>
  <c r="A425" i="15"/>
  <c r="A589" i="15"/>
  <c r="A588" i="15"/>
  <c r="A713" i="15"/>
  <c r="A712" i="15"/>
  <c r="A597" i="15"/>
  <c r="A596" i="15"/>
  <c r="A502" i="15"/>
  <c r="A501" i="15"/>
  <c r="A500" i="15"/>
  <c r="A499" i="15"/>
  <c r="A595" i="15"/>
  <c r="A594" i="15"/>
  <c r="A325" i="15"/>
  <c r="A324" i="15"/>
  <c r="A647" i="15"/>
  <c r="A646" i="15"/>
  <c r="A717" i="15"/>
  <c r="A716" i="15"/>
  <c r="A486" i="15"/>
  <c r="A485" i="15"/>
  <c r="A484" i="15"/>
  <c r="A483" i="15"/>
  <c r="A490" i="15"/>
  <c r="A489" i="15"/>
  <c r="A701" i="15"/>
  <c r="A700" i="15"/>
  <c r="A498" i="15"/>
  <c r="A497" i="15"/>
  <c r="A537" i="15"/>
  <c r="A406" i="15"/>
  <c r="A405" i="15"/>
  <c r="A711" i="15"/>
  <c r="A710" i="15"/>
  <c r="A462" i="15"/>
  <c r="A461" i="15"/>
  <c r="A377" i="15"/>
  <c r="A376" i="15"/>
  <c r="A460" i="15"/>
  <c r="A459" i="15"/>
  <c r="A524" i="15"/>
  <c r="A523" i="15"/>
  <c r="A340" i="15"/>
  <c r="A339" i="15"/>
  <c r="A338" i="15"/>
  <c r="A496" i="15"/>
  <c r="A495" i="15"/>
  <c r="A813" i="15"/>
  <c r="A812" i="15"/>
  <c r="A404" i="15"/>
  <c r="A403" i="15"/>
  <c r="A402" i="15"/>
  <c r="A424" i="15"/>
  <c r="A423" i="15"/>
  <c r="A683" i="15"/>
  <c r="A682" i="15"/>
  <c r="A681" i="15"/>
  <c r="A680" i="15"/>
  <c r="A381" i="15"/>
  <c r="A380" i="15"/>
  <c r="A522" i="15"/>
  <c r="A521" i="15"/>
  <c r="A472" i="15"/>
  <c r="A471" i="15"/>
  <c r="A679" i="15"/>
  <c r="A678" i="15"/>
  <c r="A677" i="15"/>
  <c r="A676" i="15"/>
  <c r="A797" i="15"/>
  <c r="A796" i="15"/>
  <c r="A821" i="15"/>
  <c r="A820" i="15"/>
  <c r="A257" i="15"/>
  <c r="A256" i="15"/>
  <c r="A255" i="15"/>
  <c r="A254" i="15"/>
  <c r="A253" i="15"/>
  <c r="A252" i="15"/>
  <c r="A659" i="15"/>
  <c r="A658" i="15"/>
  <c r="A663" i="15"/>
  <c r="A662" i="15"/>
  <c r="A251" i="15"/>
  <c r="A250" i="15"/>
  <c r="A249" i="15"/>
  <c r="A248" i="15"/>
  <c r="A741" i="15"/>
  <c r="A740" i="15"/>
  <c r="A587" i="15"/>
  <c r="A586" i="15"/>
  <c r="A585" i="15"/>
  <c r="A584" i="15"/>
  <c r="A795" i="15"/>
  <c r="A794" i="15"/>
  <c r="A793" i="15"/>
  <c r="A792" i="15"/>
  <c r="A699" i="15"/>
  <c r="A698" i="15"/>
  <c r="A675" i="15"/>
  <c r="A674" i="15"/>
  <c r="A323" i="15"/>
  <c r="A322" i="15"/>
  <c r="A321" i="15"/>
  <c r="A320" i="15"/>
  <c r="A645" i="15"/>
  <c r="A644" i="15"/>
  <c r="A518" i="15"/>
  <c r="A517" i="15"/>
  <c r="A819" i="15"/>
  <c r="A818" i="15"/>
  <c r="A633" i="15"/>
  <c r="A632" i="15"/>
  <c r="A237" i="15"/>
  <c r="A236" i="15"/>
  <c r="A358" i="15"/>
  <c r="A357" i="15"/>
  <c r="A817" i="15"/>
  <c r="A816" i="15"/>
  <c r="A261" i="15"/>
  <c r="A260" i="15"/>
  <c r="A297" i="15"/>
  <c r="A296" i="15"/>
  <c r="A669" i="15"/>
  <c r="A668" i="15"/>
  <c r="A470" i="15"/>
  <c r="A469" i="15"/>
  <c r="A401" i="15"/>
  <c r="A400" i="15"/>
  <c r="A621" i="15"/>
  <c r="A620" i="15"/>
  <c r="A619" i="15"/>
  <c r="A618" i="15"/>
  <c r="A488" i="15"/>
  <c r="A487" i="15"/>
  <c r="A516" i="15"/>
  <c r="A515" i="15"/>
  <c r="A514" i="15"/>
  <c r="A513" i="15"/>
  <c r="A319" i="15"/>
  <c r="A318" i="15"/>
  <c r="A375" i="15"/>
  <c r="A374" i="15"/>
  <c r="A373" i="15"/>
  <c r="A372" i="15"/>
  <c r="A371" i="15"/>
  <c r="A370" i="15"/>
  <c r="A337" i="15"/>
  <c r="A336" i="15"/>
  <c r="A195" i="15"/>
  <c r="A194" i="15"/>
  <c r="A369" i="15"/>
  <c r="A368" i="15"/>
  <c r="A561" i="15"/>
  <c r="A560" i="15"/>
  <c r="A259" i="15"/>
  <c r="A258" i="15"/>
  <c r="A193" i="15"/>
  <c r="A192" i="15"/>
  <c r="A335" i="15"/>
  <c r="A334" i="15"/>
  <c r="A317" i="15"/>
  <c r="A316" i="15"/>
  <c r="A333" i="15"/>
  <c r="A332" i="15"/>
  <c r="A315" i="15"/>
  <c r="A314" i="15"/>
  <c r="A247" i="15"/>
  <c r="A246" i="15"/>
  <c r="A739" i="15"/>
  <c r="A738" i="15"/>
  <c r="A512" i="15"/>
  <c r="A511" i="15"/>
  <c r="A737" i="15"/>
  <c r="A736" i="15"/>
  <c r="A458" i="15"/>
  <c r="A457" i="15"/>
  <c r="A399" i="15"/>
  <c r="A398" i="15"/>
  <c r="A430" i="15"/>
  <c r="A429" i="15"/>
  <c r="A438" i="15"/>
  <c r="A437" i="15"/>
  <c r="A436" i="15"/>
  <c r="A435" i="15"/>
  <c r="A295" i="15"/>
  <c r="A294" i="15"/>
  <c r="A235" i="15"/>
  <c r="A234" i="15"/>
  <c r="A293" i="15"/>
  <c r="A292" i="15"/>
  <c r="A269" i="15"/>
  <c r="A268" i="15"/>
  <c r="A303" i="15"/>
  <c r="A302" i="15"/>
  <c r="A307" i="15"/>
  <c r="A306" i="15"/>
  <c r="A456" i="15"/>
  <c r="A455" i="15"/>
  <c r="A397" i="15"/>
  <c r="A396" i="15"/>
  <c r="A331" i="15"/>
  <c r="A330" i="15"/>
  <c r="A245" i="15"/>
  <c r="A244" i="15"/>
  <c r="A454" i="15"/>
  <c r="A453" i="15"/>
  <c r="A510" i="15"/>
  <c r="A509" i="15"/>
  <c r="A367" i="15"/>
  <c r="A366" i="15"/>
  <c r="A508" i="15"/>
  <c r="A507" i="15"/>
  <c r="A536" i="15"/>
  <c r="A535" i="15"/>
  <c r="A559" i="15"/>
  <c r="A558" i="15"/>
  <c r="A301" i="15"/>
  <c r="A300" i="15"/>
  <c r="A422" i="15"/>
  <c r="A421" i="15"/>
  <c r="A811" i="15"/>
  <c r="A810" i="15"/>
  <c r="A183" i="15"/>
  <c r="A182" i="15"/>
  <c r="A631" i="15"/>
  <c r="A630" i="15"/>
  <c r="A583" i="15"/>
  <c r="A582" i="15"/>
  <c r="A181" i="15"/>
  <c r="A180" i="15"/>
  <c r="A291" i="15"/>
  <c r="A290" i="15"/>
  <c r="A289" i="15"/>
  <c r="A288" i="15"/>
  <c r="A287" i="15"/>
  <c r="A286" i="15"/>
  <c r="A285" i="15"/>
  <c r="A284" i="15"/>
  <c r="A283" i="15"/>
  <c r="A282" i="15"/>
  <c r="A506" i="15"/>
  <c r="A505" i="15"/>
  <c r="A281" i="15"/>
  <c r="A280" i="15"/>
  <c r="A179" i="15"/>
  <c r="A178" i="15"/>
  <c r="A629" i="15"/>
  <c r="A628" i="15"/>
  <c r="A534" i="15"/>
  <c r="A533" i="15"/>
  <c r="A267" i="15"/>
  <c r="A266" i="15"/>
  <c r="A434" i="15"/>
  <c r="A433" i="15"/>
  <c r="A482" i="15"/>
  <c r="A481" i="15"/>
  <c r="A709" i="15"/>
  <c r="A708" i="15"/>
  <c r="A313" i="15"/>
  <c r="A312" i="15"/>
  <c r="A185" i="15"/>
  <c r="A184" i="15"/>
  <c r="A279" i="15"/>
  <c r="A278" i="15"/>
  <c r="A611" i="15"/>
  <c r="A610" i="15"/>
  <c r="A494" i="15"/>
  <c r="A493" i="15"/>
  <c r="A452" i="15"/>
  <c r="A451" i="15"/>
  <c r="A707" i="15"/>
  <c r="A706" i="15"/>
  <c r="A784" i="15"/>
  <c r="A783" i="15"/>
  <c r="A480" i="15"/>
  <c r="A479" i="15"/>
  <c r="A591" i="15"/>
  <c r="A590" i="15"/>
  <c r="A450" i="15"/>
  <c r="A449" i="15"/>
  <c r="A305" i="15"/>
  <c r="A304" i="15"/>
  <c r="A416" i="15"/>
  <c r="A415" i="15"/>
  <c r="A581" i="15"/>
  <c r="A580" i="15"/>
  <c r="A145" i="15"/>
  <c r="A144" i="15"/>
  <c r="A233" i="15"/>
  <c r="A232" i="15"/>
  <c r="A165" i="15"/>
  <c r="A164" i="15"/>
  <c r="A219" i="15"/>
  <c r="A218" i="15"/>
  <c r="A171" i="15"/>
  <c r="A170" i="15"/>
  <c r="A163" i="15"/>
  <c r="A162" i="15"/>
  <c r="A735" i="15"/>
  <c r="A734" i="15"/>
  <c r="A149" i="15"/>
  <c r="A148" i="15"/>
  <c r="A223" i="15"/>
  <c r="A222" i="15"/>
  <c r="A790" i="15"/>
  <c r="A789" i="15"/>
  <c r="A143" i="15"/>
  <c r="A142" i="15"/>
  <c r="A733" i="15"/>
  <c r="A732" i="15"/>
  <c r="A141" i="15"/>
  <c r="A140" i="15"/>
  <c r="A414" i="15"/>
  <c r="A413" i="15"/>
  <c r="A139" i="15"/>
  <c r="A138" i="15"/>
  <c r="A549" i="15"/>
  <c r="A548" i="15"/>
  <c r="A641" i="15"/>
  <c r="A640" i="15"/>
  <c r="A177" i="15"/>
  <c r="A176" i="15"/>
  <c r="A547" i="15"/>
  <c r="A546" i="15"/>
  <c r="A731" i="15"/>
  <c r="A730" i="15"/>
  <c r="A729" i="15"/>
  <c r="A728" i="15"/>
  <c r="A727" i="15"/>
  <c r="A726" i="15"/>
  <c r="A420" i="15"/>
  <c r="A419" i="15"/>
  <c r="A791" i="15"/>
  <c r="A593" i="15"/>
  <c r="A592" i="15"/>
  <c r="A277" i="15"/>
  <c r="A276" i="15"/>
  <c r="A147" i="15"/>
  <c r="A146" i="15"/>
  <c r="A385" i="15"/>
  <c r="A384" i="15"/>
  <c r="A217" i="15"/>
  <c r="A216" i="15"/>
  <c r="A383" i="15"/>
  <c r="A382" i="15"/>
  <c r="A365" i="15"/>
  <c r="A364" i="15"/>
  <c r="A395" i="15"/>
  <c r="A394" i="15"/>
  <c r="A393" i="15"/>
  <c r="A392" i="15"/>
  <c r="A275" i="15"/>
  <c r="A274" i="15"/>
  <c r="A356" i="15"/>
  <c r="A355" i="15"/>
  <c r="A137" i="15"/>
  <c r="A136" i="15"/>
  <c r="A191" i="15"/>
  <c r="A190" i="15"/>
  <c r="A225" i="15"/>
  <c r="A224" i="15"/>
  <c r="A391" i="15"/>
  <c r="A390" i="15"/>
  <c r="A657" i="15"/>
  <c r="A656" i="15"/>
  <c r="A655" i="15"/>
  <c r="A654" i="15"/>
  <c r="A231" i="15"/>
  <c r="A230" i="15"/>
  <c r="A135" i="15"/>
  <c r="A134" i="15"/>
  <c r="A189" i="15"/>
  <c r="A188" i="15"/>
  <c r="A697" i="15"/>
  <c r="A696" i="15"/>
  <c r="A627" i="15"/>
  <c r="A626" i="15"/>
  <c r="A133" i="15"/>
  <c r="A132" i="15"/>
  <c r="A609" i="15"/>
  <c r="A608" i="15"/>
  <c r="A432" i="15"/>
  <c r="A431" i="15"/>
  <c r="A579" i="15"/>
  <c r="A578" i="15"/>
  <c r="A215" i="15"/>
  <c r="A214" i="15"/>
  <c r="A625" i="15"/>
  <c r="A624" i="15"/>
  <c r="A121" i="15"/>
  <c r="A120" i="15"/>
  <c r="A273" i="15"/>
  <c r="A272" i="15"/>
  <c r="A127" i="15"/>
  <c r="A126" i="15"/>
  <c r="A115" i="15"/>
  <c r="A114" i="15"/>
  <c r="A187" i="15"/>
  <c r="A186" i="15"/>
  <c r="A169" i="15"/>
  <c r="A168" i="15"/>
  <c r="A175" i="15"/>
  <c r="A174" i="15"/>
  <c r="A129" i="15"/>
  <c r="A128" i="15"/>
  <c r="A412" i="15"/>
  <c r="A411" i="15"/>
  <c r="A161" i="15"/>
  <c r="A160" i="15"/>
  <c r="A229" i="15"/>
  <c r="A228" i="15"/>
  <c r="A159" i="15"/>
  <c r="A158" i="15"/>
  <c r="A167" i="15"/>
  <c r="A166" i="15"/>
  <c r="A695" i="15"/>
  <c r="A694" i="15"/>
  <c r="A101" i="15"/>
  <c r="A100" i="15"/>
  <c r="A607" i="15"/>
  <c r="A606" i="15"/>
  <c r="A410" i="15"/>
  <c r="A409" i="15"/>
  <c r="A577" i="15"/>
  <c r="A576" i="15"/>
  <c r="A227" i="15"/>
  <c r="A226" i="15"/>
  <c r="A363" i="15"/>
  <c r="A362" i="15"/>
  <c r="A107" i="15"/>
  <c r="A106" i="15"/>
  <c r="A157" i="15"/>
  <c r="A156" i="15"/>
  <c r="A119" i="15"/>
  <c r="A118" i="15"/>
  <c r="A605" i="15"/>
  <c r="A604" i="15"/>
  <c r="A243" i="15"/>
  <c r="A242" i="15"/>
  <c r="A131" i="15"/>
  <c r="A130" i="15"/>
  <c r="A97" i="15"/>
  <c r="A96" i="15"/>
  <c r="A111" i="15"/>
  <c r="A110" i="15"/>
  <c r="A418" i="15"/>
  <c r="A417" i="15"/>
  <c r="A379" i="15"/>
  <c r="A378" i="15"/>
  <c r="A99" i="15"/>
  <c r="A98" i="15"/>
  <c r="A117" i="15"/>
  <c r="A116" i="15"/>
  <c r="A89" i="15"/>
  <c r="A88" i="15"/>
  <c r="A87" i="15"/>
  <c r="A86" i="15"/>
  <c r="A85" i="15"/>
  <c r="A84" i="15"/>
  <c r="A221" i="15"/>
  <c r="A220" i="15"/>
  <c r="A241" i="15"/>
  <c r="A240" i="15"/>
  <c r="A557" i="15"/>
  <c r="A556" i="15"/>
  <c r="A643" i="15"/>
  <c r="A642" i="15"/>
  <c r="A155" i="15"/>
  <c r="A154" i="15"/>
  <c r="A153" i="15"/>
  <c r="A152" i="15"/>
  <c r="A213" i="15"/>
  <c r="A212" i="15"/>
  <c r="A389" i="15"/>
  <c r="A388" i="15"/>
  <c r="A239" i="15"/>
  <c r="A238" i="15"/>
  <c r="A105" i="15"/>
  <c r="A104" i="15"/>
  <c r="A448" i="15"/>
  <c r="A447" i="15"/>
  <c r="A95" i="15"/>
  <c r="A94" i="15"/>
  <c r="A93" i="15"/>
  <c r="A92" i="15"/>
  <c r="A91" i="15"/>
  <c r="A90" i="15"/>
  <c r="A299" i="15"/>
  <c r="A298" i="15"/>
  <c r="A109" i="15"/>
  <c r="A108" i="15"/>
  <c r="A623" i="15"/>
  <c r="A622" i="15"/>
  <c r="A639" i="15"/>
  <c r="A638" i="15"/>
  <c r="A73" i="15"/>
  <c r="A72" i="15"/>
  <c r="A103" i="15"/>
  <c r="A102" i="15"/>
  <c r="A79" i="15"/>
  <c r="A78" i="15"/>
  <c r="A361" i="15"/>
  <c r="A360" i="15"/>
  <c r="A311" i="15"/>
  <c r="A310" i="15"/>
  <c r="A173" i="15"/>
  <c r="A172" i="15"/>
  <c r="A56" i="15"/>
  <c r="A55" i="15"/>
  <c r="A309" i="15"/>
  <c r="A308" i="15"/>
  <c r="A54" i="15"/>
  <c r="A53" i="15"/>
  <c r="A151" i="15"/>
  <c r="A150" i="15"/>
  <c r="A693" i="15"/>
  <c r="A692" i="15"/>
  <c r="A58" i="15"/>
  <c r="A57" i="15"/>
  <c r="A71" i="15"/>
  <c r="A575" i="15"/>
  <c r="A574" i="15"/>
  <c r="A387" i="15"/>
  <c r="A386" i="15"/>
  <c r="A70" i="15"/>
  <c r="A69" i="15"/>
  <c r="A39" i="15"/>
  <c r="A38" i="15"/>
  <c r="A33" i="15"/>
  <c r="A32" i="15"/>
  <c r="A759" i="15"/>
  <c r="A758" i="15"/>
  <c r="A271" i="15"/>
  <c r="A270" i="15"/>
  <c r="A359" i="15"/>
  <c r="A37" i="15"/>
  <c r="A36" i="15"/>
  <c r="A265" i="15"/>
  <c r="A264" i="15"/>
  <c r="A23" i="15"/>
  <c r="A22" i="15"/>
  <c r="A211" i="15"/>
  <c r="A210" i="15"/>
  <c r="A77" i="15"/>
  <c r="A76" i="15"/>
  <c r="A68" i="15"/>
  <c r="A67" i="15"/>
  <c r="A209" i="15"/>
  <c r="A208" i="15"/>
  <c r="A705" i="15"/>
  <c r="A704" i="15"/>
  <c r="A207" i="15"/>
  <c r="A206" i="15"/>
  <c r="A532" i="15"/>
  <c r="A531" i="15"/>
  <c r="A263" i="15"/>
  <c r="A262" i="15"/>
  <c r="A205" i="15"/>
  <c r="A204" i="15"/>
  <c r="A60" i="15"/>
  <c r="A59" i="15"/>
  <c r="A52" i="15"/>
  <c r="A51" i="15"/>
  <c r="A50" i="15"/>
  <c r="A203" i="15"/>
  <c r="A202" i="15"/>
  <c r="A691" i="15"/>
  <c r="A690" i="15"/>
  <c r="A201" i="15"/>
  <c r="A200" i="15"/>
  <c r="A199" i="15"/>
  <c r="A198" i="15"/>
  <c r="A83" i="15"/>
  <c r="A82" i="15"/>
  <c r="A428" i="15"/>
  <c r="A427" i="15"/>
  <c r="A125" i="15"/>
  <c r="A124" i="15"/>
  <c r="A123" i="15"/>
  <c r="A122" i="15"/>
  <c r="A15" i="15"/>
  <c r="A14" i="15"/>
  <c r="A13" i="15"/>
  <c r="A12" i="15"/>
  <c r="A446" i="15"/>
  <c r="A445" i="15"/>
  <c r="A66" i="15"/>
  <c r="A65" i="15"/>
  <c r="A197" i="15"/>
  <c r="A196" i="15"/>
  <c r="A49" i="15"/>
  <c r="A48" i="15"/>
  <c r="A47" i="15"/>
  <c r="A46" i="15"/>
  <c r="A31" i="15"/>
  <c r="A30" i="15"/>
  <c r="A64" i="15"/>
  <c r="A63" i="15"/>
  <c r="A9" i="15"/>
  <c r="A8" i="15"/>
  <c r="A62" i="15"/>
  <c r="A61" i="15"/>
  <c r="A11" i="15"/>
  <c r="A10" i="15"/>
  <c r="A29" i="15"/>
  <c r="A28" i="15"/>
  <c r="A27" i="15"/>
  <c r="A26" i="15"/>
  <c r="A21" i="15"/>
  <c r="A20" i="15"/>
  <c r="A35" i="15"/>
  <c r="A34" i="15"/>
  <c r="A7" i="15"/>
  <c r="A6" i="15"/>
  <c r="A5" i="15"/>
  <c r="A4" i="15"/>
  <c r="A17" i="15"/>
  <c r="A16" i="15"/>
  <c r="A45" i="15"/>
  <c r="A44" i="15"/>
  <c r="A3" i="15"/>
  <c r="A2" i="15"/>
  <c r="A113" i="15"/>
  <c r="A112" i="15"/>
  <c r="A25" i="15"/>
  <c r="A24" i="15"/>
  <c r="A81" i="15"/>
  <c r="A80" i="15"/>
  <c r="A43" i="15"/>
  <c r="A42" i="15"/>
  <c r="A75" i="15"/>
  <c r="A74" i="15"/>
  <c r="A19" i="15"/>
  <c r="A18" i="15"/>
  <c r="A41" i="15"/>
  <c r="A40" i="15"/>
  <c r="A492" i="15"/>
  <c r="A491" i="15"/>
  <c r="R19" i="15" l="1"/>
  <c r="S19" i="15" s="1"/>
  <c r="R446" i="15"/>
  <c r="S446" i="15" s="1"/>
  <c r="R295" i="15"/>
  <c r="S295" i="15" s="1"/>
  <c r="R383" i="15"/>
  <c r="S383" i="15" s="1"/>
  <c r="R755" i="15"/>
  <c r="S755" i="15" s="1"/>
  <c r="R782" i="15"/>
  <c r="S782" i="15" s="1"/>
  <c r="R787" i="15"/>
  <c r="S787" i="15" s="1"/>
  <c r="R740" i="15"/>
  <c r="S740" i="15" s="1"/>
  <c r="R17" i="15"/>
  <c r="S17" i="15" s="1"/>
  <c r="R409" i="15"/>
  <c r="S409" i="15" s="1"/>
  <c r="R10" i="15"/>
  <c r="S10" i="15" s="1"/>
  <c r="R226" i="15"/>
  <c r="S226" i="15" s="1"/>
  <c r="R769" i="15"/>
  <c r="S769" i="15" s="1"/>
  <c r="R5" i="15"/>
  <c r="S5" i="15" s="1"/>
  <c r="R170" i="15"/>
  <c r="S170" i="15" s="1"/>
  <c r="R490" i="15"/>
  <c r="S490" i="15" s="1"/>
  <c r="R44" i="15"/>
  <c r="S44" i="15" s="1"/>
  <c r="R140" i="15"/>
  <c r="S140" i="15" s="1"/>
  <c r="R172" i="15"/>
  <c r="S172" i="15" s="1"/>
  <c r="R476" i="15"/>
  <c r="S476" i="15" s="1"/>
  <c r="R628" i="15"/>
  <c r="S628" i="15" s="1"/>
  <c r="R700" i="15"/>
  <c r="S700" i="15" s="1"/>
  <c r="R8" i="15"/>
  <c r="S8" i="15" s="1"/>
  <c r="R667" i="15"/>
  <c r="S667" i="15" s="1"/>
  <c r="R341" i="15"/>
  <c r="S341" i="15" s="1"/>
  <c r="R653" i="15"/>
  <c r="S653" i="15" s="1"/>
  <c r="R9" i="15"/>
  <c r="S9" i="15" s="1"/>
  <c r="R96" i="15"/>
  <c r="S96" i="15" s="1"/>
  <c r="R273" i="15"/>
  <c r="S273" i="15" s="1"/>
  <c r="R471" i="15"/>
  <c r="S471" i="15" s="1"/>
  <c r="R664" i="15"/>
  <c r="S664" i="15" s="1"/>
  <c r="R151" i="15"/>
  <c r="S151" i="15" s="1"/>
  <c r="R101" i="15"/>
  <c r="S101" i="15" s="1"/>
  <c r="R175" i="15"/>
  <c r="S175" i="15" s="1"/>
  <c r="R366" i="15"/>
  <c r="S366" i="15" s="1"/>
  <c r="R302" i="15"/>
  <c r="S302" i="15" s="1"/>
  <c r="R398" i="15"/>
  <c r="S398" i="15" s="1"/>
  <c r="R316" i="15"/>
  <c r="S316" i="15" s="1"/>
  <c r="R620" i="15"/>
  <c r="S620" i="15" s="1"/>
  <c r="R470" i="15"/>
  <c r="S470" i="15" s="1"/>
  <c r="R795" i="15"/>
  <c r="S795" i="15" s="1"/>
  <c r="R661" i="15"/>
  <c r="S661" i="15" s="1"/>
  <c r="R763" i="15"/>
  <c r="S763" i="15" s="1"/>
  <c r="R767" i="15"/>
  <c r="S767" i="15" s="1"/>
  <c r="R325" i="15"/>
  <c r="S325" i="15" s="1"/>
  <c r="R551" i="15"/>
  <c r="S551" i="15" s="1"/>
  <c r="R775" i="15"/>
  <c r="S775" i="15" s="1"/>
  <c r="R527" i="15"/>
  <c r="S527" i="15" s="1"/>
  <c r="R746" i="15"/>
  <c r="S746" i="15" s="1"/>
  <c r="R645" i="15"/>
  <c r="S645" i="15" s="1"/>
  <c r="R587" i="15"/>
  <c r="S587" i="15" s="1"/>
  <c r="R257" i="15"/>
  <c r="S257" i="15" s="1"/>
  <c r="R796" i="15"/>
  <c r="S796" i="15" s="1"/>
  <c r="R92" i="15"/>
  <c r="S92" i="15" s="1"/>
  <c r="R562" i="15"/>
  <c r="S562" i="15" s="1"/>
  <c r="R407" i="15"/>
  <c r="S407" i="15" s="1"/>
  <c r="R602" i="15"/>
  <c r="S602" i="15" s="1"/>
  <c r="R210" i="15"/>
  <c r="S210" i="15" s="1"/>
  <c r="R308" i="15"/>
  <c r="S308" i="15" s="1"/>
  <c r="R104" i="15"/>
  <c r="S104" i="15" s="1"/>
  <c r="R417" i="15"/>
  <c r="S417" i="15" s="1"/>
  <c r="R186" i="15"/>
  <c r="S186" i="15" s="1"/>
  <c r="R477" i="15"/>
  <c r="S477" i="15" s="1"/>
  <c r="R47" i="15"/>
  <c r="S47" i="15" s="1"/>
  <c r="R76" i="15"/>
  <c r="S76" i="15" s="1"/>
  <c r="R53" i="15"/>
  <c r="S53" i="15" s="1"/>
  <c r="R556" i="15"/>
  <c r="S556" i="15" s="1"/>
  <c r="R156" i="15"/>
  <c r="S156" i="15" s="1"/>
  <c r="R694" i="15"/>
  <c r="S694" i="15" s="1"/>
  <c r="R701" i="15"/>
  <c r="S701" i="15" s="1"/>
  <c r="R712" i="15"/>
  <c r="S712" i="15" s="1"/>
  <c r="R351" i="15"/>
  <c r="S351" i="15" s="1"/>
  <c r="R69" i="15"/>
  <c r="S69" i="15" s="1"/>
  <c r="R148" i="15"/>
  <c r="S148" i="15" s="1"/>
  <c r="R433" i="15"/>
  <c r="S433" i="15" s="1"/>
  <c r="R281" i="15"/>
  <c r="S281" i="15" s="1"/>
  <c r="R307" i="15"/>
  <c r="S307" i="15" s="1"/>
  <c r="R430" i="15"/>
  <c r="S430" i="15" s="1"/>
  <c r="R619" i="15"/>
  <c r="S619" i="15" s="1"/>
  <c r="R538" i="15"/>
  <c r="S538" i="15" s="1"/>
  <c r="R614" i="15"/>
  <c r="S614" i="15" s="1"/>
  <c r="R608" i="15"/>
  <c r="S608" i="15" s="1"/>
  <c r="R452" i="15"/>
  <c r="S452" i="15" s="1"/>
  <c r="R434" i="15"/>
  <c r="S434" i="15" s="1"/>
  <c r="R193" i="15"/>
  <c r="S193" i="15" s="1"/>
  <c r="R800" i="15"/>
  <c r="S800" i="15" s="1"/>
  <c r="R258" i="15"/>
  <c r="S258" i="15" s="1"/>
  <c r="R318" i="15"/>
  <c r="S318" i="15" s="1"/>
  <c r="R154" i="15"/>
  <c r="S154" i="15" s="1"/>
  <c r="R116" i="15"/>
  <c r="S116" i="15" s="1"/>
  <c r="R604" i="15"/>
  <c r="S604" i="15" s="1"/>
  <c r="R128" i="15"/>
  <c r="S128" i="15" s="1"/>
  <c r="R731" i="15"/>
  <c r="S731" i="15" s="1"/>
  <c r="R185" i="15"/>
  <c r="S185" i="15" s="1"/>
  <c r="R315" i="15"/>
  <c r="S315" i="15" s="1"/>
  <c r="R524" i="15"/>
  <c r="S524" i="15" s="1"/>
  <c r="R34" i="15"/>
  <c r="S34" i="15" s="1"/>
  <c r="R676" i="15"/>
  <c r="S676" i="15" s="1"/>
  <c r="R461" i="15"/>
  <c r="S461" i="15" s="1"/>
  <c r="R713" i="15"/>
  <c r="S713" i="15" s="1"/>
  <c r="R563" i="15"/>
  <c r="S563" i="15" s="1"/>
  <c r="R98" i="15"/>
  <c r="S98" i="15" s="1"/>
  <c r="R346" i="15"/>
  <c r="S346" i="15" s="1"/>
  <c r="R519" i="15"/>
  <c r="S519" i="15" s="1"/>
  <c r="R545" i="15"/>
  <c r="S545" i="15" s="1"/>
  <c r="R717" i="15"/>
  <c r="S717" i="15" s="1"/>
  <c r="R14" i="15"/>
  <c r="S14" i="15" s="1"/>
  <c r="R199" i="15"/>
  <c r="S199" i="15" s="1"/>
  <c r="R270" i="15"/>
  <c r="S270" i="15" s="1"/>
  <c r="R361" i="15"/>
  <c r="S361" i="15" s="1"/>
  <c r="R191" i="15"/>
  <c r="S191" i="15" s="1"/>
  <c r="R217" i="15"/>
  <c r="S217" i="15" s="1"/>
  <c r="R314" i="15"/>
  <c r="S314" i="15" s="1"/>
  <c r="R816" i="15"/>
  <c r="S816" i="15" s="1"/>
  <c r="R322" i="15"/>
  <c r="S322" i="15" s="1"/>
  <c r="R812" i="15"/>
  <c r="S812" i="15" s="1"/>
  <c r="R646" i="15"/>
  <c r="S646" i="15" s="1"/>
  <c r="R64" i="15"/>
  <c r="S64" i="15" s="1"/>
  <c r="R15" i="15"/>
  <c r="S15" i="15" s="1"/>
  <c r="R182" i="15"/>
  <c r="S182" i="15" s="1"/>
  <c r="R259" i="15"/>
  <c r="S259" i="15" s="1"/>
  <c r="R669" i="15"/>
  <c r="S669" i="15" s="1"/>
  <c r="R597" i="15"/>
  <c r="S597" i="15" s="1"/>
  <c r="R442" i="15"/>
  <c r="S442" i="15" s="1"/>
  <c r="R613" i="15"/>
  <c r="S613" i="15" s="1"/>
  <c r="R685" i="15"/>
  <c r="S685" i="15" s="1"/>
  <c r="R803" i="15"/>
  <c r="S803" i="15" s="1"/>
  <c r="R747" i="15"/>
  <c r="S747" i="15" s="1"/>
  <c r="R428" i="15"/>
  <c r="S428" i="15" s="1"/>
  <c r="R109" i="15"/>
  <c r="S109" i="15" s="1"/>
  <c r="R389" i="15"/>
  <c r="S389" i="15" s="1"/>
  <c r="R85" i="15"/>
  <c r="S85" i="15" s="1"/>
  <c r="R97" i="15"/>
  <c r="S97" i="15" s="1"/>
  <c r="R294" i="15"/>
  <c r="S294" i="15" s="1"/>
  <c r="R256" i="15"/>
  <c r="S256" i="15" s="1"/>
  <c r="R485" i="15"/>
  <c r="S485" i="15" s="1"/>
  <c r="R639" i="15"/>
  <c r="S639" i="15" s="1"/>
  <c r="R418" i="15"/>
  <c r="S418" i="15" s="1"/>
  <c r="R722" i="15"/>
  <c r="S722" i="15" s="1"/>
  <c r="R771" i="15"/>
  <c r="S771" i="15" s="1"/>
  <c r="R42" i="15"/>
  <c r="S42" i="15" s="1"/>
  <c r="R202" i="15"/>
  <c r="S202" i="15" s="1"/>
  <c r="R705" i="15"/>
  <c r="S705" i="15" s="1"/>
  <c r="R33" i="15"/>
  <c r="S33" i="15" s="1"/>
  <c r="R609" i="15"/>
  <c r="S609" i="15" s="1"/>
  <c r="R696" i="15"/>
  <c r="S696" i="15" s="1"/>
  <c r="R190" i="15"/>
  <c r="S190" i="15" s="1"/>
  <c r="R171" i="15"/>
  <c r="S171" i="15" s="1"/>
  <c r="R397" i="15"/>
  <c r="S397" i="15" s="1"/>
  <c r="R369" i="15"/>
  <c r="S369" i="15" s="1"/>
  <c r="R678" i="15"/>
  <c r="S678" i="15" s="1"/>
  <c r="R404" i="15"/>
  <c r="S404" i="15" s="1"/>
  <c r="R503" i="15"/>
  <c r="S503" i="15" s="1"/>
  <c r="R20" i="15"/>
  <c r="S20" i="15" s="1"/>
  <c r="R704" i="15"/>
  <c r="S704" i="15" s="1"/>
  <c r="R153" i="15"/>
  <c r="S153" i="15" s="1"/>
  <c r="R410" i="15"/>
  <c r="S410" i="15" s="1"/>
  <c r="R177" i="15"/>
  <c r="S177" i="15" s="1"/>
  <c r="R709" i="15"/>
  <c r="S709" i="15" s="1"/>
  <c r="R506" i="15"/>
  <c r="S506" i="15" s="1"/>
  <c r="R595" i="15"/>
  <c r="S595" i="15" s="1"/>
  <c r="R750" i="15"/>
  <c r="S750" i="15" s="1"/>
  <c r="R18" i="15"/>
  <c r="S18" i="15" s="1"/>
  <c r="R61" i="15"/>
  <c r="S61" i="15" s="1"/>
  <c r="R445" i="15"/>
  <c r="S445" i="15" s="1"/>
  <c r="R73" i="15"/>
  <c r="S73" i="15" s="1"/>
  <c r="R494" i="15"/>
  <c r="S494" i="15" s="1"/>
  <c r="R455" i="15"/>
  <c r="S455" i="15" s="1"/>
  <c r="R235" i="15"/>
  <c r="S235" i="15" s="1"/>
  <c r="R423" i="15"/>
  <c r="S423" i="15" s="1"/>
  <c r="R528" i="15"/>
  <c r="S528" i="15" s="1"/>
  <c r="R751" i="15"/>
  <c r="S751" i="15" s="1"/>
  <c r="R781" i="15"/>
  <c r="S781" i="15" s="1"/>
  <c r="R340" i="15"/>
  <c r="S340" i="15" s="1"/>
  <c r="R814" i="15"/>
  <c r="S814" i="15" s="1"/>
  <c r="R624" i="15"/>
  <c r="S624" i="15" s="1"/>
  <c r="R166" i="15"/>
  <c r="S166" i="15" s="1"/>
  <c r="R162" i="15"/>
  <c r="S162" i="15" s="1"/>
  <c r="R738" i="15"/>
  <c r="S738" i="15" s="1"/>
  <c r="R123" i="15"/>
  <c r="S123" i="15" s="1"/>
  <c r="R211" i="15"/>
  <c r="S211" i="15" s="1"/>
  <c r="R298" i="15"/>
  <c r="S298" i="15" s="1"/>
  <c r="R130" i="15"/>
  <c r="S130" i="15" s="1"/>
  <c r="R272" i="15"/>
  <c r="S272" i="15" s="1"/>
  <c r="R626" i="15"/>
  <c r="S626" i="15" s="1"/>
  <c r="R189" i="15"/>
  <c r="S189" i="15" s="1"/>
  <c r="R137" i="15"/>
  <c r="S137" i="15" s="1"/>
  <c r="R385" i="15"/>
  <c r="S385" i="15" s="1"/>
  <c r="R479" i="15"/>
  <c r="S479" i="15" s="1"/>
  <c r="R482" i="15"/>
  <c r="S482" i="15" s="1"/>
  <c r="R280" i="15"/>
  <c r="S280" i="15" s="1"/>
  <c r="R618" i="15"/>
  <c r="S618" i="15" s="1"/>
  <c r="R495" i="15"/>
  <c r="S495" i="15" s="1"/>
  <c r="R406" i="15"/>
  <c r="S406" i="15" s="1"/>
  <c r="R565" i="15"/>
  <c r="S565" i="15" s="1"/>
  <c r="R554" i="15"/>
  <c r="S554" i="15" s="1"/>
  <c r="R798" i="15"/>
  <c r="S798" i="15" s="1"/>
  <c r="R3" i="15"/>
  <c r="S3" i="15" s="1"/>
  <c r="R83" i="15"/>
  <c r="S83" i="15" s="1"/>
  <c r="R759" i="15"/>
  <c r="S759" i="15" s="1"/>
  <c r="R382" i="15"/>
  <c r="S382" i="15" s="1"/>
  <c r="R611" i="15"/>
  <c r="S611" i="15" s="1"/>
  <c r="R534" i="15"/>
  <c r="S534" i="15" s="1"/>
  <c r="R284" i="15"/>
  <c r="S284" i="15" s="1"/>
  <c r="R301" i="15"/>
  <c r="S301" i="15" s="1"/>
  <c r="R453" i="15"/>
  <c r="S453" i="15" s="1"/>
  <c r="R331" i="15"/>
  <c r="S331" i="15" s="1"/>
  <c r="R292" i="15"/>
  <c r="S292" i="15" s="1"/>
  <c r="R192" i="15"/>
  <c r="S192" i="15" s="1"/>
  <c r="R818" i="15"/>
  <c r="S818" i="15" s="1"/>
  <c r="R794" i="15"/>
  <c r="S794" i="15" s="1"/>
  <c r="R681" i="15"/>
  <c r="S681" i="15" s="1"/>
  <c r="R745" i="15"/>
  <c r="S745" i="15" s="1"/>
  <c r="R540" i="15"/>
  <c r="S540" i="15" s="1"/>
  <c r="R570" i="15"/>
  <c r="S570" i="15" s="1"/>
  <c r="R525" i="15"/>
  <c r="S525" i="15" s="1"/>
  <c r="R103" i="15"/>
  <c r="S103" i="15" s="1"/>
  <c r="R655" i="15"/>
  <c r="S655" i="15" s="1"/>
  <c r="R593" i="15"/>
  <c r="S593" i="15" s="1"/>
  <c r="R460" i="15"/>
  <c r="S460" i="15" s="1"/>
  <c r="R381" i="15"/>
  <c r="S381" i="15" s="1"/>
  <c r="R484" i="15"/>
  <c r="S484" i="15" s="1"/>
  <c r="R552" i="15"/>
  <c r="S552" i="15" s="1"/>
  <c r="R777" i="15"/>
  <c r="S777" i="15" s="1"/>
  <c r="R573" i="15"/>
  <c r="S573" i="15" s="1"/>
  <c r="R720" i="15"/>
  <c r="S720" i="15" s="1"/>
  <c r="R342" i="15"/>
  <c r="S342" i="15" s="1"/>
  <c r="R266" i="15"/>
  <c r="S266" i="15" s="1"/>
  <c r="R375" i="15"/>
  <c r="S375" i="15" s="1"/>
  <c r="R230" i="15"/>
  <c r="S230" i="15" s="1"/>
  <c r="R74" i="15"/>
  <c r="S74" i="15" s="1"/>
  <c r="R514" i="15"/>
  <c r="S514" i="15" s="1"/>
  <c r="R323" i="15"/>
  <c r="S323" i="15" s="1"/>
  <c r="R16" i="15"/>
  <c r="S16" i="15" s="1"/>
  <c r="R221" i="15"/>
  <c r="S221" i="15" s="1"/>
  <c r="R72" i="15"/>
  <c r="S72" i="15" s="1"/>
  <c r="R791" i="15"/>
  <c r="S791" i="15" s="1"/>
  <c r="R149" i="15"/>
  <c r="S149" i="15" s="1"/>
  <c r="R783" i="15"/>
  <c r="S783" i="15" s="1"/>
  <c r="R758" i="15"/>
  <c r="S758" i="15" s="1"/>
  <c r="R78" i="15"/>
  <c r="S78" i="15" s="1"/>
  <c r="R784" i="15"/>
  <c r="S784" i="15" s="1"/>
  <c r="R606" i="15"/>
  <c r="S606" i="15" s="1"/>
  <c r="R631" i="15"/>
  <c r="S631" i="15" s="1"/>
  <c r="R819" i="15"/>
  <c r="S819" i="15" s="1"/>
  <c r="R29" i="15"/>
  <c r="S29" i="15" s="1"/>
  <c r="R67" i="15"/>
  <c r="S67" i="15" s="1"/>
  <c r="R106" i="15"/>
  <c r="S106" i="15" s="1"/>
  <c r="R640" i="15"/>
  <c r="S640" i="15" s="1"/>
  <c r="R139" i="15"/>
  <c r="S139" i="15" s="1"/>
  <c r="R144" i="15"/>
  <c r="S144" i="15" s="1"/>
  <c r="R481" i="15"/>
  <c r="S481" i="15" s="1"/>
  <c r="R267" i="15"/>
  <c r="S267" i="15" s="1"/>
  <c r="R287" i="15"/>
  <c r="S287" i="15" s="1"/>
  <c r="R437" i="15"/>
  <c r="S437" i="15" s="1"/>
  <c r="R698" i="15"/>
  <c r="S698" i="15" s="1"/>
  <c r="R489" i="15"/>
  <c r="S489" i="15" s="1"/>
  <c r="R439" i="15"/>
  <c r="S439" i="15" s="1"/>
  <c r="R444" i="15"/>
  <c r="S444" i="15" s="1"/>
  <c r="R689" i="15"/>
  <c r="S689" i="15" s="1"/>
  <c r="R714" i="15"/>
  <c r="S714" i="15" s="1"/>
  <c r="R558" i="15"/>
  <c r="S558" i="15" s="1"/>
  <c r="R127" i="15"/>
  <c r="S127" i="15" s="1"/>
  <c r="R431" i="15"/>
  <c r="S431" i="15" s="1"/>
  <c r="R391" i="15"/>
  <c r="S391" i="15" s="1"/>
  <c r="R365" i="15"/>
  <c r="S365" i="15" s="1"/>
  <c r="R726" i="15"/>
  <c r="S726" i="15" s="1"/>
  <c r="R682" i="15"/>
  <c r="S682" i="15" s="1"/>
  <c r="R462" i="15"/>
  <c r="S462" i="15" s="1"/>
  <c r="R464" i="15"/>
  <c r="S464" i="15" s="1"/>
  <c r="R530" i="15"/>
  <c r="S530" i="15" s="1"/>
  <c r="R498" i="15"/>
  <c r="S498" i="15" s="1"/>
  <c r="R739" i="15"/>
  <c r="S739" i="15" s="1"/>
  <c r="R290" i="15"/>
  <c r="S290" i="15" s="1"/>
  <c r="R811" i="15"/>
  <c r="S811" i="15" s="1"/>
  <c r="R499" i="15"/>
  <c r="S499" i="15" s="1"/>
  <c r="R349" i="15"/>
  <c r="S349" i="15" s="1"/>
  <c r="R40" i="15"/>
  <c r="S40" i="15" s="1"/>
  <c r="R25" i="15"/>
  <c r="S25" i="15" s="1"/>
  <c r="R68" i="15"/>
  <c r="S68" i="15" s="1"/>
  <c r="R223" i="15"/>
  <c r="S223" i="15" s="1"/>
  <c r="R145" i="15"/>
  <c r="S145" i="15" s="1"/>
  <c r="R330" i="15"/>
  <c r="S330" i="15" s="1"/>
  <c r="R438" i="15"/>
  <c r="S438" i="15" s="1"/>
  <c r="R663" i="15"/>
  <c r="S663" i="15" s="1"/>
  <c r="R338" i="15"/>
  <c r="S338" i="15" s="1"/>
  <c r="R459" i="15"/>
  <c r="S459" i="15" s="1"/>
  <c r="R165" i="15"/>
  <c r="S165" i="15" s="1"/>
  <c r="R264" i="15"/>
  <c r="S264" i="15" s="1"/>
  <c r="R111" i="15"/>
  <c r="S111" i="15" s="1"/>
  <c r="R387" i="15"/>
  <c r="S387" i="15" s="1"/>
  <c r="R86" i="15"/>
  <c r="S86" i="15" s="1"/>
  <c r="R724" i="15"/>
  <c r="S724" i="15" s="1"/>
  <c r="R715" i="15"/>
  <c r="S715" i="15" s="1"/>
  <c r="R41" i="15"/>
  <c r="S41" i="15" s="1"/>
  <c r="R63" i="15"/>
  <c r="S63" i="15" s="1"/>
  <c r="R59" i="15"/>
  <c r="S59" i="15" s="1"/>
  <c r="R622" i="15"/>
  <c r="S622" i="15" s="1"/>
  <c r="R238" i="15"/>
  <c r="S238" i="15" s="1"/>
  <c r="R213" i="15"/>
  <c r="S213" i="15" s="1"/>
  <c r="R220" i="15"/>
  <c r="S220" i="15" s="1"/>
  <c r="R131" i="15"/>
  <c r="S131" i="15" s="1"/>
  <c r="R414" i="15"/>
  <c r="S414" i="15" s="1"/>
  <c r="R305" i="15"/>
  <c r="S305" i="15" s="1"/>
  <c r="R269" i="15"/>
  <c r="S269" i="15" s="1"/>
  <c r="R488" i="15"/>
  <c r="S488" i="15" s="1"/>
  <c r="R296" i="15"/>
  <c r="S296" i="15" s="1"/>
  <c r="R585" i="15"/>
  <c r="S585" i="15" s="1"/>
  <c r="R539" i="15"/>
  <c r="S539" i="15" s="1"/>
  <c r="R735" i="15"/>
  <c r="S735" i="15" s="1"/>
  <c r="R416" i="15"/>
  <c r="S416" i="15" s="1"/>
  <c r="R463" i="15"/>
  <c r="S463" i="15" s="1"/>
  <c r="R630" i="15"/>
  <c r="S630" i="15" s="1"/>
  <c r="R502" i="15"/>
  <c r="S502" i="15" s="1"/>
  <c r="R588" i="15"/>
  <c r="S588" i="15" s="1"/>
  <c r="R353" i="15"/>
  <c r="S353" i="15" s="1"/>
  <c r="R776" i="15"/>
  <c r="S776" i="15" s="1"/>
  <c r="R82" i="15"/>
  <c r="S82" i="15" s="1"/>
  <c r="R392" i="15"/>
  <c r="S392" i="15" s="1"/>
  <c r="R237" i="15"/>
  <c r="S237" i="15" s="1"/>
  <c r="R321" i="15"/>
  <c r="S321" i="15" s="1"/>
  <c r="R680" i="15"/>
  <c r="S680" i="15" s="1"/>
  <c r="R594" i="15"/>
  <c r="S594" i="15" s="1"/>
  <c r="R598" i="15"/>
  <c r="S598" i="15" s="1"/>
  <c r="R568" i="15"/>
  <c r="S568" i="15" s="1"/>
  <c r="R823" i="15"/>
  <c r="S823" i="15" s="1"/>
  <c r="R201" i="15"/>
  <c r="S201" i="15" s="1"/>
  <c r="R271" i="15"/>
  <c r="S271" i="15" s="1"/>
  <c r="R21" i="15"/>
  <c r="S21" i="15" s="1"/>
  <c r="R46" i="15"/>
  <c r="S46" i="15" s="1"/>
  <c r="R13" i="15"/>
  <c r="S13" i="15" s="1"/>
  <c r="R39" i="15"/>
  <c r="S39" i="15" s="1"/>
  <c r="R388" i="15"/>
  <c r="S388" i="15" s="1"/>
  <c r="R557" i="15"/>
  <c r="S557" i="15" s="1"/>
  <c r="R379" i="15"/>
  <c r="S379" i="15" s="1"/>
  <c r="R243" i="15"/>
  <c r="S243" i="15" s="1"/>
  <c r="R363" i="15"/>
  <c r="S363" i="15" s="1"/>
  <c r="R114" i="15"/>
  <c r="S114" i="15" s="1"/>
  <c r="R224" i="15"/>
  <c r="S224" i="15" s="1"/>
  <c r="R706" i="15"/>
  <c r="S706" i="15" s="1"/>
  <c r="R178" i="15"/>
  <c r="S178" i="15" s="1"/>
  <c r="R286" i="15"/>
  <c r="S286" i="15" s="1"/>
  <c r="R435" i="15"/>
  <c r="S435" i="15" s="1"/>
  <c r="R332" i="15"/>
  <c r="S332" i="15" s="1"/>
  <c r="R560" i="15"/>
  <c r="S560" i="15" s="1"/>
  <c r="R513" i="15"/>
  <c r="S513" i="15" s="1"/>
  <c r="R662" i="15"/>
  <c r="S662" i="15" s="1"/>
  <c r="R768" i="15"/>
  <c r="S768" i="15" s="1"/>
  <c r="R780" i="15"/>
  <c r="S780" i="15" s="1"/>
  <c r="R376" i="15"/>
  <c r="S376" i="15" s="1"/>
  <c r="R648" i="15"/>
  <c r="S648" i="15" s="1"/>
  <c r="R367" i="15"/>
  <c r="S367" i="15" s="1"/>
  <c r="R569" i="15"/>
  <c r="S569" i="15" s="1"/>
  <c r="R262" i="15"/>
  <c r="S262" i="15" s="1"/>
  <c r="R159" i="15"/>
  <c r="S159" i="15" s="1"/>
  <c r="R180" i="15"/>
  <c r="S180" i="15" s="1"/>
  <c r="R52" i="15"/>
  <c r="S52" i="15" s="1"/>
  <c r="R134" i="15"/>
  <c r="S134" i="15" s="1"/>
  <c r="R610" i="15"/>
  <c r="S610" i="15" s="1"/>
  <c r="R535" i="15"/>
  <c r="S535" i="15" s="1"/>
  <c r="R150" i="15"/>
  <c r="S150" i="15" s="1"/>
  <c r="R310" i="15"/>
  <c r="S310" i="15" s="1"/>
  <c r="R228" i="15"/>
  <c r="S228" i="15" s="1"/>
  <c r="R627" i="15"/>
  <c r="S627" i="15" s="1"/>
  <c r="R656" i="15"/>
  <c r="S656" i="15" s="1"/>
  <c r="R547" i="15"/>
  <c r="S547" i="15" s="1"/>
  <c r="R163" i="15"/>
  <c r="S163" i="15" s="1"/>
  <c r="R580" i="15"/>
  <c r="S580" i="15" s="1"/>
  <c r="R533" i="15"/>
  <c r="S533" i="15" s="1"/>
  <c r="R181" i="15"/>
  <c r="S181" i="15" s="1"/>
  <c r="R245" i="15"/>
  <c r="S245" i="15" s="1"/>
  <c r="R234" i="15"/>
  <c r="S234" i="15" s="1"/>
  <c r="R374" i="15"/>
  <c r="S374" i="15" s="1"/>
  <c r="R248" i="15"/>
  <c r="S248" i="15" s="1"/>
  <c r="R821" i="15"/>
  <c r="S821" i="15" s="1"/>
  <c r="R402" i="15"/>
  <c r="S402" i="15" s="1"/>
  <c r="R377" i="15"/>
  <c r="S377" i="15" s="1"/>
  <c r="R599" i="15"/>
  <c r="S599" i="15" s="1"/>
  <c r="R408" i="15"/>
  <c r="S408" i="15" s="1"/>
  <c r="R600" i="15"/>
  <c r="S600" i="15" s="1"/>
  <c r="R603" i="15"/>
  <c r="S603" i="15" s="1"/>
  <c r="R815" i="15"/>
  <c r="S815" i="15" s="1"/>
  <c r="R744" i="15"/>
  <c r="S744" i="15" s="1"/>
  <c r="R529" i="15"/>
  <c r="S529" i="15" s="1"/>
  <c r="R212" i="15"/>
  <c r="S212" i="15" s="1"/>
  <c r="R227" i="15"/>
  <c r="S227" i="15" s="1"/>
  <c r="R126" i="15"/>
  <c r="S126" i="15" s="1"/>
  <c r="R120" i="15"/>
  <c r="S120" i="15" s="1"/>
  <c r="R135" i="15"/>
  <c r="S135" i="15" s="1"/>
  <c r="R147" i="15"/>
  <c r="S147" i="15" s="1"/>
  <c r="R143" i="15"/>
  <c r="S143" i="15" s="1"/>
  <c r="R312" i="15"/>
  <c r="S312" i="15" s="1"/>
  <c r="R288" i="15"/>
  <c r="S288" i="15" s="1"/>
  <c r="R300" i="15"/>
  <c r="S300" i="15" s="1"/>
  <c r="R633" i="15"/>
  <c r="S633" i="15" s="1"/>
  <c r="R644" i="15"/>
  <c r="S644" i="15" s="1"/>
  <c r="R347" i="15"/>
  <c r="S347" i="15" s="1"/>
  <c r="R555" i="15"/>
  <c r="S555" i="15" s="1"/>
  <c r="R672" i="15"/>
  <c r="S672" i="15" s="1"/>
  <c r="R806" i="15"/>
  <c r="S806" i="15" s="1"/>
  <c r="R616" i="15"/>
  <c r="S616" i="15" s="1"/>
  <c r="R770" i="15"/>
  <c r="S770" i="15" s="1"/>
  <c r="R70" i="15"/>
  <c r="S70" i="15" s="1"/>
  <c r="R105" i="15"/>
  <c r="S105" i="15" s="1"/>
  <c r="R642" i="15"/>
  <c r="S642" i="15" s="1"/>
  <c r="R169" i="15"/>
  <c r="S169" i="15" s="1"/>
  <c r="R395" i="15"/>
  <c r="S395" i="15" s="1"/>
  <c r="R176" i="15"/>
  <c r="S176" i="15" s="1"/>
  <c r="R549" i="15"/>
  <c r="S549" i="15" s="1"/>
  <c r="R283" i="15"/>
  <c r="S283" i="15" s="1"/>
  <c r="R582" i="15"/>
  <c r="S582" i="15" s="1"/>
  <c r="R510" i="15"/>
  <c r="S510" i="15" s="1"/>
  <c r="R399" i="15"/>
  <c r="S399" i="15" s="1"/>
  <c r="R247" i="15"/>
  <c r="S247" i="15" s="1"/>
  <c r="R368" i="15"/>
  <c r="S368" i="15" s="1"/>
  <c r="R586" i="15"/>
  <c r="S586" i="15" s="1"/>
  <c r="R522" i="15"/>
  <c r="S522" i="15" s="1"/>
  <c r="R496" i="15"/>
  <c r="S496" i="15" s="1"/>
  <c r="R48" i="15"/>
  <c r="S48" i="15" s="1"/>
  <c r="R427" i="15"/>
  <c r="S427" i="15" s="1"/>
  <c r="R62" i="15"/>
  <c r="S62" i="15" s="1"/>
  <c r="R531" i="15"/>
  <c r="S531" i="15" s="1"/>
  <c r="R55" i="15"/>
  <c r="S55" i="15" s="1"/>
  <c r="R607" i="15"/>
  <c r="S607" i="15" s="1"/>
  <c r="R274" i="15"/>
  <c r="S274" i="15" s="1"/>
  <c r="R419" i="15"/>
  <c r="S419" i="15" s="1"/>
  <c r="R313" i="15"/>
  <c r="S313" i="15" s="1"/>
  <c r="R289" i="15"/>
  <c r="S289" i="15" s="1"/>
  <c r="R507" i="15"/>
  <c r="S507" i="15" s="1"/>
  <c r="R456" i="15"/>
  <c r="S456" i="15" s="1"/>
  <c r="R370" i="15"/>
  <c r="S370" i="15" s="1"/>
  <c r="R674" i="15"/>
  <c r="S674" i="15" s="1"/>
  <c r="R475" i="15"/>
  <c r="S475" i="15" s="1"/>
  <c r="R348" i="15"/>
  <c r="S348" i="15" s="1"/>
  <c r="R326" i="15"/>
  <c r="S326" i="15" s="1"/>
  <c r="R764" i="15"/>
  <c r="S764" i="15" s="1"/>
  <c r="R774" i="15"/>
  <c r="S774" i="15" s="1"/>
  <c r="R753" i="15"/>
  <c r="S753" i="15" s="1"/>
  <c r="R27" i="15"/>
  <c r="S27" i="15" s="1"/>
  <c r="R491" i="15"/>
  <c r="S491" i="15" s="1"/>
  <c r="R358" i="15"/>
  <c r="S358" i="15" s="1"/>
  <c r="R659" i="15"/>
  <c r="S659" i="15" s="1"/>
  <c r="R380" i="15"/>
  <c r="S380" i="15" s="1"/>
  <c r="R537" i="15"/>
  <c r="S537" i="15" s="1"/>
  <c r="R324" i="15"/>
  <c r="S324" i="15" s="1"/>
  <c r="R665" i="15"/>
  <c r="S665" i="15" s="1"/>
  <c r="R66" i="15"/>
  <c r="S66" i="15" s="1"/>
  <c r="R4" i="15"/>
  <c r="S4" i="15" s="1"/>
  <c r="R107" i="15"/>
  <c r="S107" i="15" s="1"/>
  <c r="R512" i="15"/>
  <c r="S512" i="15" s="1"/>
  <c r="R550" i="15"/>
  <c r="S550" i="15" s="1"/>
  <c r="R670" i="15"/>
  <c r="S670" i="15" s="1"/>
  <c r="R544" i="15"/>
  <c r="S544" i="15" s="1"/>
  <c r="R617" i="15"/>
  <c r="S617" i="15" s="1"/>
  <c r="R748" i="15"/>
  <c r="S748" i="15" s="1"/>
  <c r="R129" i="15"/>
  <c r="S129" i="15" s="1"/>
  <c r="R75" i="15"/>
  <c r="S75" i="15" s="1"/>
  <c r="R196" i="15"/>
  <c r="S196" i="15" s="1"/>
  <c r="R204" i="15"/>
  <c r="S204" i="15" s="1"/>
  <c r="R532" i="15"/>
  <c r="S532" i="15" s="1"/>
  <c r="R58" i="15"/>
  <c r="S58" i="15" s="1"/>
  <c r="R56" i="15"/>
  <c r="S56" i="15" s="1"/>
  <c r="R99" i="15"/>
  <c r="S99" i="15" s="1"/>
  <c r="R100" i="15"/>
  <c r="S100" i="15" s="1"/>
  <c r="R364" i="15"/>
  <c r="S364" i="15" s="1"/>
  <c r="R730" i="15"/>
  <c r="S730" i="15" s="1"/>
  <c r="R790" i="15"/>
  <c r="S790" i="15" s="1"/>
  <c r="R415" i="15"/>
  <c r="S415" i="15" s="1"/>
  <c r="R279" i="15"/>
  <c r="S279" i="15" s="1"/>
  <c r="R371" i="15"/>
  <c r="S371" i="15" s="1"/>
  <c r="R675" i="15"/>
  <c r="S675" i="15" s="1"/>
  <c r="R327" i="15"/>
  <c r="S327" i="15" s="1"/>
  <c r="R778" i="15"/>
  <c r="S778" i="15" s="1"/>
  <c r="R31" i="15"/>
  <c r="S31" i="15" s="1"/>
  <c r="R50" i="15"/>
  <c r="S50" i="15" s="1"/>
  <c r="R239" i="15"/>
  <c r="S239" i="15" s="1"/>
  <c r="R362" i="15"/>
  <c r="S362" i="15" s="1"/>
  <c r="R136" i="15"/>
  <c r="S136" i="15" s="1"/>
  <c r="R384" i="15"/>
  <c r="S384" i="15" s="1"/>
  <c r="R732" i="15"/>
  <c r="S732" i="15" s="1"/>
  <c r="R218" i="15"/>
  <c r="S218" i="15" s="1"/>
  <c r="R285" i="15"/>
  <c r="S285" i="15" s="1"/>
  <c r="R458" i="15"/>
  <c r="S458" i="15" s="1"/>
  <c r="R194" i="15"/>
  <c r="S194" i="15" s="1"/>
  <c r="R487" i="15"/>
  <c r="S487" i="15" s="1"/>
  <c r="R252" i="15"/>
  <c r="S252" i="15" s="1"/>
  <c r="R822" i="15"/>
  <c r="S822" i="15" s="1"/>
  <c r="R772" i="15"/>
  <c r="S772" i="15" s="1"/>
  <c r="R691" i="15"/>
  <c r="S691" i="15" s="1"/>
  <c r="R205" i="15"/>
  <c r="S205" i="15" s="1"/>
  <c r="R208" i="15"/>
  <c r="S208" i="15" s="1"/>
  <c r="R240" i="15"/>
  <c r="S240" i="15" s="1"/>
  <c r="R303" i="15"/>
  <c r="S303" i="15" s="1"/>
  <c r="R401" i="15"/>
  <c r="S401" i="15" s="1"/>
  <c r="R785" i="15"/>
  <c r="S785" i="15" s="1"/>
  <c r="R474" i="15"/>
  <c r="S474" i="15" s="1"/>
  <c r="R466" i="15"/>
  <c r="S466" i="15" s="1"/>
  <c r="R564" i="15"/>
  <c r="S564" i="15" s="1"/>
  <c r="R684" i="15"/>
  <c r="S684" i="15" s="1"/>
  <c r="R660" i="15"/>
  <c r="S660" i="15" s="1"/>
  <c r="R703" i="15"/>
  <c r="S703" i="15" s="1"/>
  <c r="R752" i="15"/>
  <c r="S752" i="15" s="1"/>
  <c r="R721" i="15"/>
  <c r="S721" i="15" s="1"/>
  <c r="R576" i="15"/>
  <c r="S576" i="15" s="1"/>
  <c r="R7" i="15"/>
  <c r="S7" i="15" s="1"/>
  <c r="R30" i="15"/>
  <c r="S30" i="15" s="1"/>
  <c r="R49" i="15"/>
  <c r="S49" i="15" s="1"/>
  <c r="R77" i="15"/>
  <c r="S77" i="15" s="1"/>
  <c r="R359" i="15"/>
  <c r="S359" i="15" s="1"/>
  <c r="R32" i="15"/>
  <c r="S32" i="15" s="1"/>
  <c r="R575" i="15"/>
  <c r="S575" i="15" s="1"/>
  <c r="R693" i="15"/>
  <c r="S693" i="15" s="1"/>
  <c r="R54" i="15"/>
  <c r="S54" i="15" s="1"/>
  <c r="R102" i="15"/>
  <c r="S102" i="15" s="1"/>
  <c r="R448" i="15"/>
  <c r="S448" i="15" s="1"/>
  <c r="R412" i="15"/>
  <c r="S412" i="15" s="1"/>
  <c r="R168" i="15"/>
  <c r="S168" i="15" s="1"/>
  <c r="R625" i="15"/>
  <c r="S625" i="15" s="1"/>
  <c r="R132" i="15"/>
  <c r="S132" i="15" s="1"/>
  <c r="R146" i="15"/>
  <c r="S146" i="15" s="1"/>
  <c r="R232" i="15"/>
  <c r="S232" i="15" s="1"/>
  <c r="R255" i="15"/>
  <c r="S255" i="15" s="1"/>
  <c r="R677" i="15"/>
  <c r="S677" i="15" s="1"/>
  <c r="R521" i="15"/>
  <c r="S521" i="15" s="1"/>
  <c r="R339" i="15"/>
  <c r="S339" i="15" s="1"/>
  <c r="R687" i="15"/>
  <c r="S687" i="15" s="1"/>
  <c r="R542" i="15"/>
  <c r="S542" i="15" s="1"/>
  <c r="R636" i="15"/>
  <c r="S636" i="15" s="1"/>
  <c r="R801" i="15"/>
  <c r="S801" i="15" s="1"/>
  <c r="R754" i="15"/>
  <c r="S754" i="15" s="1"/>
  <c r="R756" i="15"/>
  <c r="S756" i="15" s="1"/>
  <c r="R809" i="15"/>
  <c r="S809" i="15" s="1"/>
  <c r="R206" i="15"/>
  <c r="S206" i="15" s="1"/>
  <c r="R209" i="15"/>
  <c r="S209" i="15" s="1"/>
  <c r="R360" i="15"/>
  <c r="S360" i="15" s="1"/>
  <c r="R241" i="15"/>
  <c r="S241" i="15" s="1"/>
  <c r="R577" i="15"/>
  <c r="S577" i="15" s="1"/>
  <c r="R142" i="15"/>
  <c r="S142" i="15" s="1"/>
  <c r="R422" i="15"/>
  <c r="S422" i="15" s="1"/>
  <c r="R268" i="15"/>
  <c r="S268" i="15" s="1"/>
  <c r="R516" i="15"/>
  <c r="S516" i="15" s="1"/>
  <c r="R469" i="15"/>
  <c r="S469" i="15" s="1"/>
  <c r="R817" i="15"/>
  <c r="S817" i="15" s="1"/>
  <c r="R518" i="15"/>
  <c r="S518" i="15" s="1"/>
  <c r="R250" i="15"/>
  <c r="S250" i="15" s="1"/>
  <c r="R354" i="15"/>
  <c r="S354" i="15" s="1"/>
  <c r="R467" i="15"/>
  <c r="S467" i="15" s="1"/>
  <c r="R742" i="15"/>
  <c r="S742" i="15" s="1"/>
  <c r="R93" i="15"/>
  <c r="S93" i="15" s="1"/>
  <c r="R643" i="15"/>
  <c r="S643" i="15" s="1"/>
  <c r="R117" i="15"/>
  <c r="S117" i="15" s="1"/>
  <c r="R229" i="15"/>
  <c r="S229" i="15" s="1"/>
  <c r="R214" i="15"/>
  <c r="S214" i="15" s="1"/>
  <c r="R432" i="15"/>
  <c r="S432" i="15" s="1"/>
  <c r="R133" i="15"/>
  <c r="S133" i="15" s="1"/>
  <c r="R697" i="15"/>
  <c r="S697" i="15" s="1"/>
  <c r="R233" i="15"/>
  <c r="S233" i="15" s="1"/>
  <c r="R581" i="15"/>
  <c r="S581" i="15" s="1"/>
  <c r="R480" i="15"/>
  <c r="S480" i="15" s="1"/>
  <c r="R707" i="15"/>
  <c r="S707" i="15" s="1"/>
  <c r="R184" i="15"/>
  <c r="S184" i="15" s="1"/>
  <c r="R179" i="15"/>
  <c r="S179" i="15" s="1"/>
  <c r="R454" i="15"/>
  <c r="S454" i="15" s="1"/>
  <c r="R306" i="15"/>
  <c r="S306" i="15" s="1"/>
  <c r="R561" i="15"/>
  <c r="S561" i="15" s="1"/>
  <c r="R372" i="15"/>
  <c r="S372" i="15" s="1"/>
  <c r="R319" i="15"/>
  <c r="S319" i="15" s="1"/>
  <c r="R297" i="15"/>
  <c r="S297" i="15" s="1"/>
  <c r="R357" i="15"/>
  <c r="S357" i="15" s="1"/>
  <c r="R424" i="15"/>
  <c r="S424" i="15" s="1"/>
  <c r="R813" i="15"/>
  <c r="S813" i="15" s="1"/>
  <c r="R710" i="15"/>
  <c r="S710" i="15" s="1"/>
  <c r="R497" i="15"/>
  <c r="S497" i="15" s="1"/>
  <c r="R589" i="15"/>
  <c r="S589" i="15" s="1"/>
  <c r="R566" i="15"/>
  <c r="S566" i="15" s="1"/>
  <c r="R543" i="15"/>
  <c r="S543" i="15" s="1"/>
  <c r="R504" i="15"/>
  <c r="S504" i="15" s="1"/>
  <c r="R637" i="15"/>
  <c r="S637" i="15" s="1"/>
  <c r="R766" i="15"/>
  <c r="S766" i="15" s="1"/>
  <c r="R757" i="15"/>
  <c r="S757" i="15" s="1"/>
  <c r="R666" i="15"/>
  <c r="S666" i="15" s="1"/>
  <c r="R251" i="15"/>
  <c r="S251" i="15" s="1"/>
  <c r="R647" i="15"/>
  <c r="S647" i="15" s="1"/>
  <c r="R492" i="15"/>
  <c r="S492" i="15" s="1"/>
  <c r="R43" i="15"/>
  <c r="S43" i="15" s="1"/>
  <c r="R24" i="15"/>
  <c r="S24" i="15" s="1"/>
  <c r="R26" i="15"/>
  <c r="S26" i="15" s="1"/>
  <c r="R200" i="15"/>
  <c r="S200" i="15" s="1"/>
  <c r="R386" i="15"/>
  <c r="S386" i="15" s="1"/>
  <c r="R57" i="15"/>
  <c r="S57" i="15" s="1"/>
  <c r="R87" i="15"/>
  <c r="S87" i="15" s="1"/>
  <c r="R157" i="15"/>
  <c r="S157" i="15" s="1"/>
  <c r="R727" i="15"/>
  <c r="S727" i="15" s="1"/>
  <c r="R219" i="15"/>
  <c r="S219" i="15" s="1"/>
  <c r="R282" i="15"/>
  <c r="S282" i="15" s="1"/>
  <c r="R583" i="15"/>
  <c r="S583" i="15" s="1"/>
  <c r="R183" i="15"/>
  <c r="S183" i="15" s="1"/>
  <c r="R244" i="15"/>
  <c r="S244" i="15" s="1"/>
  <c r="R396" i="15"/>
  <c r="S396" i="15" s="1"/>
  <c r="R336" i="15"/>
  <c r="S336" i="15" s="1"/>
  <c r="R260" i="15"/>
  <c r="S260" i="15" s="1"/>
  <c r="R699" i="15"/>
  <c r="S699" i="15" s="1"/>
  <c r="R584" i="15"/>
  <c r="S584" i="15" s="1"/>
  <c r="R486" i="15"/>
  <c r="S486" i="15" s="1"/>
  <c r="R328" i="15"/>
  <c r="S328" i="15" s="1"/>
  <c r="R743" i="15"/>
  <c r="S743" i="15" s="1"/>
  <c r="R807" i="15"/>
  <c r="S807" i="15" s="1"/>
  <c r="R773" i="15"/>
  <c r="S773" i="15" s="1"/>
  <c r="R718" i="15"/>
  <c r="S718" i="15" s="1"/>
  <c r="R35" i="15"/>
  <c r="S35" i="15" s="1"/>
  <c r="R197" i="15"/>
  <c r="S197" i="15" s="1"/>
  <c r="R12" i="15"/>
  <c r="S12" i="15" s="1"/>
  <c r="R203" i="15"/>
  <c r="S203" i="15" s="1"/>
  <c r="R60" i="15"/>
  <c r="S60" i="15" s="1"/>
  <c r="R265" i="15"/>
  <c r="S265" i="15" s="1"/>
  <c r="R38" i="15"/>
  <c r="S38" i="15" s="1"/>
  <c r="R173" i="15"/>
  <c r="S173" i="15" s="1"/>
  <c r="R468" i="15"/>
  <c r="S468" i="15" s="1"/>
  <c r="R567" i="15"/>
  <c r="S567" i="15" s="1"/>
  <c r="R572" i="15"/>
  <c r="S572" i="15" s="1"/>
  <c r="R688" i="15"/>
  <c r="S688" i="15" s="1"/>
  <c r="R802" i="15"/>
  <c r="S802" i="15" s="1"/>
  <c r="R299" i="15"/>
  <c r="S299" i="15" s="1"/>
  <c r="R373" i="15"/>
  <c r="S373" i="15" s="1"/>
  <c r="R649" i="15"/>
  <c r="S649" i="15" s="1"/>
  <c r="R80" i="15"/>
  <c r="S80" i="15" s="1"/>
  <c r="R309" i="15"/>
  <c r="S309" i="15" s="1"/>
  <c r="R623" i="15"/>
  <c r="S623" i="15" s="1"/>
  <c r="R95" i="15"/>
  <c r="S95" i="15" s="1"/>
  <c r="R88" i="15"/>
  <c r="S88" i="15" s="1"/>
  <c r="R158" i="15"/>
  <c r="S158" i="15" s="1"/>
  <c r="R657" i="15"/>
  <c r="S657" i="15" s="1"/>
  <c r="R355" i="15"/>
  <c r="S355" i="15" s="1"/>
  <c r="R276" i="15"/>
  <c r="S276" i="15" s="1"/>
  <c r="R728" i="15"/>
  <c r="S728" i="15" s="1"/>
  <c r="R546" i="15"/>
  <c r="S546" i="15" s="1"/>
  <c r="R164" i="15"/>
  <c r="S164" i="15" s="1"/>
  <c r="R737" i="15"/>
  <c r="S737" i="15" s="1"/>
  <c r="R334" i="15"/>
  <c r="S334" i="15" s="1"/>
  <c r="R337" i="15"/>
  <c r="S337" i="15" s="1"/>
  <c r="R621" i="15"/>
  <c r="S621" i="15" s="1"/>
  <c r="R668" i="15"/>
  <c r="S668" i="15" s="1"/>
  <c r="R792" i="15"/>
  <c r="S792" i="15" s="1"/>
  <c r="R797" i="15"/>
  <c r="S797" i="15" s="1"/>
  <c r="R679" i="15"/>
  <c r="S679" i="15" s="1"/>
  <c r="R523" i="15"/>
  <c r="S523" i="15" s="1"/>
  <c r="R716" i="15"/>
  <c r="S716" i="15" s="1"/>
  <c r="R441" i="15"/>
  <c r="S441" i="15" s="1"/>
  <c r="R760" i="15"/>
  <c r="S760" i="15" s="1"/>
  <c r="R765" i="15"/>
  <c r="S765" i="15" s="1"/>
  <c r="R650" i="15"/>
  <c r="S650" i="15" s="1"/>
  <c r="R652" i="15"/>
  <c r="S652" i="15" s="1"/>
  <c r="R719" i="15"/>
  <c r="S719" i="15" s="1"/>
  <c r="R161" i="15"/>
  <c r="S161" i="15" s="1"/>
  <c r="R578" i="15"/>
  <c r="S578" i="15" s="1"/>
  <c r="R236" i="15"/>
  <c r="S236" i="15" s="1"/>
  <c r="R403" i="15"/>
  <c r="S403" i="15" s="1"/>
  <c r="R500" i="15"/>
  <c r="S500" i="15" s="1"/>
  <c r="R590" i="15"/>
  <c r="S590" i="15" s="1"/>
  <c r="R345" i="15"/>
  <c r="S345" i="15" s="1"/>
  <c r="R804" i="15"/>
  <c r="S804" i="15" s="1"/>
  <c r="R761" i="15"/>
  <c r="S761" i="15" s="1"/>
  <c r="R634" i="15"/>
  <c r="S634" i="15" s="1"/>
  <c r="R447" i="15"/>
  <c r="S447" i="15" s="1"/>
  <c r="R84" i="15"/>
  <c r="S84" i="15" s="1"/>
  <c r="R89" i="15"/>
  <c r="S89" i="15" s="1"/>
  <c r="R110" i="15"/>
  <c r="S110" i="15" s="1"/>
  <c r="R187" i="15"/>
  <c r="S187" i="15" s="1"/>
  <c r="R654" i="15"/>
  <c r="S654" i="15" s="1"/>
  <c r="R390" i="15"/>
  <c r="S390" i="15" s="1"/>
  <c r="R356" i="15"/>
  <c r="S356" i="15" s="1"/>
  <c r="R277" i="15"/>
  <c r="S277" i="15" s="1"/>
  <c r="R729" i="15"/>
  <c r="S729" i="15" s="1"/>
  <c r="R641" i="15"/>
  <c r="S641" i="15" s="1"/>
  <c r="R413" i="15"/>
  <c r="S413" i="15" s="1"/>
  <c r="R629" i="15"/>
  <c r="S629" i="15" s="1"/>
  <c r="R293" i="15"/>
  <c r="S293" i="15" s="1"/>
  <c r="R511" i="15"/>
  <c r="S511" i="15" s="1"/>
  <c r="R246" i="15"/>
  <c r="S246" i="15" s="1"/>
  <c r="R400" i="15"/>
  <c r="S400" i="15" s="1"/>
  <c r="R320" i="15"/>
  <c r="S320" i="15" s="1"/>
  <c r="R253" i="15"/>
  <c r="S253" i="15" s="1"/>
  <c r="R651" i="15"/>
  <c r="S651" i="15" s="1"/>
  <c r="R113" i="15"/>
  <c r="S113" i="15" s="1"/>
  <c r="R36" i="15"/>
  <c r="S36" i="15" s="1"/>
  <c r="R124" i="15"/>
  <c r="S124" i="15" s="1"/>
  <c r="R81" i="15"/>
  <c r="S81" i="15" s="1"/>
  <c r="R2" i="15"/>
  <c r="S2" i="15" s="1"/>
  <c r="R37" i="15"/>
  <c r="S37" i="15" s="1"/>
  <c r="R574" i="15"/>
  <c r="S574" i="15" s="1"/>
  <c r="R692" i="15"/>
  <c r="S692" i="15" s="1"/>
  <c r="R79" i="15"/>
  <c r="S79" i="15" s="1"/>
  <c r="R91" i="15"/>
  <c r="S91" i="15" s="1"/>
  <c r="R155" i="15"/>
  <c r="S155" i="15" s="1"/>
  <c r="R420" i="15"/>
  <c r="S420" i="15" s="1"/>
  <c r="R350" i="15"/>
  <c r="S350" i="15" s="1"/>
  <c r="R465" i="15"/>
  <c r="S465" i="15" s="1"/>
  <c r="R541" i="15"/>
  <c r="S541" i="15" s="1"/>
  <c r="R671" i="15"/>
  <c r="S671" i="15" s="1"/>
  <c r="R702" i="15"/>
  <c r="S702" i="15" s="1"/>
  <c r="R799" i="15"/>
  <c r="S799" i="15" s="1"/>
  <c r="R788" i="15"/>
  <c r="S788" i="15" s="1"/>
  <c r="R28" i="15"/>
  <c r="S28" i="15" s="1"/>
  <c r="R125" i="15"/>
  <c r="S125" i="15" s="1"/>
  <c r="R51" i="15"/>
  <c r="S51" i="15" s="1"/>
  <c r="R311" i="15"/>
  <c r="S311" i="15" s="1"/>
  <c r="R119" i="15"/>
  <c r="S119" i="15" s="1"/>
  <c r="R695" i="15"/>
  <c r="S695" i="15" s="1"/>
  <c r="R579" i="15"/>
  <c r="S579" i="15" s="1"/>
  <c r="R394" i="15"/>
  <c r="S394" i="15" s="1"/>
  <c r="R592" i="15"/>
  <c r="S592" i="15" s="1"/>
  <c r="R734" i="15"/>
  <c r="S734" i="15" s="1"/>
  <c r="R304" i="15"/>
  <c r="S304" i="15" s="1"/>
  <c r="R591" i="15"/>
  <c r="S591" i="15" s="1"/>
  <c r="R278" i="15"/>
  <c r="S278" i="15" s="1"/>
  <c r="R505" i="15"/>
  <c r="S505" i="15" s="1"/>
  <c r="R508" i="15"/>
  <c r="S508" i="15" s="1"/>
  <c r="R429" i="15"/>
  <c r="S429" i="15" s="1"/>
  <c r="R333" i="15"/>
  <c r="S333" i="15" s="1"/>
  <c r="R820" i="15"/>
  <c r="S820" i="15" s="1"/>
  <c r="R472" i="15"/>
  <c r="S472" i="15" s="1"/>
  <c r="R501" i="15"/>
  <c r="S501" i="15" s="1"/>
  <c r="R473" i="15"/>
  <c r="S473" i="15" s="1"/>
  <c r="R686" i="15"/>
  <c r="S686" i="15" s="1"/>
  <c r="R601" i="15"/>
  <c r="S601" i="15" s="1"/>
  <c r="R553" i="15"/>
  <c r="S553" i="15" s="1"/>
  <c r="R805" i="15"/>
  <c r="S805" i="15" s="1"/>
  <c r="R762" i="15"/>
  <c r="S762" i="15" s="1"/>
  <c r="R779" i="15"/>
  <c r="S779" i="15" s="1"/>
  <c r="R723" i="15"/>
  <c r="S723" i="15" s="1"/>
  <c r="R808" i="15"/>
  <c r="S808" i="15" s="1"/>
  <c r="R22" i="15"/>
  <c r="S22" i="15" s="1"/>
  <c r="R174" i="15"/>
  <c r="S174" i="15" s="1"/>
  <c r="R449" i="15"/>
  <c r="S449" i="15" s="1"/>
  <c r="R94" i="15"/>
  <c r="S94" i="15" s="1"/>
  <c r="R411" i="15"/>
  <c r="S411" i="15" s="1"/>
  <c r="R90" i="15"/>
  <c r="S90" i="15" s="1"/>
  <c r="R378" i="15"/>
  <c r="S378" i="15" s="1"/>
  <c r="R733" i="15"/>
  <c r="S733" i="15" s="1"/>
  <c r="R122" i="15"/>
  <c r="S122" i="15" s="1"/>
  <c r="R690" i="15"/>
  <c r="S690" i="15" s="1"/>
  <c r="R118" i="15"/>
  <c r="S118" i="15" s="1"/>
  <c r="R222" i="15"/>
  <c r="S222" i="15" s="1"/>
  <c r="R515" i="15"/>
  <c r="S515" i="15" s="1"/>
  <c r="R65" i="15"/>
  <c r="S65" i="15" s="1"/>
  <c r="R198" i="15"/>
  <c r="S198" i="15" s="1"/>
  <c r="R536" i="15"/>
  <c r="S536" i="15" s="1"/>
  <c r="R45" i="15"/>
  <c r="S45" i="15" s="1"/>
  <c r="R11" i="15"/>
  <c r="S11" i="15" s="1"/>
  <c r="R167" i="15"/>
  <c r="S167" i="15" s="1"/>
  <c r="R810" i="15"/>
  <c r="S810" i="15" s="1"/>
  <c r="R195" i="15"/>
  <c r="S195" i="15" s="1"/>
  <c r="R115" i="15"/>
  <c r="S115" i="15" s="1"/>
  <c r="R736" i="15"/>
  <c r="S736" i="15" s="1"/>
  <c r="R112" i="15"/>
  <c r="S112" i="15" s="1"/>
  <c r="R138" i="15"/>
  <c r="S138" i="15" s="1"/>
  <c r="R493" i="15"/>
  <c r="S493" i="15" s="1"/>
  <c r="R317" i="15"/>
  <c r="S317" i="15" s="1"/>
  <c r="R393" i="15"/>
  <c r="S393" i="15" s="1"/>
  <c r="R6" i="15"/>
  <c r="S6" i="15" s="1"/>
  <c r="R71" i="15"/>
  <c r="S71" i="15" s="1"/>
  <c r="R160" i="15"/>
  <c r="S160" i="15" s="1"/>
  <c r="R188" i="15"/>
  <c r="S188" i="15" s="1"/>
  <c r="R450" i="15"/>
  <c r="S450" i="15" s="1"/>
  <c r="R421" i="15"/>
  <c r="S421" i="15" s="1"/>
  <c r="R517" i="15"/>
  <c r="S517" i="15" s="1"/>
  <c r="R793" i="15"/>
  <c r="S793" i="15" s="1"/>
  <c r="R23" i="15"/>
  <c r="S23" i="15" s="1"/>
  <c r="R335" i="15"/>
  <c r="S335" i="15" s="1"/>
  <c r="R632" i="15"/>
  <c r="S632" i="15" s="1"/>
  <c r="R789" i="15"/>
  <c r="S789" i="15" s="1"/>
  <c r="R451" i="15"/>
  <c r="S451" i="15" s="1"/>
  <c r="R121" i="15"/>
  <c r="S121" i="15" s="1"/>
  <c r="R708" i="15"/>
  <c r="S708" i="15" s="1"/>
  <c r="R263" i="15"/>
  <c r="S263" i="15" s="1"/>
  <c r="R638" i="15"/>
  <c r="S638" i="15" s="1"/>
  <c r="R605" i="15"/>
  <c r="S605" i="15" s="1"/>
  <c r="R215" i="15"/>
  <c r="S215" i="15" s="1"/>
  <c r="R231" i="15"/>
  <c r="S231" i="15" s="1"/>
  <c r="R225" i="15"/>
  <c r="S225" i="15" s="1"/>
  <c r="R275" i="15"/>
  <c r="S275" i="15" s="1"/>
  <c r="R548" i="15"/>
  <c r="S548" i="15" s="1"/>
  <c r="R207" i="15"/>
  <c r="S207" i="15" s="1"/>
  <c r="R108" i="15"/>
  <c r="S108" i="15" s="1"/>
  <c r="R249" i="15"/>
  <c r="S249" i="15" s="1"/>
  <c r="R596" i="15"/>
  <c r="S596" i="15" s="1"/>
  <c r="R443" i="15"/>
  <c r="S443" i="15" s="1"/>
  <c r="R261" i="15"/>
  <c r="S261" i="15" s="1"/>
  <c r="R254" i="15"/>
  <c r="S254" i="15" s="1"/>
  <c r="R440" i="15"/>
  <c r="S440" i="15" s="1"/>
  <c r="R329" i="15"/>
  <c r="S329" i="15" s="1"/>
  <c r="R242" i="15"/>
  <c r="S242" i="15" s="1"/>
  <c r="R141" i="15"/>
  <c r="S141" i="15" s="1"/>
  <c r="R559" i="15"/>
  <c r="S559" i="15" s="1"/>
  <c r="R509" i="15"/>
  <c r="S509" i="15" s="1"/>
  <c r="R741" i="15"/>
  <c r="S741" i="15" s="1"/>
  <c r="R658" i="15"/>
  <c r="S658" i="15" s="1"/>
  <c r="R786" i="15"/>
  <c r="S786" i="15" s="1"/>
  <c r="R571" i="15"/>
  <c r="S571" i="15" s="1"/>
  <c r="R343" i="15"/>
  <c r="S343" i="15" s="1"/>
  <c r="R635" i="15"/>
  <c r="S635" i="15" s="1"/>
  <c r="R152" i="15"/>
  <c r="S152" i="15" s="1"/>
  <c r="R216" i="15"/>
  <c r="S216" i="15" s="1"/>
  <c r="R291" i="15"/>
  <c r="S291" i="15" s="1"/>
  <c r="R436" i="15"/>
  <c r="S436" i="15" s="1"/>
  <c r="R457" i="15"/>
  <c r="S457" i="15" s="1"/>
  <c r="R683" i="15"/>
  <c r="S683" i="15" s="1"/>
  <c r="R483" i="15"/>
  <c r="S483" i="15" s="1"/>
  <c r="R725" i="15"/>
  <c r="S725" i="15" s="1"/>
  <c r="R478" i="15"/>
  <c r="S478" i="15" s="1"/>
  <c r="R520" i="15"/>
  <c r="S520" i="15" s="1"/>
  <c r="R526" i="15"/>
  <c r="S526" i="15" s="1"/>
  <c r="R344" i="15"/>
  <c r="S344" i="15" s="1"/>
  <c r="R615" i="15"/>
  <c r="S615" i="15" s="1"/>
  <c r="R711" i="15"/>
  <c r="S711" i="15" s="1"/>
  <c r="R425" i="15"/>
  <c r="S425" i="15" s="1"/>
  <c r="R352" i="15"/>
  <c r="S352" i="15" s="1"/>
  <c r="R612" i="15"/>
  <c r="S612" i="15" s="1"/>
  <c r="R749" i="15"/>
  <c r="S749" i="15" s="1"/>
  <c r="R405" i="15"/>
  <c r="S405" i="15" s="1"/>
  <c r="R426" i="15"/>
  <c r="S426" i="15" s="1"/>
  <c r="R673" i="15"/>
  <c r="S673" i="15" s="1"/>
  <c r="P261" i="13"/>
  <c r="AE261" i="13" s="1"/>
  <c r="O44" i="11"/>
  <c r="F44" i="11"/>
  <c r="B43" i="11"/>
  <c r="V43" i="11"/>
  <c r="AE810" i="15" l="1" a="1"/>
  <c r="AE810" i="15" s="1"/>
  <c r="AF810" i="15" s="1"/>
  <c r="AG810" i="15" s="1"/>
  <c r="AE807" i="15" a="1"/>
  <c r="AE807" i="15" s="1"/>
  <c r="AF807" i="15" s="1"/>
  <c r="AG807" i="15" s="1"/>
  <c r="AE817" i="15" a="1"/>
  <c r="AE817" i="15" s="1"/>
  <c r="AF817" i="15" s="1"/>
  <c r="AG817" i="15" s="1"/>
  <c r="AE814" i="15" a="1"/>
  <c r="AE814" i="15" s="1"/>
  <c r="AF814" i="15" s="1"/>
  <c r="AG814" i="15" s="1"/>
  <c r="AE813" i="15" a="1"/>
  <c r="AE813" i="15" s="1"/>
  <c r="AF813" i="15" s="1"/>
  <c r="AG813" i="15" s="1"/>
  <c r="AE815" i="15" a="1"/>
  <c r="AE815" i="15" s="1"/>
  <c r="AF815" i="15" s="1"/>
  <c r="AG815" i="15" s="1"/>
  <c r="AE808" i="15" a="1"/>
  <c r="AE808" i="15" s="1"/>
  <c r="AF808" i="15" s="1"/>
  <c r="AG808" i="15" s="1"/>
  <c r="AE820" i="15" a="1"/>
  <c r="AE820" i="15" s="1"/>
  <c r="AF820" i="15" s="1"/>
  <c r="AG820" i="15" s="1"/>
  <c r="AE806" i="15" a="1"/>
  <c r="AE806" i="15" s="1"/>
  <c r="AF806" i="15" s="1"/>
  <c r="AG806" i="15" s="1"/>
  <c r="AF407" i="13" s="1"/>
  <c r="AE805" i="15" a="1"/>
  <c r="AE805" i="15" s="1"/>
  <c r="AF805" i="15" s="1"/>
  <c r="AG805" i="15" s="1"/>
  <c r="AE822" i="15" a="1"/>
  <c r="AE822" i="15" s="1"/>
  <c r="AF822" i="15" s="1"/>
  <c r="AG822" i="15" s="1"/>
  <c r="AE821" i="15" a="1"/>
  <c r="AE821" i="15" s="1"/>
  <c r="AF821" i="15" s="1"/>
  <c r="AG821" i="15" s="1"/>
  <c r="AE823" i="15" a="1"/>
  <c r="AE823" i="15" s="1"/>
  <c r="AF823" i="15" s="1"/>
  <c r="AG823" i="15" s="1"/>
  <c r="AE804" i="15" a="1"/>
  <c r="AE804" i="15" s="1"/>
  <c r="AF804" i="15" s="1"/>
  <c r="AG804" i="15" s="1"/>
  <c r="AE819" i="15" a="1"/>
  <c r="AE819" i="15" s="1"/>
  <c r="AF819" i="15" s="1"/>
  <c r="AG819" i="15" s="1"/>
  <c r="AE812" i="15" a="1"/>
  <c r="AE812" i="15" s="1"/>
  <c r="AF812" i="15" s="1"/>
  <c r="AG812" i="15" s="1"/>
  <c r="AE811" i="15" a="1"/>
  <c r="AE811" i="15" s="1"/>
  <c r="AF811" i="15" s="1"/>
  <c r="AG811" i="15" s="1"/>
  <c r="AE809" i="15" a="1"/>
  <c r="AE809" i="15" s="1"/>
  <c r="AF809" i="15" s="1"/>
  <c r="AG809" i="15" s="1"/>
  <c r="AE818" i="15" a="1"/>
  <c r="AE818" i="15" s="1"/>
  <c r="AF818" i="15" s="1"/>
  <c r="AG818" i="15" s="1"/>
  <c r="AE816" i="15" a="1"/>
  <c r="AE816" i="15" s="1"/>
  <c r="AF816" i="15" s="1"/>
  <c r="AG816" i="15" s="1"/>
  <c r="AE23" i="15" a="1"/>
  <c r="AE23" i="15" s="1"/>
  <c r="AF23" i="15" s="1"/>
  <c r="AG23" i="15" s="1"/>
  <c r="AE337" i="15" a="1"/>
  <c r="AE337" i="15" s="1"/>
  <c r="AF337" i="15" s="1"/>
  <c r="AG337" i="15" s="1"/>
  <c r="AE769" i="15" a="1"/>
  <c r="AE769" i="15" s="1"/>
  <c r="AF769" i="15" s="1"/>
  <c r="AG769" i="15" s="1"/>
  <c r="AE373" i="15" a="1"/>
  <c r="AE373" i="15" s="1"/>
  <c r="AF373" i="15" s="1"/>
  <c r="AG373" i="15" s="1"/>
  <c r="AE571" i="15" a="1"/>
  <c r="AE571" i="15" s="1"/>
  <c r="AF571" i="15" s="1"/>
  <c r="AG571" i="15" s="1"/>
  <c r="AE87" i="15" a="1"/>
  <c r="AE87" i="15" s="1"/>
  <c r="AF87" i="15" s="1"/>
  <c r="AG87" i="15" s="1"/>
  <c r="AE575" i="15" a="1"/>
  <c r="AE575" i="15" s="1"/>
  <c r="AF575" i="15" s="1"/>
  <c r="AG575" i="15" s="1"/>
  <c r="AE392" i="15" a="1"/>
  <c r="AE392" i="15" s="1"/>
  <c r="AF392" i="15" s="1"/>
  <c r="AG392" i="15" s="1"/>
  <c r="AE552" i="15" a="1"/>
  <c r="AE552" i="15" s="1"/>
  <c r="AF552" i="15" s="1"/>
  <c r="AG552" i="15" s="1"/>
  <c r="AE709" i="15" a="1"/>
  <c r="AE709" i="15" s="1"/>
  <c r="AF709" i="15" s="1"/>
  <c r="AG709" i="15" s="1"/>
  <c r="AE191" i="15" a="1"/>
  <c r="AE191" i="15" s="1"/>
  <c r="AF191" i="15" s="1"/>
  <c r="AG191" i="15" s="1"/>
  <c r="AE477" i="15" a="1"/>
  <c r="AE477" i="15" s="1"/>
  <c r="AF477" i="15" s="1"/>
  <c r="AG477" i="15" s="1"/>
  <c r="AE167" i="15" a="1"/>
  <c r="AE167" i="15" s="1"/>
  <c r="AF167" i="15" s="1"/>
  <c r="AG167" i="15" s="1"/>
  <c r="AE124" i="15" a="1"/>
  <c r="AE124" i="15" s="1"/>
  <c r="AF124" i="15" s="1"/>
  <c r="AG124" i="15" s="1"/>
  <c r="AE802" i="15" a="1"/>
  <c r="AE802" i="15" s="1"/>
  <c r="AF802" i="15" s="1"/>
  <c r="AG802" i="15" s="1"/>
  <c r="AE57" i="15" a="1"/>
  <c r="AE57" i="15" s="1"/>
  <c r="AF57" i="15" s="1"/>
  <c r="AG57" i="15" s="1"/>
  <c r="AE589" i="15" a="1"/>
  <c r="AE589" i="15" s="1"/>
  <c r="AF589" i="15" s="1"/>
  <c r="AG589" i="15" s="1"/>
  <c r="AE687" i="15" a="1"/>
  <c r="AE687" i="15" s="1"/>
  <c r="AF687" i="15" s="1"/>
  <c r="AG687" i="15" s="1"/>
  <c r="AE401" i="15" a="1"/>
  <c r="AE401" i="15" s="1"/>
  <c r="AF401" i="15" s="1"/>
  <c r="AG401" i="15" s="1"/>
  <c r="AE56" i="15" a="1"/>
  <c r="AE56" i="15" s="1"/>
  <c r="AF56" i="15" s="1"/>
  <c r="AG56" i="15" s="1"/>
  <c r="AE456" i="15" a="1"/>
  <c r="AE456" i="15" s="1"/>
  <c r="AF456" i="15" s="1"/>
  <c r="AG456" i="15" s="1"/>
  <c r="AE247" i="15" a="1"/>
  <c r="AE247" i="15" s="1"/>
  <c r="AF247" i="15" s="1"/>
  <c r="AG247" i="15" s="1"/>
  <c r="AE555" i="15" a="1"/>
  <c r="AE555" i="15" s="1"/>
  <c r="AF555" i="15" s="1"/>
  <c r="AG555" i="15" s="1"/>
  <c r="AE547" i="15" a="1"/>
  <c r="AE547" i="15" s="1"/>
  <c r="AF547" i="15" s="1"/>
  <c r="AG547" i="15" s="1"/>
  <c r="AE557" i="15" a="1"/>
  <c r="AE557" i="15" s="1"/>
  <c r="AF557" i="15" s="1"/>
  <c r="AG557" i="15" s="1"/>
  <c r="AE338" i="15" a="1"/>
  <c r="AE338" i="15" s="1"/>
  <c r="AF338" i="15" s="1"/>
  <c r="AG338" i="15" s="1"/>
  <c r="AE177" i="15" a="1"/>
  <c r="AE177" i="15" s="1"/>
  <c r="AF177" i="15" s="1"/>
  <c r="AG177" i="15" s="1"/>
  <c r="AE685" i="15" a="1"/>
  <c r="AE685" i="15" s="1"/>
  <c r="AF685" i="15" s="1"/>
  <c r="AG685" i="15" s="1"/>
  <c r="AE361" i="15" a="1"/>
  <c r="AE361" i="15" s="1"/>
  <c r="AF361" i="15" s="1"/>
  <c r="AG361" i="15" s="1"/>
  <c r="AE185" i="15" a="1"/>
  <c r="AE185" i="15" s="1"/>
  <c r="AF185" i="15" s="1"/>
  <c r="AG185" i="15" s="1"/>
  <c r="AE430" i="15" a="1"/>
  <c r="AE430" i="15" s="1"/>
  <c r="AF430" i="15" s="1"/>
  <c r="AG430" i="15" s="1"/>
  <c r="AE186" i="15" a="1"/>
  <c r="AE186" i="15" s="1"/>
  <c r="AF186" i="15" s="1"/>
  <c r="AG186" i="15" s="1"/>
  <c r="AE551" i="15" a="1"/>
  <c r="AE551" i="15" s="1"/>
  <c r="AF551" i="15" s="1"/>
  <c r="AG551" i="15" s="1"/>
  <c r="AE471" i="15" a="1"/>
  <c r="AE471" i="15" s="1"/>
  <c r="AF471" i="15" s="1"/>
  <c r="AG471" i="15" s="1"/>
  <c r="AE5" i="15" a="1"/>
  <c r="AE5" i="15" s="1"/>
  <c r="AF5" i="15" s="1"/>
  <c r="AG5" i="15" s="1"/>
  <c r="AE344" i="15" a="1"/>
  <c r="AE344" i="15" s="1"/>
  <c r="AF344" i="15" s="1"/>
  <c r="AG344" i="15" s="1"/>
  <c r="AE658" i="15" a="1"/>
  <c r="AE658" i="15" s="1"/>
  <c r="AF658" i="15" s="1"/>
  <c r="AG658" i="15" s="1"/>
  <c r="AE275" i="15" a="1"/>
  <c r="AE275" i="15" s="1"/>
  <c r="AF275" i="15" s="1"/>
  <c r="AG275" i="15" s="1"/>
  <c r="AE421" i="15" a="1"/>
  <c r="AE421" i="15" s="1"/>
  <c r="AF421" i="15" s="1"/>
  <c r="AG421" i="15" s="1"/>
  <c r="AE11" i="15" a="1"/>
  <c r="AE11" i="15" s="1"/>
  <c r="AF11" i="15" s="1"/>
  <c r="AG11" i="15" s="1"/>
  <c r="AE174" i="15" a="1"/>
  <c r="AE174" i="15" s="1"/>
  <c r="AF174" i="15" s="1"/>
  <c r="AG174" i="15" s="1"/>
  <c r="AE508" i="15" a="1"/>
  <c r="AE508" i="15" s="1"/>
  <c r="AF508" i="15" s="1"/>
  <c r="AG508" i="15" s="1"/>
  <c r="AE799" i="15" a="1"/>
  <c r="AE799" i="15" s="1"/>
  <c r="AF799" i="15" s="1"/>
  <c r="AG799" i="15" s="1"/>
  <c r="AE36" i="15" a="1"/>
  <c r="AE36" i="15" s="1"/>
  <c r="AF36" i="15" s="1"/>
  <c r="AG36" i="15" s="1"/>
  <c r="AE654" i="15" a="1"/>
  <c r="AE654" i="15" s="1"/>
  <c r="AF654" i="15" s="1"/>
  <c r="AG654" i="15" s="1"/>
  <c r="AE719" i="15" a="1"/>
  <c r="AE719" i="15" s="1"/>
  <c r="AF719" i="15" s="1"/>
  <c r="AG719" i="15" s="1"/>
  <c r="AE164" i="15" a="1"/>
  <c r="AE164" i="15" s="1"/>
  <c r="AF164" i="15" s="1"/>
  <c r="AG164" i="15" s="1"/>
  <c r="AE688" i="15" a="1"/>
  <c r="AE688" i="15" s="1"/>
  <c r="AF688" i="15" s="1"/>
  <c r="AG688" i="15" s="1"/>
  <c r="AE328" i="15" a="1"/>
  <c r="AE328" i="15" s="1"/>
  <c r="AF328" i="15" s="1"/>
  <c r="AG328" i="15" s="1"/>
  <c r="AE386" i="15" a="1"/>
  <c r="AE386" i="15" s="1"/>
  <c r="AF386" i="15" s="1"/>
  <c r="AG386" i="15" s="1"/>
  <c r="AE497" i="15" a="1"/>
  <c r="AE497" i="15" s="1"/>
  <c r="AF497" i="15" s="1"/>
  <c r="AG497" i="15" s="1"/>
  <c r="AE233" i="15" a="1"/>
  <c r="AE233" i="15" s="1"/>
  <c r="AF233" i="15" s="1"/>
  <c r="AG233" i="15" s="1"/>
  <c r="AE516" i="15" a="1"/>
  <c r="AE516" i="15" s="1"/>
  <c r="AF516" i="15" s="1"/>
  <c r="AG516" i="15" s="1"/>
  <c r="AE339" i="15" a="1"/>
  <c r="AE339" i="15" s="1"/>
  <c r="AF339" i="15" s="1"/>
  <c r="AG339" i="15" s="1"/>
  <c r="AE359" i="15" a="1"/>
  <c r="AE359" i="15" s="1"/>
  <c r="AF359" i="15" s="1"/>
  <c r="AG359" i="15" s="1"/>
  <c r="AF180" i="13" s="1"/>
  <c r="AE303" i="15" a="1"/>
  <c r="AE303" i="15" s="1"/>
  <c r="AF303" i="15" s="1"/>
  <c r="AG303" i="15" s="1"/>
  <c r="AE362" i="15" a="1"/>
  <c r="AE362" i="15" s="1"/>
  <c r="AF362" i="15" s="1"/>
  <c r="AG362" i="15" s="1"/>
  <c r="AE58" i="15" a="1"/>
  <c r="AE58" i="15" s="1"/>
  <c r="AF58" i="15" s="1"/>
  <c r="AG58" i="15" s="1"/>
  <c r="AE324" i="15" a="1"/>
  <c r="AE324" i="15" s="1"/>
  <c r="AF324" i="15" s="1"/>
  <c r="AG324" i="15" s="1"/>
  <c r="AE507" i="15" a="1"/>
  <c r="AE507" i="15" s="1"/>
  <c r="AF507" i="15" s="1"/>
  <c r="AG507" i="15" s="1"/>
  <c r="AE399" i="15" a="1"/>
  <c r="AE399" i="15" s="1"/>
  <c r="AF399" i="15" s="1"/>
  <c r="AG399" i="15" s="1"/>
  <c r="AE347" i="15" a="1"/>
  <c r="AE347" i="15" s="1"/>
  <c r="AF347" i="15" s="1"/>
  <c r="AG347" i="15" s="1"/>
  <c r="AE603" i="15" a="1"/>
  <c r="AE603" i="15" s="1"/>
  <c r="AF603" i="15" s="1"/>
  <c r="AG603" i="15" s="1"/>
  <c r="AE656" i="15" a="1"/>
  <c r="AE656" i="15" s="1"/>
  <c r="AF656" i="15" s="1"/>
  <c r="AG656" i="15" s="1"/>
  <c r="AE780" i="15" a="1"/>
  <c r="AE780" i="15" s="1"/>
  <c r="AF780" i="15" s="1"/>
  <c r="AG780" i="15" s="1"/>
  <c r="AF392" i="13" s="1"/>
  <c r="AE388" i="15" a="1"/>
  <c r="AE388" i="15" s="1"/>
  <c r="AF388" i="15" s="1"/>
  <c r="AG388" i="15" s="1"/>
  <c r="AE776" i="15" a="1"/>
  <c r="AE776" i="15" s="1"/>
  <c r="AF776" i="15" s="1"/>
  <c r="AG776" i="15" s="1"/>
  <c r="AE220" i="15" a="1"/>
  <c r="AE220" i="15" s="1"/>
  <c r="AF220" i="15" s="1"/>
  <c r="AG220" i="15" s="1"/>
  <c r="AE663" i="15" a="1"/>
  <c r="AE663" i="15" s="1"/>
  <c r="AF663" i="15" s="1"/>
  <c r="AG663" i="15" s="1"/>
  <c r="AE462" i="15" a="1"/>
  <c r="AE462" i="15" s="1"/>
  <c r="AF462" i="15" s="1"/>
  <c r="AG462" i="15" s="1"/>
  <c r="AE267" i="15" a="1"/>
  <c r="AE267" i="15" s="1"/>
  <c r="AF267" i="15" s="1"/>
  <c r="AG267" i="15" s="1"/>
  <c r="AE791" i="15" a="1"/>
  <c r="AE791" i="15" s="1"/>
  <c r="AF791" i="15" s="1"/>
  <c r="AG791" i="15" s="1"/>
  <c r="AF399" i="13" s="1"/>
  <c r="AE381" i="15" a="1"/>
  <c r="AE381" i="15" s="1"/>
  <c r="AF381" i="15" s="1"/>
  <c r="AG381" i="15" s="1"/>
  <c r="AE301" i="15" a="1"/>
  <c r="AE301" i="15" s="1"/>
  <c r="AF301" i="15" s="1"/>
  <c r="AG301" i="15" s="1"/>
  <c r="AE479" i="15" a="1"/>
  <c r="AE479" i="15" s="1"/>
  <c r="AF479" i="15" s="1"/>
  <c r="AG479" i="15" s="1"/>
  <c r="AE781" i="15" a="1"/>
  <c r="AE781" i="15" s="1"/>
  <c r="AF781" i="15" s="1"/>
  <c r="AG781" i="15" s="1"/>
  <c r="AF393" i="13" s="1"/>
  <c r="AE410" i="15" a="1"/>
  <c r="AE410" i="15" s="1"/>
  <c r="AF410" i="15" s="1"/>
  <c r="AG410" i="15" s="1"/>
  <c r="AE42" i="15" a="1"/>
  <c r="AE42" i="15" s="1"/>
  <c r="AF42" i="15" s="1"/>
  <c r="AG42" i="15" s="1"/>
  <c r="AE613" i="15" a="1"/>
  <c r="AE613" i="15" s="1"/>
  <c r="AF613" i="15" s="1"/>
  <c r="AG613" i="15" s="1"/>
  <c r="AE270" i="15" a="1"/>
  <c r="AE270" i="15" s="1"/>
  <c r="AF270" i="15" s="1"/>
  <c r="AG270" i="15" s="1"/>
  <c r="AE731" i="15" a="1"/>
  <c r="AE731" i="15" s="1"/>
  <c r="AF731" i="15" s="1"/>
  <c r="AG731" i="15" s="1"/>
  <c r="AE307" i="15" a="1"/>
  <c r="AE307" i="15" s="1"/>
  <c r="AF307" i="15" s="1"/>
  <c r="AG307" i="15" s="1"/>
  <c r="AE417" i="15" a="1"/>
  <c r="AE417" i="15" s="1"/>
  <c r="AF417" i="15" s="1"/>
  <c r="AG417" i="15" s="1"/>
  <c r="AE325" i="15" a="1"/>
  <c r="AE325" i="15" s="1"/>
  <c r="AF325" i="15" s="1"/>
  <c r="AG325" i="15" s="1"/>
  <c r="AE273" i="15" a="1"/>
  <c r="AE273" i="15" s="1"/>
  <c r="AF273" i="15" s="1"/>
  <c r="AG273" i="15" s="1"/>
  <c r="AE526" i="15" a="1"/>
  <c r="AE526" i="15" s="1"/>
  <c r="AF526" i="15" s="1"/>
  <c r="AG526" i="15" s="1"/>
  <c r="AE741" i="15" a="1"/>
  <c r="AE741" i="15" s="1"/>
  <c r="AF741" i="15" s="1"/>
  <c r="AG741" i="15" s="1"/>
  <c r="AE225" i="15" a="1"/>
  <c r="AE225" i="15" s="1"/>
  <c r="AF225" i="15" s="1"/>
  <c r="AG225" i="15" s="1"/>
  <c r="AE450" i="15" a="1"/>
  <c r="AE450" i="15" s="1"/>
  <c r="AF450" i="15" s="1"/>
  <c r="AG450" i="15" s="1"/>
  <c r="AE45" i="15" a="1"/>
  <c r="AE45" i="15" s="1"/>
  <c r="AF45" i="15" s="1"/>
  <c r="AG45" i="15" s="1"/>
  <c r="AE22" i="15" a="1"/>
  <c r="AE22" i="15" s="1"/>
  <c r="AF22" i="15" s="1"/>
  <c r="AG22" i="15" s="1"/>
  <c r="AE505" i="15" a="1"/>
  <c r="AE505" i="15" s="1"/>
  <c r="AF505" i="15" s="1"/>
  <c r="AG505" i="15" s="1"/>
  <c r="AE702" i="15" a="1"/>
  <c r="AE702" i="15" s="1"/>
  <c r="AF702" i="15" s="1"/>
  <c r="AG702" i="15" s="1"/>
  <c r="AE113" i="15" a="1"/>
  <c r="AE113" i="15" s="1"/>
  <c r="AF113" i="15" s="1"/>
  <c r="AG113" i="15" s="1"/>
  <c r="AE187" i="15" a="1"/>
  <c r="AE187" i="15" s="1"/>
  <c r="AF187" i="15" s="1"/>
  <c r="AG187" i="15" s="1"/>
  <c r="AE652" i="15" a="1"/>
  <c r="AE652" i="15" s="1"/>
  <c r="AF652" i="15" s="1"/>
  <c r="AG652" i="15" s="1"/>
  <c r="AE546" i="15" a="1"/>
  <c r="AE546" i="15" s="1"/>
  <c r="AF546" i="15" s="1"/>
  <c r="AG546" i="15" s="1"/>
  <c r="AE572" i="15" a="1"/>
  <c r="AE572" i="15" s="1"/>
  <c r="AF572" i="15" s="1"/>
  <c r="AG572" i="15" s="1"/>
  <c r="AE486" i="15" a="1"/>
  <c r="AE486" i="15" s="1"/>
  <c r="AF486" i="15" s="1"/>
  <c r="AG486" i="15" s="1"/>
  <c r="AE200" i="15" a="1"/>
  <c r="AE200" i="15" s="1"/>
  <c r="AF200" i="15" s="1"/>
  <c r="AG200" i="15" s="1"/>
  <c r="AE710" i="15" a="1"/>
  <c r="AE710" i="15" s="1"/>
  <c r="AF710" i="15" s="1"/>
  <c r="AG710" i="15" s="1"/>
  <c r="AE697" i="15" a="1"/>
  <c r="AE697" i="15" s="1"/>
  <c r="AF697" i="15" s="1"/>
  <c r="AG697" i="15" s="1"/>
  <c r="AE268" i="15" a="1"/>
  <c r="AE268" i="15" s="1"/>
  <c r="AF268" i="15" s="1"/>
  <c r="AG268" i="15" s="1"/>
  <c r="AE521" i="15" a="1"/>
  <c r="AE521" i="15" s="1"/>
  <c r="AF521" i="15" s="1"/>
  <c r="AG521" i="15" s="1"/>
  <c r="AE77" i="15" a="1"/>
  <c r="AE77" i="15" s="1"/>
  <c r="AF77" i="15" s="1"/>
  <c r="AG77" i="15" s="1"/>
  <c r="AE240" i="15" a="1"/>
  <c r="AE240" i="15" s="1"/>
  <c r="AF240" i="15" s="1"/>
  <c r="AG240" i="15" s="1"/>
  <c r="AE239" i="15" a="1"/>
  <c r="AE239" i="15" s="1"/>
  <c r="AF239" i="15" s="1"/>
  <c r="AG239" i="15" s="1"/>
  <c r="AE532" i="15" a="1"/>
  <c r="AE532" i="15" s="1"/>
  <c r="AF532" i="15" s="1"/>
  <c r="AG532" i="15" s="1"/>
  <c r="AE537" i="15" a="1"/>
  <c r="AE537" i="15" s="1"/>
  <c r="AF537" i="15" s="1"/>
  <c r="AG537" i="15" s="1"/>
  <c r="AF269" i="13" s="1"/>
  <c r="AE289" i="15" a="1"/>
  <c r="AE289" i="15" s="1"/>
  <c r="AF289" i="15" s="1"/>
  <c r="AG289" i="15" s="1"/>
  <c r="AE510" i="15" a="1"/>
  <c r="AE510" i="15" s="1"/>
  <c r="AF510" i="15" s="1"/>
  <c r="AG510" i="15" s="1"/>
  <c r="AE644" i="15" a="1"/>
  <c r="AE644" i="15" s="1"/>
  <c r="AF644" i="15" s="1"/>
  <c r="AG644" i="15" s="1"/>
  <c r="AE600" i="15" a="1"/>
  <c r="AE600" i="15" s="1"/>
  <c r="AF600" i="15" s="1"/>
  <c r="AG600" i="15" s="1"/>
  <c r="AE627" i="15" a="1"/>
  <c r="AE627" i="15" s="1"/>
  <c r="AF627" i="15" s="1"/>
  <c r="AG627" i="15" s="1"/>
  <c r="AE768" i="15" a="1"/>
  <c r="AE768" i="15" s="1"/>
  <c r="AF768" i="15" s="1"/>
  <c r="AG768" i="15" s="1"/>
  <c r="AF385" i="13" s="1"/>
  <c r="AE39" i="15" a="1"/>
  <c r="AE39" i="15" s="1"/>
  <c r="AF39" i="15" s="1"/>
  <c r="AG39" i="15" s="1"/>
  <c r="AE353" i="15" a="1"/>
  <c r="AE353" i="15" s="1"/>
  <c r="AF353" i="15" s="1"/>
  <c r="AG353" i="15" s="1"/>
  <c r="AE213" i="15" a="1"/>
  <c r="AE213" i="15" s="1"/>
  <c r="AF213" i="15" s="1"/>
  <c r="AG213" i="15" s="1"/>
  <c r="AE438" i="15" a="1"/>
  <c r="AE438" i="15" s="1"/>
  <c r="AF438" i="15" s="1"/>
  <c r="AG438" i="15" s="1"/>
  <c r="AE682" i="15" a="1"/>
  <c r="AE682" i="15" s="1"/>
  <c r="AF682" i="15" s="1"/>
  <c r="AG682" i="15" s="1"/>
  <c r="AE481" i="15" a="1"/>
  <c r="AE481" i="15" s="1"/>
  <c r="AF481" i="15" s="1"/>
  <c r="AG481" i="15" s="1"/>
  <c r="AE72" i="15" a="1"/>
  <c r="AE72" i="15" s="1"/>
  <c r="AF72" i="15" s="1"/>
  <c r="AG72" i="15" s="1"/>
  <c r="AE460" i="15" a="1"/>
  <c r="AE460" i="15" s="1"/>
  <c r="AF460" i="15" s="1"/>
  <c r="AG460" i="15" s="1"/>
  <c r="AE284" i="15" a="1"/>
  <c r="AE284" i="15" s="1"/>
  <c r="AF284" i="15" s="1"/>
  <c r="AG284" i="15" s="1"/>
  <c r="AE385" i="15" a="1"/>
  <c r="AE385" i="15" s="1"/>
  <c r="AF385" i="15" s="1"/>
  <c r="AG385" i="15" s="1"/>
  <c r="AE751" i="15" a="1"/>
  <c r="AE751" i="15" s="1"/>
  <c r="AF751" i="15" s="1"/>
  <c r="AG751" i="15" s="1"/>
  <c r="AE153" i="15" a="1"/>
  <c r="AE153" i="15" s="1"/>
  <c r="AF153" i="15" s="1"/>
  <c r="AG153" i="15" s="1"/>
  <c r="AE771" i="15" a="1"/>
  <c r="AE771" i="15" s="1"/>
  <c r="AF771" i="15" s="1"/>
  <c r="AG771" i="15" s="1"/>
  <c r="AE442" i="15" a="1"/>
  <c r="AE442" i="15" s="1"/>
  <c r="AF442" i="15" s="1"/>
  <c r="AG442" i="15" s="1"/>
  <c r="AE199" i="15" a="1"/>
  <c r="AE199" i="15" s="1"/>
  <c r="AF199" i="15" s="1"/>
  <c r="AG199" i="15" s="1"/>
  <c r="AE128" i="15" a="1"/>
  <c r="AE128" i="15" s="1"/>
  <c r="AF128" i="15" s="1"/>
  <c r="AG128" i="15" s="1"/>
  <c r="AE281" i="15" a="1"/>
  <c r="AE281" i="15" s="1"/>
  <c r="AF281" i="15" s="1"/>
  <c r="AG281" i="15" s="1"/>
  <c r="AE104" i="15" a="1"/>
  <c r="AE104" i="15" s="1"/>
  <c r="AF104" i="15" s="1"/>
  <c r="AG104" i="15" s="1"/>
  <c r="AE767" i="15" a="1"/>
  <c r="AE767" i="15" s="1"/>
  <c r="AF767" i="15" s="1"/>
  <c r="AG767" i="15" s="1"/>
  <c r="AE96" i="15" a="1"/>
  <c r="AE96" i="15" s="1"/>
  <c r="AF96" i="15" s="1"/>
  <c r="AG96" i="15" s="1"/>
  <c r="AE226" i="15" a="1"/>
  <c r="AE226" i="15" s="1"/>
  <c r="AF226" i="15" s="1"/>
  <c r="AG226" i="15" s="1"/>
  <c r="AE343" i="15" a="1"/>
  <c r="AE343" i="15" s="1"/>
  <c r="AF343" i="15" s="1"/>
  <c r="AG343" i="15" s="1"/>
  <c r="AE411" i="15" a="1"/>
  <c r="AE411" i="15" s="1"/>
  <c r="AF411" i="15" s="1"/>
  <c r="AG411" i="15" s="1"/>
  <c r="AE157" i="15" a="1"/>
  <c r="AE157" i="15" s="1"/>
  <c r="AF157" i="15" s="1"/>
  <c r="AG157" i="15" s="1"/>
  <c r="AE711" i="15" a="1"/>
  <c r="AE711" i="15" s="1"/>
  <c r="AF711" i="15" s="1"/>
  <c r="AG711" i="15" s="1"/>
  <c r="AE99" i="15" a="1"/>
  <c r="AE99" i="15" s="1"/>
  <c r="AF99" i="15" s="1"/>
  <c r="AG99" i="15" s="1"/>
  <c r="AE163" i="15" a="1"/>
  <c r="AE163" i="15" s="1"/>
  <c r="AF163" i="15" s="1"/>
  <c r="AG163" i="15" s="1"/>
  <c r="AE379" i="15" a="1"/>
  <c r="AE379" i="15" s="1"/>
  <c r="AF379" i="15" s="1"/>
  <c r="AG379" i="15" s="1"/>
  <c r="AE280" i="15" a="1"/>
  <c r="AE280" i="15" s="1"/>
  <c r="AF280" i="15" s="1"/>
  <c r="AG280" i="15" s="1"/>
  <c r="AE803" i="15" a="1"/>
  <c r="AE803" i="15" s="1"/>
  <c r="AF803" i="15" s="1"/>
  <c r="AG803" i="15" s="1"/>
  <c r="AE619" i="15" a="1"/>
  <c r="AE619" i="15" s="1"/>
  <c r="AF619" i="15" s="1"/>
  <c r="AG619" i="15" s="1"/>
  <c r="AE775" i="15" a="1"/>
  <c r="AE775" i="15" s="1"/>
  <c r="AF775" i="15" s="1"/>
  <c r="AG775" i="15" s="1"/>
  <c r="AE786" i="15" a="1"/>
  <c r="AE786" i="15" s="1"/>
  <c r="AF786" i="15" s="1"/>
  <c r="AG786" i="15" s="1"/>
  <c r="AE161" i="15" a="1"/>
  <c r="AE161" i="15" s="1"/>
  <c r="AF161" i="15" s="1"/>
  <c r="AG161" i="15" s="1"/>
  <c r="AE743" i="15" a="1"/>
  <c r="AE743" i="15" s="1"/>
  <c r="AF743" i="15" s="1"/>
  <c r="AG743" i="15" s="1"/>
  <c r="AE581" i="15" a="1"/>
  <c r="AE581" i="15" s="1"/>
  <c r="AF581" i="15" s="1"/>
  <c r="AG581" i="15" s="1"/>
  <c r="AE469" i="15" a="1"/>
  <c r="AE469" i="15" s="1"/>
  <c r="AF469" i="15" s="1"/>
  <c r="AG469" i="15" s="1"/>
  <c r="AE32" i="15" a="1"/>
  <c r="AE32" i="15" s="1"/>
  <c r="AF32" i="15" s="1"/>
  <c r="AG32" i="15" s="1"/>
  <c r="AE136" i="15" a="1"/>
  <c r="AE136" i="15" s="1"/>
  <c r="AF136" i="15" s="1"/>
  <c r="AG136" i="15" s="1"/>
  <c r="AE665" i="15" a="1"/>
  <c r="AE665" i="15" s="1"/>
  <c r="AF665" i="15" s="1"/>
  <c r="AG665" i="15" s="1"/>
  <c r="AE376" i="15" a="1"/>
  <c r="AE376" i="15" s="1"/>
  <c r="AF376" i="15" s="1"/>
  <c r="AG376" i="15" s="1"/>
  <c r="AE82" i="15" a="1"/>
  <c r="AE82" i="15" s="1"/>
  <c r="AF82" i="15" s="1"/>
  <c r="AG82" i="15" s="1"/>
  <c r="AE131" i="15" a="1"/>
  <c r="AE131" i="15" s="1"/>
  <c r="AF131" i="15" s="1"/>
  <c r="AG131" i="15" s="1"/>
  <c r="AE464" i="15" a="1"/>
  <c r="AE464" i="15" s="1"/>
  <c r="AF464" i="15" s="1"/>
  <c r="AG464" i="15" s="1"/>
  <c r="AE287" i="15" a="1"/>
  <c r="AE287" i="15" s="1"/>
  <c r="AF287" i="15" s="1"/>
  <c r="AG287" i="15" s="1"/>
  <c r="AE149" i="15" a="1"/>
  <c r="AE149" i="15" s="1"/>
  <c r="AF149" i="15" s="1"/>
  <c r="AG149" i="15" s="1"/>
  <c r="AE484" i="15" a="1"/>
  <c r="AE484" i="15" s="1"/>
  <c r="AF484" i="15" s="1"/>
  <c r="AG484" i="15" s="1"/>
  <c r="AE453" i="15" a="1"/>
  <c r="AE453" i="15" s="1"/>
  <c r="AF453" i="15" s="1"/>
  <c r="AG453" i="15" s="1"/>
  <c r="AE482" i="15" a="1"/>
  <c r="AE482" i="15" s="1"/>
  <c r="AF482" i="15" s="1"/>
  <c r="AG482" i="15" s="1"/>
  <c r="AE340" i="15" a="1"/>
  <c r="AE340" i="15" s="1"/>
  <c r="AF340" i="15" s="1"/>
  <c r="AG340" i="15" s="1"/>
  <c r="AE202" i="15" a="1"/>
  <c r="AE202" i="15" s="1"/>
  <c r="AF202" i="15" s="1"/>
  <c r="AG202" i="15" s="1"/>
  <c r="AE520" i="15" a="1"/>
  <c r="AE520" i="15" s="1"/>
  <c r="AF520" i="15" s="1"/>
  <c r="AG520" i="15" s="1"/>
  <c r="AE509" i="15" a="1"/>
  <c r="AE509" i="15" s="1"/>
  <c r="AF509" i="15" s="1"/>
  <c r="AG509" i="15" s="1"/>
  <c r="AE231" i="15" a="1"/>
  <c r="AE231" i="15" s="1"/>
  <c r="AF231" i="15" s="1"/>
  <c r="AG231" i="15" s="1"/>
  <c r="AE188" i="15" a="1"/>
  <c r="AE188" i="15" s="1"/>
  <c r="AF188" i="15" s="1"/>
  <c r="AG188" i="15" s="1"/>
  <c r="AE536" i="15" a="1"/>
  <c r="AE536" i="15" s="1"/>
  <c r="AF536" i="15" s="1"/>
  <c r="AG536" i="15" s="1"/>
  <c r="AE278" i="15" a="1"/>
  <c r="AE278" i="15" s="1"/>
  <c r="AF278" i="15" s="1"/>
  <c r="AG278" i="15" s="1"/>
  <c r="AE671" i="15" a="1"/>
  <c r="AE671" i="15" s="1"/>
  <c r="AF671" i="15" s="1"/>
  <c r="AG671" i="15" s="1"/>
  <c r="AE651" i="15" a="1"/>
  <c r="AE651" i="15" s="1"/>
  <c r="AF651" i="15" s="1"/>
  <c r="AG651" i="15" s="1"/>
  <c r="AE110" i="15" a="1"/>
  <c r="AE110" i="15" s="1"/>
  <c r="AF110" i="15" s="1"/>
  <c r="AG110" i="15" s="1"/>
  <c r="AE650" i="15" a="1"/>
  <c r="AE650" i="15" s="1"/>
  <c r="AF650" i="15" s="1"/>
  <c r="AG650" i="15" s="1"/>
  <c r="AE728" i="15" a="1"/>
  <c r="AE728" i="15" s="1"/>
  <c r="AF728" i="15" s="1"/>
  <c r="AG728" i="15" s="1"/>
  <c r="AE567" i="15" a="1"/>
  <c r="AE567" i="15" s="1"/>
  <c r="AF567" i="15" s="1"/>
  <c r="AG567" i="15" s="1"/>
  <c r="AE584" i="15" a="1"/>
  <c r="AE584" i="15" s="1"/>
  <c r="AF584" i="15" s="1"/>
  <c r="AG584" i="15" s="1"/>
  <c r="AE26" i="15" a="1"/>
  <c r="AE26" i="15" s="1"/>
  <c r="AF26" i="15" s="1"/>
  <c r="AG26" i="15" s="1"/>
  <c r="AE133" i="15" a="1"/>
  <c r="AE133" i="15" s="1"/>
  <c r="AF133" i="15" s="1"/>
  <c r="AG133" i="15" s="1"/>
  <c r="AE422" i="15" a="1"/>
  <c r="AE422" i="15" s="1"/>
  <c r="AF422" i="15" s="1"/>
  <c r="AG422" i="15" s="1"/>
  <c r="AE677" i="15" a="1"/>
  <c r="AE677" i="15" s="1"/>
  <c r="AF677" i="15" s="1"/>
  <c r="AG677" i="15" s="1"/>
  <c r="AE49" i="15" a="1"/>
  <c r="AE49" i="15" s="1"/>
  <c r="AF49" i="15" s="1"/>
  <c r="AG49" i="15" s="1"/>
  <c r="AE208" i="15" a="1"/>
  <c r="AE208" i="15" s="1"/>
  <c r="AF208" i="15" s="1"/>
  <c r="AG208" i="15" s="1"/>
  <c r="AE50" i="15" a="1"/>
  <c r="AE50" i="15" s="1"/>
  <c r="AF50" i="15" s="1"/>
  <c r="AG50" i="15" s="1"/>
  <c r="AE204" i="15" a="1"/>
  <c r="AE204" i="15" s="1"/>
  <c r="AF204" i="15" s="1"/>
  <c r="AG204" i="15" s="1"/>
  <c r="AE380" i="15" a="1"/>
  <c r="AE380" i="15" s="1"/>
  <c r="AF380" i="15" s="1"/>
  <c r="AG380" i="15" s="1"/>
  <c r="AE313" i="15" a="1"/>
  <c r="AE313" i="15" s="1"/>
  <c r="AF313" i="15" s="1"/>
  <c r="AG313" i="15" s="1"/>
  <c r="AE582" i="15" a="1"/>
  <c r="AE582" i="15" s="1"/>
  <c r="AF582" i="15" s="1"/>
  <c r="AG582" i="15" s="1"/>
  <c r="AE633" i="15" a="1"/>
  <c r="AE633" i="15" s="1"/>
  <c r="AF633" i="15" s="1"/>
  <c r="AG633" i="15" s="1"/>
  <c r="AE408" i="15" a="1"/>
  <c r="AE408" i="15" s="1"/>
  <c r="AF408" i="15" s="1"/>
  <c r="AG408" i="15" s="1"/>
  <c r="AE228" i="15" a="1"/>
  <c r="AE228" i="15" s="1"/>
  <c r="AF228" i="15" s="1"/>
  <c r="AG228" i="15" s="1"/>
  <c r="AE662" i="15" a="1"/>
  <c r="AE662" i="15" s="1"/>
  <c r="AF662" i="15" s="1"/>
  <c r="AG662" i="15" s="1"/>
  <c r="AE13" i="15" a="1"/>
  <c r="AE13" i="15" s="1"/>
  <c r="AF13" i="15" s="1"/>
  <c r="AG13" i="15" s="1"/>
  <c r="AE588" i="15" a="1"/>
  <c r="AE588" i="15" s="1"/>
  <c r="AF588" i="15" s="1"/>
  <c r="AG588" i="15" s="1"/>
  <c r="AE238" i="15" a="1"/>
  <c r="AE238" i="15" s="1"/>
  <c r="AF238" i="15" s="1"/>
  <c r="AG238" i="15" s="1"/>
  <c r="AE330" i="15" a="1"/>
  <c r="AE330" i="15" s="1"/>
  <c r="AF330" i="15" s="1"/>
  <c r="AG330" i="15" s="1"/>
  <c r="AE726" i="15" a="1"/>
  <c r="AE726" i="15" s="1"/>
  <c r="AF726" i="15" s="1"/>
  <c r="AG726" i="15" s="1"/>
  <c r="AE144" i="15" a="1"/>
  <c r="AE144" i="15" s="1"/>
  <c r="AF144" i="15" s="1"/>
  <c r="AG144" i="15" s="1"/>
  <c r="AE221" i="15" a="1"/>
  <c r="AE221" i="15" s="1"/>
  <c r="AF221" i="15" s="1"/>
  <c r="AG221" i="15" s="1"/>
  <c r="AE593" i="15" a="1"/>
  <c r="AE593" i="15" s="1"/>
  <c r="AF593" i="15" s="1"/>
  <c r="AG593" i="15" s="1"/>
  <c r="AE534" i="15" a="1"/>
  <c r="AE534" i="15" s="1"/>
  <c r="AF534" i="15" s="1"/>
  <c r="AG534" i="15" s="1"/>
  <c r="AE137" i="15" a="1"/>
  <c r="AE137" i="15" s="1"/>
  <c r="AF137" i="15" s="1"/>
  <c r="AG137" i="15" s="1"/>
  <c r="AE528" i="15" a="1"/>
  <c r="AE528" i="15" s="1"/>
  <c r="AF528" i="15" s="1"/>
  <c r="AG528" i="15" s="1"/>
  <c r="AE704" i="15" a="1"/>
  <c r="AE704" i="15" s="1"/>
  <c r="AF704" i="15" s="1"/>
  <c r="AG704" i="15" s="1"/>
  <c r="AE722" i="15" a="1"/>
  <c r="AE722" i="15" s="1"/>
  <c r="AF722" i="15" s="1"/>
  <c r="AG722" i="15" s="1"/>
  <c r="AE597" i="15" a="1"/>
  <c r="AE597" i="15" s="1"/>
  <c r="AF597" i="15" s="1"/>
  <c r="AG597" i="15" s="1"/>
  <c r="AE14" i="15" a="1"/>
  <c r="AE14" i="15" s="1"/>
  <c r="AF14" i="15" s="1"/>
  <c r="AG14" i="15" s="1"/>
  <c r="AE604" i="15" a="1"/>
  <c r="AE604" i="15" s="1"/>
  <c r="AF604" i="15" s="1"/>
  <c r="AG604" i="15" s="1"/>
  <c r="AE433" i="15" a="1"/>
  <c r="AE433" i="15" s="1"/>
  <c r="AF433" i="15" s="1"/>
  <c r="AG433" i="15" s="1"/>
  <c r="AE308" i="15" a="1"/>
  <c r="AE308" i="15" s="1"/>
  <c r="AF308" i="15" s="1"/>
  <c r="AG308" i="15" s="1"/>
  <c r="AE763" i="15" a="1"/>
  <c r="AE763" i="15" s="1"/>
  <c r="AF763" i="15" s="1"/>
  <c r="AG763" i="15" s="1"/>
  <c r="AE9" i="15" a="1"/>
  <c r="AE9" i="15" s="1"/>
  <c r="AF9" i="15" s="1"/>
  <c r="AG9" i="15" s="1"/>
  <c r="AE10" i="15" a="1"/>
  <c r="AE10" i="15" s="1"/>
  <c r="AF10" i="15" s="1"/>
  <c r="AG10" i="15" s="1"/>
  <c r="AE409" i="15" a="1"/>
  <c r="AE409" i="15" s="1"/>
  <c r="AF409" i="15" s="1"/>
  <c r="AG409" i="15" s="1"/>
  <c r="AE425" i="15" a="1"/>
  <c r="AE425" i="15" s="1"/>
  <c r="AF425" i="15" s="1"/>
  <c r="AG425" i="15" s="1"/>
  <c r="AE474" i="15" a="1"/>
  <c r="AE474" i="15" s="1"/>
  <c r="AF474" i="15" s="1"/>
  <c r="AG474" i="15" s="1"/>
  <c r="AE28" i="15" a="1"/>
  <c r="AE28" i="15" s="1"/>
  <c r="AF28" i="15" s="1"/>
  <c r="AG28" i="15" s="1"/>
  <c r="AE356" i="15" a="1"/>
  <c r="AE356" i="15" s="1"/>
  <c r="AF356" i="15" s="1"/>
  <c r="AG356" i="15" s="1"/>
  <c r="AE480" i="15" a="1"/>
  <c r="AE480" i="15" s="1"/>
  <c r="AF480" i="15" s="1"/>
  <c r="AG480" i="15" s="1"/>
  <c r="AE785" i="15" a="1"/>
  <c r="AE785" i="15" s="1"/>
  <c r="AF785" i="15" s="1"/>
  <c r="AG785" i="15" s="1"/>
  <c r="AE744" i="15" a="1"/>
  <c r="AE744" i="15" s="1"/>
  <c r="AF744" i="15" s="1"/>
  <c r="AG744" i="15" s="1"/>
  <c r="AE648" i="15" a="1"/>
  <c r="AE648" i="15" s="1"/>
  <c r="AF648" i="15" s="1"/>
  <c r="AG648" i="15" s="1"/>
  <c r="AE437" i="15" a="1"/>
  <c r="AE437" i="15" s="1"/>
  <c r="AF437" i="15" s="1"/>
  <c r="AG437" i="15" s="1"/>
  <c r="AE331" i="15" a="1"/>
  <c r="AE331" i="15" s="1"/>
  <c r="AF331" i="15" s="1"/>
  <c r="AG331" i="15" s="1"/>
  <c r="AE705" i="15" a="1"/>
  <c r="AE705" i="15" s="1"/>
  <c r="AF705" i="15" s="1"/>
  <c r="AG705" i="15" s="1"/>
  <c r="AE664" i="15" a="1"/>
  <c r="AE664" i="15" s="1"/>
  <c r="AF664" i="15" s="1"/>
  <c r="AG664" i="15" s="1"/>
  <c r="AE615" i="15" a="1"/>
  <c r="AE615" i="15" s="1"/>
  <c r="AF615" i="15" s="1"/>
  <c r="AG615" i="15" s="1"/>
  <c r="AE517" i="15" a="1"/>
  <c r="AE517" i="15" s="1"/>
  <c r="AF517" i="15" s="1"/>
  <c r="AG517" i="15" s="1"/>
  <c r="AE429" i="15" a="1"/>
  <c r="AE429" i="15" s="1"/>
  <c r="AF429" i="15" s="1"/>
  <c r="AG429" i="15" s="1"/>
  <c r="AE788" i="15" a="1"/>
  <c r="AE788" i="15" s="1"/>
  <c r="AF788" i="15" s="1"/>
  <c r="AG788" i="15" s="1"/>
  <c r="AE737" i="15" a="1"/>
  <c r="AE737" i="15" s="1"/>
  <c r="AF737" i="15" s="1"/>
  <c r="AG737" i="15" s="1"/>
  <c r="AE559" i="15" a="1"/>
  <c r="AE559" i="15" s="1"/>
  <c r="AF559" i="15" s="1"/>
  <c r="AG559" i="15" s="1"/>
  <c r="AE215" i="15" a="1"/>
  <c r="AE215" i="15" s="1"/>
  <c r="AF215" i="15" s="1"/>
  <c r="AG215" i="15" s="1"/>
  <c r="AE198" i="15" a="1"/>
  <c r="AE198" i="15" s="1"/>
  <c r="AF198" i="15" s="1"/>
  <c r="AG198" i="15" s="1"/>
  <c r="AE591" i="15" a="1"/>
  <c r="AE591" i="15" s="1"/>
  <c r="AF591" i="15" s="1"/>
  <c r="AG591" i="15" s="1"/>
  <c r="AE253" i="15" a="1"/>
  <c r="AE253" i="15" s="1"/>
  <c r="AF253" i="15" s="1"/>
  <c r="AG253" i="15" s="1"/>
  <c r="AE89" i="15" a="1"/>
  <c r="AE89" i="15" s="1"/>
  <c r="AF89" i="15" s="1"/>
  <c r="AG89" i="15" s="1"/>
  <c r="AE765" i="15" a="1"/>
  <c r="AE765" i="15" s="1"/>
  <c r="AF765" i="15" s="1"/>
  <c r="AG765" i="15" s="1"/>
  <c r="AE468" i="15" a="1"/>
  <c r="AE468" i="15" s="1"/>
  <c r="AF468" i="15" s="1"/>
  <c r="AG468" i="15" s="1"/>
  <c r="AE699" i="15" a="1"/>
  <c r="AE699" i="15" s="1"/>
  <c r="AF699" i="15" s="1"/>
  <c r="AG699" i="15" s="1"/>
  <c r="AE424" i="15" a="1"/>
  <c r="AE424" i="15" s="1"/>
  <c r="AF424" i="15" s="1"/>
  <c r="AG424" i="15" s="1"/>
  <c r="AE432" i="15" a="1"/>
  <c r="AE432" i="15" s="1"/>
  <c r="AF432" i="15" s="1"/>
  <c r="AG432" i="15" s="1"/>
  <c r="AE255" i="15" a="1"/>
  <c r="AE255" i="15" s="1"/>
  <c r="AF255" i="15" s="1"/>
  <c r="AG255" i="15" s="1"/>
  <c r="AE30" i="15" a="1"/>
  <c r="AE30" i="15" s="1"/>
  <c r="AF30" i="15" s="1"/>
  <c r="AG30" i="15" s="1"/>
  <c r="AE205" i="15" a="1"/>
  <c r="AE205" i="15" s="1"/>
  <c r="AF205" i="15" s="1"/>
  <c r="AG205" i="15" s="1"/>
  <c r="AE31" i="15" a="1"/>
  <c r="AE31" i="15" s="1"/>
  <c r="AF31" i="15" s="1"/>
  <c r="AG31" i="15" s="1"/>
  <c r="AE196" i="15" a="1"/>
  <c r="AE196" i="15" s="1"/>
  <c r="AF196" i="15" s="1"/>
  <c r="AG196" i="15" s="1"/>
  <c r="AE659" i="15" a="1"/>
  <c r="AE659" i="15" s="1"/>
  <c r="AF659" i="15" s="1"/>
  <c r="AG659" i="15" s="1"/>
  <c r="AE419" i="15" a="1"/>
  <c r="AE419" i="15" s="1"/>
  <c r="AF419" i="15" s="1"/>
  <c r="AG419" i="15" s="1"/>
  <c r="AE599" i="15" a="1"/>
  <c r="AE599" i="15" s="1"/>
  <c r="AF599" i="15" s="1"/>
  <c r="AG599" i="15" s="1"/>
  <c r="AE513" i="15" a="1"/>
  <c r="AE513" i="15" s="1"/>
  <c r="AF513" i="15" s="1"/>
  <c r="AG513" i="15" s="1"/>
  <c r="AE502" i="15" a="1"/>
  <c r="AE502" i="15" s="1"/>
  <c r="AF502" i="15" s="1"/>
  <c r="AG502" i="15" s="1"/>
  <c r="AE145" i="15" a="1"/>
  <c r="AE145" i="15" s="1"/>
  <c r="AF145" i="15" s="1"/>
  <c r="AG145" i="15" s="1"/>
  <c r="AE365" i="15" a="1"/>
  <c r="AE365" i="15" s="1"/>
  <c r="AF365" i="15" s="1"/>
  <c r="AG365" i="15" s="1"/>
  <c r="AE16" i="15" a="1"/>
  <c r="AE16" i="15" s="1"/>
  <c r="AF16" i="15" s="1"/>
  <c r="AG16" i="15" s="1"/>
  <c r="AE611" i="15" a="1"/>
  <c r="AE611" i="15" s="1"/>
  <c r="AF611" i="15" s="1"/>
  <c r="AG611" i="15" s="1"/>
  <c r="AE20" i="15" a="1"/>
  <c r="AE20" i="15" s="1"/>
  <c r="AF20" i="15" s="1"/>
  <c r="AG20" i="15" s="1"/>
  <c r="AE669" i="15" a="1"/>
  <c r="AE669" i="15" s="1"/>
  <c r="AF669" i="15" s="1"/>
  <c r="AG669" i="15" s="1"/>
  <c r="AE116" i="15" a="1"/>
  <c r="AE116" i="15" s="1"/>
  <c r="AF116" i="15" s="1"/>
  <c r="AG116" i="15" s="1"/>
  <c r="AE210" i="15" a="1"/>
  <c r="AE210" i="15" s="1"/>
  <c r="AF210" i="15" s="1"/>
  <c r="AG210" i="15" s="1"/>
  <c r="AE653" i="15" a="1"/>
  <c r="AE653" i="15" s="1"/>
  <c r="AF653" i="15" s="1"/>
  <c r="AG653" i="15" s="1"/>
  <c r="AE725" i="15" a="1"/>
  <c r="AE725" i="15" s="1"/>
  <c r="AF725" i="15" s="1"/>
  <c r="AG725" i="15" s="1"/>
  <c r="AE71" i="15" a="1"/>
  <c r="AE71" i="15" s="1"/>
  <c r="AF71" i="15" s="1"/>
  <c r="AG71" i="15" s="1"/>
  <c r="AF36" i="13" s="1"/>
  <c r="AE779" i="15" a="1"/>
  <c r="AE779" i="15" s="1"/>
  <c r="AF779" i="15" s="1"/>
  <c r="AG779" i="15" s="1"/>
  <c r="AF391" i="13" s="1"/>
  <c r="AE465" i="15" a="1"/>
  <c r="AE465" i="15" s="1"/>
  <c r="AF465" i="15" s="1"/>
  <c r="AG465" i="15" s="1"/>
  <c r="AE320" i="15" a="1"/>
  <c r="AE320" i="15" s="1"/>
  <c r="AF320" i="15" s="1"/>
  <c r="AG320" i="15" s="1"/>
  <c r="AE760" i="15" a="1"/>
  <c r="AE760" i="15" s="1"/>
  <c r="AF760" i="15" s="1"/>
  <c r="AG760" i="15" s="1"/>
  <c r="AE173" i="15" a="1"/>
  <c r="AE173" i="15" s="1"/>
  <c r="AF173" i="15" s="1"/>
  <c r="AG173" i="15" s="1"/>
  <c r="AE43" i="15" a="1"/>
  <c r="AE43" i="15" s="1"/>
  <c r="AF43" i="15" s="1"/>
  <c r="AG43" i="15" s="1"/>
  <c r="AE577" i="15" a="1"/>
  <c r="AE577" i="15" s="1"/>
  <c r="AF577" i="15" s="1"/>
  <c r="AG577" i="15" s="1"/>
  <c r="AE75" i="15" a="1"/>
  <c r="AE75" i="15" s="1"/>
  <c r="AF75" i="15" s="1"/>
  <c r="AG75" i="15" s="1"/>
  <c r="AE17" i="15" a="1"/>
  <c r="AE17" i="15" s="1"/>
  <c r="AF17" i="15" s="1"/>
  <c r="AG17" i="15" s="1"/>
  <c r="AE108" i="15" a="1"/>
  <c r="AE108" i="15" s="1"/>
  <c r="AF108" i="15" s="1"/>
  <c r="AG108" i="15" s="1"/>
  <c r="AE793" i="15" a="1"/>
  <c r="AE793" i="15" s="1"/>
  <c r="AF793" i="15" s="1"/>
  <c r="AG793" i="15" s="1"/>
  <c r="AE315" i="15" a="1"/>
  <c r="AE315" i="15" s="1"/>
  <c r="AF315" i="15" s="1"/>
  <c r="AG315" i="15" s="1"/>
  <c r="AE170" i="15" a="1"/>
  <c r="AE170" i="15" s="1"/>
  <c r="AF170" i="15" s="1"/>
  <c r="AG170" i="15" s="1"/>
  <c r="AE548" i="15" a="1"/>
  <c r="AE548" i="15" s="1"/>
  <c r="AF548" i="15" s="1"/>
  <c r="AG548" i="15" s="1"/>
  <c r="AE390" i="15" a="1"/>
  <c r="AE390" i="15" s="1"/>
  <c r="AF390" i="15" s="1"/>
  <c r="AG390" i="15" s="1"/>
  <c r="AE478" i="15" a="1"/>
  <c r="AE478" i="15" s="1"/>
  <c r="AF478" i="15" s="1"/>
  <c r="AG478" i="15" s="1"/>
  <c r="AE160" i="15" a="1"/>
  <c r="AE160" i="15" s="1"/>
  <c r="AF160" i="15" s="1"/>
  <c r="AG160" i="15" s="1"/>
  <c r="AE723" i="15" a="1"/>
  <c r="AE723" i="15" s="1"/>
  <c r="AF723" i="15" s="1"/>
  <c r="AG723" i="15" s="1"/>
  <c r="AE541" i="15" a="1"/>
  <c r="AE541" i="15" s="1"/>
  <c r="AF541" i="15" s="1"/>
  <c r="AG541" i="15" s="1"/>
  <c r="AE276" i="15" a="1"/>
  <c r="AE276" i="15" s="1"/>
  <c r="AF276" i="15" s="1"/>
  <c r="AG276" i="15" s="1"/>
  <c r="AE24" i="15" a="1"/>
  <c r="AE24" i="15" s="1"/>
  <c r="AF24" i="15" s="1"/>
  <c r="AG24" i="15" s="1"/>
  <c r="AE142" i="15" a="1"/>
  <c r="AE142" i="15" s="1"/>
  <c r="AF142" i="15" s="1"/>
  <c r="AG142" i="15" s="1"/>
  <c r="AE283" i="15" a="1"/>
  <c r="AE283" i="15" s="1"/>
  <c r="AF283" i="15" s="1"/>
  <c r="AG283" i="15" s="1"/>
  <c r="AE300" i="15" a="1"/>
  <c r="AE300" i="15" s="1"/>
  <c r="AF300" i="15" s="1"/>
  <c r="AG300" i="15" s="1"/>
  <c r="AE310" i="15" a="1"/>
  <c r="AE310" i="15" s="1"/>
  <c r="AF310" i="15" s="1"/>
  <c r="AG310" i="15" s="1"/>
  <c r="AE46" i="15" a="1"/>
  <c r="AE46" i="15" s="1"/>
  <c r="AF46" i="15" s="1"/>
  <c r="AG46" i="15" s="1"/>
  <c r="AE622" i="15" a="1"/>
  <c r="AE622" i="15" s="1"/>
  <c r="AF622" i="15" s="1"/>
  <c r="AG622" i="15" s="1"/>
  <c r="AE139" i="15" a="1"/>
  <c r="AE139" i="15" s="1"/>
  <c r="AF139" i="15" s="1"/>
  <c r="AG139" i="15" s="1"/>
  <c r="AE655" i="15" a="1"/>
  <c r="AE655" i="15" s="1"/>
  <c r="AF655" i="15" s="1"/>
  <c r="AG655" i="15" s="1"/>
  <c r="AE189" i="15" a="1"/>
  <c r="AE189" i="15" s="1"/>
  <c r="AF189" i="15" s="1"/>
  <c r="AG189" i="15" s="1"/>
  <c r="AE423" i="15" a="1"/>
  <c r="AE423" i="15" s="1"/>
  <c r="AF423" i="15" s="1"/>
  <c r="AG423" i="15" s="1"/>
  <c r="AE418" i="15" a="1"/>
  <c r="AE418" i="15" s="1"/>
  <c r="AF418" i="15" s="1"/>
  <c r="AG418" i="15" s="1"/>
  <c r="AE717" i="15" a="1"/>
  <c r="AE717" i="15" s="1"/>
  <c r="AF717" i="15" s="1"/>
  <c r="AG717" i="15" s="1"/>
  <c r="AE148" i="15" a="1"/>
  <c r="AE148" i="15" s="1"/>
  <c r="AF148" i="15" s="1"/>
  <c r="AG148" i="15" s="1"/>
  <c r="AE661" i="15" a="1"/>
  <c r="AE661" i="15" s="1"/>
  <c r="AF661" i="15" s="1"/>
  <c r="AG661" i="15" s="1"/>
  <c r="AE141" i="15" a="1"/>
  <c r="AE141" i="15" s="1"/>
  <c r="AF141" i="15" s="1"/>
  <c r="AG141" i="15" s="1"/>
  <c r="AE605" i="15" a="1"/>
  <c r="AE605" i="15" s="1"/>
  <c r="AF605" i="15" s="1"/>
  <c r="AG605" i="15" s="1"/>
  <c r="AE65" i="15" a="1"/>
  <c r="AE65" i="15" s="1"/>
  <c r="AF65" i="15" s="1"/>
  <c r="AG65" i="15" s="1"/>
  <c r="AE304" i="15" a="1"/>
  <c r="AE304" i="15" s="1"/>
  <c r="AF304" i="15" s="1"/>
  <c r="AG304" i="15" s="1"/>
  <c r="AE84" i="15" a="1"/>
  <c r="AE84" i="15" s="1"/>
  <c r="AF84" i="15" s="1"/>
  <c r="AG84" i="15" s="1"/>
  <c r="AE355" i="15" a="1"/>
  <c r="AE355" i="15" s="1"/>
  <c r="AF355" i="15" s="1"/>
  <c r="AG355" i="15" s="1"/>
  <c r="AE260" i="15" a="1"/>
  <c r="AE260" i="15" s="1"/>
  <c r="AF260" i="15" s="1"/>
  <c r="AG260" i="15" s="1"/>
  <c r="AE357" i="15" a="1"/>
  <c r="AE357" i="15" s="1"/>
  <c r="AF357" i="15" s="1"/>
  <c r="AG357" i="15" s="1"/>
  <c r="AE214" i="15" a="1"/>
  <c r="AE214" i="15" s="1"/>
  <c r="AF214" i="15" s="1"/>
  <c r="AG214" i="15" s="1"/>
  <c r="AE232" i="15" a="1"/>
  <c r="AE232" i="15" s="1"/>
  <c r="AF232" i="15" s="1"/>
  <c r="AG232" i="15" s="1"/>
  <c r="AE7" i="15" a="1"/>
  <c r="AE7" i="15" s="1"/>
  <c r="AF7" i="15" s="1"/>
  <c r="AG7" i="15" s="1"/>
  <c r="AE691" i="15" a="1"/>
  <c r="AE691" i="15" s="1"/>
  <c r="AF691" i="15" s="1"/>
  <c r="AG691" i="15" s="1"/>
  <c r="AE778" i="15" a="1"/>
  <c r="AE778" i="15" s="1"/>
  <c r="AF778" i="15" s="1"/>
  <c r="AG778" i="15" s="1"/>
  <c r="AF390" i="13" s="1"/>
  <c r="AE358" i="15" a="1"/>
  <c r="AE358" i="15" s="1"/>
  <c r="AF358" i="15" s="1"/>
  <c r="AG358" i="15" s="1"/>
  <c r="AE274" i="15" a="1"/>
  <c r="AE274" i="15" s="1"/>
  <c r="AF274" i="15" s="1"/>
  <c r="AG274" i="15" s="1"/>
  <c r="AE549" i="15" a="1"/>
  <c r="AE549" i="15" s="1"/>
  <c r="AF549" i="15" s="1"/>
  <c r="AG549" i="15" s="1"/>
  <c r="AE288" i="15" a="1"/>
  <c r="AE288" i="15" s="1"/>
  <c r="AF288" i="15" s="1"/>
  <c r="AG288" i="15" s="1"/>
  <c r="AE377" i="15" a="1"/>
  <c r="AE377" i="15" s="1"/>
  <c r="AF377" i="15" s="1"/>
  <c r="AG377" i="15" s="1"/>
  <c r="AE150" i="15" a="1"/>
  <c r="AE150" i="15" s="1"/>
  <c r="AF150" i="15" s="1"/>
  <c r="AG150" i="15" s="1"/>
  <c r="AE560" i="15" a="1"/>
  <c r="AE560" i="15" s="1"/>
  <c r="AF560" i="15" s="1"/>
  <c r="AG560" i="15" s="1"/>
  <c r="AE21" i="15" a="1"/>
  <c r="AE21" i="15" s="1"/>
  <c r="AF21" i="15" s="1"/>
  <c r="AG21" i="15" s="1"/>
  <c r="AE630" i="15" a="1"/>
  <c r="AE630" i="15" s="1"/>
  <c r="AF630" i="15" s="1"/>
  <c r="AG630" i="15" s="1"/>
  <c r="AE59" i="15" a="1"/>
  <c r="AE59" i="15" s="1"/>
  <c r="AF59" i="15" s="1"/>
  <c r="AG59" i="15" s="1"/>
  <c r="AE223" i="15" a="1"/>
  <c r="AE223" i="15" s="1"/>
  <c r="AF223" i="15" s="1"/>
  <c r="AG223" i="15" s="1"/>
  <c r="AE391" i="15" a="1"/>
  <c r="AE391" i="15" s="1"/>
  <c r="AF391" i="15" s="1"/>
  <c r="AG391" i="15" s="1"/>
  <c r="AE640" i="15" a="1"/>
  <c r="AE640" i="15" s="1"/>
  <c r="AF640" i="15" s="1"/>
  <c r="AG640" i="15" s="1"/>
  <c r="AE323" i="15" a="1"/>
  <c r="AE323" i="15" s="1"/>
  <c r="AF323" i="15" s="1"/>
  <c r="AG323" i="15" s="1"/>
  <c r="AE103" i="15" a="1"/>
  <c r="AE103" i="15" s="1"/>
  <c r="AF103" i="15" s="1"/>
  <c r="AG103" i="15" s="1"/>
  <c r="AE382" i="15" a="1"/>
  <c r="AE382" i="15" s="1"/>
  <c r="AF382" i="15" s="1"/>
  <c r="AG382" i="15" s="1"/>
  <c r="AE626" i="15" a="1"/>
  <c r="AE626" i="15" s="1"/>
  <c r="AF626" i="15" s="1"/>
  <c r="AG626" i="15" s="1"/>
  <c r="AE235" i="15" a="1"/>
  <c r="AE235" i="15" s="1"/>
  <c r="AF235" i="15" s="1"/>
  <c r="AG235" i="15" s="1"/>
  <c r="AE503" i="15" a="1"/>
  <c r="AE503" i="15" s="1"/>
  <c r="AF503" i="15" s="1"/>
  <c r="AG503" i="15" s="1"/>
  <c r="AE639" i="15" a="1"/>
  <c r="AE639" i="15" s="1"/>
  <c r="AF639" i="15" s="1"/>
  <c r="AG639" i="15" s="1"/>
  <c r="AE259" i="15" a="1"/>
  <c r="AE259" i="15" s="1"/>
  <c r="AF259" i="15" s="1"/>
  <c r="AG259" i="15" s="1"/>
  <c r="AE545" i="15" a="1"/>
  <c r="AE545" i="15" s="1"/>
  <c r="AF545" i="15" s="1"/>
  <c r="AG545" i="15" s="1"/>
  <c r="AE154" i="15" a="1"/>
  <c r="AE154" i="15" s="1"/>
  <c r="AF154" i="15" s="1"/>
  <c r="AG154" i="15" s="1"/>
  <c r="AE69" i="15" a="1"/>
  <c r="AE69" i="15" s="1"/>
  <c r="AF69" i="15" s="1"/>
  <c r="AG69" i="15" s="1"/>
  <c r="AE602" i="15" a="1"/>
  <c r="AE602" i="15" s="1"/>
  <c r="AF602" i="15" s="1"/>
  <c r="AG602" i="15" s="1"/>
  <c r="AE795" i="15" a="1"/>
  <c r="AE795" i="15" s="1"/>
  <c r="AF795" i="15" s="1"/>
  <c r="AG795" i="15" s="1"/>
  <c r="AE341" i="15" a="1"/>
  <c r="AE341" i="15" s="1"/>
  <c r="AF341" i="15" s="1"/>
  <c r="AG341" i="15" s="1"/>
  <c r="AE483" i="15" a="1"/>
  <c r="AE483" i="15" s="1"/>
  <c r="AF483" i="15" s="1"/>
  <c r="AG483" i="15" s="1"/>
  <c r="AE242" i="15" a="1"/>
  <c r="AE242" i="15" s="1"/>
  <c r="AF242" i="15" s="1"/>
  <c r="AG242" i="15" s="1"/>
  <c r="AE638" i="15" a="1"/>
  <c r="AE638" i="15" s="1"/>
  <c r="AF638" i="15" s="1"/>
  <c r="AG638" i="15" s="1"/>
  <c r="AE6" i="15" a="1"/>
  <c r="AE6" i="15" s="1"/>
  <c r="AF6" i="15" s="1"/>
  <c r="AG6" i="15" s="1"/>
  <c r="AE515" i="15" a="1"/>
  <c r="AE515" i="15" s="1"/>
  <c r="AF515" i="15" s="1"/>
  <c r="AG515" i="15" s="1"/>
  <c r="AE762" i="15" a="1"/>
  <c r="AE762" i="15" s="1"/>
  <c r="AF762" i="15" s="1"/>
  <c r="AG762" i="15" s="1"/>
  <c r="AE734" i="15" a="1"/>
  <c r="AE734" i="15" s="1"/>
  <c r="AF734" i="15" s="1"/>
  <c r="AG734" i="15" s="1"/>
  <c r="AE350" i="15" a="1"/>
  <c r="AE350" i="15" s="1"/>
  <c r="AF350" i="15" s="1"/>
  <c r="AG350" i="15" s="1"/>
  <c r="AE400" i="15" a="1"/>
  <c r="AE400" i="15" s="1"/>
  <c r="AF400" i="15" s="1"/>
  <c r="AG400" i="15" s="1"/>
  <c r="AE447" i="15" a="1"/>
  <c r="AE447" i="15" s="1"/>
  <c r="AF447" i="15" s="1"/>
  <c r="AG447" i="15" s="1"/>
  <c r="AE441" i="15" a="1"/>
  <c r="AE441" i="15" s="1"/>
  <c r="AF441" i="15" s="1"/>
  <c r="AG441" i="15" s="1"/>
  <c r="AE657" i="15" a="1"/>
  <c r="AE657" i="15" s="1"/>
  <c r="AF657" i="15" s="1"/>
  <c r="AG657" i="15" s="1"/>
  <c r="AE38" i="15" a="1"/>
  <c r="AE38" i="15" s="1"/>
  <c r="AF38" i="15" s="1"/>
  <c r="AG38" i="15" s="1"/>
  <c r="AE336" i="15" a="1"/>
  <c r="AE336" i="15" s="1"/>
  <c r="AF336" i="15" s="1"/>
  <c r="AG336" i="15" s="1"/>
  <c r="AE492" i="15" a="1"/>
  <c r="AE492" i="15" s="1"/>
  <c r="AF492" i="15" s="1"/>
  <c r="AG492" i="15" s="1"/>
  <c r="AE297" i="15" a="1"/>
  <c r="AE297" i="15" s="1"/>
  <c r="AF297" i="15" s="1"/>
  <c r="AG297" i="15" s="1"/>
  <c r="AE229" i="15" a="1"/>
  <c r="AE229" i="15" s="1"/>
  <c r="AF229" i="15" s="1"/>
  <c r="AG229" i="15" s="1"/>
  <c r="AE241" i="15" a="1"/>
  <c r="AE241" i="15" s="1"/>
  <c r="AF241" i="15" s="1"/>
  <c r="AG241" i="15" s="1"/>
  <c r="AE146" i="15" a="1"/>
  <c r="AE146" i="15" s="1"/>
  <c r="AF146" i="15" s="1"/>
  <c r="AG146" i="15" s="1"/>
  <c r="AE576" i="15" a="1"/>
  <c r="AE576" i="15" s="1"/>
  <c r="AF576" i="15" s="1"/>
  <c r="AG576" i="15" s="1"/>
  <c r="AE772" i="15" a="1"/>
  <c r="AE772" i="15" s="1"/>
  <c r="AF772" i="15" s="1"/>
  <c r="AG772" i="15" s="1"/>
  <c r="AE327" i="15" a="1"/>
  <c r="AE327" i="15" s="1"/>
  <c r="AF327" i="15" s="1"/>
  <c r="AG327" i="15" s="1"/>
  <c r="AE129" i="15" a="1"/>
  <c r="AE129" i="15" s="1"/>
  <c r="AF129" i="15" s="1"/>
  <c r="AG129" i="15" s="1"/>
  <c r="AE491" i="15" a="1"/>
  <c r="AE491" i="15" s="1"/>
  <c r="AF491" i="15" s="1"/>
  <c r="AG491" i="15" s="1"/>
  <c r="AE607" i="15" a="1"/>
  <c r="AE607" i="15" s="1"/>
  <c r="AF607" i="15" s="1"/>
  <c r="AG607" i="15" s="1"/>
  <c r="AE176" i="15" a="1"/>
  <c r="AE176" i="15" s="1"/>
  <c r="AF176" i="15" s="1"/>
  <c r="AG176" i="15" s="1"/>
  <c r="AE312" i="15" a="1"/>
  <c r="AE312" i="15" s="1"/>
  <c r="AF312" i="15" s="1"/>
  <c r="AG312" i="15" s="1"/>
  <c r="AE402" i="15" a="1"/>
  <c r="AE402" i="15" s="1"/>
  <c r="AF402" i="15" s="1"/>
  <c r="AG402" i="15" s="1"/>
  <c r="AE535" i="15" a="1"/>
  <c r="AE535" i="15" s="1"/>
  <c r="AF535" i="15" s="1"/>
  <c r="AG535" i="15" s="1"/>
  <c r="AE332" i="15" a="1"/>
  <c r="AE332" i="15" s="1"/>
  <c r="AF332" i="15" s="1"/>
  <c r="AG332" i="15" s="1"/>
  <c r="AE271" i="15" a="1"/>
  <c r="AE271" i="15" s="1"/>
  <c r="AF271" i="15" s="1"/>
  <c r="AG271" i="15" s="1"/>
  <c r="AE463" i="15" a="1"/>
  <c r="AE463" i="15" s="1"/>
  <c r="AF463" i="15" s="1"/>
  <c r="AG463" i="15" s="1"/>
  <c r="AE63" i="15" a="1"/>
  <c r="AE63" i="15" s="1"/>
  <c r="AF63" i="15" s="1"/>
  <c r="AG63" i="15" s="1"/>
  <c r="AE68" i="15" a="1"/>
  <c r="AE68" i="15" s="1"/>
  <c r="AF68" i="15" s="1"/>
  <c r="AG68" i="15" s="1"/>
  <c r="AE431" i="15" a="1"/>
  <c r="AE431" i="15" s="1"/>
  <c r="AF431" i="15" s="1"/>
  <c r="AG431" i="15" s="1"/>
  <c r="AE106" i="15" a="1"/>
  <c r="AE106" i="15" s="1"/>
  <c r="AF106" i="15" s="1"/>
  <c r="AG106" i="15" s="1"/>
  <c r="AE514" i="15" a="1"/>
  <c r="AE514" i="15" s="1"/>
  <c r="AF514" i="15" s="1"/>
  <c r="AG514" i="15" s="1"/>
  <c r="AE525" i="15" a="1"/>
  <c r="AE525" i="15" s="1"/>
  <c r="AF525" i="15" s="1"/>
  <c r="AG525" i="15" s="1"/>
  <c r="AE759" i="15" a="1"/>
  <c r="AE759" i="15" s="1"/>
  <c r="AF759" i="15" s="1"/>
  <c r="AG759" i="15" s="1"/>
  <c r="AE272" i="15" a="1"/>
  <c r="AE272" i="15" s="1"/>
  <c r="AF272" i="15" s="1"/>
  <c r="AG272" i="15" s="1"/>
  <c r="AE455" i="15" a="1"/>
  <c r="AE455" i="15" s="1"/>
  <c r="AF455" i="15" s="1"/>
  <c r="AG455" i="15" s="1"/>
  <c r="AE404" i="15" a="1"/>
  <c r="AE404" i="15" s="1"/>
  <c r="AF404" i="15" s="1"/>
  <c r="AG404" i="15" s="1"/>
  <c r="AE485" i="15" a="1"/>
  <c r="AE485" i="15" s="1"/>
  <c r="AF485" i="15" s="1"/>
  <c r="AG485" i="15" s="1"/>
  <c r="AE182" i="15" a="1"/>
  <c r="AE182" i="15" s="1"/>
  <c r="AF182" i="15" s="1"/>
  <c r="AG182" i="15" s="1"/>
  <c r="AE519" i="15" a="1"/>
  <c r="AE519" i="15" s="1"/>
  <c r="AF519" i="15" s="1"/>
  <c r="AG519" i="15" s="1"/>
  <c r="AE318" i="15" a="1"/>
  <c r="AE318" i="15" s="1"/>
  <c r="AF318" i="15" s="1"/>
  <c r="AG318" i="15" s="1"/>
  <c r="AE351" i="15" a="1"/>
  <c r="AE351" i="15" s="1"/>
  <c r="AF351" i="15" s="1"/>
  <c r="AG351" i="15" s="1"/>
  <c r="AE407" i="15" a="1"/>
  <c r="AE407" i="15" s="1"/>
  <c r="AF407" i="15" s="1"/>
  <c r="AG407" i="15" s="1"/>
  <c r="AE470" i="15" a="1"/>
  <c r="AE470" i="15" s="1"/>
  <c r="AF470" i="15" s="1"/>
  <c r="AG470" i="15" s="1"/>
  <c r="AE667" i="15" a="1"/>
  <c r="AE667" i="15" s="1"/>
  <c r="AF667" i="15" s="1"/>
  <c r="AG667" i="15" s="1"/>
  <c r="AE740" i="15" a="1"/>
  <c r="AE740" i="15" s="1"/>
  <c r="AF740" i="15" s="1"/>
  <c r="AG740" i="15" s="1"/>
  <c r="AE334" i="15" a="1"/>
  <c r="AE334" i="15" s="1"/>
  <c r="AF334" i="15" s="1"/>
  <c r="AG334" i="15" s="1"/>
  <c r="AE384" i="15" a="1"/>
  <c r="AE384" i="15" s="1"/>
  <c r="AF384" i="15" s="1"/>
  <c r="AG384" i="15" s="1"/>
  <c r="AE414" i="15" a="1"/>
  <c r="AE414" i="15" s="1"/>
  <c r="AF414" i="15" s="1"/>
  <c r="AG414" i="15" s="1"/>
  <c r="AE683" i="15" a="1"/>
  <c r="AE683" i="15" s="1"/>
  <c r="AF683" i="15" s="1"/>
  <c r="AG683" i="15" s="1"/>
  <c r="AE263" i="15" a="1"/>
  <c r="AE263" i="15" s="1"/>
  <c r="AF263" i="15" s="1"/>
  <c r="AG263" i="15" s="1"/>
  <c r="AE592" i="15" a="1"/>
  <c r="AE592" i="15" s="1"/>
  <c r="AF592" i="15" s="1"/>
  <c r="AG592" i="15" s="1"/>
  <c r="AE158" i="15" a="1"/>
  <c r="AE158" i="15" s="1"/>
  <c r="AF158" i="15" s="1"/>
  <c r="AG158" i="15" s="1"/>
  <c r="AE647" i="15" a="1"/>
  <c r="AE647" i="15" s="1"/>
  <c r="AF647" i="15" s="1"/>
  <c r="AG647" i="15" s="1"/>
  <c r="AE360" i="15" a="1"/>
  <c r="AE360" i="15" s="1"/>
  <c r="AF360" i="15" s="1"/>
  <c r="AG360" i="15" s="1"/>
  <c r="AE132" i="15" a="1"/>
  <c r="AE132" i="15" s="1"/>
  <c r="AF132" i="15" s="1"/>
  <c r="AG132" i="15" s="1"/>
  <c r="AE721" i="15" a="1"/>
  <c r="AE721" i="15" s="1"/>
  <c r="AF721" i="15" s="1"/>
  <c r="AG721" i="15" s="1"/>
  <c r="AE787" i="15" a="1"/>
  <c r="AE787" i="15" s="1"/>
  <c r="AF787" i="15" s="1"/>
  <c r="AG787" i="15" s="1"/>
  <c r="AE125" i="15" a="1"/>
  <c r="AE125" i="15" s="1"/>
  <c r="AF125" i="15" s="1"/>
  <c r="AG125" i="15" s="1"/>
  <c r="AE543" i="15" a="1"/>
  <c r="AE543" i="15" s="1"/>
  <c r="AF543" i="15" s="1"/>
  <c r="AG543" i="15" s="1"/>
  <c r="AE81" i="15" a="1"/>
  <c r="AE81" i="15" s="1"/>
  <c r="AF81" i="15" s="1"/>
  <c r="AG81" i="15" s="1"/>
  <c r="AE675" i="15" a="1"/>
  <c r="AE675" i="15" s="1"/>
  <c r="AF675" i="15" s="1"/>
  <c r="AG675" i="15" s="1"/>
  <c r="AE748" i="15" a="1"/>
  <c r="AE748" i="15" s="1"/>
  <c r="AF748" i="15" s="1"/>
  <c r="AG748" i="15" s="1"/>
  <c r="AE27" i="15" a="1"/>
  <c r="AE27" i="15" s="1"/>
  <c r="AF27" i="15" s="1"/>
  <c r="AG27" i="15" s="1"/>
  <c r="AE55" i="15" a="1"/>
  <c r="AE55" i="15" s="1"/>
  <c r="AF55" i="15" s="1"/>
  <c r="AG55" i="15" s="1"/>
  <c r="AE395" i="15" a="1"/>
  <c r="AE395" i="15" s="1"/>
  <c r="AF395" i="15" s="1"/>
  <c r="AG395" i="15" s="1"/>
  <c r="AE143" i="15" a="1"/>
  <c r="AE143" i="15" s="1"/>
  <c r="AF143" i="15" s="1"/>
  <c r="AG143" i="15" s="1"/>
  <c r="AE610" i="15" a="1"/>
  <c r="AE610" i="15" s="1"/>
  <c r="AF610" i="15" s="1"/>
  <c r="AG610" i="15" s="1"/>
  <c r="AE435" i="15" a="1"/>
  <c r="AE435" i="15" s="1"/>
  <c r="AF435" i="15" s="1"/>
  <c r="AG435" i="15" s="1"/>
  <c r="AE201" i="15" a="1"/>
  <c r="AE201" i="15" s="1"/>
  <c r="AF201" i="15" s="1"/>
  <c r="AG201" i="15" s="1"/>
  <c r="AE416" i="15" a="1"/>
  <c r="AE416" i="15" s="1"/>
  <c r="AF416" i="15" s="1"/>
  <c r="AG416" i="15" s="1"/>
  <c r="AE41" i="15" a="1"/>
  <c r="AE41" i="15" s="1"/>
  <c r="AF41" i="15" s="1"/>
  <c r="AG41" i="15" s="1"/>
  <c r="AE25" i="15" a="1"/>
  <c r="AE25" i="15" s="1"/>
  <c r="AF25" i="15" s="1"/>
  <c r="AG25" i="15" s="1"/>
  <c r="AE127" i="15" a="1"/>
  <c r="AE127" i="15" s="1"/>
  <c r="AF127" i="15" s="1"/>
  <c r="AG127" i="15" s="1"/>
  <c r="AE67" i="15" a="1"/>
  <c r="AE67" i="15" s="1"/>
  <c r="AF67" i="15" s="1"/>
  <c r="AG67" i="15" s="1"/>
  <c r="AE74" i="15" a="1"/>
  <c r="AE74" i="15" s="1"/>
  <c r="AF74" i="15" s="1"/>
  <c r="AG74" i="15" s="1"/>
  <c r="AE570" i="15" a="1"/>
  <c r="AE570" i="15" s="1"/>
  <c r="AF570" i="15" s="1"/>
  <c r="AG570" i="15" s="1"/>
  <c r="AE83" i="15" a="1"/>
  <c r="AE83" i="15" s="1"/>
  <c r="AF83" i="15" s="1"/>
  <c r="AG83" i="15" s="1"/>
  <c r="AE130" i="15" a="1"/>
  <c r="AE130" i="15" s="1"/>
  <c r="AF130" i="15" s="1"/>
  <c r="AG130" i="15" s="1"/>
  <c r="AE494" i="15" a="1"/>
  <c r="AE494" i="15" s="1"/>
  <c r="AF494" i="15" s="1"/>
  <c r="AG494" i="15" s="1"/>
  <c r="AE678" i="15" a="1"/>
  <c r="AE678" i="15" s="1"/>
  <c r="AF678" i="15" s="1"/>
  <c r="AG678" i="15" s="1"/>
  <c r="AE256" i="15" a="1"/>
  <c r="AE256" i="15" s="1"/>
  <c r="AF256" i="15" s="1"/>
  <c r="AG256" i="15" s="1"/>
  <c r="AE15" i="15" a="1"/>
  <c r="AE15" i="15" s="1"/>
  <c r="AF15" i="15" s="1"/>
  <c r="AG15" i="15" s="1"/>
  <c r="AE346" i="15" a="1"/>
  <c r="AE346" i="15" s="1"/>
  <c r="AF346" i="15" s="1"/>
  <c r="AG346" i="15" s="1"/>
  <c r="AE258" i="15" a="1"/>
  <c r="AE258" i="15" s="1"/>
  <c r="AF258" i="15" s="1"/>
  <c r="AG258" i="15" s="1"/>
  <c r="AE712" i="15" a="1"/>
  <c r="AE712" i="15" s="1"/>
  <c r="AF712" i="15" s="1"/>
  <c r="AG712" i="15" s="1"/>
  <c r="AE562" i="15" a="1"/>
  <c r="AE562" i="15" s="1"/>
  <c r="AF562" i="15" s="1"/>
  <c r="AG562" i="15" s="1"/>
  <c r="AE620" i="15" a="1"/>
  <c r="AE620" i="15" s="1"/>
  <c r="AF620" i="15" s="1"/>
  <c r="AG620" i="15" s="1"/>
  <c r="AE8" i="15" a="1"/>
  <c r="AE8" i="15" s="1"/>
  <c r="AF8" i="15" s="1"/>
  <c r="AG8" i="15" s="1"/>
  <c r="AE673" i="15" a="1"/>
  <c r="AE673" i="15" s="1"/>
  <c r="AF673" i="15" s="1"/>
  <c r="AG673" i="15" s="1"/>
  <c r="AE457" i="15" a="1"/>
  <c r="AE457" i="15" s="1"/>
  <c r="AF457" i="15" s="1"/>
  <c r="AG457" i="15" s="1"/>
  <c r="AE440" i="15" a="1"/>
  <c r="AE440" i="15" s="1"/>
  <c r="AF440" i="15" s="1"/>
  <c r="AG440" i="15" s="1"/>
  <c r="AE708" i="15" a="1"/>
  <c r="AE708" i="15" s="1"/>
  <c r="AF708" i="15" s="1"/>
  <c r="AG708" i="15" s="1"/>
  <c r="AE317" i="15" a="1"/>
  <c r="AE317" i="15" s="1"/>
  <c r="AF317" i="15" s="1"/>
  <c r="AG317" i="15" s="1"/>
  <c r="AE118" i="15" a="1"/>
  <c r="AE118" i="15" s="1"/>
  <c r="AF118" i="15" s="1"/>
  <c r="AG118" i="15" s="1"/>
  <c r="AE553" i="15" a="1"/>
  <c r="AE553" i="15" s="1"/>
  <c r="AF553" i="15" s="1"/>
  <c r="AG553" i="15" s="1"/>
  <c r="AE394" i="15" a="1"/>
  <c r="AE394" i="15" s="1"/>
  <c r="AF394" i="15" s="1"/>
  <c r="AG394" i="15" s="1"/>
  <c r="AE155" i="15" a="1"/>
  <c r="AE155" i="15" s="1"/>
  <c r="AF155" i="15" s="1"/>
  <c r="AG155" i="15" s="1"/>
  <c r="AE511" i="15" a="1"/>
  <c r="AE511" i="15" s="1"/>
  <c r="AF511" i="15" s="1"/>
  <c r="AG511" i="15" s="1"/>
  <c r="AE761" i="15" a="1"/>
  <c r="AE761" i="15" s="1"/>
  <c r="AF761" i="15" s="1"/>
  <c r="AG761" i="15" s="1"/>
  <c r="AE523" i="15" a="1"/>
  <c r="AE523" i="15" s="1"/>
  <c r="AF523" i="15" s="1"/>
  <c r="AG523" i="15" s="1"/>
  <c r="AE88" i="15" a="1"/>
  <c r="AE88" i="15" s="1"/>
  <c r="AF88" i="15" s="1"/>
  <c r="AG88" i="15" s="1"/>
  <c r="AE60" i="15" a="1"/>
  <c r="AE60" i="15" s="1"/>
  <c r="AF60" i="15" s="1"/>
  <c r="AG60" i="15" s="1"/>
  <c r="AE244" i="15" a="1"/>
  <c r="AE244" i="15" s="1"/>
  <c r="AF244" i="15" s="1"/>
  <c r="AG244" i="15" s="1"/>
  <c r="AE251" i="15" a="1"/>
  <c r="AE251" i="15" s="1"/>
  <c r="AF251" i="15" s="1"/>
  <c r="AG251" i="15" s="1"/>
  <c r="AE372" i="15" a="1"/>
  <c r="AE372" i="15" s="1"/>
  <c r="AF372" i="15" s="1"/>
  <c r="AG372" i="15" s="1"/>
  <c r="AF187" i="13" s="1"/>
  <c r="AE643" i="15" a="1"/>
  <c r="AE643" i="15" s="1"/>
  <c r="AF643" i="15" s="1"/>
  <c r="AG643" i="15" s="1"/>
  <c r="AE209" i="15" a="1"/>
  <c r="AE209" i="15" s="1"/>
  <c r="AF209" i="15" s="1"/>
  <c r="AG209" i="15" s="1"/>
  <c r="AE625" i="15" a="1"/>
  <c r="AE625" i="15" s="1"/>
  <c r="AF625" i="15" s="1"/>
  <c r="AG625" i="15" s="1"/>
  <c r="AE752" i="15" a="1"/>
  <c r="AE752" i="15" s="1"/>
  <c r="AF752" i="15" s="1"/>
  <c r="AG752" i="15" s="1"/>
  <c r="AE252" i="15" a="1"/>
  <c r="AE252" i="15" s="1"/>
  <c r="AF252" i="15" s="1"/>
  <c r="AG252" i="15" s="1"/>
  <c r="AE371" i="15" a="1"/>
  <c r="AE371" i="15" s="1"/>
  <c r="AF371" i="15" s="1"/>
  <c r="AG371" i="15" s="1"/>
  <c r="AE617" i="15" a="1"/>
  <c r="AE617" i="15" s="1"/>
  <c r="AF617" i="15" s="1"/>
  <c r="AG617" i="15" s="1"/>
  <c r="AE753" i="15" a="1"/>
  <c r="AE753" i="15" s="1"/>
  <c r="AF753" i="15" s="1"/>
  <c r="AG753" i="15" s="1"/>
  <c r="AE531" i="15" a="1"/>
  <c r="AE531" i="15" s="1"/>
  <c r="AF531" i="15" s="1"/>
  <c r="AG531" i="15" s="1"/>
  <c r="AE169" i="15" a="1"/>
  <c r="AE169" i="15" s="1"/>
  <c r="AF169" i="15" s="1"/>
  <c r="AG169" i="15" s="1"/>
  <c r="AE147" i="15" a="1"/>
  <c r="AE147" i="15" s="1"/>
  <c r="AF147" i="15" s="1"/>
  <c r="AG147" i="15" s="1"/>
  <c r="AE248" i="15" a="1"/>
  <c r="AE248" i="15" s="1"/>
  <c r="AF248" i="15" s="1"/>
  <c r="AG248" i="15" s="1"/>
  <c r="AE134" i="15" a="1"/>
  <c r="AE134" i="15" s="1"/>
  <c r="AF134" i="15" s="1"/>
  <c r="AG134" i="15" s="1"/>
  <c r="AE286" i="15" a="1"/>
  <c r="AE286" i="15" s="1"/>
  <c r="AF286" i="15" s="1"/>
  <c r="AG286" i="15" s="1"/>
  <c r="AE735" i="15" a="1"/>
  <c r="AE735" i="15" s="1"/>
  <c r="AF735" i="15" s="1"/>
  <c r="AG735" i="15" s="1"/>
  <c r="AE715" i="15" a="1"/>
  <c r="AE715" i="15" s="1"/>
  <c r="AF715" i="15" s="1"/>
  <c r="AG715" i="15" s="1"/>
  <c r="AE40" i="15" a="1"/>
  <c r="AE40" i="15" s="1"/>
  <c r="AF40" i="15" s="1"/>
  <c r="AG40" i="15" s="1"/>
  <c r="AE558" i="15" a="1"/>
  <c r="AE558" i="15" s="1"/>
  <c r="AF558" i="15" s="1"/>
  <c r="AG558" i="15" s="1"/>
  <c r="AE29" i="15" a="1"/>
  <c r="AE29" i="15" s="1"/>
  <c r="AF29" i="15" s="1"/>
  <c r="AG29" i="15" s="1"/>
  <c r="AE230" i="15" a="1"/>
  <c r="AE230" i="15" s="1"/>
  <c r="AF230" i="15" s="1"/>
  <c r="AG230" i="15" s="1"/>
  <c r="AE540" i="15" a="1"/>
  <c r="AE540" i="15" s="1"/>
  <c r="AF540" i="15" s="1"/>
  <c r="AG540" i="15" s="1"/>
  <c r="AE3" i="15" a="1"/>
  <c r="AE3" i="15" s="1"/>
  <c r="AF3" i="15" s="1"/>
  <c r="AG3" i="15" s="1"/>
  <c r="AE298" i="15" a="1"/>
  <c r="AE298" i="15" s="1"/>
  <c r="AF298" i="15" s="1"/>
  <c r="AG298" i="15" s="1"/>
  <c r="AE73" i="15" a="1"/>
  <c r="AE73" i="15" s="1"/>
  <c r="AF73" i="15" s="1"/>
  <c r="AG73" i="15" s="1"/>
  <c r="AE369" i="15" a="1"/>
  <c r="AE369" i="15" s="1"/>
  <c r="AF369" i="15" s="1"/>
  <c r="AG369" i="15" s="1"/>
  <c r="AE294" i="15" a="1"/>
  <c r="AE294" i="15" s="1"/>
  <c r="AF294" i="15" s="1"/>
  <c r="AG294" i="15" s="1"/>
  <c r="AE64" i="15" a="1"/>
  <c r="AE64" i="15" s="1"/>
  <c r="AF64" i="15" s="1"/>
  <c r="AG64" i="15" s="1"/>
  <c r="AE98" i="15" a="1"/>
  <c r="AE98" i="15" s="1"/>
  <c r="AF98" i="15" s="1"/>
  <c r="AG98" i="15" s="1"/>
  <c r="AE800" i="15" a="1"/>
  <c r="AE800" i="15" s="1"/>
  <c r="AF800" i="15" s="1"/>
  <c r="AG800" i="15" s="1"/>
  <c r="AE701" i="15" a="1"/>
  <c r="AE701" i="15" s="1"/>
  <c r="AF701" i="15" s="1"/>
  <c r="AG701" i="15" s="1"/>
  <c r="AE92" i="15" a="1"/>
  <c r="AE92" i="15" s="1"/>
  <c r="AF92" i="15" s="1"/>
  <c r="AG92" i="15" s="1"/>
  <c r="AE316" i="15" a="1"/>
  <c r="AE316" i="15" s="1"/>
  <c r="AF316" i="15" s="1"/>
  <c r="AG316" i="15" s="1"/>
  <c r="AE700" i="15" a="1"/>
  <c r="AE700" i="15" s="1"/>
  <c r="AF700" i="15" s="1"/>
  <c r="AG700" i="15" s="1"/>
  <c r="AE782" i="15" a="1"/>
  <c r="AE782" i="15" s="1"/>
  <c r="AF782" i="15" s="1"/>
  <c r="AG782" i="15" s="1"/>
  <c r="AF394" i="13" s="1"/>
  <c r="AE755" i="15" a="1"/>
  <c r="AE755" i="15" s="1"/>
  <c r="AF755" i="15" s="1"/>
  <c r="AG755" i="15" s="1"/>
  <c r="AE236" i="15" a="1"/>
  <c r="AE236" i="15" s="1"/>
  <c r="AF236" i="15" s="1"/>
  <c r="AG236" i="15" s="1"/>
  <c r="AE693" i="15" a="1"/>
  <c r="AE693" i="15" s="1"/>
  <c r="AF693" i="15" s="1"/>
  <c r="AG693" i="15" s="1"/>
  <c r="AE94" i="15" a="1"/>
  <c r="AE94" i="15" s="1"/>
  <c r="AF94" i="15" s="1"/>
  <c r="AG94" i="15" s="1"/>
  <c r="AE566" i="15" a="1"/>
  <c r="AE566" i="15" s="1"/>
  <c r="AF566" i="15" s="1"/>
  <c r="AG566" i="15" s="1"/>
  <c r="AE368" i="15" a="1"/>
  <c r="AE368" i="15" s="1"/>
  <c r="AF368" i="15" s="1"/>
  <c r="AG368" i="15" s="1"/>
  <c r="AE459" i="15" a="1"/>
  <c r="AE459" i="15" s="1"/>
  <c r="AF459" i="15" s="1"/>
  <c r="AG459" i="15" s="1"/>
  <c r="AE393" i="15" a="1"/>
  <c r="AE393" i="15" s="1"/>
  <c r="AF393" i="15" s="1"/>
  <c r="AG393" i="15" s="1"/>
  <c r="AE420" i="15" a="1"/>
  <c r="AE420" i="15" s="1"/>
  <c r="AF420" i="15" s="1"/>
  <c r="AG420" i="15" s="1"/>
  <c r="AE716" i="15" a="1"/>
  <c r="AE716" i="15" s="1"/>
  <c r="AF716" i="15" s="1"/>
  <c r="AG716" i="15" s="1"/>
  <c r="AE319" i="15" a="1"/>
  <c r="AE319" i="15" s="1"/>
  <c r="AF319" i="15" s="1"/>
  <c r="AG319" i="15" s="1"/>
  <c r="AE436" i="15" a="1"/>
  <c r="AE436" i="15" s="1"/>
  <c r="AF436" i="15" s="1"/>
  <c r="AG436" i="15" s="1"/>
  <c r="AE121" i="15" a="1"/>
  <c r="AE121" i="15" s="1"/>
  <c r="AF121" i="15" s="1"/>
  <c r="AG121" i="15" s="1"/>
  <c r="AE690" i="15" a="1"/>
  <c r="AE690" i="15" s="1"/>
  <c r="AF690" i="15" s="1"/>
  <c r="AG690" i="15" s="1"/>
  <c r="AE91" i="15" a="1"/>
  <c r="AE91" i="15" s="1"/>
  <c r="AF91" i="15" s="1"/>
  <c r="AG91" i="15" s="1"/>
  <c r="AE679" i="15" a="1"/>
  <c r="AE679" i="15" s="1"/>
  <c r="AF679" i="15" s="1"/>
  <c r="AG679" i="15" s="1"/>
  <c r="AE203" i="15" a="1"/>
  <c r="AE203" i="15" s="1"/>
  <c r="AF203" i="15" s="1"/>
  <c r="AG203" i="15" s="1"/>
  <c r="AE561" i="15" a="1"/>
  <c r="AE561" i="15" s="1"/>
  <c r="AF561" i="15" s="1"/>
  <c r="AG561" i="15" s="1"/>
  <c r="AE206" i="15" a="1"/>
  <c r="AE206" i="15" s="1"/>
  <c r="AF206" i="15" s="1"/>
  <c r="AG206" i="15" s="1"/>
  <c r="AE279" i="15" a="1"/>
  <c r="AE279" i="15" s="1"/>
  <c r="AF279" i="15" s="1"/>
  <c r="AG279" i="15" s="1"/>
  <c r="AE642" i="15" a="1"/>
  <c r="AE642" i="15" s="1"/>
  <c r="AF642" i="15" s="1"/>
  <c r="AG642" i="15" s="1"/>
  <c r="AE211" i="15" a="1"/>
  <c r="AE211" i="15" s="1"/>
  <c r="AF211" i="15" s="1"/>
  <c r="AG211" i="15" s="1"/>
  <c r="AE97" i="15" a="1"/>
  <c r="AE97" i="15" s="1"/>
  <c r="AF97" i="15" s="1"/>
  <c r="AG97" i="15" s="1"/>
  <c r="AE563" i="15" a="1"/>
  <c r="AE563" i="15" s="1"/>
  <c r="AF563" i="15" s="1"/>
  <c r="AG563" i="15" s="1"/>
  <c r="AE398" i="15" a="1"/>
  <c r="AE398" i="15" s="1"/>
  <c r="AF398" i="15" s="1"/>
  <c r="AG398" i="15" s="1"/>
  <c r="AE405" i="15" a="1"/>
  <c r="AE405" i="15" s="1"/>
  <c r="AF405" i="15" s="1"/>
  <c r="AG405" i="15" s="1"/>
  <c r="AE138" i="15" a="1"/>
  <c r="AE138" i="15" s="1"/>
  <c r="AF138" i="15" s="1"/>
  <c r="AG138" i="15" s="1"/>
  <c r="AE695" i="15" a="1"/>
  <c r="AE695" i="15" s="1"/>
  <c r="AF695" i="15" s="1"/>
  <c r="AG695" i="15" s="1"/>
  <c r="AE629" i="15" a="1"/>
  <c r="AE629" i="15" s="1"/>
  <c r="AF629" i="15" s="1"/>
  <c r="AG629" i="15" s="1"/>
  <c r="AE797" i="15" a="1"/>
  <c r="AE797" i="15" s="1"/>
  <c r="AF797" i="15" s="1"/>
  <c r="AG797" i="15" s="1"/>
  <c r="AE12" i="15" a="1"/>
  <c r="AE12" i="15" s="1"/>
  <c r="AF12" i="15" s="1"/>
  <c r="AG12" i="15" s="1"/>
  <c r="AE583" i="15" a="1"/>
  <c r="AE583" i="15" s="1"/>
  <c r="AF583" i="15" s="1"/>
  <c r="AG583" i="15" s="1"/>
  <c r="AE757" i="15" a="1"/>
  <c r="AE757" i="15" s="1"/>
  <c r="AF757" i="15" s="1"/>
  <c r="AG757" i="15" s="1"/>
  <c r="AE742" i="15" a="1"/>
  <c r="AE742" i="15" s="1"/>
  <c r="AF742" i="15" s="1"/>
  <c r="AG742" i="15" s="1"/>
  <c r="AE415" i="15" a="1"/>
  <c r="AE415" i="15" s="1"/>
  <c r="AF415" i="15" s="1"/>
  <c r="AG415" i="15" s="1"/>
  <c r="AE713" i="15" a="1"/>
  <c r="AE713" i="15" s="1"/>
  <c r="AF713" i="15" s="1"/>
  <c r="AG713" i="15" s="1"/>
  <c r="AE434" i="15" a="1"/>
  <c r="AE434" i="15" s="1"/>
  <c r="AF434" i="15" s="1"/>
  <c r="AG434" i="15" s="1"/>
  <c r="AE156" i="15" a="1"/>
  <c r="AE156" i="15" s="1"/>
  <c r="AF156" i="15" s="1"/>
  <c r="AG156" i="15" s="1"/>
  <c r="AE257" i="15" a="1"/>
  <c r="AE257" i="15" s="1"/>
  <c r="AF257" i="15" s="1"/>
  <c r="AG257" i="15" s="1"/>
  <c r="AE302" i="15" a="1"/>
  <c r="AE302" i="15" s="1"/>
  <c r="AF302" i="15" s="1"/>
  <c r="AG302" i="15" s="1"/>
  <c r="AE476" i="15" a="1"/>
  <c r="AE476" i="15" s="1"/>
  <c r="AF476" i="15" s="1"/>
  <c r="AG476" i="15" s="1"/>
  <c r="AE383" i="15" a="1"/>
  <c r="AE383" i="15" s="1"/>
  <c r="AF383" i="15" s="1"/>
  <c r="AG383" i="15" s="1"/>
  <c r="AE2" i="15" a="1"/>
  <c r="AE2" i="15" s="1"/>
  <c r="AE707" i="15" a="1"/>
  <c r="AE707" i="15" s="1"/>
  <c r="AF707" i="15" s="1"/>
  <c r="AG707" i="15" s="1"/>
  <c r="AE207" i="15" a="1"/>
  <c r="AE207" i="15" s="1"/>
  <c r="AF207" i="15" s="1"/>
  <c r="AG207" i="15" s="1"/>
  <c r="AE333" i="15" a="1"/>
  <c r="AE333" i="15" s="1"/>
  <c r="AF333" i="15" s="1"/>
  <c r="AG333" i="15" s="1"/>
  <c r="AE578" i="15" a="1"/>
  <c r="AE578" i="15" s="1"/>
  <c r="AF578" i="15" s="1"/>
  <c r="AG578" i="15" s="1"/>
  <c r="AE66" i="15" a="1"/>
  <c r="AE66" i="15" s="1"/>
  <c r="AF66" i="15" s="1"/>
  <c r="AG66" i="15" s="1"/>
  <c r="AE634" i="15" a="1"/>
  <c r="AE634" i="15" s="1"/>
  <c r="AF634" i="15" s="1"/>
  <c r="AG634" i="15" s="1"/>
  <c r="AE265" i="15" a="1"/>
  <c r="AE265" i="15" s="1"/>
  <c r="AF265" i="15" s="1"/>
  <c r="AG265" i="15" s="1"/>
  <c r="AE117" i="15" a="1"/>
  <c r="AE117" i="15" s="1"/>
  <c r="AF117" i="15" s="1"/>
  <c r="AG117" i="15" s="1"/>
  <c r="AE254" i="15" a="1"/>
  <c r="AE254" i="15" s="1"/>
  <c r="AF254" i="15" s="1"/>
  <c r="AG254" i="15" s="1"/>
  <c r="AE601" i="15" a="1"/>
  <c r="AE601" i="15" s="1"/>
  <c r="AF601" i="15" s="1"/>
  <c r="AG601" i="15" s="1"/>
  <c r="AE579" i="15" a="1"/>
  <c r="AE579" i="15" s="1"/>
  <c r="AF579" i="15" s="1"/>
  <c r="AG579" i="15" s="1"/>
  <c r="AE95" i="15" a="1"/>
  <c r="AE95" i="15" s="1"/>
  <c r="AF95" i="15" s="1"/>
  <c r="AG95" i="15" s="1"/>
  <c r="AE666" i="15" a="1"/>
  <c r="AE666" i="15" s="1"/>
  <c r="AF666" i="15" s="1"/>
  <c r="AG666" i="15" s="1"/>
  <c r="AE703" i="15" a="1"/>
  <c r="AE703" i="15" s="1"/>
  <c r="AF703" i="15" s="1"/>
  <c r="AG703" i="15" s="1"/>
  <c r="AE774" i="15" a="1"/>
  <c r="AE774" i="15" s="1"/>
  <c r="AF774" i="15" s="1"/>
  <c r="AG774" i="15" s="1"/>
  <c r="AE52" i="15" a="1"/>
  <c r="AE52" i="15" s="1"/>
  <c r="AF52" i="15" s="1"/>
  <c r="AG52" i="15" s="1"/>
  <c r="AE539" i="15" a="1"/>
  <c r="AE539" i="15" s="1"/>
  <c r="AF539" i="15" s="1"/>
  <c r="AG539" i="15" s="1"/>
  <c r="AE714" i="15" a="1"/>
  <c r="AE714" i="15" s="1"/>
  <c r="AF714" i="15" s="1"/>
  <c r="AG714" i="15" s="1"/>
  <c r="AE745" i="15" a="1"/>
  <c r="AE745" i="15" s="1"/>
  <c r="AF745" i="15" s="1"/>
  <c r="AG745" i="15" s="1"/>
  <c r="AE397" i="15" a="1"/>
  <c r="AE397" i="15" s="1"/>
  <c r="AF397" i="15" s="1"/>
  <c r="AG397" i="15" s="1"/>
  <c r="AE646" i="15" a="1"/>
  <c r="AE646" i="15" s="1"/>
  <c r="AF646" i="15" s="1"/>
  <c r="AG646" i="15" s="1"/>
  <c r="AE193" i="15" a="1"/>
  <c r="AE193" i="15" s="1"/>
  <c r="AF193" i="15" s="1"/>
  <c r="AG193" i="15" s="1"/>
  <c r="AE628" i="15" a="1"/>
  <c r="AE628" i="15" s="1"/>
  <c r="AF628" i="15" s="1"/>
  <c r="AG628" i="15" s="1"/>
  <c r="AE291" i="15" a="1"/>
  <c r="AE291" i="15" s="1"/>
  <c r="AF291" i="15" s="1"/>
  <c r="AG291" i="15" s="1"/>
  <c r="AE261" i="15" a="1"/>
  <c r="AE261" i="15" s="1"/>
  <c r="AF261" i="15" s="1"/>
  <c r="AG261" i="15" s="1"/>
  <c r="AE451" i="15" a="1"/>
  <c r="AE451" i="15" s="1"/>
  <c r="AF451" i="15" s="1"/>
  <c r="AG451" i="15" s="1"/>
  <c r="AE122" i="15" a="1"/>
  <c r="AE122" i="15" s="1"/>
  <c r="AF122" i="15" s="1"/>
  <c r="AG122" i="15" s="1"/>
  <c r="AE686" i="15" a="1"/>
  <c r="AE686" i="15" s="1"/>
  <c r="AF686" i="15" s="1"/>
  <c r="AG686" i="15" s="1"/>
  <c r="AE79" i="15" a="1"/>
  <c r="AE79" i="15" s="1"/>
  <c r="AF79" i="15" s="1"/>
  <c r="AG79" i="15" s="1"/>
  <c r="AE345" i="15" a="1"/>
  <c r="AE345" i="15" s="1"/>
  <c r="AF345" i="15" s="1"/>
  <c r="AG345" i="15" s="1"/>
  <c r="AE623" i="15" a="1"/>
  <c r="AE623" i="15" s="1"/>
  <c r="AF623" i="15" s="1"/>
  <c r="AG623" i="15" s="1"/>
  <c r="AE306" i="15" a="1"/>
  <c r="AE306" i="15" s="1"/>
  <c r="AF306" i="15" s="1"/>
  <c r="AG306" i="15" s="1"/>
  <c r="AE412" i="15" a="1"/>
  <c r="AE412" i="15" s="1"/>
  <c r="AF412" i="15" s="1"/>
  <c r="AG412" i="15" s="1"/>
  <c r="AE660" i="15" a="1"/>
  <c r="AE660" i="15" s="1"/>
  <c r="AF660" i="15" s="1"/>
  <c r="AG660" i="15" s="1"/>
  <c r="AE194" i="15" a="1"/>
  <c r="AE194" i="15" s="1"/>
  <c r="AF194" i="15" s="1"/>
  <c r="AG194" i="15" s="1"/>
  <c r="AE670" i="15" a="1"/>
  <c r="AE670" i="15" s="1"/>
  <c r="AF670" i="15" s="1"/>
  <c r="AG670" i="15" s="1"/>
  <c r="AE764" i="15" a="1"/>
  <c r="AE764" i="15" s="1"/>
  <c r="AF764" i="15" s="1"/>
  <c r="AG764" i="15" s="1"/>
  <c r="AE427" i="15" a="1"/>
  <c r="AE427" i="15" s="1"/>
  <c r="AF427" i="15" s="1"/>
  <c r="AG427" i="15" s="1"/>
  <c r="AE105" i="15" a="1"/>
  <c r="AE105" i="15" s="1"/>
  <c r="AF105" i="15" s="1"/>
  <c r="AG105" i="15" s="1"/>
  <c r="AE120" i="15" a="1"/>
  <c r="AE120" i="15" s="1"/>
  <c r="AF120" i="15" s="1"/>
  <c r="AG120" i="15" s="1"/>
  <c r="AE234" i="15" a="1"/>
  <c r="AE234" i="15" s="1"/>
  <c r="AF234" i="15" s="1"/>
  <c r="AG234" i="15" s="1"/>
  <c r="AE180" i="15" a="1"/>
  <c r="AE180" i="15" s="1"/>
  <c r="AF180" i="15" s="1"/>
  <c r="AG180" i="15" s="1"/>
  <c r="AE706" i="15" a="1"/>
  <c r="AE706" i="15" s="1"/>
  <c r="AF706" i="15" s="1"/>
  <c r="AG706" i="15" s="1"/>
  <c r="AE598" i="15" a="1"/>
  <c r="AE598" i="15" s="1"/>
  <c r="AF598" i="15" s="1"/>
  <c r="AG598" i="15" s="1"/>
  <c r="AE585" i="15" a="1"/>
  <c r="AE585" i="15" s="1"/>
  <c r="AF585" i="15" s="1"/>
  <c r="AG585" i="15" s="1"/>
  <c r="AE86" i="15" a="1"/>
  <c r="AE86" i="15" s="1"/>
  <c r="AF86" i="15" s="1"/>
  <c r="AG86" i="15" s="1"/>
  <c r="AE499" i="15" a="1"/>
  <c r="AE499" i="15" s="1"/>
  <c r="AF499" i="15" s="1"/>
  <c r="AG499" i="15" s="1"/>
  <c r="AE689" i="15" a="1"/>
  <c r="AE689" i="15" s="1"/>
  <c r="AF689" i="15" s="1"/>
  <c r="AG689" i="15" s="1"/>
  <c r="AE631" i="15" a="1"/>
  <c r="AE631" i="15" s="1"/>
  <c r="AF631" i="15" s="1"/>
  <c r="AG631" i="15" s="1"/>
  <c r="AE266" i="15" a="1"/>
  <c r="AE266" i="15" s="1"/>
  <c r="AF266" i="15" s="1"/>
  <c r="AG266" i="15" s="1"/>
  <c r="AE681" i="15" a="1"/>
  <c r="AE681" i="15" s="1"/>
  <c r="AF681" i="15" s="1"/>
  <c r="AG681" i="15" s="1"/>
  <c r="AE554" i="15" a="1"/>
  <c r="AE554" i="15" s="1"/>
  <c r="AF554" i="15" s="1"/>
  <c r="AG554" i="15" s="1"/>
  <c r="AE123" i="15" a="1"/>
  <c r="AE123" i="15" s="1"/>
  <c r="AF123" i="15" s="1"/>
  <c r="AG123" i="15" s="1"/>
  <c r="AE61" i="15" a="1"/>
  <c r="AE61" i="15" s="1"/>
  <c r="AF61" i="15" s="1"/>
  <c r="AG61" i="15" s="1"/>
  <c r="AE171" i="15" a="1"/>
  <c r="AE171" i="15" s="1"/>
  <c r="AF171" i="15" s="1"/>
  <c r="AG171" i="15" s="1"/>
  <c r="AE85" i="15" a="1"/>
  <c r="AE85" i="15" s="1"/>
  <c r="AF85" i="15" s="1"/>
  <c r="AG85" i="15" s="1"/>
  <c r="AE749" i="15" a="1"/>
  <c r="AE749" i="15" s="1"/>
  <c r="AF749" i="15" s="1"/>
  <c r="AG749" i="15" s="1"/>
  <c r="AE216" i="15" a="1"/>
  <c r="AE216" i="15" s="1"/>
  <c r="AF216" i="15" s="1"/>
  <c r="AG216" i="15" s="1"/>
  <c r="AE443" i="15" a="1"/>
  <c r="AE443" i="15" s="1"/>
  <c r="AF443" i="15" s="1"/>
  <c r="AG443" i="15" s="1"/>
  <c r="AE789" i="15" a="1"/>
  <c r="AE789" i="15" s="1"/>
  <c r="AF789" i="15" s="1"/>
  <c r="AG789" i="15" s="1"/>
  <c r="AE112" i="15" a="1"/>
  <c r="AE112" i="15" s="1"/>
  <c r="AF112" i="15" s="1"/>
  <c r="AG112" i="15" s="1"/>
  <c r="AE733" i="15" a="1"/>
  <c r="AE733" i="15" s="1"/>
  <c r="AF733" i="15" s="1"/>
  <c r="AG733" i="15" s="1"/>
  <c r="AE473" i="15" a="1"/>
  <c r="AE473" i="15" s="1"/>
  <c r="AF473" i="15" s="1"/>
  <c r="AG473" i="15" s="1"/>
  <c r="AE119" i="15" a="1"/>
  <c r="AE119" i="15" s="1"/>
  <c r="AF119" i="15" s="1"/>
  <c r="AG119" i="15" s="1"/>
  <c r="AE692" i="15" a="1"/>
  <c r="AE692" i="15" s="1"/>
  <c r="AF692" i="15" s="1"/>
  <c r="AG692" i="15" s="1"/>
  <c r="AE413" i="15" a="1"/>
  <c r="AE413" i="15" s="1"/>
  <c r="AF413" i="15" s="1"/>
  <c r="AG413" i="15" s="1"/>
  <c r="AE590" i="15" a="1"/>
  <c r="AE590" i="15" s="1"/>
  <c r="AF590" i="15" s="1"/>
  <c r="AG590" i="15" s="1"/>
  <c r="AE792" i="15" a="1"/>
  <c r="AE792" i="15" s="1"/>
  <c r="AF792" i="15" s="1"/>
  <c r="AG792" i="15" s="1"/>
  <c r="AE309" i="15" a="1"/>
  <c r="AE309" i="15" s="1"/>
  <c r="AF309" i="15" s="1"/>
  <c r="AG309" i="15" s="1"/>
  <c r="AE197" i="15" a="1"/>
  <c r="AE197" i="15" s="1"/>
  <c r="AF197" i="15" s="1"/>
  <c r="AG197" i="15" s="1"/>
  <c r="AE282" i="15" a="1"/>
  <c r="AE282" i="15" s="1"/>
  <c r="AF282" i="15" s="1"/>
  <c r="AG282" i="15" s="1"/>
  <c r="AE766" i="15" a="1"/>
  <c r="AE766" i="15" s="1"/>
  <c r="AF766" i="15" s="1"/>
  <c r="AG766" i="15" s="1"/>
  <c r="AE454" i="15" a="1"/>
  <c r="AE454" i="15" s="1"/>
  <c r="AF454" i="15" s="1"/>
  <c r="AG454" i="15" s="1"/>
  <c r="AE467" i="15" a="1"/>
  <c r="AE467" i="15" s="1"/>
  <c r="AF467" i="15" s="1"/>
  <c r="AG467" i="15" s="1"/>
  <c r="AE756" i="15" a="1"/>
  <c r="AE756" i="15" s="1"/>
  <c r="AF756" i="15" s="1"/>
  <c r="AG756" i="15" s="1"/>
  <c r="AE448" i="15" a="1"/>
  <c r="AE448" i="15" s="1"/>
  <c r="AF448" i="15" s="1"/>
  <c r="AG448" i="15" s="1"/>
  <c r="AE684" i="15" a="1"/>
  <c r="AE684" i="15" s="1"/>
  <c r="AF684" i="15" s="1"/>
  <c r="AG684" i="15" s="1"/>
  <c r="AE458" i="15" a="1"/>
  <c r="AE458" i="15" s="1"/>
  <c r="AF458" i="15" s="1"/>
  <c r="AG458" i="15" s="1"/>
  <c r="AE790" i="15" a="1"/>
  <c r="AE790" i="15" s="1"/>
  <c r="AF790" i="15" s="1"/>
  <c r="AG790" i="15" s="1"/>
  <c r="AE550" i="15" a="1"/>
  <c r="AE550" i="15" s="1"/>
  <c r="AF550" i="15" s="1"/>
  <c r="AG550" i="15" s="1"/>
  <c r="AF276" i="13" s="1"/>
  <c r="AE326" i="15" a="1"/>
  <c r="AE326" i="15" s="1"/>
  <c r="AF326" i="15" s="1"/>
  <c r="AG326" i="15" s="1"/>
  <c r="AE48" i="15" a="1"/>
  <c r="AE48" i="15" s="1"/>
  <c r="AF48" i="15" s="1"/>
  <c r="AG48" i="15" s="1"/>
  <c r="AE70" i="15" a="1"/>
  <c r="AE70" i="15" s="1"/>
  <c r="AF70" i="15" s="1"/>
  <c r="AG70" i="15" s="1"/>
  <c r="AE126" i="15" a="1"/>
  <c r="AE126" i="15" s="1"/>
  <c r="AF126" i="15" s="1"/>
  <c r="AG126" i="15" s="1"/>
  <c r="AE245" i="15" a="1"/>
  <c r="AE245" i="15" s="1"/>
  <c r="AF245" i="15" s="1"/>
  <c r="AG245" i="15" s="1"/>
  <c r="AE159" i="15" a="1"/>
  <c r="AE159" i="15" s="1"/>
  <c r="AF159" i="15" s="1"/>
  <c r="AG159" i="15" s="1"/>
  <c r="AE224" i="15" a="1"/>
  <c r="AE224" i="15" s="1"/>
  <c r="AF224" i="15" s="1"/>
  <c r="AG224" i="15" s="1"/>
  <c r="AE594" i="15" a="1"/>
  <c r="AE594" i="15" s="1"/>
  <c r="AF594" i="15" s="1"/>
  <c r="AG594" i="15" s="1"/>
  <c r="AE296" i="15" a="1"/>
  <c r="AE296" i="15" s="1"/>
  <c r="AF296" i="15" s="1"/>
  <c r="AG296" i="15" s="1"/>
  <c r="AF149" i="13" s="1"/>
  <c r="AE387" i="15" a="1"/>
  <c r="AE387" i="15" s="1"/>
  <c r="AF387" i="15" s="1"/>
  <c r="AG387" i="15" s="1"/>
  <c r="AE444" i="15" a="1"/>
  <c r="AE444" i="15" s="1"/>
  <c r="AF444" i="15" s="1"/>
  <c r="AG444" i="15" s="1"/>
  <c r="AE606" i="15" a="1"/>
  <c r="AE606" i="15" s="1"/>
  <c r="AF606" i="15" s="1"/>
  <c r="AG606" i="15" s="1"/>
  <c r="AE342" i="15" a="1"/>
  <c r="AE342" i="15" s="1"/>
  <c r="AF342" i="15" s="1"/>
  <c r="AG342" i="15" s="1"/>
  <c r="AE794" i="15" a="1"/>
  <c r="AE794" i="15" s="1"/>
  <c r="AF794" i="15" s="1"/>
  <c r="AG794" i="15" s="1"/>
  <c r="AE565" i="15" a="1"/>
  <c r="AE565" i="15" s="1"/>
  <c r="AF565" i="15" s="1"/>
  <c r="AG565" i="15" s="1"/>
  <c r="AE738" i="15" a="1"/>
  <c r="AE738" i="15" s="1"/>
  <c r="AF738" i="15" s="1"/>
  <c r="AG738" i="15" s="1"/>
  <c r="AE18" i="15" a="1"/>
  <c r="AE18" i="15" s="1"/>
  <c r="AF18" i="15" s="1"/>
  <c r="AG18" i="15" s="1"/>
  <c r="AE190" i="15" a="1"/>
  <c r="AE190" i="15" s="1"/>
  <c r="AF190" i="15" s="1"/>
  <c r="AG190" i="15" s="1"/>
  <c r="AE389" i="15" a="1"/>
  <c r="AE389" i="15" s="1"/>
  <c r="AF389" i="15" s="1"/>
  <c r="AG389" i="15" s="1"/>
  <c r="AE322" i="15" a="1"/>
  <c r="AE322" i="15" s="1"/>
  <c r="AF322" i="15" s="1"/>
  <c r="AG322" i="15" s="1"/>
  <c r="AE461" i="15" a="1"/>
  <c r="AE461" i="15" s="1"/>
  <c r="AF461" i="15" s="1"/>
  <c r="AG461" i="15" s="1"/>
  <c r="AE452" i="15" a="1"/>
  <c r="AE452" i="15" s="1"/>
  <c r="AF452" i="15" s="1"/>
  <c r="AG452" i="15" s="1"/>
  <c r="AE556" i="15" a="1"/>
  <c r="AE556" i="15" s="1"/>
  <c r="AF556" i="15" s="1"/>
  <c r="AG556" i="15" s="1"/>
  <c r="AE587" i="15" a="1"/>
  <c r="AE587" i="15" s="1"/>
  <c r="AF587" i="15" s="1"/>
  <c r="AG587" i="15" s="1"/>
  <c r="AE366" i="15" a="1"/>
  <c r="AE366" i="15" s="1"/>
  <c r="AF366" i="15" s="1"/>
  <c r="AG366" i="15" s="1"/>
  <c r="AE172" i="15" a="1"/>
  <c r="AE172" i="15" s="1"/>
  <c r="AF172" i="15" s="1"/>
  <c r="AG172" i="15" s="1"/>
  <c r="AE295" i="15" a="1"/>
  <c r="AE295" i="15" s="1"/>
  <c r="AF295" i="15" s="1"/>
  <c r="AG295" i="15" s="1"/>
  <c r="AE183" i="15" a="1"/>
  <c r="AE183" i="15" s="1"/>
  <c r="AF183" i="15" s="1"/>
  <c r="AG183" i="15" s="1"/>
  <c r="AE168" i="15" a="1"/>
  <c r="AE168" i="15" s="1"/>
  <c r="AF168" i="15" s="1"/>
  <c r="AG168" i="15" s="1"/>
  <c r="AE544" i="15" a="1"/>
  <c r="AE544" i="15" s="1"/>
  <c r="AF544" i="15" s="1"/>
  <c r="AG544" i="15" s="1"/>
  <c r="AE374" i="15" a="1"/>
  <c r="AE374" i="15" s="1"/>
  <c r="AF374" i="15" s="1"/>
  <c r="AG374" i="15" s="1"/>
  <c r="AE568" i="15" a="1"/>
  <c r="AE568" i="15" s="1"/>
  <c r="AF568" i="15" s="1"/>
  <c r="AG568" i="15" s="1"/>
  <c r="AE375" i="15" a="1"/>
  <c r="AE375" i="15" s="1"/>
  <c r="AF375" i="15" s="1"/>
  <c r="AG375" i="15" s="1"/>
  <c r="AE445" i="15" a="1"/>
  <c r="AE445" i="15" s="1"/>
  <c r="AF445" i="15" s="1"/>
  <c r="AG445" i="15" s="1"/>
  <c r="AE796" i="15" a="1"/>
  <c r="AE796" i="15" s="1"/>
  <c r="AF796" i="15" s="1"/>
  <c r="AG796" i="15" s="1"/>
  <c r="AF402" i="13" s="1"/>
  <c r="AE152" i="15" a="1"/>
  <c r="AE152" i="15" s="1"/>
  <c r="AF152" i="15" s="1"/>
  <c r="AG152" i="15" s="1"/>
  <c r="AE736" i="15" a="1"/>
  <c r="AE736" i="15" s="1"/>
  <c r="AF736" i="15" s="1"/>
  <c r="AG736" i="15" s="1"/>
  <c r="AE574" i="15" a="1"/>
  <c r="AE574" i="15" s="1"/>
  <c r="AF574" i="15" s="1"/>
  <c r="AG574" i="15" s="1"/>
  <c r="AE500" i="15" a="1"/>
  <c r="AE500" i="15" s="1"/>
  <c r="AF500" i="15" s="1"/>
  <c r="AG500" i="15" s="1"/>
  <c r="AE35" i="15" a="1"/>
  <c r="AE35" i="15" s="1"/>
  <c r="AF35" i="15" s="1"/>
  <c r="AG35" i="15" s="1"/>
  <c r="AE179" i="15" a="1"/>
  <c r="AE179" i="15" s="1"/>
  <c r="AF179" i="15" s="1"/>
  <c r="AG179" i="15" s="1"/>
  <c r="AE754" i="15" a="1"/>
  <c r="AE754" i="15" s="1"/>
  <c r="AF754" i="15" s="1"/>
  <c r="AG754" i="15" s="1"/>
  <c r="AE564" i="15" a="1"/>
  <c r="AE564" i="15" s="1"/>
  <c r="AF564" i="15" s="1"/>
  <c r="AG564" i="15" s="1"/>
  <c r="AE512" i="15" a="1"/>
  <c r="AE512" i="15" s="1"/>
  <c r="AF512" i="15" s="1"/>
  <c r="AG512" i="15" s="1"/>
  <c r="AE496" i="15" a="1"/>
  <c r="AE496" i="15" s="1"/>
  <c r="AF496" i="15" s="1"/>
  <c r="AG496" i="15" s="1"/>
  <c r="AE227" i="15" a="1"/>
  <c r="AE227" i="15" s="1"/>
  <c r="AF227" i="15" s="1"/>
  <c r="AG227" i="15" s="1"/>
  <c r="AE181" i="15" a="1"/>
  <c r="AE181" i="15" s="1"/>
  <c r="AF181" i="15" s="1"/>
  <c r="AG181" i="15" s="1"/>
  <c r="AE114" i="15" a="1"/>
  <c r="AE114" i="15" s="1"/>
  <c r="AF114" i="15" s="1"/>
  <c r="AG114" i="15" s="1"/>
  <c r="AE680" i="15" a="1"/>
  <c r="AE680" i="15" s="1"/>
  <c r="AF680" i="15" s="1"/>
  <c r="AG680" i="15" s="1"/>
  <c r="AE488" i="15" a="1"/>
  <c r="AE488" i="15" s="1"/>
  <c r="AF488" i="15" s="1"/>
  <c r="AG488" i="15" s="1"/>
  <c r="AE111" i="15" a="1"/>
  <c r="AE111" i="15" s="1"/>
  <c r="AF111" i="15" s="1"/>
  <c r="AG111" i="15" s="1"/>
  <c r="AE290" i="15" a="1"/>
  <c r="AE290" i="15" s="1"/>
  <c r="AF290" i="15" s="1"/>
  <c r="AG290" i="15" s="1"/>
  <c r="AE439" i="15" a="1"/>
  <c r="AE439" i="15" s="1"/>
  <c r="AF439" i="15" s="1"/>
  <c r="AG439" i="15" s="1"/>
  <c r="AE784" i="15" a="1"/>
  <c r="AE784" i="15" s="1"/>
  <c r="AF784" i="15" s="1"/>
  <c r="AG784" i="15" s="1"/>
  <c r="AE720" i="15" a="1"/>
  <c r="AE720" i="15" s="1"/>
  <c r="AF720" i="15" s="1"/>
  <c r="AG720" i="15" s="1"/>
  <c r="AE446" i="15" a="1"/>
  <c r="AE446" i="15" s="1"/>
  <c r="AF446" i="15" s="1"/>
  <c r="AG446" i="15" s="1"/>
  <c r="AE277" i="15" a="1"/>
  <c r="AE277" i="15" s="1"/>
  <c r="AF277" i="15" s="1"/>
  <c r="AG277" i="15" s="1"/>
  <c r="AE518" i="15" a="1"/>
  <c r="AE518" i="15" s="1"/>
  <c r="AF518" i="15" s="1"/>
  <c r="AG518" i="15" s="1"/>
  <c r="AE299" i="15" a="1"/>
  <c r="AE299" i="15" s="1"/>
  <c r="AF299" i="15" s="1"/>
  <c r="AG299" i="15" s="1"/>
  <c r="AE542" i="15" a="1"/>
  <c r="AE542" i="15" s="1"/>
  <c r="AF542" i="15" s="1"/>
  <c r="AG542" i="15" s="1"/>
  <c r="AE672" i="15" a="1"/>
  <c r="AE672" i="15" s="1"/>
  <c r="AF672" i="15" s="1"/>
  <c r="AG672" i="15" s="1"/>
  <c r="AE530" i="15" a="1"/>
  <c r="AE530" i="15" s="1"/>
  <c r="AF530" i="15" s="1"/>
  <c r="AG530" i="15" s="1"/>
  <c r="AE329" i="15" a="1"/>
  <c r="AE329" i="15" s="1"/>
  <c r="AF329" i="15" s="1"/>
  <c r="AG329" i="15" s="1"/>
  <c r="AE222" i="15" a="1"/>
  <c r="AE222" i="15" s="1"/>
  <c r="AF222" i="15" s="1"/>
  <c r="AG222" i="15" s="1"/>
  <c r="AE246" i="15" a="1"/>
  <c r="AE246" i="15" s="1"/>
  <c r="AF246" i="15" s="1"/>
  <c r="AG246" i="15" s="1"/>
  <c r="AE396" i="15" a="1"/>
  <c r="AE396" i="15" s="1"/>
  <c r="AF396" i="15" s="1"/>
  <c r="AG396" i="15" s="1"/>
  <c r="AE426" i="15" a="1"/>
  <c r="AE426" i="15" s="1"/>
  <c r="AF426" i="15" s="1"/>
  <c r="AG426" i="15" s="1"/>
  <c r="AE493" i="15" a="1"/>
  <c r="AE493" i="15" s="1"/>
  <c r="AF493" i="15" s="1"/>
  <c r="AG493" i="15" s="1"/>
  <c r="AE293" i="15" a="1"/>
  <c r="AE293" i="15" s="1"/>
  <c r="AF293" i="15" s="1"/>
  <c r="AG293" i="15" s="1"/>
  <c r="AE93" i="15" a="1"/>
  <c r="AE93" i="15" s="1"/>
  <c r="AF93" i="15" s="1"/>
  <c r="AG93" i="15" s="1"/>
  <c r="AE487" i="15" a="1"/>
  <c r="AE487" i="15" s="1"/>
  <c r="AF487" i="15" s="1"/>
  <c r="AG487" i="15" s="1"/>
  <c r="AE62" i="15" a="1"/>
  <c r="AE62" i="15" s="1"/>
  <c r="AF62" i="15" s="1"/>
  <c r="AG62" i="15" s="1"/>
  <c r="AE135" i="15" a="1"/>
  <c r="AE135" i="15" s="1"/>
  <c r="AF135" i="15" s="1"/>
  <c r="AG135" i="15" s="1"/>
  <c r="AE178" i="15" a="1"/>
  <c r="AE178" i="15" s="1"/>
  <c r="AF178" i="15" s="1"/>
  <c r="AG178" i="15" s="1"/>
  <c r="AE724" i="15" a="1"/>
  <c r="AE724" i="15" s="1"/>
  <c r="AF724" i="15" s="1"/>
  <c r="AG724" i="15" s="1"/>
  <c r="AE349" i="15" a="1"/>
  <c r="AE349" i="15" s="1"/>
  <c r="AF349" i="15" s="1"/>
  <c r="AG349" i="15" s="1"/>
  <c r="AE798" i="15" a="1"/>
  <c r="AE798" i="15" s="1"/>
  <c r="AF798" i="15" s="1"/>
  <c r="AG798" i="15" s="1"/>
  <c r="AE694" i="15" a="1"/>
  <c r="AE694" i="15" s="1"/>
  <c r="AF694" i="15" s="1"/>
  <c r="AG694" i="15" s="1"/>
  <c r="AE612" i="15" a="1"/>
  <c r="AE612" i="15" s="1"/>
  <c r="AF612" i="15" s="1"/>
  <c r="AG612" i="15" s="1"/>
  <c r="AE596" i="15" a="1"/>
  <c r="AE596" i="15" s="1"/>
  <c r="AF596" i="15" s="1"/>
  <c r="AG596" i="15" s="1"/>
  <c r="AE632" i="15" a="1"/>
  <c r="AE632" i="15" s="1"/>
  <c r="AF632" i="15" s="1"/>
  <c r="AG632" i="15" s="1"/>
  <c r="AE378" i="15" a="1"/>
  <c r="AE378" i="15" s="1"/>
  <c r="AF378" i="15" s="1"/>
  <c r="AG378" i="15" s="1"/>
  <c r="AE501" i="15" a="1"/>
  <c r="AE501" i="15" s="1"/>
  <c r="AF501" i="15" s="1"/>
  <c r="AG501" i="15" s="1"/>
  <c r="AE311" i="15" a="1"/>
  <c r="AE311" i="15" s="1"/>
  <c r="AF311" i="15" s="1"/>
  <c r="AG311" i="15" s="1"/>
  <c r="AE641" i="15" a="1"/>
  <c r="AE641" i="15" s="1"/>
  <c r="AF641" i="15" s="1"/>
  <c r="AG641" i="15" s="1"/>
  <c r="AE668" i="15" a="1"/>
  <c r="AE668" i="15" s="1"/>
  <c r="AF668" i="15" s="1"/>
  <c r="AG668" i="15" s="1"/>
  <c r="AE80" i="15" a="1"/>
  <c r="AE80" i="15" s="1"/>
  <c r="AF80" i="15" s="1"/>
  <c r="AG80" i="15" s="1"/>
  <c r="AE219" i="15" a="1"/>
  <c r="AE219" i="15" s="1"/>
  <c r="AF219" i="15" s="1"/>
  <c r="AG219" i="15" s="1"/>
  <c r="AE637" i="15" a="1"/>
  <c r="AE637" i="15" s="1"/>
  <c r="AF637" i="15" s="1"/>
  <c r="AG637" i="15" s="1"/>
  <c r="AE354" i="15" a="1"/>
  <c r="AE354" i="15" s="1"/>
  <c r="AF354" i="15" s="1"/>
  <c r="AG354" i="15" s="1"/>
  <c r="AE102" i="15" a="1"/>
  <c r="AE102" i="15" s="1"/>
  <c r="AF102" i="15" s="1"/>
  <c r="AG102" i="15" s="1"/>
  <c r="AE285" i="15" a="1"/>
  <c r="AE285" i="15" s="1"/>
  <c r="AF285" i="15" s="1"/>
  <c r="AG285" i="15" s="1"/>
  <c r="AE730" i="15" a="1"/>
  <c r="AE730" i="15" s="1"/>
  <c r="AF730" i="15" s="1"/>
  <c r="AG730" i="15" s="1"/>
  <c r="AE348" i="15" a="1"/>
  <c r="AE348" i="15" s="1"/>
  <c r="AF348" i="15" s="1"/>
  <c r="AG348" i="15" s="1"/>
  <c r="AE770" i="15" a="1"/>
  <c r="AE770" i="15" s="1"/>
  <c r="AF770" i="15" s="1"/>
  <c r="AG770" i="15" s="1"/>
  <c r="AE262" i="15" a="1"/>
  <c r="AE262" i="15" s="1"/>
  <c r="AF262" i="15" s="1"/>
  <c r="AG262" i="15" s="1"/>
  <c r="AE406" i="15" a="1"/>
  <c r="AE406" i="15" s="1"/>
  <c r="AF406" i="15" s="1"/>
  <c r="AG406" i="15" s="1"/>
  <c r="AE162" i="15" a="1"/>
  <c r="AE162" i="15" s="1"/>
  <c r="AF162" i="15" s="1"/>
  <c r="AG162" i="15" s="1"/>
  <c r="AE750" i="15" a="1"/>
  <c r="AE750" i="15" s="1"/>
  <c r="AF750" i="15" s="1"/>
  <c r="AG750" i="15" s="1"/>
  <c r="AE696" i="15" a="1"/>
  <c r="AE696" i="15" s="1"/>
  <c r="AF696" i="15" s="1"/>
  <c r="AG696" i="15" s="1"/>
  <c r="AE109" i="15" a="1"/>
  <c r="AE109" i="15" s="1"/>
  <c r="AF109" i="15" s="1"/>
  <c r="AG109" i="15" s="1"/>
  <c r="AE676" i="15" a="1"/>
  <c r="AE676" i="15" s="1"/>
  <c r="AF676" i="15" s="1"/>
  <c r="AG676" i="15" s="1"/>
  <c r="AE608" i="15" a="1"/>
  <c r="AE608" i="15" s="1"/>
  <c r="AF608" i="15" s="1"/>
  <c r="AG608" i="15" s="1"/>
  <c r="AE53" i="15" a="1"/>
  <c r="AE53" i="15" s="1"/>
  <c r="AF53" i="15" s="1"/>
  <c r="AG53" i="15" s="1"/>
  <c r="AE645" i="15" a="1"/>
  <c r="AE645" i="15" s="1"/>
  <c r="AF645" i="15" s="1"/>
  <c r="AG645" i="15" s="1"/>
  <c r="AE175" i="15" a="1"/>
  <c r="AE175" i="15" s="1"/>
  <c r="AF175" i="15" s="1"/>
  <c r="AG175" i="15" s="1"/>
  <c r="AE140" i="15" a="1"/>
  <c r="AE140" i="15" s="1"/>
  <c r="AF140" i="15" s="1"/>
  <c r="AG140" i="15" s="1"/>
  <c r="AE352" i="15" a="1"/>
  <c r="AE352" i="15" s="1"/>
  <c r="AF352" i="15" s="1"/>
  <c r="AG352" i="15" s="1"/>
  <c r="AE635" i="15" a="1"/>
  <c r="AE635" i="15" s="1"/>
  <c r="AF635" i="15" s="1"/>
  <c r="AG635" i="15" s="1"/>
  <c r="AE249" i="15" a="1"/>
  <c r="AE249" i="15" s="1"/>
  <c r="AF249" i="15" s="1"/>
  <c r="AG249" i="15" s="1"/>
  <c r="AE335" i="15" a="1"/>
  <c r="AE335" i="15" s="1"/>
  <c r="AF335" i="15" s="1"/>
  <c r="AG335" i="15" s="1"/>
  <c r="AE115" i="15" a="1"/>
  <c r="AE115" i="15" s="1"/>
  <c r="AF115" i="15" s="1"/>
  <c r="AG115" i="15" s="1"/>
  <c r="AE90" i="15" a="1"/>
  <c r="AE90" i="15" s="1"/>
  <c r="AF90" i="15" s="1"/>
  <c r="AG90" i="15" s="1"/>
  <c r="AE472" i="15" a="1"/>
  <c r="AE472" i="15" s="1"/>
  <c r="AF472" i="15" s="1"/>
  <c r="AG472" i="15" s="1"/>
  <c r="AE51" i="15" a="1"/>
  <c r="AE51" i="15" s="1"/>
  <c r="AF51" i="15" s="1"/>
  <c r="AG51" i="15" s="1"/>
  <c r="AE37" i="15" a="1"/>
  <c r="AE37" i="15" s="1"/>
  <c r="AF37" i="15" s="1"/>
  <c r="AG37" i="15" s="1"/>
  <c r="AE729" i="15" a="1"/>
  <c r="AE729" i="15" s="1"/>
  <c r="AF729" i="15" s="1"/>
  <c r="AG729" i="15" s="1"/>
  <c r="AE403" i="15" a="1"/>
  <c r="AE403" i="15" s="1"/>
  <c r="AF403" i="15" s="1"/>
  <c r="AG403" i="15" s="1"/>
  <c r="AE621" i="15" a="1"/>
  <c r="AE621" i="15" s="1"/>
  <c r="AF621" i="15" s="1"/>
  <c r="AG621" i="15" s="1"/>
  <c r="AE649" i="15" a="1"/>
  <c r="AE649" i="15" s="1"/>
  <c r="AF649" i="15" s="1"/>
  <c r="AG649" i="15" s="1"/>
  <c r="AE718" i="15" a="1"/>
  <c r="AE718" i="15" s="1"/>
  <c r="AF718" i="15" s="1"/>
  <c r="AG718" i="15" s="1"/>
  <c r="AE727" i="15" a="1"/>
  <c r="AE727" i="15" s="1"/>
  <c r="AF727" i="15" s="1"/>
  <c r="AG727" i="15" s="1"/>
  <c r="AE504" i="15" a="1"/>
  <c r="AE504" i="15" s="1"/>
  <c r="AF504" i="15" s="1"/>
  <c r="AG504" i="15" s="1"/>
  <c r="AE184" i="15" a="1"/>
  <c r="AE184" i="15" s="1"/>
  <c r="AF184" i="15" s="1"/>
  <c r="AG184" i="15" s="1"/>
  <c r="AF93" i="13" s="1"/>
  <c r="AE250" i="15" a="1"/>
  <c r="AE250" i="15" s="1"/>
  <c r="AF250" i="15" s="1"/>
  <c r="AG250" i="15" s="1"/>
  <c r="AE801" i="15" a="1"/>
  <c r="AE801" i="15" s="1"/>
  <c r="AF801" i="15" s="1"/>
  <c r="AG801" i="15" s="1"/>
  <c r="AE54" i="15" a="1"/>
  <c r="AE54" i="15" s="1"/>
  <c r="AF54" i="15" s="1"/>
  <c r="AG54" i="15" s="1"/>
  <c r="AE466" i="15" a="1"/>
  <c r="AE466" i="15" s="1"/>
  <c r="AF466" i="15" s="1"/>
  <c r="AG466" i="15" s="1"/>
  <c r="AE218" i="15" a="1"/>
  <c r="AE218" i="15" s="1"/>
  <c r="AF218" i="15" s="1"/>
  <c r="AG218" i="15" s="1"/>
  <c r="AE364" i="15" a="1"/>
  <c r="AE364" i="15" s="1"/>
  <c r="AF364" i="15" s="1"/>
  <c r="AG364" i="15" s="1"/>
  <c r="AE107" i="15" a="1"/>
  <c r="AE107" i="15" s="1"/>
  <c r="AF107" i="15" s="1"/>
  <c r="AG107" i="15" s="1"/>
  <c r="AE475" i="15" a="1"/>
  <c r="AE475" i="15" s="1"/>
  <c r="AF475" i="15" s="1"/>
  <c r="AG475" i="15" s="1"/>
  <c r="AE522" i="15" a="1"/>
  <c r="AE522" i="15" s="1"/>
  <c r="AF522" i="15" s="1"/>
  <c r="AG522" i="15" s="1"/>
  <c r="AE616" i="15" a="1"/>
  <c r="AE616" i="15" s="1"/>
  <c r="AF616" i="15" s="1"/>
  <c r="AG616" i="15" s="1"/>
  <c r="AE212" i="15" a="1"/>
  <c r="AE212" i="15" s="1"/>
  <c r="AF212" i="15" s="1"/>
  <c r="AG212" i="15" s="1"/>
  <c r="AE533" i="15" a="1"/>
  <c r="AE533" i="15" s="1"/>
  <c r="AF533" i="15" s="1"/>
  <c r="AG533" i="15" s="1"/>
  <c r="AE569" i="15" a="1"/>
  <c r="AE569" i="15" s="1"/>
  <c r="AF569" i="15" s="1"/>
  <c r="AG569" i="15" s="1"/>
  <c r="AE363" i="15" a="1"/>
  <c r="AE363" i="15" s="1"/>
  <c r="AF363" i="15" s="1"/>
  <c r="AG363" i="15" s="1"/>
  <c r="AE321" i="15" a="1"/>
  <c r="AE321" i="15" s="1"/>
  <c r="AF321" i="15" s="1"/>
  <c r="AG321" i="15" s="1"/>
  <c r="AE269" i="15" a="1"/>
  <c r="AE269" i="15" s="1"/>
  <c r="AF269" i="15" s="1"/>
  <c r="AG269" i="15" s="1"/>
  <c r="AE264" i="15" a="1"/>
  <c r="AE264" i="15" s="1"/>
  <c r="AF264" i="15" s="1"/>
  <c r="AG264" i="15" s="1"/>
  <c r="AE739" i="15" a="1"/>
  <c r="AE739" i="15" s="1"/>
  <c r="AF739" i="15" s="1"/>
  <c r="AG739" i="15" s="1"/>
  <c r="AE489" i="15" a="1"/>
  <c r="AE489" i="15" s="1"/>
  <c r="AF489" i="15" s="1"/>
  <c r="AG489" i="15" s="1"/>
  <c r="AE78" i="15" a="1"/>
  <c r="AE78" i="15" s="1"/>
  <c r="AF78" i="15" s="1"/>
  <c r="AG78" i="15" s="1"/>
  <c r="AE573" i="15" a="1"/>
  <c r="AE573" i="15" s="1"/>
  <c r="AF573" i="15" s="1"/>
  <c r="AG573" i="15" s="1"/>
  <c r="AE192" i="15" a="1"/>
  <c r="AE192" i="15" s="1"/>
  <c r="AF192" i="15" s="1"/>
  <c r="AG192" i="15" s="1"/>
  <c r="AE495" i="15" a="1"/>
  <c r="AE495" i="15" s="1"/>
  <c r="AF495" i="15" s="1"/>
  <c r="AG495" i="15" s="1"/>
  <c r="AE166" i="15" a="1"/>
  <c r="AE166" i="15" s="1"/>
  <c r="AF166" i="15" s="1"/>
  <c r="AG166" i="15" s="1"/>
  <c r="AE595" i="15" a="1"/>
  <c r="AE595" i="15" s="1"/>
  <c r="AF595" i="15" s="1"/>
  <c r="AG595" i="15" s="1"/>
  <c r="AE609" i="15" a="1"/>
  <c r="AE609" i="15" s="1"/>
  <c r="AF609" i="15" s="1"/>
  <c r="AG609" i="15" s="1"/>
  <c r="AE428" i="15" a="1"/>
  <c r="AE428" i="15" s="1"/>
  <c r="AF428" i="15" s="1"/>
  <c r="AG428" i="15" s="1"/>
  <c r="AE314" i="15" a="1"/>
  <c r="AE314" i="15" s="1"/>
  <c r="AF314" i="15" s="1"/>
  <c r="AG314" i="15" s="1"/>
  <c r="AE34" i="15" a="1"/>
  <c r="AE34" i="15" s="1"/>
  <c r="AF34" i="15" s="1"/>
  <c r="AG34" i="15" s="1"/>
  <c r="AE614" i="15" a="1"/>
  <c r="AE614" i="15" s="1"/>
  <c r="AF614" i="15" s="1"/>
  <c r="AG614" i="15" s="1"/>
  <c r="AE76" i="15" a="1"/>
  <c r="AE76" i="15" s="1"/>
  <c r="AF76" i="15" s="1"/>
  <c r="AG76" i="15" s="1"/>
  <c r="AE746" i="15" a="1"/>
  <c r="AE746" i="15" s="1"/>
  <c r="AF746" i="15" s="1"/>
  <c r="AG746" i="15" s="1"/>
  <c r="AE101" i="15" a="1"/>
  <c r="AE101" i="15" s="1"/>
  <c r="AF101" i="15" s="1"/>
  <c r="AG101" i="15" s="1"/>
  <c r="AE44" i="15" a="1"/>
  <c r="AE44" i="15" s="1"/>
  <c r="AF44" i="15" s="1"/>
  <c r="AG44" i="15" s="1"/>
  <c r="AE19" i="15" a="1"/>
  <c r="AE19" i="15" s="1"/>
  <c r="AF19" i="15" s="1"/>
  <c r="AG19" i="15" s="1"/>
  <c r="AE773" i="15" a="1"/>
  <c r="AE773" i="15" s="1"/>
  <c r="AF773" i="15" s="1"/>
  <c r="AG773" i="15" s="1"/>
  <c r="AE636" i="15" a="1"/>
  <c r="AE636" i="15" s="1"/>
  <c r="AF636" i="15" s="1"/>
  <c r="AG636" i="15" s="1"/>
  <c r="AE732" i="15" a="1"/>
  <c r="AE732" i="15" s="1"/>
  <c r="AF732" i="15" s="1"/>
  <c r="AG732" i="15" s="1"/>
  <c r="AE100" i="15" a="1"/>
  <c r="AE100" i="15" s="1"/>
  <c r="AF100" i="15" s="1"/>
  <c r="AG100" i="15" s="1"/>
  <c r="AE4" i="15" a="1"/>
  <c r="AE4" i="15" s="1"/>
  <c r="AF4" i="15" s="1"/>
  <c r="AG4" i="15" s="1"/>
  <c r="AE674" i="15" a="1"/>
  <c r="AE674" i="15" s="1"/>
  <c r="AF674" i="15" s="1"/>
  <c r="AG674" i="15" s="1"/>
  <c r="AE586" i="15" a="1"/>
  <c r="AE586" i="15" s="1"/>
  <c r="AF586" i="15" s="1"/>
  <c r="AG586" i="15" s="1"/>
  <c r="AE529" i="15" a="1"/>
  <c r="AE529" i="15" s="1"/>
  <c r="AF529" i="15" s="1"/>
  <c r="AG529" i="15" s="1"/>
  <c r="AE580" i="15" a="1"/>
  <c r="AE580" i="15" s="1"/>
  <c r="AF580" i="15" s="1"/>
  <c r="AG580" i="15" s="1"/>
  <c r="AE367" i="15" a="1"/>
  <c r="AE367" i="15" s="1"/>
  <c r="AF367" i="15" s="1"/>
  <c r="AG367" i="15" s="1"/>
  <c r="AE243" i="15" a="1"/>
  <c r="AE243" i="15" s="1"/>
  <c r="AF243" i="15" s="1"/>
  <c r="AG243" i="15" s="1"/>
  <c r="AE237" i="15" a="1"/>
  <c r="AE237" i="15" s="1"/>
  <c r="AF237" i="15" s="1"/>
  <c r="AG237" i="15" s="1"/>
  <c r="AE305" i="15" a="1"/>
  <c r="AE305" i="15" s="1"/>
  <c r="AF305" i="15" s="1"/>
  <c r="AG305" i="15" s="1"/>
  <c r="AE165" i="15" a="1"/>
  <c r="AE165" i="15" s="1"/>
  <c r="AF165" i="15" s="1"/>
  <c r="AG165" i="15" s="1"/>
  <c r="AE498" i="15" a="1"/>
  <c r="AE498" i="15" s="1"/>
  <c r="AF498" i="15" s="1"/>
  <c r="AG498" i="15" s="1"/>
  <c r="AE698" i="15" a="1"/>
  <c r="AE698" i="15" s="1"/>
  <c r="AF698" i="15" s="1"/>
  <c r="AG698" i="15" s="1"/>
  <c r="AE758" i="15" a="1"/>
  <c r="AE758" i="15" s="1"/>
  <c r="AF758" i="15" s="1"/>
  <c r="AG758" i="15" s="1"/>
  <c r="AE777" i="15" a="1"/>
  <c r="AE777" i="15" s="1"/>
  <c r="AF777" i="15" s="1"/>
  <c r="AG777" i="15" s="1"/>
  <c r="AE292" i="15" a="1"/>
  <c r="AE292" i="15" s="1"/>
  <c r="AF292" i="15" s="1"/>
  <c r="AG292" i="15" s="1"/>
  <c r="AE618" i="15" a="1"/>
  <c r="AE618" i="15" s="1"/>
  <c r="AF618" i="15" s="1"/>
  <c r="AG618" i="15" s="1"/>
  <c r="AE624" i="15" a="1"/>
  <c r="AE624" i="15" s="1"/>
  <c r="AF624" i="15" s="1"/>
  <c r="AG624" i="15" s="1"/>
  <c r="AE506" i="15" a="1"/>
  <c r="AE506" i="15" s="1"/>
  <c r="AF506" i="15" s="1"/>
  <c r="AG506" i="15" s="1"/>
  <c r="AE33" i="15" a="1"/>
  <c r="AE33" i="15" s="1"/>
  <c r="AF33" i="15" s="1"/>
  <c r="AG33" i="15" s="1"/>
  <c r="AE747" i="15" a="1"/>
  <c r="AE747" i="15" s="1"/>
  <c r="AF747" i="15" s="1"/>
  <c r="AG747" i="15" s="1"/>
  <c r="AE217" i="15" a="1"/>
  <c r="AE217" i="15" s="1"/>
  <c r="AF217" i="15" s="1"/>
  <c r="AG217" i="15" s="1"/>
  <c r="AE524" i="15" a="1"/>
  <c r="AE524" i="15" s="1"/>
  <c r="AF524" i="15" s="1"/>
  <c r="AG524" i="15" s="1"/>
  <c r="AE538" i="15" a="1"/>
  <c r="AE538" i="15" s="1"/>
  <c r="AF538" i="15" s="1"/>
  <c r="AG538" i="15" s="1"/>
  <c r="AE47" i="15" a="1"/>
  <c r="AE47" i="15" s="1"/>
  <c r="AF47" i="15" s="1"/>
  <c r="AG47" i="15" s="1"/>
  <c r="AE527" i="15" a="1"/>
  <c r="AE527" i="15" s="1"/>
  <c r="AF527" i="15" s="1"/>
  <c r="AG527" i="15" s="1"/>
  <c r="AE151" i="15" a="1"/>
  <c r="AE151" i="15" s="1"/>
  <c r="AF151" i="15" s="1"/>
  <c r="AG151" i="15" s="1"/>
  <c r="AE490" i="15" a="1"/>
  <c r="AE490" i="15" s="1"/>
  <c r="AF490" i="15" s="1"/>
  <c r="AG490" i="15" s="1"/>
  <c r="AE195" i="15" a="1"/>
  <c r="AE195" i="15" s="1"/>
  <c r="AF195" i="15" s="1"/>
  <c r="AG195" i="15" s="1"/>
  <c r="AE370" i="15" a="1"/>
  <c r="AE370" i="15" s="1"/>
  <c r="AF370" i="15" s="1"/>
  <c r="AG370" i="15" s="1"/>
  <c r="AE783" i="15" a="1"/>
  <c r="AE783" i="15" s="1"/>
  <c r="AF783" i="15" s="1"/>
  <c r="AG783" i="15" s="1"/>
  <c r="AE449" i="15" a="1"/>
  <c r="AE449" i="15" s="1"/>
  <c r="AF449" i="15" s="1"/>
  <c r="AG449" i="15" s="1"/>
  <c r="V44" i="11"/>
  <c r="AB44" i="11"/>
  <c r="I46" i="11"/>
  <c r="O45" i="11"/>
  <c r="Y46" i="11"/>
  <c r="L13" i="13"/>
  <c r="AD13" i="13" s="1" a="1"/>
  <c r="AD13" i="13" s="1"/>
  <c r="L54" i="13"/>
  <c r="AD54" i="13" s="1" a="1"/>
  <c r="AD54" i="13" s="1"/>
  <c r="L95" i="13"/>
  <c r="AD95" i="13" s="1" a="1"/>
  <c r="AD95" i="13" s="1"/>
  <c r="V242" i="13"/>
  <c r="V258" i="13"/>
  <c r="V226" i="13"/>
  <c r="V210" i="13"/>
  <c r="V194" i="13"/>
  <c r="V178" i="13"/>
  <c r="V162" i="13"/>
  <c r="V402" i="13"/>
  <c r="V146" i="13"/>
  <c r="V386" i="13"/>
  <c r="V130" i="13"/>
  <c r="V370" i="13"/>
  <c r="V114" i="13"/>
  <c r="V354" i="13"/>
  <c r="V98" i="13"/>
  <c r="V338" i="13"/>
  <c r="V82" i="13"/>
  <c r="V322" i="13"/>
  <c r="V66" i="13"/>
  <c r="V306" i="13"/>
  <c r="V50" i="13"/>
  <c r="V290" i="13"/>
  <c r="V34" i="13"/>
  <c r="V274" i="13"/>
  <c r="V18" i="13"/>
  <c r="L70" i="13"/>
  <c r="AD70" i="13" s="1" a="1"/>
  <c r="AD70" i="13" s="1"/>
  <c r="V401" i="13"/>
  <c r="V385" i="13"/>
  <c r="V369" i="13"/>
  <c r="V353" i="13"/>
  <c r="V337" i="13"/>
  <c r="V321" i="13"/>
  <c r="V305" i="13"/>
  <c r="V289" i="13"/>
  <c r="V273" i="13"/>
  <c r="V257" i="13"/>
  <c r="V241" i="13"/>
  <c r="V225" i="13"/>
  <c r="V209" i="13"/>
  <c r="V193" i="13"/>
  <c r="V177" i="13"/>
  <c r="V161" i="13"/>
  <c r="V145" i="13"/>
  <c r="V129" i="13"/>
  <c r="V113" i="13"/>
  <c r="V97" i="13"/>
  <c r="V81" i="13"/>
  <c r="V65" i="13"/>
  <c r="V49" i="13"/>
  <c r="V33" i="13"/>
  <c r="V17" i="13"/>
  <c r="A237" i="13"/>
  <c r="Y237" i="13" s="1"/>
  <c r="V400" i="13"/>
  <c r="V384" i="13"/>
  <c r="V368" i="13"/>
  <c r="V352" i="13"/>
  <c r="V336" i="13"/>
  <c r="V320" i="13"/>
  <c r="V304" i="13"/>
  <c r="V288" i="13"/>
  <c r="V272" i="13"/>
  <c r="V256" i="13"/>
  <c r="V240" i="13"/>
  <c r="V224" i="13"/>
  <c r="V208" i="13"/>
  <c r="V192" i="13"/>
  <c r="V176" i="13"/>
  <c r="V160" i="13"/>
  <c r="V144" i="13"/>
  <c r="V128" i="13"/>
  <c r="V112" i="13"/>
  <c r="V96" i="13"/>
  <c r="V80" i="13"/>
  <c r="V64" i="13"/>
  <c r="V48" i="13"/>
  <c r="V32" i="13"/>
  <c r="V16" i="13"/>
  <c r="C185" i="13"/>
  <c r="V415" i="13"/>
  <c r="V399" i="13"/>
  <c r="V383" i="13"/>
  <c r="V367" i="13"/>
  <c r="V351" i="13"/>
  <c r="V335" i="13"/>
  <c r="V319" i="13"/>
  <c r="V303" i="13"/>
  <c r="V287" i="13"/>
  <c r="V271" i="13"/>
  <c r="V255" i="13"/>
  <c r="V239" i="13"/>
  <c r="V223" i="13"/>
  <c r="V207" i="13"/>
  <c r="V191" i="13"/>
  <c r="V175" i="13"/>
  <c r="V159" i="13"/>
  <c r="V143" i="13"/>
  <c r="V127" i="13"/>
  <c r="V111" i="13"/>
  <c r="V95" i="13"/>
  <c r="V79" i="13"/>
  <c r="V63" i="13"/>
  <c r="V47" i="13"/>
  <c r="V31" i="13"/>
  <c r="V15" i="13"/>
  <c r="V414" i="13"/>
  <c r="V398" i="13"/>
  <c r="V382" i="13"/>
  <c r="V366" i="13"/>
  <c r="V350" i="13"/>
  <c r="V334" i="13"/>
  <c r="V318" i="13"/>
  <c r="V302" i="13"/>
  <c r="V286" i="13"/>
  <c r="V270" i="13"/>
  <c r="V254" i="13"/>
  <c r="V238" i="13"/>
  <c r="V222" i="13"/>
  <c r="V206" i="13"/>
  <c r="V190" i="13"/>
  <c r="V174" i="13"/>
  <c r="V158" i="13"/>
  <c r="V142" i="13"/>
  <c r="V126" i="13"/>
  <c r="V110" i="13"/>
  <c r="V94" i="13"/>
  <c r="V78" i="13"/>
  <c r="V62" i="13"/>
  <c r="V46" i="13"/>
  <c r="V30" i="13"/>
  <c r="V14" i="13"/>
  <c r="V2" i="13"/>
  <c r="V413" i="13"/>
  <c r="V397" i="13"/>
  <c r="V381" i="13"/>
  <c r="V365" i="13"/>
  <c r="V349" i="13"/>
  <c r="V333" i="13"/>
  <c r="V317" i="13"/>
  <c r="V301" i="13"/>
  <c r="V285" i="13"/>
  <c r="V269" i="13"/>
  <c r="V253" i="13"/>
  <c r="V237" i="13"/>
  <c r="V221" i="13"/>
  <c r="V205" i="13"/>
  <c r="V189" i="13"/>
  <c r="V173" i="13"/>
  <c r="V157" i="13"/>
  <c r="V141" i="13"/>
  <c r="V125" i="13"/>
  <c r="V109" i="13"/>
  <c r="V93" i="13"/>
  <c r="V77" i="13"/>
  <c r="V61" i="13"/>
  <c r="V45" i="13"/>
  <c r="V29" i="13"/>
  <c r="V13" i="13"/>
  <c r="V412" i="13"/>
  <c r="V396" i="13"/>
  <c r="V380" i="13"/>
  <c r="V364" i="13"/>
  <c r="V348" i="13"/>
  <c r="V332" i="13"/>
  <c r="V316" i="13"/>
  <c r="V300" i="13"/>
  <c r="V284" i="13"/>
  <c r="V268" i="13"/>
  <c r="V252" i="13"/>
  <c r="V236" i="13"/>
  <c r="V220" i="13"/>
  <c r="V204" i="13"/>
  <c r="V188" i="13"/>
  <c r="V172" i="13"/>
  <c r="V156" i="13"/>
  <c r="V140" i="13"/>
  <c r="V124" i="13"/>
  <c r="V108" i="13"/>
  <c r="V92" i="13"/>
  <c r="V76" i="13"/>
  <c r="V60" i="13"/>
  <c r="V44" i="13"/>
  <c r="V28" i="13"/>
  <c r="V12" i="13"/>
  <c r="V411" i="13"/>
  <c r="V395" i="13"/>
  <c r="V379" i="13"/>
  <c r="V363" i="13"/>
  <c r="V347" i="13"/>
  <c r="V331" i="13"/>
  <c r="V315" i="13"/>
  <c r="V299" i="13"/>
  <c r="V283" i="13"/>
  <c r="V267" i="13"/>
  <c r="V251" i="13"/>
  <c r="V235" i="13"/>
  <c r="V219" i="13"/>
  <c r="V203" i="13"/>
  <c r="V187" i="13"/>
  <c r="V171" i="13"/>
  <c r="V155" i="13"/>
  <c r="V139" i="13"/>
  <c r="V123" i="13"/>
  <c r="V107" i="13"/>
  <c r="V91" i="13"/>
  <c r="V75" i="13"/>
  <c r="V59" i="13"/>
  <c r="V43" i="13"/>
  <c r="V27" i="13"/>
  <c r="V11" i="13"/>
  <c r="L100" i="13"/>
  <c r="AD100" i="13" s="1" a="1"/>
  <c r="AD100" i="13" s="1"/>
  <c r="V410" i="13"/>
  <c r="V394" i="13"/>
  <c r="V378" i="13"/>
  <c r="V362" i="13"/>
  <c r="V346" i="13"/>
  <c r="V330" i="13"/>
  <c r="V314" i="13"/>
  <c r="V298" i="13"/>
  <c r="V282" i="13"/>
  <c r="V266" i="13"/>
  <c r="V250" i="13"/>
  <c r="V234" i="13"/>
  <c r="V218" i="13"/>
  <c r="V202" i="13"/>
  <c r="V186" i="13"/>
  <c r="V170" i="13"/>
  <c r="V154" i="13"/>
  <c r="V138" i="13"/>
  <c r="V122" i="13"/>
  <c r="V106" i="13"/>
  <c r="V90" i="13"/>
  <c r="V74" i="13"/>
  <c r="V58" i="13"/>
  <c r="V42" i="13"/>
  <c r="V26" i="13"/>
  <c r="V10" i="13"/>
  <c r="V409" i="13"/>
  <c r="V393" i="13"/>
  <c r="V377" i="13"/>
  <c r="V361" i="13"/>
  <c r="V345" i="13"/>
  <c r="V329" i="13"/>
  <c r="V313" i="13"/>
  <c r="V297" i="13"/>
  <c r="V281" i="13"/>
  <c r="V265" i="13"/>
  <c r="V249" i="13"/>
  <c r="V233" i="13"/>
  <c r="V217" i="13"/>
  <c r="V201" i="13"/>
  <c r="V185" i="13"/>
  <c r="V169" i="13"/>
  <c r="V153" i="13"/>
  <c r="V137" i="13"/>
  <c r="V121" i="13"/>
  <c r="V105" i="13"/>
  <c r="V89" i="13"/>
  <c r="V73" i="13"/>
  <c r="V57" i="13"/>
  <c r="V41" i="13"/>
  <c r="V25" i="13"/>
  <c r="V9" i="13"/>
  <c r="V408" i="13"/>
  <c r="V392" i="13"/>
  <c r="V376" i="13"/>
  <c r="V360" i="13"/>
  <c r="V344" i="13"/>
  <c r="V328" i="13"/>
  <c r="V312" i="13"/>
  <c r="V296" i="13"/>
  <c r="V280" i="13"/>
  <c r="V264" i="13"/>
  <c r="V248" i="13"/>
  <c r="V232" i="13"/>
  <c r="V216" i="13"/>
  <c r="V200" i="13"/>
  <c r="V184" i="13"/>
  <c r="V168" i="13"/>
  <c r="V152" i="13"/>
  <c r="V136" i="13"/>
  <c r="V120" i="13"/>
  <c r="V104" i="13"/>
  <c r="V88" i="13"/>
  <c r="V72" i="13"/>
  <c r="V56" i="13"/>
  <c r="V40" i="13"/>
  <c r="V24" i="13"/>
  <c r="V8" i="13"/>
  <c r="V407" i="13"/>
  <c r="V391" i="13"/>
  <c r="V375" i="13"/>
  <c r="V359" i="13"/>
  <c r="V343" i="13"/>
  <c r="V327" i="13"/>
  <c r="V311" i="13"/>
  <c r="V295" i="13"/>
  <c r="V279" i="13"/>
  <c r="V263" i="13"/>
  <c r="V247" i="13"/>
  <c r="V231" i="13"/>
  <c r="V215" i="13"/>
  <c r="V199" i="13"/>
  <c r="V183" i="13"/>
  <c r="V167" i="13"/>
  <c r="V151" i="13"/>
  <c r="V135" i="13"/>
  <c r="V119" i="13"/>
  <c r="V103" i="13"/>
  <c r="V87" i="13"/>
  <c r="V71" i="13"/>
  <c r="V55" i="13"/>
  <c r="V39" i="13"/>
  <c r="V23" i="13"/>
  <c r="V7" i="13"/>
  <c r="V406" i="13"/>
  <c r="V390" i="13"/>
  <c r="V374" i="13"/>
  <c r="V358" i="13"/>
  <c r="V342" i="13"/>
  <c r="V326" i="13"/>
  <c r="V310" i="13"/>
  <c r="V294" i="13"/>
  <c r="V278" i="13"/>
  <c r="V262" i="13"/>
  <c r="V246" i="13"/>
  <c r="V230" i="13"/>
  <c r="V214" i="13"/>
  <c r="V198" i="13"/>
  <c r="V182" i="13"/>
  <c r="V166" i="13"/>
  <c r="V150" i="13"/>
  <c r="V134" i="13"/>
  <c r="V118" i="13"/>
  <c r="V102" i="13"/>
  <c r="V86" i="13"/>
  <c r="V70" i="13"/>
  <c r="V54" i="13"/>
  <c r="V38" i="13"/>
  <c r="V22" i="13"/>
  <c r="V6" i="13"/>
  <c r="V405" i="13"/>
  <c r="V389" i="13"/>
  <c r="V373" i="13"/>
  <c r="V357" i="13"/>
  <c r="V341" i="13"/>
  <c r="V325" i="13"/>
  <c r="V309" i="13"/>
  <c r="V293" i="13"/>
  <c r="V277" i="13"/>
  <c r="V261" i="13"/>
  <c r="V245" i="13"/>
  <c r="V229" i="13"/>
  <c r="V213" i="13"/>
  <c r="V197" i="13"/>
  <c r="V181" i="13"/>
  <c r="V165" i="13"/>
  <c r="V149" i="13"/>
  <c r="V133" i="13"/>
  <c r="V117" i="13"/>
  <c r="V101" i="13"/>
  <c r="V85" i="13"/>
  <c r="V69" i="13"/>
  <c r="V53" i="13"/>
  <c r="V37" i="13"/>
  <c r="V21" i="13"/>
  <c r="V5" i="13"/>
  <c r="V404" i="13"/>
  <c r="V388" i="13"/>
  <c r="V372" i="13"/>
  <c r="V356" i="13"/>
  <c r="V340" i="13"/>
  <c r="V324" i="13"/>
  <c r="V308" i="13"/>
  <c r="V292" i="13"/>
  <c r="V276" i="13"/>
  <c r="V260" i="13"/>
  <c r="V244" i="13"/>
  <c r="V228" i="13"/>
  <c r="V212" i="13"/>
  <c r="V196" i="13"/>
  <c r="V180" i="13"/>
  <c r="V164" i="13"/>
  <c r="V148" i="13"/>
  <c r="V132" i="13"/>
  <c r="V116" i="13"/>
  <c r="V100" i="13"/>
  <c r="V84" i="13"/>
  <c r="V68" i="13"/>
  <c r="V52" i="13"/>
  <c r="V36" i="13"/>
  <c r="V20" i="13"/>
  <c r="V4" i="13"/>
  <c r="V403" i="13"/>
  <c r="V387" i="13"/>
  <c r="V371" i="13"/>
  <c r="V355" i="13"/>
  <c r="V339" i="13"/>
  <c r="V323" i="13"/>
  <c r="V307" i="13"/>
  <c r="V291" i="13"/>
  <c r="V275" i="13"/>
  <c r="V259" i="13"/>
  <c r="V243" i="13"/>
  <c r="V227" i="13"/>
  <c r="V211" i="13"/>
  <c r="V195" i="13"/>
  <c r="V179" i="13"/>
  <c r="V163" i="13"/>
  <c r="V147" i="13"/>
  <c r="V131" i="13"/>
  <c r="V115" i="13"/>
  <c r="V99" i="13"/>
  <c r="V83" i="13"/>
  <c r="V67" i="13"/>
  <c r="V51" i="13"/>
  <c r="V35" i="13"/>
  <c r="V19" i="13"/>
  <c r="V3" i="13"/>
  <c r="M364" i="13"/>
  <c r="A253" i="13"/>
  <c r="Y253" i="13" s="1"/>
  <c r="C225" i="13"/>
  <c r="A221" i="13"/>
  <c r="Y221" i="13" s="1"/>
  <c r="C149" i="13"/>
  <c r="D11" i="13"/>
  <c r="S383" i="13"/>
  <c r="A189" i="13"/>
  <c r="Y189" i="13" s="1"/>
  <c r="A173" i="13"/>
  <c r="Y173" i="13" s="1"/>
  <c r="A413" i="13"/>
  <c r="Y413" i="13" s="1"/>
  <c r="A157" i="13"/>
  <c r="Y157" i="13" s="1"/>
  <c r="C408" i="13"/>
  <c r="C38" i="13"/>
  <c r="A397" i="13"/>
  <c r="Y397" i="13" s="1"/>
  <c r="A141" i="13"/>
  <c r="Y141" i="13" s="1"/>
  <c r="C392" i="13"/>
  <c r="C102" i="13"/>
  <c r="A125" i="13"/>
  <c r="Y125" i="13" s="1"/>
  <c r="C376" i="13"/>
  <c r="A365" i="13"/>
  <c r="Y365" i="13" s="1"/>
  <c r="A109" i="13"/>
  <c r="Y109" i="13" s="1"/>
  <c r="C360" i="13"/>
  <c r="A349" i="13"/>
  <c r="Y349" i="13" s="1"/>
  <c r="A93" i="13"/>
  <c r="Y93" i="13" s="1"/>
  <c r="C344" i="13"/>
  <c r="A381" i="13"/>
  <c r="Y381" i="13" s="1"/>
  <c r="A333" i="13"/>
  <c r="Y333" i="13" s="1"/>
  <c r="A77" i="13"/>
  <c r="Y77" i="13" s="1"/>
  <c r="C328" i="13"/>
  <c r="A205" i="13"/>
  <c r="Y205" i="13" s="1"/>
  <c r="A317" i="13"/>
  <c r="Y317" i="13" s="1"/>
  <c r="A61" i="13"/>
  <c r="Y61" i="13" s="1"/>
  <c r="C312" i="13"/>
  <c r="Q411" i="13"/>
  <c r="C296" i="13"/>
  <c r="A285" i="13"/>
  <c r="Y285" i="13" s="1"/>
  <c r="A29" i="13"/>
  <c r="Y29" i="13" s="1"/>
  <c r="C279" i="13"/>
  <c r="F380" i="13"/>
  <c r="A301" i="13"/>
  <c r="Y301" i="13" s="1"/>
  <c r="A45" i="13"/>
  <c r="Y45" i="13" s="1"/>
  <c r="A269" i="13"/>
  <c r="Y269" i="13" s="1"/>
  <c r="A13" i="13"/>
  <c r="Y13" i="13" s="1"/>
  <c r="C257" i="13"/>
  <c r="A412" i="13"/>
  <c r="Y412" i="13" s="1"/>
  <c r="A396" i="13"/>
  <c r="Y396" i="13" s="1"/>
  <c r="A380" i="13"/>
  <c r="Y380" i="13" s="1"/>
  <c r="A364" i="13"/>
  <c r="Y364" i="13" s="1"/>
  <c r="A348" i="13"/>
  <c r="Y348" i="13" s="1"/>
  <c r="A332" i="13"/>
  <c r="Y332" i="13" s="1"/>
  <c r="A316" i="13"/>
  <c r="Y316" i="13" s="1"/>
  <c r="A300" i="13"/>
  <c r="Y300" i="13" s="1"/>
  <c r="A284" i="13"/>
  <c r="Y284" i="13" s="1"/>
  <c r="A268" i="13"/>
  <c r="Y268" i="13" s="1"/>
  <c r="A252" i="13"/>
  <c r="Y252" i="13" s="1"/>
  <c r="A236" i="13"/>
  <c r="Y236" i="13" s="1"/>
  <c r="A220" i="13"/>
  <c r="Y220" i="13" s="1"/>
  <c r="A204" i="13"/>
  <c r="Y204" i="13" s="1"/>
  <c r="A188" i="13"/>
  <c r="Y188" i="13" s="1"/>
  <c r="A172" i="13"/>
  <c r="Y172" i="13" s="1"/>
  <c r="A156" i="13"/>
  <c r="Y156" i="13" s="1"/>
  <c r="A140" i="13"/>
  <c r="Y140" i="13" s="1"/>
  <c r="A124" i="13"/>
  <c r="Y124" i="13" s="1"/>
  <c r="A108" i="13"/>
  <c r="Y108" i="13" s="1"/>
  <c r="A92" i="13"/>
  <c r="Y92" i="13" s="1"/>
  <c r="A76" i="13"/>
  <c r="Y76" i="13" s="1"/>
  <c r="A60" i="13"/>
  <c r="Y60" i="13" s="1"/>
  <c r="A44" i="13"/>
  <c r="Y44" i="13" s="1"/>
  <c r="A28" i="13"/>
  <c r="Y28" i="13" s="1"/>
  <c r="A12" i="13"/>
  <c r="Y12" i="13" s="1"/>
  <c r="C407" i="13"/>
  <c r="C391" i="13"/>
  <c r="C375" i="13"/>
  <c r="C359" i="13"/>
  <c r="C343" i="13"/>
  <c r="C327" i="13"/>
  <c r="C311" i="13"/>
  <c r="C295" i="13"/>
  <c r="C278" i="13"/>
  <c r="C249" i="13"/>
  <c r="C217" i="13"/>
  <c r="C184" i="13"/>
  <c r="C148" i="13"/>
  <c r="C89" i="13"/>
  <c r="C25" i="13"/>
  <c r="M409" i="13"/>
  <c r="K395" i="13"/>
  <c r="D380" i="13"/>
  <c r="O361" i="13"/>
  <c r="K3" i="13"/>
  <c r="S127" i="13"/>
  <c r="A411" i="13"/>
  <c r="Y411" i="13" s="1"/>
  <c r="A395" i="13"/>
  <c r="Y395" i="13" s="1"/>
  <c r="A379" i="13"/>
  <c r="Y379" i="13" s="1"/>
  <c r="A363" i="13"/>
  <c r="Y363" i="13" s="1"/>
  <c r="A347" i="13"/>
  <c r="Y347" i="13" s="1"/>
  <c r="A331" i="13"/>
  <c r="Y331" i="13" s="1"/>
  <c r="A315" i="13"/>
  <c r="Y315" i="13" s="1"/>
  <c r="A299" i="13"/>
  <c r="Y299" i="13" s="1"/>
  <c r="A283" i="13"/>
  <c r="Y283" i="13" s="1"/>
  <c r="A267" i="13"/>
  <c r="Y267" i="13" s="1"/>
  <c r="A251" i="13"/>
  <c r="Y251" i="13" s="1"/>
  <c r="A235" i="13"/>
  <c r="Y235" i="13" s="1"/>
  <c r="A219" i="13"/>
  <c r="Y219" i="13" s="1"/>
  <c r="A203" i="13"/>
  <c r="Y203" i="13" s="1"/>
  <c r="A187" i="13"/>
  <c r="Y187" i="13" s="1"/>
  <c r="A171" i="13"/>
  <c r="Y171" i="13" s="1"/>
  <c r="A155" i="13"/>
  <c r="Y155" i="13" s="1"/>
  <c r="A139" i="13"/>
  <c r="Y139" i="13" s="1"/>
  <c r="A123" i="13"/>
  <c r="Y123" i="13" s="1"/>
  <c r="A107" i="13"/>
  <c r="Y107" i="13" s="1"/>
  <c r="A91" i="13"/>
  <c r="Y91" i="13" s="1"/>
  <c r="A75" i="13"/>
  <c r="Y75" i="13" s="1"/>
  <c r="A59" i="13"/>
  <c r="Y59" i="13" s="1"/>
  <c r="A43" i="13"/>
  <c r="Y43" i="13" s="1"/>
  <c r="A27" i="13"/>
  <c r="Y27" i="13" s="1"/>
  <c r="A11" i="13"/>
  <c r="Y11" i="13" s="1"/>
  <c r="C406" i="13"/>
  <c r="C390" i="13"/>
  <c r="C374" i="13"/>
  <c r="C358" i="13"/>
  <c r="C342" i="13"/>
  <c r="C326" i="13"/>
  <c r="C310" i="13"/>
  <c r="C294" i="13"/>
  <c r="C277" i="13"/>
  <c r="C248" i="13"/>
  <c r="C216" i="13"/>
  <c r="C183" i="13"/>
  <c r="C137" i="13"/>
  <c r="C88" i="13"/>
  <c r="C24" i="13"/>
  <c r="I395" i="13"/>
  <c r="F377" i="13"/>
  <c r="N361" i="13"/>
  <c r="M310" i="13"/>
  <c r="A410" i="13"/>
  <c r="Y410" i="13" s="1"/>
  <c r="A394" i="13"/>
  <c r="Y394" i="13" s="1"/>
  <c r="A378" i="13"/>
  <c r="Y378" i="13" s="1"/>
  <c r="A362" i="13"/>
  <c r="Y362" i="13" s="1"/>
  <c r="A346" i="13"/>
  <c r="Y346" i="13" s="1"/>
  <c r="A330" i="13"/>
  <c r="Y330" i="13" s="1"/>
  <c r="A314" i="13"/>
  <c r="Y314" i="13" s="1"/>
  <c r="A298" i="13"/>
  <c r="Y298" i="13" s="1"/>
  <c r="A282" i="13"/>
  <c r="Y282" i="13" s="1"/>
  <c r="A266" i="13"/>
  <c r="Y266" i="13" s="1"/>
  <c r="A250" i="13"/>
  <c r="Y250" i="13" s="1"/>
  <c r="A234" i="13"/>
  <c r="Y234" i="13" s="1"/>
  <c r="A218" i="13"/>
  <c r="Y218" i="13" s="1"/>
  <c r="A202" i="13"/>
  <c r="Y202" i="13" s="1"/>
  <c r="A186" i="13"/>
  <c r="Y186" i="13" s="1"/>
  <c r="A170" i="13"/>
  <c r="Y170" i="13" s="1"/>
  <c r="A154" i="13"/>
  <c r="Y154" i="13" s="1"/>
  <c r="A138" i="13"/>
  <c r="Y138" i="13" s="1"/>
  <c r="A122" i="13"/>
  <c r="Y122" i="13" s="1"/>
  <c r="A106" i="13"/>
  <c r="Y106" i="13" s="1"/>
  <c r="A90" i="13"/>
  <c r="Y90" i="13" s="1"/>
  <c r="A74" i="13"/>
  <c r="Y74" i="13" s="1"/>
  <c r="A58" i="13"/>
  <c r="Y58" i="13" s="1"/>
  <c r="A42" i="13"/>
  <c r="Y42" i="13" s="1"/>
  <c r="A26" i="13"/>
  <c r="Y26" i="13" s="1"/>
  <c r="A10" i="13"/>
  <c r="Y10" i="13" s="1"/>
  <c r="C405" i="13"/>
  <c r="C389" i="13"/>
  <c r="C373" i="13"/>
  <c r="C357" i="13"/>
  <c r="C341" i="13"/>
  <c r="C325" i="13"/>
  <c r="C309" i="13"/>
  <c r="C293" i="13"/>
  <c r="C276" i="13"/>
  <c r="C247" i="13"/>
  <c r="C215" i="13"/>
  <c r="C182" i="13"/>
  <c r="C136" i="13"/>
  <c r="C87" i="13"/>
  <c r="C23" i="13"/>
  <c r="F409" i="13"/>
  <c r="K392" i="13"/>
  <c r="E377" i="13"/>
  <c r="J310" i="13"/>
  <c r="A409" i="13"/>
  <c r="Y409" i="13" s="1"/>
  <c r="A393" i="13"/>
  <c r="Y393" i="13" s="1"/>
  <c r="A377" i="13"/>
  <c r="Y377" i="13" s="1"/>
  <c r="A361" i="13"/>
  <c r="Y361" i="13" s="1"/>
  <c r="A345" i="13"/>
  <c r="Y345" i="13" s="1"/>
  <c r="A329" i="13"/>
  <c r="Y329" i="13" s="1"/>
  <c r="A313" i="13"/>
  <c r="Y313" i="13" s="1"/>
  <c r="A297" i="13"/>
  <c r="Y297" i="13" s="1"/>
  <c r="A281" i="13"/>
  <c r="Y281" i="13" s="1"/>
  <c r="A265" i="13"/>
  <c r="Y265" i="13" s="1"/>
  <c r="A249" i="13"/>
  <c r="Y249" i="13" s="1"/>
  <c r="A233" i="13"/>
  <c r="Y233" i="13" s="1"/>
  <c r="A217" i="13"/>
  <c r="Y217" i="13" s="1"/>
  <c r="A201" i="13"/>
  <c r="Y201" i="13" s="1"/>
  <c r="A185" i="13"/>
  <c r="Y185" i="13" s="1"/>
  <c r="A169" i="13"/>
  <c r="Y169" i="13" s="1"/>
  <c r="A153" i="13"/>
  <c r="Y153" i="13" s="1"/>
  <c r="A137" i="13"/>
  <c r="Y137" i="13" s="1"/>
  <c r="A121" i="13"/>
  <c r="Y121" i="13" s="1"/>
  <c r="A105" i="13"/>
  <c r="Y105" i="13" s="1"/>
  <c r="A89" i="13"/>
  <c r="Y89" i="13" s="1"/>
  <c r="A73" i="13"/>
  <c r="Y73" i="13" s="1"/>
  <c r="A57" i="13"/>
  <c r="Y57" i="13" s="1"/>
  <c r="A41" i="13"/>
  <c r="Y41" i="13" s="1"/>
  <c r="A25" i="13"/>
  <c r="Y25" i="13" s="1"/>
  <c r="A9" i="13"/>
  <c r="Y9" i="13" s="1"/>
  <c r="C404" i="13"/>
  <c r="C388" i="13"/>
  <c r="C372" i="13"/>
  <c r="C356" i="13"/>
  <c r="C340" i="13"/>
  <c r="C324" i="13"/>
  <c r="C308" i="13"/>
  <c r="C292" i="13"/>
  <c r="C275" i="13"/>
  <c r="C246" i="13"/>
  <c r="C214" i="13"/>
  <c r="C181" i="13"/>
  <c r="C135" i="13"/>
  <c r="C86" i="13"/>
  <c r="C22" i="13"/>
  <c r="J392" i="13"/>
  <c r="Q376" i="13"/>
  <c r="N358" i="13"/>
  <c r="H310" i="13"/>
  <c r="A408" i="13"/>
  <c r="Y408" i="13" s="1"/>
  <c r="A392" i="13"/>
  <c r="Y392" i="13" s="1"/>
  <c r="A376" i="13"/>
  <c r="Y376" i="13" s="1"/>
  <c r="A360" i="13"/>
  <c r="Y360" i="13" s="1"/>
  <c r="A344" i="13"/>
  <c r="Y344" i="13" s="1"/>
  <c r="A328" i="13"/>
  <c r="Y328" i="13" s="1"/>
  <c r="A312" i="13"/>
  <c r="Y312" i="13" s="1"/>
  <c r="A296" i="13"/>
  <c r="Y296" i="13" s="1"/>
  <c r="A280" i="13"/>
  <c r="Y280" i="13" s="1"/>
  <c r="A264" i="13"/>
  <c r="Y264" i="13" s="1"/>
  <c r="A248" i="13"/>
  <c r="Y248" i="13" s="1"/>
  <c r="A232" i="13"/>
  <c r="Y232" i="13" s="1"/>
  <c r="A216" i="13"/>
  <c r="Y216" i="13" s="1"/>
  <c r="A200" i="13"/>
  <c r="Y200" i="13" s="1"/>
  <c r="A184" i="13"/>
  <c r="Y184" i="13" s="1"/>
  <c r="A168" i="13"/>
  <c r="Y168" i="13" s="1"/>
  <c r="A152" i="13"/>
  <c r="Y152" i="13" s="1"/>
  <c r="A136" i="13"/>
  <c r="Y136" i="13" s="1"/>
  <c r="A120" i="13"/>
  <c r="Y120" i="13" s="1"/>
  <c r="A104" i="13"/>
  <c r="Y104" i="13" s="1"/>
  <c r="A88" i="13"/>
  <c r="Y88" i="13" s="1"/>
  <c r="A72" i="13"/>
  <c r="Y72" i="13" s="1"/>
  <c r="A56" i="13"/>
  <c r="Y56" i="13" s="1"/>
  <c r="A40" i="13"/>
  <c r="Y40" i="13" s="1"/>
  <c r="A24" i="13"/>
  <c r="Y24" i="13" s="1"/>
  <c r="A8" i="13"/>
  <c r="Y8" i="13" s="1"/>
  <c r="C403" i="13"/>
  <c r="C387" i="13"/>
  <c r="C371" i="13"/>
  <c r="C355" i="13"/>
  <c r="C339" i="13"/>
  <c r="C323" i="13"/>
  <c r="C307" i="13"/>
  <c r="C291" i="13"/>
  <c r="C274" i="13"/>
  <c r="C245" i="13"/>
  <c r="C213" i="13"/>
  <c r="C180" i="13"/>
  <c r="C134" i="13"/>
  <c r="C73" i="13"/>
  <c r="C9" i="13"/>
  <c r="H392" i="13"/>
  <c r="E374" i="13"/>
  <c r="M358" i="13"/>
  <c r="A407" i="13"/>
  <c r="Y407" i="13" s="1"/>
  <c r="A391" i="13"/>
  <c r="Y391" i="13" s="1"/>
  <c r="A375" i="13"/>
  <c r="Y375" i="13" s="1"/>
  <c r="A359" i="13"/>
  <c r="Y359" i="13" s="1"/>
  <c r="A343" i="13"/>
  <c r="Y343" i="13" s="1"/>
  <c r="A327" i="13"/>
  <c r="Y327" i="13" s="1"/>
  <c r="A311" i="13"/>
  <c r="Y311" i="13" s="1"/>
  <c r="A295" i="13"/>
  <c r="Y295" i="13" s="1"/>
  <c r="A279" i="13"/>
  <c r="Y279" i="13" s="1"/>
  <c r="A263" i="13"/>
  <c r="Y263" i="13" s="1"/>
  <c r="A247" i="13"/>
  <c r="Y247" i="13" s="1"/>
  <c r="A231" i="13"/>
  <c r="Y231" i="13" s="1"/>
  <c r="A215" i="13"/>
  <c r="Y215" i="13" s="1"/>
  <c r="A199" i="13"/>
  <c r="Y199" i="13" s="1"/>
  <c r="A183" i="13"/>
  <c r="Y183" i="13" s="1"/>
  <c r="A167" i="13"/>
  <c r="Y167" i="13" s="1"/>
  <c r="A151" i="13"/>
  <c r="Y151" i="13" s="1"/>
  <c r="A135" i="13"/>
  <c r="Y135" i="13" s="1"/>
  <c r="A119" i="13"/>
  <c r="Y119" i="13" s="1"/>
  <c r="A103" i="13"/>
  <c r="Y103" i="13" s="1"/>
  <c r="A87" i="13"/>
  <c r="Y87" i="13" s="1"/>
  <c r="A71" i="13"/>
  <c r="Y71" i="13" s="1"/>
  <c r="A55" i="13"/>
  <c r="Y55" i="13" s="1"/>
  <c r="A39" i="13"/>
  <c r="Y39" i="13" s="1"/>
  <c r="A23" i="13"/>
  <c r="Y23" i="13" s="1"/>
  <c r="A7" i="13"/>
  <c r="Y7" i="13" s="1"/>
  <c r="C402" i="13"/>
  <c r="C386" i="13"/>
  <c r="C370" i="13"/>
  <c r="C354" i="13"/>
  <c r="C338" i="13"/>
  <c r="C322" i="13"/>
  <c r="C306" i="13"/>
  <c r="C290" i="13"/>
  <c r="C273" i="13"/>
  <c r="C244" i="13"/>
  <c r="C212" i="13"/>
  <c r="C169" i="13"/>
  <c r="C133" i="13"/>
  <c r="C72" i="13"/>
  <c r="C8" i="13"/>
  <c r="M406" i="13"/>
  <c r="J389" i="13"/>
  <c r="D374" i="13"/>
  <c r="A406" i="13"/>
  <c r="Y406" i="13" s="1"/>
  <c r="A390" i="13"/>
  <c r="Y390" i="13" s="1"/>
  <c r="A374" i="13"/>
  <c r="Y374" i="13" s="1"/>
  <c r="A358" i="13"/>
  <c r="Y358" i="13" s="1"/>
  <c r="A342" i="13"/>
  <c r="Y342" i="13" s="1"/>
  <c r="A326" i="13"/>
  <c r="Y326" i="13" s="1"/>
  <c r="A310" i="13"/>
  <c r="Y310" i="13" s="1"/>
  <c r="A294" i="13"/>
  <c r="Y294" i="13" s="1"/>
  <c r="A278" i="13"/>
  <c r="Y278" i="13" s="1"/>
  <c r="A262" i="13"/>
  <c r="Y262" i="13" s="1"/>
  <c r="A246" i="13"/>
  <c r="Y246" i="13" s="1"/>
  <c r="A230" i="13"/>
  <c r="Y230" i="13" s="1"/>
  <c r="A214" i="13"/>
  <c r="Y214" i="13" s="1"/>
  <c r="A198" i="13"/>
  <c r="Y198" i="13" s="1"/>
  <c r="A182" i="13"/>
  <c r="Y182" i="13" s="1"/>
  <c r="A166" i="13"/>
  <c r="Y166" i="13" s="1"/>
  <c r="A150" i="13"/>
  <c r="Y150" i="13" s="1"/>
  <c r="A134" i="13"/>
  <c r="Y134" i="13" s="1"/>
  <c r="A118" i="13"/>
  <c r="Y118" i="13" s="1"/>
  <c r="A102" i="13"/>
  <c r="Y102" i="13" s="1"/>
  <c r="A86" i="13"/>
  <c r="Y86" i="13" s="1"/>
  <c r="A70" i="13"/>
  <c r="Y70" i="13" s="1"/>
  <c r="A54" i="13"/>
  <c r="Y54" i="13" s="1"/>
  <c r="A38" i="13"/>
  <c r="Y38" i="13" s="1"/>
  <c r="A22" i="13"/>
  <c r="Y22" i="13" s="1"/>
  <c r="A6" i="13"/>
  <c r="Y6" i="13" s="1"/>
  <c r="C401" i="13"/>
  <c r="C385" i="13"/>
  <c r="C369" i="13"/>
  <c r="C353" i="13"/>
  <c r="C337" i="13"/>
  <c r="C321" i="13"/>
  <c r="C305" i="13"/>
  <c r="C289" i="13"/>
  <c r="C267" i="13"/>
  <c r="C242" i="13"/>
  <c r="C210" i="13"/>
  <c r="C168" i="13"/>
  <c r="C132" i="13"/>
  <c r="C71" i="13"/>
  <c r="C7" i="13"/>
  <c r="I389" i="13"/>
  <c r="P373" i="13"/>
  <c r="AE373" i="13" s="1"/>
  <c r="M355" i="13"/>
  <c r="P301" i="13"/>
  <c r="AE301" i="13" s="1"/>
  <c r="A405" i="13"/>
  <c r="Y405" i="13" s="1"/>
  <c r="A389" i="13"/>
  <c r="Y389" i="13" s="1"/>
  <c r="A373" i="13"/>
  <c r="Y373" i="13" s="1"/>
  <c r="A357" i="13"/>
  <c r="Y357" i="13" s="1"/>
  <c r="A341" i="13"/>
  <c r="Y341" i="13" s="1"/>
  <c r="A325" i="13"/>
  <c r="Y325" i="13" s="1"/>
  <c r="A309" i="13"/>
  <c r="Y309" i="13" s="1"/>
  <c r="A293" i="13"/>
  <c r="Y293" i="13" s="1"/>
  <c r="A277" i="13"/>
  <c r="Y277" i="13" s="1"/>
  <c r="A261" i="13"/>
  <c r="Y261" i="13" s="1"/>
  <c r="A245" i="13"/>
  <c r="Y245" i="13" s="1"/>
  <c r="A229" i="13"/>
  <c r="Y229" i="13" s="1"/>
  <c r="A213" i="13"/>
  <c r="Y213" i="13" s="1"/>
  <c r="A197" i="13"/>
  <c r="Y197" i="13" s="1"/>
  <c r="A181" i="13"/>
  <c r="Y181" i="13" s="1"/>
  <c r="A165" i="13"/>
  <c r="Y165" i="13" s="1"/>
  <c r="A149" i="13"/>
  <c r="Y149" i="13" s="1"/>
  <c r="A133" i="13"/>
  <c r="Y133" i="13" s="1"/>
  <c r="A117" i="13"/>
  <c r="Y117" i="13" s="1"/>
  <c r="A101" i="13"/>
  <c r="Y101" i="13" s="1"/>
  <c r="A85" i="13"/>
  <c r="Y85" i="13" s="1"/>
  <c r="A69" i="13"/>
  <c r="Y69" i="13" s="1"/>
  <c r="A53" i="13"/>
  <c r="Y53" i="13" s="1"/>
  <c r="A37" i="13"/>
  <c r="Y37" i="13" s="1"/>
  <c r="A21" i="13"/>
  <c r="Y21" i="13" s="1"/>
  <c r="A5" i="13"/>
  <c r="Y5" i="13" s="1"/>
  <c r="C400" i="13"/>
  <c r="C384" i="13"/>
  <c r="C368" i="13"/>
  <c r="C352" i="13"/>
  <c r="C336" i="13"/>
  <c r="C320" i="13"/>
  <c r="C304" i="13"/>
  <c r="C288" i="13"/>
  <c r="C266" i="13"/>
  <c r="C241" i="13"/>
  <c r="C209" i="13"/>
  <c r="C167" i="13"/>
  <c r="C121" i="13"/>
  <c r="C70" i="13"/>
  <c r="C6" i="13"/>
  <c r="G389" i="13"/>
  <c r="D371" i="13"/>
  <c r="J338" i="13"/>
  <c r="I294" i="13"/>
  <c r="A404" i="13"/>
  <c r="Y404" i="13" s="1"/>
  <c r="A388" i="13"/>
  <c r="Y388" i="13" s="1"/>
  <c r="A372" i="13"/>
  <c r="Y372" i="13" s="1"/>
  <c r="A356" i="13"/>
  <c r="Y356" i="13" s="1"/>
  <c r="A340" i="13"/>
  <c r="Y340" i="13" s="1"/>
  <c r="A324" i="13"/>
  <c r="Y324" i="13" s="1"/>
  <c r="A308" i="13"/>
  <c r="Y308" i="13" s="1"/>
  <c r="A292" i="13"/>
  <c r="Y292" i="13" s="1"/>
  <c r="A276" i="13"/>
  <c r="Y276" i="13" s="1"/>
  <c r="A260" i="13"/>
  <c r="Y260" i="13" s="1"/>
  <c r="A244" i="13"/>
  <c r="Y244" i="13" s="1"/>
  <c r="A228" i="13"/>
  <c r="Y228" i="13" s="1"/>
  <c r="A212" i="13"/>
  <c r="Y212" i="13" s="1"/>
  <c r="A196" i="13"/>
  <c r="Y196" i="13" s="1"/>
  <c r="A180" i="13"/>
  <c r="Y180" i="13" s="1"/>
  <c r="A164" i="13"/>
  <c r="Y164" i="13" s="1"/>
  <c r="A148" i="13"/>
  <c r="Y148" i="13" s="1"/>
  <c r="A132" i="13"/>
  <c r="Y132" i="13" s="1"/>
  <c r="A116" i="13"/>
  <c r="Y116" i="13" s="1"/>
  <c r="A100" i="13"/>
  <c r="Y100" i="13" s="1"/>
  <c r="A84" i="13"/>
  <c r="Y84" i="13" s="1"/>
  <c r="A68" i="13"/>
  <c r="Y68" i="13" s="1"/>
  <c r="A52" i="13"/>
  <c r="Y52" i="13" s="1"/>
  <c r="A36" i="13"/>
  <c r="Y36" i="13" s="1"/>
  <c r="A20" i="13"/>
  <c r="Y20" i="13" s="1"/>
  <c r="A4" i="13"/>
  <c r="Y4" i="13" s="1"/>
  <c r="C415" i="13"/>
  <c r="C399" i="13"/>
  <c r="C383" i="13"/>
  <c r="C367" i="13"/>
  <c r="C351" i="13"/>
  <c r="C335" i="13"/>
  <c r="C319" i="13"/>
  <c r="C303" i="13"/>
  <c r="C286" i="13"/>
  <c r="C265" i="13"/>
  <c r="C233" i="13"/>
  <c r="C201" i="13"/>
  <c r="C166" i="13"/>
  <c r="C120" i="13"/>
  <c r="C57" i="13"/>
  <c r="I386" i="13"/>
  <c r="Q370" i="13"/>
  <c r="D333" i="13"/>
  <c r="H294" i="13"/>
  <c r="A403" i="13"/>
  <c r="Y403" i="13" s="1"/>
  <c r="A387" i="13"/>
  <c r="Y387" i="13" s="1"/>
  <c r="A371" i="13"/>
  <c r="Y371" i="13" s="1"/>
  <c r="A355" i="13"/>
  <c r="Y355" i="13" s="1"/>
  <c r="A339" i="13"/>
  <c r="Y339" i="13" s="1"/>
  <c r="A323" i="13"/>
  <c r="Y323" i="13" s="1"/>
  <c r="A307" i="13"/>
  <c r="Y307" i="13" s="1"/>
  <c r="A291" i="13"/>
  <c r="Y291" i="13" s="1"/>
  <c r="A275" i="13"/>
  <c r="Y275" i="13" s="1"/>
  <c r="A259" i="13"/>
  <c r="Y259" i="13" s="1"/>
  <c r="A243" i="13"/>
  <c r="Y243" i="13" s="1"/>
  <c r="A227" i="13"/>
  <c r="Y227" i="13" s="1"/>
  <c r="A211" i="13"/>
  <c r="Y211" i="13" s="1"/>
  <c r="A195" i="13"/>
  <c r="Y195" i="13" s="1"/>
  <c r="A179" i="13"/>
  <c r="Y179" i="13" s="1"/>
  <c r="A163" i="13"/>
  <c r="Y163" i="13" s="1"/>
  <c r="A147" i="13"/>
  <c r="Y147" i="13" s="1"/>
  <c r="A131" i="13"/>
  <c r="Y131" i="13" s="1"/>
  <c r="A115" i="13"/>
  <c r="Y115" i="13" s="1"/>
  <c r="A99" i="13"/>
  <c r="Y99" i="13" s="1"/>
  <c r="A83" i="13"/>
  <c r="Y83" i="13" s="1"/>
  <c r="A67" i="13"/>
  <c r="Y67" i="13" s="1"/>
  <c r="A51" i="13"/>
  <c r="Y51" i="13" s="1"/>
  <c r="A35" i="13"/>
  <c r="Y35" i="13" s="1"/>
  <c r="A19" i="13"/>
  <c r="Y19" i="13" s="1"/>
  <c r="A3" i="13"/>
  <c r="Y3" i="13" s="1"/>
  <c r="C414" i="13"/>
  <c r="C398" i="13"/>
  <c r="C382" i="13"/>
  <c r="C366" i="13"/>
  <c r="C350" i="13"/>
  <c r="C334" i="13"/>
  <c r="C318" i="13"/>
  <c r="C302" i="13"/>
  <c r="C285" i="13"/>
  <c r="C264" i="13"/>
  <c r="C232" i="13"/>
  <c r="C200" i="13"/>
  <c r="C165" i="13"/>
  <c r="C119" i="13"/>
  <c r="C56" i="13"/>
  <c r="H386" i="13"/>
  <c r="O370" i="13"/>
  <c r="Q332" i="13"/>
  <c r="K282" i="13"/>
  <c r="A402" i="13"/>
  <c r="Y402" i="13" s="1"/>
  <c r="A386" i="13"/>
  <c r="Y386" i="13" s="1"/>
  <c r="A370" i="13"/>
  <c r="Y370" i="13" s="1"/>
  <c r="A354" i="13"/>
  <c r="Y354" i="13" s="1"/>
  <c r="A338" i="13"/>
  <c r="Y338" i="13" s="1"/>
  <c r="A322" i="13"/>
  <c r="Y322" i="13" s="1"/>
  <c r="A306" i="13"/>
  <c r="Y306" i="13" s="1"/>
  <c r="A290" i="13"/>
  <c r="Y290" i="13" s="1"/>
  <c r="A274" i="13"/>
  <c r="Y274" i="13" s="1"/>
  <c r="A258" i="13"/>
  <c r="Y258" i="13" s="1"/>
  <c r="A242" i="13"/>
  <c r="Y242" i="13" s="1"/>
  <c r="A226" i="13"/>
  <c r="Y226" i="13" s="1"/>
  <c r="A210" i="13"/>
  <c r="Y210" i="13" s="1"/>
  <c r="A194" i="13"/>
  <c r="Y194" i="13" s="1"/>
  <c r="A178" i="13"/>
  <c r="Y178" i="13" s="1"/>
  <c r="A162" i="13"/>
  <c r="Y162" i="13" s="1"/>
  <c r="A146" i="13"/>
  <c r="Y146" i="13" s="1"/>
  <c r="A130" i="13"/>
  <c r="Y130" i="13" s="1"/>
  <c r="A114" i="13"/>
  <c r="Y114" i="13" s="1"/>
  <c r="A98" i="13"/>
  <c r="Y98" i="13" s="1"/>
  <c r="A82" i="13"/>
  <c r="Y82" i="13" s="1"/>
  <c r="A66" i="13"/>
  <c r="Y66" i="13" s="1"/>
  <c r="A50" i="13"/>
  <c r="Y50" i="13" s="1"/>
  <c r="A34" i="13"/>
  <c r="Y34" i="13" s="1"/>
  <c r="A18" i="13"/>
  <c r="Y18" i="13" s="1"/>
  <c r="C2" i="13"/>
  <c r="C413" i="13"/>
  <c r="C397" i="13"/>
  <c r="C381" i="13"/>
  <c r="C365" i="13"/>
  <c r="C349" i="13"/>
  <c r="C333" i="13"/>
  <c r="C317" i="13"/>
  <c r="C301" i="13"/>
  <c r="C284" i="13"/>
  <c r="C263" i="13"/>
  <c r="C231" i="13"/>
  <c r="C199" i="13"/>
  <c r="C164" i="13"/>
  <c r="C118" i="13"/>
  <c r="C55" i="13"/>
  <c r="F386" i="13"/>
  <c r="Q367" i="13"/>
  <c r="O332" i="13"/>
  <c r="J282" i="13"/>
  <c r="A401" i="13"/>
  <c r="Y401" i="13" s="1"/>
  <c r="A385" i="13"/>
  <c r="Y385" i="13" s="1"/>
  <c r="A369" i="13"/>
  <c r="Y369" i="13" s="1"/>
  <c r="A353" i="13"/>
  <c r="Y353" i="13" s="1"/>
  <c r="A337" i="13"/>
  <c r="Y337" i="13" s="1"/>
  <c r="A321" i="13"/>
  <c r="Y321" i="13" s="1"/>
  <c r="A305" i="13"/>
  <c r="Y305" i="13" s="1"/>
  <c r="A289" i="13"/>
  <c r="Y289" i="13" s="1"/>
  <c r="A273" i="13"/>
  <c r="Y273" i="13" s="1"/>
  <c r="A257" i="13"/>
  <c r="Y257" i="13" s="1"/>
  <c r="A241" i="13"/>
  <c r="Y241" i="13" s="1"/>
  <c r="A225" i="13"/>
  <c r="Y225" i="13" s="1"/>
  <c r="A209" i="13"/>
  <c r="Y209" i="13" s="1"/>
  <c r="A193" i="13"/>
  <c r="Y193" i="13" s="1"/>
  <c r="A177" i="13"/>
  <c r="Y177" i="13" s="1"/>
  <c r="A161" i="13"/>
  <c r="Y161" i="13" s="1"/>
  <c r="A145" i="13"/>
  <c r="Y145" i="13" s="1"/>
  <c r="A129" i="13"/>
  <c r="Y129" i="13" s="1"/>
  <c r="A113" i="13"/>
  <c r="Y113" i="13" s="1"/>
  <c r="A97" i="13"/>
  <c r="Y97" i="13" s="1"/>
  <c r="A81" i="13"/>
  <c r="Y81" i="13" s="1"/>
  <c r="A65" i="13"/>
  <c r="Y65" i="13" s="1"/>
  <c r="A49" i="13"/>
  <c r="Y49" i="13" s="1"/>
  <c r="A33" i="13"/>
  <c r="Y33" i="13" s="1"/>
  <c r="A17" i="13"/>
  <c r="Y17" i="13" s="1"/>
  <c r="C412" i="13"/>
  <c r="C396" i="13"/>
  <c r="C380" i="13"/>
  <c r="C364" i="13"/>
  <c r="C348" i="13"/>
  <c r="C332" i="13"/>
  <c r="C316" i="13"/>
  <c r="C300" i="13"/>
  <c r="C283" i="13"/>
  <c r="C262" i="13"/>
  <c r="C230" i="13"/>
  <c r="C198" i="13"/>
  <c r="C153" i="13"/>
  <c r="C116" i="13"/>
  <c r="C54" i="13"/>
  <c r="K401" i="13"/>
  <c r="H383" i="13"/>
  <c r="P367" i="13"/>
  <c r="AE367" i="13" s="1"/>
  <c r="F326" i="13"/>
  <c r="T2" i="13"/>
  <c r="T18" i="13"/>
  <c r="T34" i="13"/>
  <c r="T50" i="13"/>
  <c r="T66" i="13"/>
  <c r="T82" i="13"/>
  <c r="T98" i="13"/>
  <c r="T114" i="13"/>
  <c r="T130" i="13"/>
  <c r="T146" i="13"/>
  <c r="T162" i="13"/>
  <c r="T178" i="13"/>
  <c r="T194" i="13"/>
  <c r="T210" i="13"/>
  <c r="T226" i="13"/>
  <c r="T242" i="13"/>
  <c r="T258" i="13"/>
  <c r="T274" i="13"/>
  <c r="T290" i="13"/>
  <c r="T306" i="13"/>
  <c r="T322" i="13"/>
  <c r="T338" i="13"/>
  <c r="T354" i="13"/>
  <c r="T370" i="13"/>
  <c r="T386" i="13"/>
  <c r="T402" i="13"/>
  <c r="U17" i="13"/>
  <c r="U33" i="13"/>
  <c r="U49" i="13"/>
  <c r="U65" i="13"/>
  <c r="U81" i="13"/>
  <c r="U97" i="13"/>
  <c r="U113" i="13"/>
  <c r="U129" i="13"/>
  <c r="U145" i="13"/>
  <c r="U161" i="13"/>
  <c r="U177" i="13"/>
  <c r="U193" i="13"/>
  <c r="U209" i="13"/>
  <c r="U225" i="13"/>
  <c r="U241" i="13"/>
  <c r="U257" i="13"/>
  <c r="U273" i="13"/>
  <c r="U289" i="13"/>
  <c r="U305" i="13"/>
  <c r="U321" i="13"/>
  <c r="U337" i="13"/>
  <c r="U353" i="13"/>
  <c r="U369" i="13"/>
  <c r="U385" i="13"/>
  <c r="U401" i="13"/>
  <c r="T3" i="13"/>
  <c r="T19" i="13"/>
  <c r="T35" i="13"/>
  <c r="T51" i="13"/>
  <c r="T67" i="13"/>
  <c r="T83" i="13"/>
  <c r="T99" i="13"/>
  <c r="T115" i="13"/>
  <c r="T131" i="13"/>
  <c r="T147" i="13"/>
  <c r="T163" i="13"/>
  <c r="T179" i="13"/>
  <c r="T195" i="13"/>
  <c r="T211" i="13"/>
  <c r="T227" i="13"/>
  <c r="T243" i="13"/>
  <c r="T259" i="13"/>
  <c r="T275" i="13"/>
  <c r="T291" i="13"/>
  <c r="T307" i="13"/>
  <c r="T323" i="13"/>
  <c r="T339" i="13"/>
  <c r="T355" i="13"/>
  <c r="T371" i="13"/>
  <c r="T387" i="13"/>
  <c r="T403" i="13"/>
  <c r="U18" i="13"/>
  <c r="U34" i="13"/>
  <c r="U50" i="13"/>
  <c r="U66" i="13"/>
  <c r="U82" i="13"/>
  <c r="U98" i="13"/>
  <c r="U114" i="13"/>
  <c r="U130" i="13"/>
  <c r="U146" i="13"/>
  <c r="U162" i="13"/>
  <c r="U178" i="13"/>
  <c r="U194" i="13"/>
  <c r="U210" i="13"/>
  <c r="U226" i="13"/>
  <c r="U242" i="13"/>
  <c r="U258" i="13"/>
  <c r="U274" i="13"/>
  <c r="U290" i="13"/>
  <c r="U306" i="13"/>
  <c r="U322" i="13"/>
  <c r="U338" i="13"/>
  <c r="U354" i="13"/>
  <c r="U370" i="13"/>
  <c r="U386" i="13"/>
  <c r="U402" i="13"/>
  <c r="T4" i="13"/>
  <c r="T20" i="13"/>
  <c r="T36" i="13"/>
  <c r="T52" i="13"/>
  <c r="T68" i="13"/>
  <c r="T84" i="13"/>
  <c r="T100" i="13"/>
  <c r="T116" i="13"/>
  <c r="T132" i="13"/>
  <c r="T148" i="13"/>
  <c r="T164" i="13"/>
  <c r="T180" i="13"/>
  <c r="T196" i="13"/>
  <c r="T212" i="13"/>
  <c r="T228" i="13"/>
  <c r="T244" i="13"/>
  <c r="T260" i="13"/>
  <c r="T276" i="13"/>
  <c r="T292" i="13"/>
  <c r="T308" i="13"/>
  <c r="T324" i="13"/>
  <c r="T340" i="13"/>
  <c r="T356" i="13"/>
  <c r="T372" i="13"/>
  <c r="T388" i="13"/>
  <c r="T404" i="13"/>
  <c r="U3" i="13"/>
  <c r="U19" i="13"/>
  <c r="U35" i="13"/>
  <c r="U51" i="13"/>
  <c r="U67" i="13"/>
  <c r="U83" i="13"/>
  <c r="U99" i="13"/>
  <c r="U115" i="13"/>
  <c r="U131" i="13"/>
  <c r="U147" i="13"/>
  <c r="U163" i="13"/>
  <c r="U179" i="13"/>
  <c r="U195" i="13"/>
  <c r="U211" i="13"/>
  <c r="U227" i="13"/>
  <c r="U243" i="13"/>
  <c r="U259" i="13"/>
  <c r="U275" i="13"/>
  <c r="U291" i="13"/>
  <c r="U307" i="13"/>
  <c r="U323" i="13"/>
  <c r="U339" i="13"/>
  <c r="U355" i="13"/>
  <c r="U371" i="13"/>
  <c r="U387" i="13"/>
  <c r="U403" i="13"/>
  <c r="T5" i="13"/>
  <c r="T21" i="13"/>
  <c r="T37" i="13"/>
  <c r="T53" i="13"/>
  <c r="T69" i="13"/>
  <c r="T85" i="13"/>
  <c r="T101" i="13"/>
  <c r="T117" i="13"/>
  <c r="T133" i="13"/>
  <c r="T149" i="13"/>
  <c r="T165" i="13"/>
  <c r="T181" i="13"/>
  <c r="T197" i="13"/>
  <c r="T213" i="13"/>
  <c r="T229" i="13"/>
  <c r="T245" i="13"/>
  <c r="T261" i="13"/>
  <c r="T277" i="13"/>
  <c r="T293" i="13"/>
  <c r="T309" i="13"/>
  <c r="T325" i="13"/>
  <c r="T341" i="13"/>
  <c r="T357" i="13"/>
  <c r="T373" i="13"/>
  <c r="T389" i="13"/>
  <c r="T405" i="13"/>
  <c r="U4" i="13"/>
  <c r="U20" i="13"/>
  <c r="U36" i="13"/>
  <c r="U52" i="13"/>
  <c r="U68" i="13"/>
  <c r="U84" i="13"/>
  <c r="U100" i="13"/>
  <c r="U116" i="13"/>
  <c r="U132" i="13"/>
  <c r="U148" i="13"/>
  <c r="U164" i="13"/>
  <c r="U180" i="13"/>
  <c r="U196" i="13"/>
  <c r="U212" i="13"/>
  <c r="U228" i="13"/>
  <c r="U244" i="13"/>
  <c r="U260" i="13"/>
  <c r="U276" i="13"/>
  <c r="U292" i="13"/>
  <c r="U308" i="13"/>
  <c r="U324" i="13"/>
  <c r="U340" i="13"/>
  <c r="U356" i="13"/>
  <c r="U372" i="13"/>
  <c r="U388" i="13"/>
  <c r="U404" i="13"/>
  <c r="T6" i="13"/>
  <c r="T22" i="13"/>
  <c r="T38" i="13"/>
  <c r="T54" i="13"/>
  <c r="T70" i="13"/>
  <c r="T86" i="13"/>
  <c r="T102" i="13"/>
  <c r="T118" i="13"/>
  <c r="T134" i="13"/>
  <c r="T150" i="13"/>
  <c r="T166" i="13"/>
  <c r="T182" i="13"/>
  <c r="T198" i="13"/>
  <c r="T214" i="13"/>
  <c r="T230" i="13"/>
  <c r="T246" i="13"/>
  <c r="T262" i="13"/>
  <c r="T278" i="13"/>
  <c r="T294" i="13"/>
  <c r="T310" i="13"/>
  <c r="T326" i="13"/>
  <c r="T342" i="13"/>
  <c r="T358" i="13"/>
  <c r="T374" i="13"/>
  <c r="T390" i="13"/>
  <c r="T406" i="13"/>
  <c r="U5" i="13"/>
  <c r="U21" i="13"/>
  <c r="U37" i="13"/>
  <c r="U53" i="13"/>
  <c r="U69" i="13"/>
  <c r="U85" i="13"/>
  <c r="U101" i="13"/>
  <c r="U117" i="13"/>
  <c r="U133" i="13"/>
  <c r="U149" i="13"/>
  <c r="U165" i="13"/>
  <c r="U181" i="13"/>
  <c r="U197" i="13"/>
  <c r="U213" i="13"/>
  <c r="U229" i="13"/>
  <c r="U245" i="13"/>
  <c r="U261" i="13"/>
  <c r="U277" i="13"/>
  <c r="U293" i="13"/>
  <c r="U309" i="13"/>
  <c r="U325" i="13"/>
  <c r="U341" i="13"/>
  <c r="U357" i="13"/>
  <c r="U373" i="13"/>
  <c r="U389" i="13"/>
  <c r="U405" i="13"/>
  <c r="T7" i="13"/>
  <c r="T23" i="13"/>
  <c r="T39" i="13"/>
  <c r="T55" i="13"/>
  <c r="T71" i="13"/>
  <c r="T87" i="13"/>
  <c r="T103" i="13"/>
  <c r="T119" i="13"/>
  <c r="T135" i="13"/>
  <c r="T151" i="13"/>
  <c r="T167" i="13"/>
  <c r="T183" i="13"/>
  <c r="T199" i="13"/>
  <c r="T215" i="13"/>
  <c r="T231" i="13"/>
  <c r="T247" i="13"/>
  <c r="T263" i="13"/>
  <c r="T279" i="13"/>
  <c r="T295" i="13"/>
  <c r="T311" i="13"/>
  <c r="T327" i="13"/>
  <c r="T343" i="13"/>
  <c r="T359" i="13"/>
  <c r="T375" i="13"/>
  <c r="T391" i="13"/>
  <c r="T407" i="13"/>
  <c r="U6" i="13"/>
  <c r="U22" i="13"/>
  <c r="U38" i="13"/>
  <c r="U54" i="13"/>
  <c r="U70" i="13"/>
  <c r="U86" i="13"/>
  <c r="U102" i="13"/>
  <c r="U118" i="13"/>
  <c r="U134" i="13"/>
  <c r="U150" i="13"/>
  <c r="U166" i="13"/>
  <c r="U182" i="13"/>
  <c r="U198" i="13"/>
  <c r="U214" i="13"/>
  <c r="U230" i="13"/>
  <c r="U246" i="13"/>
  <c r="U262" i="13"/>
  <c r="U278" i="13"/>
  <c r="U294" i="13"/>
  <c r="U310" i="13"/>
  <c r="U326" i="13"/>
  <c r="U342" i="13"/>
  <c r="U358" i="13"/>
  <c r="U374" i="13"/>
  <c r="U390" i="13"/>
  <c r="U406" i="13"/>
  <c r="T8" i="13"/>
  <c r="T24" i="13"/>
  <c r="T40" i="13"/>
  <c r="T56" i="13"/>
  <c r="T72" i="13"/>
  <c r="T88" i="13"/>
  <c r="T104" i="13"/>
  <c r="T120" i="13"/>
  <c r="T136" i="13"/>
  <c r="T152" i="13"/>
  <c r="T168" i="13"/>
  <c r="T184" i="13"/>
  <c r="T200" i="13"/>
  <c r="T216" i="13"/>
  <c r="T232" i="13"/>
  <c r="T248" i="13"/>
  <c r="T264" i="13"/>
  <c r="T280" i="13"/>
  <c r="T296" i="13"/>
  <c r="T312" i="13"/>
  <c r="T328" i="13"/>
  <c r="T344" i="13"/>
  <c r="T360" i="13"/>
  <c r="T376" i="13"/>
  <c r="T392" i="13"/>
  <c r="T408" i="13"/>
  <c r="U7" i="13"/>
  <c r="U23" i="13"/>
  <c r="U39" i="13"/>
  <c r="U55" i="13"/>
  <c r="U71" i="13"/>
  <c r="U87" i="13"/>
  <c r="U103" i="13"/>
  <c r="U119" i="13"/>
  <c r="U135" i="13"/>
  <c r="U151" i="13"/>
  <c r="U167" i="13"/>
  <c r="U183" i="13"/>
  <c r="U199" i="13"/>
  <c r="U215" i="13"/>
  <c r="U231" i="13"/>
  <c r="U247" i="13"/>
  <c r="U263" i="13"/>
  <c r="U279" i="13"/>
  <c r="U295" i="13"/>
  <c r="U311" i="13"/>
  <c r="U327" i="13"/>
  <c r="U343" i="13"/>
  <c r="U359" i="13"/>
  <c r="U375" i="13"/>
  <c r="U391" i="13"/>
  <c r="U407" i="13"/>
  <c r="T9" i="13"/>
  <c r="T25" i="13"/>
  <c r="T41" i="13"/>
  <c r="T57" i="13"/>
  <c r="T73" i="13"/>
  <c r="T89" i="13"/>
  <c r="T105" i="13"/>
  <c r="T121" i="13"/>
  <c r="T137" i="13"/>
  <c r="T153" i="13"/>
  <c r="T169" i="13"/>
  <c r="T185" i="13"/>
  <c r="T201" i="13"/>
  <c r="T217" i="13"/>
  <c r="T233" i="13"/>
  <c r="T249" i="13"/>
  <c r="T265" i="13"/>
  <c r="T281" i="13"/>
  <c r="T297" i="13"/>
  <c r="T313" i="13"/>
  <c r="T329" i="13"/>
  <c r="T345" i="13"/>
  <c r="T361" i="13"/>
  <c r="T377" i="13"/>
  <c r="T393" i="13"/>
  <c r="T409" i="13"/>
  <c r="U8" i="13"/>
  <c r="U24" i="13"/>
  <c r="U40" i="13"/>
  <c r="U56" i="13"/>
  <c r="U72" i="13"/>
  <c r="U88" i="13"/>
  <c r="U104" i="13"/>
  <c r="U120" i="13"/>
  <c r="U136" i="13"/>
  <c r="U152" i="13"/>
  <c r="U168" i="13"/>
  <c r="U184" i="13"/>
  <c r="U200" i="13"/>
  <c r="U216" i="13"/>
  <c r="U232" i="13"/>
  <c r="U248" i="13"/>
  <c r="U264" i="13"/>
  <c r="U280" i="13"/>
  <c r="U296" i="13"/>
  <c r="U312" i="13"/>
  <c r="U328" i="13"/>
  <c r="U344" i="13"/>
  <c r="U360" i="13"/>
  <c r="U376" i="13"/>
  <c r="U392" i="13"/>
  <c r="U408" i="13"/>
  <c r="T10" i="13"/>
  <c r="T26" i="13"/>
  <c r="T42" i="13"/>
  <c r="T58" i="13"/>
  <c r="T74" i="13"/>
  <c r="T90" i="13"/>
  <c r="T106" i="13"/>
  <c r="T122" i="13"/>
  <c r="T138" i="13"/>
  <c r="T154" i="13"/>
  <c r="T170" i="13"/>
  <c r="T186" i="13"/>
  <c r="T202" i="13"/>
  <c r="T218" i="13"/>
  <c r="T234" i="13"/>
  <c r="T250" i="13"/>
  <c r="T266" i="13"/>
  <c r="T282" i="13"/>
  <c r="T298" i="13"/>
  <c r="T314" i="13"/>
  <c r="T330" i="13"/>
  <c r="T346" i="13"/>
  <c r="T362" i="13"/>
  <c r="T378" i="13"/>
  <c r="T394" i="13"/>
  <c r="T410" i="13"/>
  <c r="U9" i="13"/>
  <c r="U25" i="13"/>
  <c r="U41" i="13"/>
  <c r="U57" i="13"/>
  <c r="U73" i="13"/>
  <c r="U89" i="13"/>
  <c r="U105" i="13"/>
  <c r="U121" i="13"/>
  <c r="U137" i="13"/>
  <c r="U153" i="13"/>
  <c r="U169" i="13"/>
  <c r="U185" i="13"/>
  <c r="U201" i="13"/>
  <c r="U217" i="13"/>
  <c r="U233" i="13"/>
  <c r="U249" i="13"/>
  <c r="U265" i="13"/>
  <c r="U281" i="13"/>
  <c r="U297" i="13"/>
  <c r="U313" i="13"/>
  <c r="U329" i="13"/>
  <c r="U345" i="13"/>
  <c r="U361" i="13"/>
  <c r="U377" i="13"/>
  <c r="U393" i="13"/>
  <c r="U409" i="13"/>
  <c r="T11" i="13"/>
  <c r="T27" i="13"/>
  <c r="T43" i="13"/>
  <c r="T59" i="13"/>
  <c r="T75" i="13"/>
  <c r="T91" i="13"/>
  <c r="T107" i="13"/>
  <c r="T123" i="13"/>
  <c r="T139" i="13"/>
  <c r="T155" i="13"/>
  <c r="T171" i="13"/>
  <c r="T187" i="13"/>
  <c r="T203" i="13"/>
  <c r="T219" i="13"/>
  <c r="T235" i="13"/>
  <c r="T251" i="13"/>
  <c r="T267" i="13"/>
  <c r="T283" i="13"/>
  <c r="T299" i="13"/>
  <c r="T315" i="13"/>
  <c r="T331" i="13"/>
  <c r="T347" i="13"/>
  <c r="T363" i="13"/>
  <c r="T379" i="13"/>
  <c r="T395" i="13"/>
  <c r="T411" i="13"/>
  <c r="U10" i="13"/>
  <c r="U26" i="13"/>
  <c r="U42" i="13"/>
  <c r="U58" i="13"/>
  <c r="U74" i="13"/>
  <c r="U90" i="13"/>
  <c r="U106" i="13"/>
  <c r="U122" i="13"/>
  <c r="U138" i="13"/>
  <c r="U154" i="13"/>
  <c r="U170" i="13"/>
  <c r="U186" i="13"/>
  <c r="U202" i="13"/>
  <c r="U218" i="13"/>
  <c r="U234" i="13"/>
  <c r="U250" i="13"/>
  <c r="U266" i="13"/>
  <c r="U282" i="13"/>
  <c r="U298" i="13"/>
  <c r="U314" i="13"/>
  <c r="U330" i="13"/>
  <c r="U346" i="13"/>
  <c r="U362" i="13"/>
  <c r="U378" i="13"/>
  <c r="U394" i="13"/>
  <c r="U410" i="13"/>
  <c r="T12" i="13"/>
  <c r="T28" i="13"/>
  <c r="T44" i="13"/>
  <c r="T60" i="13"/>
  <c r="T76" i="13"/>
  <c r="T92" i="13"/>
  <c r="T108" i="13"/>
  <c r="T124" i="13"/>
  <c r="T140" i="13"/>
  <c r="T156" i="13"/>
  <c r="T172" i="13"/>
  <c r="T188" i="13"/>
  <c r="T204" i="13"/>
  <c r="T220" i="13"/>
  <c r="T236" i="13"/>
  <c r="T252" i="13"/>
  <c r="T268" i="13"/>
  <c r="T284" i="13"/>
  <c r="T300" i="13"/>
  <c r="T316" i="13"/>
  <c r="T332" i="13"/>
  <c r="T348" i="13"/>
  <c r="T364" i="13"/>
  <c r="T380" i="13"/>
  <c r="T396" i="13"/>
  <c r="T412" i="13"/>
  <c r="U11" i="13"/>
  <c r="U27" i="13"/>
  <c r="U43" i="13"/>
  <c r="U59" i="13"/>
  <c r="U75" i="13"/>
  <c r="U91" i="13"/>
  <c r="U107" i="13"/>
  <c r="U123" i="13"/>
  <c r="U139" i="13"/>
  <c r="U155" i="13"/>
  <c r="U171" i="13"/>
  <c r="U187" i="13"/>
  <c r="U203" i="13"/>
  <c r="U219" i="13"/>
  <c r="U235" i="13"/>
  <c r="U251" i="13"/>
  <c r="U267" i="13"/>
  <c r="U283" i="13"/>
  <c r="U299" i="13"/>
  <c r="U315" i="13"/>
  <c r="U331" i="13"/>
  <c r="U347" i="13"/>
  <c r="U363" i="13"/>
  <c r="U379" i="13"/>
  <c r="U395" i="13"/>
  <c r="U411" i="13"/>
  <c r="T13" i="13"/>
  <c r="T29" i="13"/>
  <c r="T45" i="13"/>
  <c r="T61" i="13"/>
  <c r="T77" i="13"/>
  <c r="T93" i="13"/>
  <c r="T109" i="13"/>
  <c r="T125" i="13"/>
  <c r="T141" i="13"/>
  <c r="T157" i="13"/>
  <c r="T173" i="13"/>
  <c r="T189" i="13"/>
  <c r="T205" i="13"/>
  <c r="T221" i="13"/>
  <c r="T237" i="13"/>
  <c r="T253" i="13"/>
  <c r="T269" i="13"/>
  <c r="T285" i="13"/>
  <c r="T301" i="13"/>
  <c r="T317" i="13"/>
  <c r="T333" i="13"/>
  <c r="T349" i="13"/>
  <c r="T365" i="13"/>
  <c r="T381" i="13"/>
  <c r="T397" i="13"/>
  <c r="T413" i="13"/>
  <c r="U12" i="13"/>
  <c r="U28" i="13"/>
  <c r="U44" i="13"/>
  <c r="U60" i="13"/>
  <c r="U76" i="13"/>
  <c r="U92" i="13"/>
  <c r="U108" i="13"/>
  <c r="U124" i="13"/>
  <c r="U140" i="13"/>
  <c r="U156" i="13"/>
  <c r="U172" i="13"/>
  <c r="U188" i="13"/>
  <c r="U204" i="13"/>
  <c r="U220" i="13"/>
  <c r="U236" i="13"/>
  <c r="U252" i="13"/>
  <c r="U268" i="13"/>
  <c r="U284" i="13"/>
  <c r="U300" i="13"/>
  <c r="U316" i="13"/>
  <c r="U332" i="13"/>
  <c r="U348" i="13"/>
  <c r="U364" i="13"/>
  <c r="U380" i="13"/>
  <c r="U396" i="13"/>
  <c r="U412" i="13"/>
  <c r="T14" i="13"/>
  <c r="T30" i="13"/>
  <c r="T46" i="13"/>
  <c r="T62" i="13"/>
  <c r="T78" i="13"/>
  <c r="T94" i="13"/>
  <c r="T110" i="13"/>
  <c r="T126" i="13"/>
  <c r="T142" i="13"/>
  <c r="T158" i="13"/>
  <c r="T174" i="13"/>
  <c r="T190" i="13"/>
  <c r="T206" i="13"/>
  <c r="T222" i="13"/>
  <c r="T238" i="13"/>
  <c r="T254" i="13"/>
  <c r="T270" i="13"/>
  <c r="T286" i="13"/>
  <c r="T302" i="13"/>
  <c r="T318" i="13"/>
  <c r="T334" i="13"/>
  <c r="T350" i="13"/>
  <c r="T366" i="13"/>
  <c r="T382" i="13"/>
  <c r="T398" i="13"/>
  <c r="T414" i="13"/>
  <c r="U13" i="13"/>
  <c r="U29" i="13"/>
  <c r="U45" i="13"/>
  <c r="U61" i="13"/>
  <c r="U77" i="13"/>
  <c r="U93" i="13"/>
  <c r="U109" i="13"/>
  <c r="U125" i="13"/>
  <c r="U141" i="13"/>
  <c r="U157" i="13"/>
  <c r="U173" i="13"/>
  <c r="U189" i="13"/>
  <c r="U205" i="13"/>
  <c r="U221" i="13"/>
  <c r="U237" i="13"/>
  <c r="U253" i="13"/>
  <c r="U269" i="13"/>
  <c r="U285" i="13"/>
  <c r="U301" i="13"/>
  <c r="U317" i="13"/>
  <c r="U333" i="13"/>
  <c r="U349" i="13"/>
  <c r="U365" i="13"/>
  <c r="U381" i="13"/>
  <c r="U397" i="13"/>
  <c r="U413" i="13"/>
  <c r="S12" i="13"/>
  <c r="S28" i="13"/>
  <c r="S44" i="13"/>
  <c r="S60" i="13"/>
  <c r="S76" i="13"/>
  <c r="S92" i="13"/>
  <c r="S108" i="13"/>
  <c r="S124" i="13"/>
  <c r="S140" i="13"/>
  <c r="S156" i="13"/>
  <c r="S172" i="13"/>
  <c r="S188" i="13"/>
  <c r="S204" i="13"/>
  <c r="S220" i="13"/>
  <c r="S236" i="13"/>
  <c r="S252" i="13"/>
  <c r="S268" i="13"/>
  <c r="S284" i="13"/>
  <c r="S300" i="13"/>
  <c r="S316" i="13"/>
  <c r="S332" i="13"/>
  <c r="S348" i="13"/>
  <c r="S364" i="13"/>
  <c r="T15" i="13"/>
  <c r="T31" i="13"/>
  <c r="T47" i="13"/>
  <c r="T63" i="13"/>
  <c r="T79" i="13"/>
  <c r="T95" i="13"/>
  <c r="T111" i="13"/>
  <c r="T127" i="13"/>
  <c r="T143" i="13"/>
  <c r="T159" i="13"/>
  <c r="T175" i="13"/>
  <c r="T191" i="13"/>
  <c r="T207" i="13"/>
  <c r="T223" i="13"/>
  <c r="T239" i="13"/>
  <c r="T255" i="13"/>
  <c r="T271" i="13"/>
  <c r="T287" i="13"/>
  <c r="T303" i="13"/>
  <c r="T319" i="13"/>
  <c r="T335" i="13"/>
  <c r="T351" i="13"/>
  <c r="T367" i="13"/>
  <c r="T383" i="13"/>
  <c r="T399" i="13"/>
  <c r="T415" i="13"/>
  <c r="T16" i="13"/>
  <c r="T144" i="13"/>
  <c r="T272" i="13"/>
  <c r="T400" i="13"/>
  <c r="U64" i="13"/>
  <c r="U158" i="13"/>
  <c r="U239" i="13"/>
  <c r="U320" i="13"/>
  <c r="U414" i="13"/>
  <c r="S10" i="13"/>
  <c r="S27" i="13"/>
  <c r="S45" i="13"/>
  <c r="S62" i="13"/>
  <c r="S79" i="13"/>
  <c r="S96" i="13"/>
  <c r="S113" i="13"/>
  <c r="S130" i="13"/>
  <c r="S147" i="13"/>
  <c r="S164" i="13"/>
  <c r="S181" i="13"/>
  <c r="S198" i="13"/>
  <c r="S215" i="13"/>
  <c r="S232" i="13"/>
  <c r="S249" i="13"/>
  <c r="S266" i="13"/>
  <c r="S283" i="13"/>
  <c r="S301" i="13"/>
  <c r="S318" i="13"/>
  <c r="S335" i="13"/>
  <c r="S352" i="13"/>
  <c r="S369" i="13"/>
  <c r="S385" i="13"/>
  <c r="S401" i="13"/>
  <c r="R14" i="13"/>
  <c r="R30" i="13"/>
  <c r="R46" i="13"/>
  <c r="R62" i="13"/>
  <c r="R78" i="13"/>
  <c r="R94" i="13"/>
  <c r="R110" i="13"/>
  <c r="R126" i="13"/>
  <c r="R142" i="13"/>
  <c r="R158" i="13"/>
  <c r="R174" i="13"/>
  <c r="R190" i="13"/>
  <c r="R206" i="13"/>
  <c r="R222" i="13"/>
  <c r="R238" i="13"/>
  <c r="R254" i="13"/>
  <c r="R270" i="13"/>
  <c r="R286" i="13"/>
  <c r="R302" i="13"/>
  <c r="R318" i="13"/>
  <c r="R334" i="13"/>
  <c r="R350" i="13"/>
  <c r="R366" i="13"/>
  <c r="R382" i="13"/>
  <c r="R398" i="13"/>
  <c r="R414" i="13"/>
  <c r="T17" i="13"/>
  <c r="T145" i="13"/>
  <c r="T273" i="13"/>
  <c r="T401" i="13"/>
  <c r="U78" i="13"/>
  <c r="U159" i="13"/>
  <c r="U240" i="13"/>
  <c r="U334" i="13"/>
  <c r="U415" i="13"/>
  <c r="S11" i="13"/>
  <c r="S29" i="13"/>
  <c r="S46" i="13"/>
  <c r="S63" i="13"/>
  <c r="S80" i="13"/>
  <c r="S97" i="13"/>
  <c r="S114" i="13"/>
  <c r="S131" i="13"/>
  <c r="S148" i="13"/>
  <c r="S165" i="13"/>
  <c r="S182" i="13"/>
  <c r="S199" i="13"/>
  <c r="S216" i="13"/>
  <c r="S233" i="13"/>
  <c r="S250" i="13"/>
  <c r="S267" i="13"/>
  <c r="S285" i="13"/>
  <c r="S302" i="13"/>
  <c r="S319" i="13"/>
  <c r="S336" i="13"/>
  <c r="S353" i="13"/>
  <c r="S370" i="13"/>
  <c r="S386" i="13"/>
  <c r="S402" i="13"/>
  <c r="T32" i="13"/>
  <c r="T160" i="13"/>
  <c r="T288" i="13"/>
  <c r="U79" i="13"/>
  <c r="U160" i="13"/>
  <c r="U254" i="13"/>
  <c r="U335" i="13"/>
  <c r="S13" i="13"/>
  <c r="S30" i="13"/>
  <c r="S47" i="13"/>
  <c r="S64" i="13"/>
  <c r="S81" i="13"/>
  <c r="S98" i="13"/>
  <c r="S115" i="13"/>
  <c r="S132" i="13"/>
  <c r="S149" i="13"/>
  <c r="S166" i="13"/>
  <c r="S183" i="13"/>
  <c r="S200" i="13"/>
  <c r="S217" i="13"/>
  <c r="S234" i="13"/>
  <c r="S251" i="13"/>
  <c r="S269" i="13"/>
  <c r="S286" i="13"/>
  <c r="S303" i="13"/>
  <c r="S320" i="13"/>
  <c r="S337" i="13"/>
  <c r="S354" i="13"/>
  <c r="S371" i="13"/>
  <c r="S387" i="13"/>
  <c r="S403" i="13"/>
  <c r="R16" i="13"/>
  <c r="R32" i="13"/>
  <c r="R48" i="13"/>
  <c r="R64" i="13"/>
  <c r="R80" i="13"/>
  <c r="R96" i="13"/>
  <c r="R112" i="13"/>
  <c r="R128" i="13"/>
  <c r="R144" i="13"/>
  <c r="R160" i="13"/>
  <c r="R176" i="13"/>
  <c r="R192" i="13"/>
  <c r="R208" i="13"/>
  <c r="R224" i="13"/>
  <c r="R240" i="13"/>
  <c r="R256" i="13"/>
  <c r="R272" i="13"/>
  <c r="R288" i="13"/>
  <c r="R304" i="13"/>
  <c r="R320" i="13"/>
  <c r="R336" i="13"/>
  <c r="R352" i="13"/>
  <c r="R368" i="13"/>
  <c r="R384" i="13"/>
  <c r="R400" i="13"/>
  <c r="T33" i="13"/>
  <c r="T161" i="13"/>
  <c r="T289" i="13"/>
  <c r="U80" i="13"/>
  <c r="U174" i="13"/>
  <c r="U255" i="13"/>
  <c r="U336" i="13"/>
  <c r="S14" i="13"/>
  <c r="S31" i="13"/>
  <c r="S48" i="13"/>
  <c r="S65" i="13"/>
  <c r="S82" i="13"/>
  <c r="S99" i="13"/>
  <c r="S116" i="13"/>
  <c r="S133" i="13"/>
  <c r="S150" i="13"/>
  <c r="S167" i="13"/>
  <c r="S184" i="13"/>
  <c r="S201" i="13"/>
  <c r="S218" i="13"/>
  <c r="S235" i="13"/>
  <c r="S253" i="13"/>
  <c r="S270" i="13"/>
  <c r="S287" i="13"/>
  <c r="S304" i="13"/>
  <c r="S321" i="13"/>
  <c r="S338" i="13"/>
  <c r="S355" i="13"/>
  <c r="S372" i="13"/>
  <c r="S388" i="13"/>
  <c r="S404" i="13"/>
  <c r="S2" i="13"/>
  <c r="R17" i="13"/>
  <c r="R33" i="13"/>
  <c r="R49" i="13"/>
  <c r="R65" i="13"/>
  <c r="R81" i="13"/>
  <c r="R97" i="13"/>
  <c r="R113" i="13"/>
  <c r="R129" i="13"/>
  <c r="R145" i="13"/>
  <c r="R161" i="13"/>
  <c r="R177" i="13"/>
  <c r="R193" i="13"/>
  <c r="R209" i="13"/>
  <c r="R225" i="13"/>
  <c r="R241" i="13"/>
  <c r="R257" i="13"/>
  <c r="R273" i="13"/>
  <c r="R289" i="13"/>
  <c r="R305" i="13"/>
  <c r="R321" i="13"/>
  <c r="R337" i="13"/>
  <c r="R353" i="13"/>
  <c r="R369" i="13"/>
  <c r="R385" i="13"/>
  <c r="R401" i="13"/>
  <c r="T48" i="13"/>
  <c r="T176" i="13"/>
  <c r="T304" i="13"/>
  <c r="U94" i="13"/>
  <c r="U175" i="13"/>
  <c r="U256" i="13"/>
  <c r="U350" i="13"/>
  <c r="S15" i="13"/>
  <c r="S32" i="13"/>
  <c r="S49" i="13"/>
  <c r="S66" i="13"/>
  <c r="S83" i="13"/>
  <c r="S100" i="13"/>
  <c r="S117" i="13"/>
  <c r="S134" i="13"/>
  <c r="S151" i="13"/>
  <c r="S168" i="13"/>
  <c r="S185" i="13"/>
  <c r="S202" i="13"/>
  <c r="S219" i="13"/>
  <c r="S237" i="13"/>
  <c r="S254" i="13"/>
  <c r="S271" i="13"/>
  <c r="S288" i="13"/>
  <c r="S305" i="13"/>
  <c r="S322" i="13"/>
  <c r="S339" i="13"/>
  <c r="S356" i="13"/>
  <c r="S373" i="13"/>
  <c r="S389" i="13"/>
  <c r="S405" i="13"/>
  <c r="U2" i="13"/>
  <c r="R18" i="13"/>
  <c r="R34" i="13"/>
  <c r="R50" i="13"/>
  <c r="R66" i="13"/>
  <c r="R82" i="13"/>
  <c r="R98" i="13"/>
  <c r="R114" i="13"/>
  <c r="R130" i="13"/>
  <c r="R146" i="13"/>
  <c r="R162" i="13"/>
  <c r="R178" i="13"/>
  <c r="R194" i="13"/>
  <c r="R210" i="13"/>
  <c r="R226" i="13"/>
  <c r="R242" i="13"/>
  <c r="R258" i="13"/>
  <c r="R274" i="13"/>
  <c r="R290" i="13"/>
  <c r="R306" i="13"/>
  <c r="R322" i="13"/>
  <c r="R338" i="13"/>
  <c r="R354" i="13"/>
  <c r="R370" i="13"/>
  <c r="R386" i="13"/>
  <c r="R402" i="13"/>
  <c r="T49" i="13"/>
  <c r="T177" i="13"/>
  <c r="T305" i="13"/>
  <c r="U14" i="13"/>
  <c r="U95" i="13"/>
  <c r="U176" i="13"/>
  <c r="U270" i="13"/>
  <c r="U351" i="13"/>
  <c r="S16" i="13"/>
  <c r="S33" i="13"/>
  <c r="S50" i="13"/>
  <c r="S67" i="13"/>
  <c r="S84" i="13"/>
  <c r="S101" i="13"/>
  <c r="S118" i="13"/>
  <c r="S135" i="13"/>
  <c r="S152" i="13"/>
  <c r="S169" i="13"/>
  <c r="S186" i="13"/>
  <c r="S203" i="13"/>
  <c r="S221" i="13"/>
  <c r="S238" i="13"/>
  <c r="S255" i="13"/>
  <c r="S272" i="13"/>
  <c r="S289" i="13"/>
  <c r="S306" i="13"/>
  <c r="S323" i="13"/>
  <c r="S340" i="13"/>
  <c r="S357" i="13"/>
  <c r="S374" i="13"/>
  <c r="S390" i="13"/>
  <c r="S406" i="13"/>
  <c r="R3" i="13"/>
  <c r="R19" i="13"/>
  <c r="R35" i="13"/>
  <c r="R51" i="13"/>
  <c r="R67" i="13"/>
  <c r="R83" i="13"/>
  <c r="R99" i="13"/>
  <c r="R115" i="13"/>
  <c r="R131" i="13"/>
  <c r="R147" i="13"/>
  <c r="R163" i="13"/>
  <c r="R179" i="13"/>
  <c r="R195" i="13"/>
  <c r="R211" i="13"/>
  <c r="R227" i="13"/>
  <c r="R243" i="13"/>
  <c r="R259" i="13"/>
  <c r="R275" i="13"/>
  <c r="R291" i="13"/>
  <c r="R307" i="13"/>
  <c r="R323" i="13"/>
  <c r="R339" i="13"/>
  <c r="R355" i="13"/>
  <c r="R371" i="13"/>
  <c r="R387" i="13"/>
  <c r="R403" i="13"/>
  <c r="T64" i="13"/>
  <c r="T192" i="13"/>
  <c r="T320" i="13"/>
  <c r="U15" i="13"/>
  <c r="U96" i="13"/>
  <c r="U190" i="13"/>
  <c r="U271" i="13"/>
  <c r="U352" i="13"/>
  <c r="S17" i="13"/>
  <c r="S34" i="13"/>
  <c r="S51" i="13"/>
  <c r="S68" i="13"/>
  <c r="S85" i="13"/>
  <c r="S102" i="13"/>
  <c r="S119" i="13"/>
  <c r="S136" i="13"/>
  <c r="S153" i="13"/>
  <c r="S170" i="13"/>
  <c r="S187" i="13"/>
  <c r="S205" i="13"/>
  <c r="S222" i="13"/>
  <c r="S239" i="13"/>
  <c r="S256" i="13"/>
  <c r="S273" i="13"/>
  <c r="S290" i="13"/>
  <c r="S307" i="13"/>
  <c r="S324" i="13"/>
  <c r="S341" i="13"/>
  <c r="S358" i="13"/>
  <c r="S375" i="13"/>
  <c r="S391" i="13"/>
  <c r="S407" i="13"/>
  <c r="R4" i="13"/>
  <c r="R20" i="13"/>
  <c r="R36" i="13"/>
  <c r="R52" i="13"/>
  <c r="R68" i="13"/>
  <c r="R84" i="13"/>
  <c r="R100" i="13"/>
  <c r="R116" i="13"/>
  <c r="R132" i="13"/>
  <c r="R148" i="13"/>
  <c r="R164" i="13"/>
  <c r="R180" i="13"/>
  <c r="R196" i="13"/>
  <c r="R212" i="13"/>
  <c r="R228" i="13"/>
  <c r="R244" i="13"/>
  <c r="R260" i="13"/>
  <c r="R276" i="13"/>
  <c r="R292" i="13"/>
  <c r="R308" i="13"/>
  <c r="R324" i="13"/>
  <c r="R340" i="13"/>
  <c r="R356" i="13"/>
  <c r="R372" i="13"/>
  <c r="R388" i="13"/>
  <c r="R404" i="13"/>
  <c r="T65" i="13"/>
  <c r="T193" i="13"/>
  <c r="T321" i="13"/>
  <c r="U16" i="13"/>
  <c r="U110" i="13"/>
  <c r="U191" i="13"/>
  <c r="U272" i="13"/>
  <c r="U366" i="13"/>
  <c r="S18" i="13"/>
  <c r="S35" i="13"/>
  <c r="S52" i="13"/>
  <c r="S69" i="13"/>
  <c r="S86" i="13"/>
  <c r="S103" i="13"/>
  <c r="S120" i="13"/>
  <c r="S137" i="13"/>
  <c r="S154" i="13"/>
  <c r="S171" i="13"/>
  <c r="S189" i="13"/>
  <c r="S206" i="13"/>
  <c r="S223" i="13"/>
  <c r="S240" i="13"/>
  <c r="S257" i="13"/>
  <c r="S274" i="13"/>
  <c r="S291" i="13"/>
  <c r="S308" i="13"/>
  <c r="S325" i="13"/>
  <c r="S342" i="13"/>
  <c r="S359" i="13"/>
  <c r="S376" i="13"/>
  <c r="S392" i="13"/>
  <c r="S408" i="13"/>
  <c r="R5" i="13"/>
  <c r="R21" i="13"/>
  <c r="R37" i="13"/>
  <c r="R53" i="13"/>
  <c r="R69" i="13"/>
  <c r="R85" i="13"/>
  <c r="R101" i="13"/>
  <c r="R117" i="13"/>
  <c r="R133" i="13"/>
  <c r="R149" i="13"/>
  <c r="R165" i="13"/>
  <c r="R181" i="13"/>
  <c r="R197" i="13"/>
  <c r="R213" i="13"/>
  <c r="R229" i="13"/>
  <c r="R245" i="13"/>
  <c r="R261" i="13"/>
  <c r="R277" i="13"/>
  <c r="R293" i="13"/>
  <c r="R309" i="13"/>
  <c r="R325" i="13"/>
  <c r="R341" i="13"/>
  <c r="R357" i="13"/>
  <c r="R373" i="13"/>
  <c r="R389" i="13"/>
  <c r="R405" i="13"/>
  <c r="D3" i="13"/>
  <c r="M3" i="13"/>
  <c r="J5" i="13"/>
  <c r="E6" i="13"/>
  <c r="N6" i="13"/>
  <c r="K8" i="13"/>
  <c r="F9" i="13"/>
  <c r="O9" i="13"/>
  <c r="G12" i="13"/>
  <c r="T80" i="13"/>
  <c r="T208" i="13"/>
  <c r="T336" i="13"/>
  <c r="U30" i="13"/>
  <c r="U111" i="13"/>
  <c r="U192" i="13"/>
  <c r="U286" i="13"/>
  <c r="U367" i="13"/>
  <c r="S19" i="13"/>
  <c r="S36" i="13"/>
  <c r="S53" i="13"/>
  <c r="S70" i="13"/>
  <c r="S87" i="13"/>
  <c r="S104" i="13"/>
  <c r="S121" i="13"/>
  <c r="S138" i="13"/>
  <c r="S155" i="13"/>
  <c r="S173" i="13"/>
  <c r="S190" i="13"/>
  <c r="S207" i="13"/>
  <c r="S224" i="13"/>
  <c r="S241" i="13"/>
  <c r="S258" i="13"/>
  <c r="S275" i="13"/>
  <c r="S292" i="13"/>
  <c r="S309" i="13"/>
  <c r="S326" i="13"/>
  <c r="S343" i="13"/>
  <c r="S360" i="13"/>
  <c r="S377" i="13"/>
  <c r="S393" i="13"/>
  <c r="S409" i="13"/>
  <c r="R6" i="13"/>
  <c r="R22" i="13"/>
  <c r="R38" i="13"/>
  <c r="R54" i="13"/>
  <c r="R70" i="13"/>
  <c r="R86" i="13"/>
  <c r="R102" i="13"/>
  <c r="R118" i="13"/>
  <c r="R134" i="13"/>
  <c r="R150" i="13"/>
  <c r="R166" i="13"/>
  <c r="R182" i="13"/>
  <c r="R198" i="13"/>
  <c r="R214" i="13"/>
  <c r="R230" i="13"/>
  <c r="R246" i="13"/>
  <c r="R262" i="13"/>
  <c r="R278" i="13"/>
  <c r="R294" i="13"/>
  <c r="R310" i="13"/>
  <c r="R326" i="13"/>
  <c r="R342" i="13"/>
  <c r="R358" i="13"/>
  <c r="R374" i="13"/>
  <c r="R390" i="13"/>
  <c r="R406" i="13"/>
  <c r="T81" i="13"/>
  <c r="T209" i="13"/>
  <c r="T337" i="13"/>
  <c r="U31" i="13"/>
  <c r="U112" i="13"/>
  <c r="U206" i="13"/>
  <c r="U287" i="13"/>
  <c r="U368" i="13"/>
  <c r="S3" i="13"/>
  <c r="S20" i="13"/>
  <c r="S37" i="13"/>
  <c r="S54" i="13"/>
  <c r="S71" i="13"/>
  <c r="S88" i="13"/>
  <c r="S105" i="13"/>
  <c r="S122" i="13"/>
  <c r="S139" i="13"/>
  <c r="S157" i="13"/>
  <c r="S174" i="13"/>
  <c r="S191" i="13"/>
  <c r="S208" i="13"/>
  <c r="S225" i="13"/>
  <c r="S242" i="13"/>
  <c r="S259" i="13"/>
  <c r="S276" i="13"/>
  <c r="S293" i="13"/>
  <c r="S310" i="13"/>
  <c r="S327" i="13"/>
  <c r="S344" i="13"/>
  <c r="S361" i="13"/>
  <c r="S378" i="13"/>
  <c r="S394" i="13"/>
  <c r="S410" i="13"/>
  <c r="R7" i="13"/>
  <c r="R23" i="13"/>
  <c r="R39" i="13"/>
  <c r="R55" i="13"/>
  <c r="R71" i="13"/>
  <c r="R87" i="13"/>
  <c r="R103" i="13"/>
  <c r="R119" i="13"/>
  <c r="R135" i="13"/>
  <c r="R151" i="13"/>
  <c r="R167" i="13"/>
  <c r="R183" i="13"/>
  <c r="R199" i="13"/>
  <c r="R215" i="13"/>
  <c r="R231" i="13"/>
  <c r="R247" i="13"/>
  <c r="R263" i="13"/>
  <c r="R279" i="13"/>
  <c r="R295" i="13"/>
  <c r="R311" i="13"/>
  <c r="R327" i="13"/>
  <c r="R343" i="13"/>
  <c r="R359" i="13"/>
  <c r="R375" i="13"/>
  <c r="R391" i="13"/>
  <c r="R407" i="13"/>
  <c r="T96" i="13"/>
  <c r="T224" i="13"/>
  <c r="T352" i="13"/>
  <c r="U32" i="13"/>
  <c r="U126" i="13"/>
  <c r="U207" i="13"/>
  <c r="U288" i="13"/>
  <c r="U382" i="13"/>
  <c r="S4" i="13"/>
  <c r="S21" i="13"/>
  <c r="S38" i="13"/>
  <c r="S55" i="13"/>
  <c r="S72" i="13"/>
  <c r="S89" i="13"/>
  <c r="S106" i="13"/>
  <c r="S123" i="13"/>
  <c r="S141" i="13"/>
  <c r="S158" i="13"/>
  <c r="S175" i="13"/>
  <c r="S192" i="13"/>
  <c r="S209" i="13"/>
  <c r="S226" i="13"/>
  <c r="S243" i="13"/>
  <c r="S260" i="13"/>
  <c r="S277" i="13"/>
  <c r="S294" i="13"/>
  <c r="S311" i="13"/>
  <c r="S328" i="13"/>
  <c r="S345" i="13"/>
  <c r="S362" i="13"/>
  <c r="S379" i="13"/>
  <c r="S395" i="13"/>
  <c r="S411" i="13"/>
  <c r="R8" i="13"/>
  <c r="R24" i="13"/>
  <c r="R40" i="13"/>
  <c r="R56" i="13"/>
  <c r="R72" i="13"/>
  <c r="R88" i="13"/>
  <c r="R104" i="13"/>
  <c r="R120" i="13"/>
  <c r="R136" i="13"/>
  <c r="R152" i="13"/>
  <c r="R168" i="13"/>
  <c r="R184" i="13"/>
  <c r="R200" i="13"/>
  <c r="R216" i="13"/>
  <c r="R232" i="13"/>
  <c r="R248" i="13"/>
  <c r="R264" i="13"/>
  <c r="R280" i="13"/>
  <c r="R296" i="13"/>
  <c r="R312" i="13"/>
  <c r="R328" i="13"/>
  <c r="R344" i="13"/>
  <c r="R360" i="13"/>
  <c r="R376" i="13"/>
  <c r="R392" i="13"/>
  <c r="R408" i="13"/>
  <c r="T97" i="13"/>
  <c r="T225" i="13"/>
  <c r="T353" i="13"/>
  <c r="U46" i="13"/>
  <c r="U127" i="13"/>
  <c r="U208" i="13"/>
  <c r="U302" i="13"/>
  <c r="U383" i="13"/>
  <c r="S5" i="13"/>
  <c r="S22" i="13"/>
  <c r="S39" i="13"/>
  <c r="S56" i="13"/>
  <c r="S73" i="13"/>
  <c r="S90" i="13"/>
  <c r="S107" i="13"/>
  <c r="S125" i="13"/>
  <c r="S142" i="13"/>
  <c r="S159" i="13"/>
  <c r="S176" i="13"/>
  <c r="S193" i="13"/>
  <c r="S210" i="13"/>
  <c r="S227" i="13"/>
  <c r="S244" i="13"/>
  <c r="S261" i="13"/>
  <c r="S278" i="13"/>
  <c r="S295" i="13"/>
  <c r="S312" i="13"/>
  <c r="S329" i="13"/>
  <c r="S346" i="13"/>
  <c r="S363" i="13"/>
  <c r="S380" i="13"/>
  <c r="S396" i="13"/>
  <c r="S412" i="13"/>
  <c r="R9" i="13"/>
  <c r="R25" i="13"/>
  <c r="R41" i="13"/>
  <c r="R57" i="13"/>
  <c r="R73" i="13"/>
  <c r="R89" i="13"/>
  <c r="R105" i="13"/>
  <c r="R121" i="13"/>
  <c r="R137" i="13"/>
  <c r="R153" i="13"/>
  <c r="R169" i="13"/>
  <c r="R185" i="13"/>
  <c r="R201" i="13"/>
  <c r="R217" i="13"/>
  <c r="R233" i="13"/>
  <c r="R249" i="13"/>
  <c r="R265" i="13"/>
  <c r="R281" i="13"/>
  <c r="R297" i="13"/>
  <c r="R313" i="13"/>
  <c r="R329" i="13"/>
  <c r="R345" i="13"/>
  <c r="R361" i="13"/>
  <c r="R377" i="13"/>
  <c r="R393" i="13"/>
  <c r="R409" i="13"/>
  <c r="T112" i="13"/>
  <c r="T240" i="13"/>
  <c r="T368" i="13"/>
  <c r="U47" i="13"/>
  <c r="U128" i="13"/>
  <c r="U222" i="13"/>
  <c r="U303" i="13"/>
  <c r="U384" i="13"/>
  <c r="S6" i="13"/>
  <c r="S23" i="13"/>
  <c r="S40" i="13"/>
  <c r="S57" i="13"/>
  <c r="S74" i="13"/>
  <c r="S91" i="13"/>
  <c r="S109" i="13"/>
  <c r="S126" i="13"/>
  <c r="S143" i="13"/>
  <c r="S160" i="13"/>
  <c r="S177" i="13"/>
  <c r="S194" i="13"/>
  <c r="S211" i="13"/>
  <c r="S228" i="13"/>
  <c r="S245" i="13"/>
  <c r="S262" i="13"/>
  <c r="S279" i="13"/>
  <c r="S296" i="13"/>
  <c r="S313" i="13"/>
  <c r="S330" i="13"/>
  <c r="S347" i="13"/>
  <c r="S365" i="13"/>
  <c r="S381" i="13"/>
  <c r="S397" i="13"/>
  <c r="S413" i="13"/>
  <c r="R10" i="13"/>
  <c r="R26" i="13"/>
  <c r="R42" i="13"/>
  <c r="R58" i="13"/>
  <c r="R74" i="13"/>
  <c r="R90" i="13"/>
  <c r="R106" i="13"/>
  <c r="R122" i="13"/>
  <c r="R138" i="13"/>
  <c r="R154" i="13"/>
  <c r="R170" i="13"/>
  <c r="R186" i="13"/>
  <c r="R202" i="13"/>
  <c r="R218" i="13"/>
  <c r="R234" i="13"/>
  <c r="R250" i="13"/>
  <c r="R266" i="13"/>
  <c r="R282" i="13"/>
  <c r="R298" i="13"/>
  <c r="R314" i="13"/>
  <c r="R330" i="13"/>
  <c r="R346" i="13"/>
  <c r="R362" i="13"/>
  <c r="R378" i="13"/>
  <c r="R394" i="13"/>
  <c r="R410" i="13"/>
  <c r="T129" i="13"/>
  <c r="T257" i="13"/>
  <c r="T385" i="13"/>
  <c r="U63" i="13"/>
  <c r="U144" i="13"/>
  <c r="U238" i="13"/>
  <c r="U319" i="13"/>
  <c r="U400" i="13"/>
  <c r="S9" i="13"/>
  <c r="S26" i="13"/>
  <c r="S43" i="13"/>
  <c r="S61" i="13"/>
  <c r="S78" i="13"/>
  <c r="S95" i="13"/>
  <c r="S112" i="13"/>
  <c r="S129" i="13"/>
  <c r="S146" i="13"/>
  <c r="S163" i="13"/>
  <c r="S180" i="13"/>
  <c r="S197" i="13"/>
  <c r="S214" i="13"/>
  <c r="S231" i="13"/>
  <c r="S248" i="13"/>
  <c r="S265" i="13"/>
  <c r="S282" i="13"/>
  <c r="S299" i="13"/>
  <c r="S317" i="13"/>
  <c r="S334" i="13"/>
  <c r="S351" i="13"/>
  <c r="S368" i="13"/>
  <c r="S384" i="13"/>
  <c r="S400" i="13"/>
  <c r="R13" i="13"/>
  <c r="R29" i="13"/>
  <c r="R45" i="13"/>
  <c r="R61" i="13"/>
  <c r="R77" i="13"/>
  <c r="R93" i="13"/>
  <c r="R109" i="13"/>
  <c r="R125" i="13"/>
  <c r="R141" i="13"/>
  <c r="R157" i="13"/>
  <c r="R173" i="13"/>
  <c r="R189" i="13"/>
  <c r="R205" i="13"/>
  <c r="R221" i="13"/>
  <c r="R237" i="13"/>
  <c r="R253" i="13"/>
  <c r="R269" i="13"/>
  <c r="R285" i="13"/>
  <c r="R301" i="13"/>
  <c r="R317" i="13"/>
  <c r="R333" i="13"/>
  <c r="R349" i="13"/>
  <c r="R365" i="13"/>
  <c r="R381" i="13"/>
  <c r="R397" i="13"/>
  <c r="R413" i="13"/>
  <c r="T113" i="13"/>
  <c r="U142" i="13"/>
  <c r="S128" i="13"/>
  <c r="S264" i="13"/>
  <c r="S399" i="13"/>
  <c r="R75" i="13"/>
  <c r="R156" i="13"/>
  <c r="R239" i="13"/>
  <c r="R331" i="13"/>
  <c r="R412" i="13"/>
  <c r="T128" i="13"/>
  <c r="U143" i="13"/>
  <c r="S7" i="13"/>
  <c r="S144" i="13"/>
  <c r="S280" i="13"/>
  <c r="S414" i="13"/>
  <c r="R76" i="13"/>
  <c r="R159" i="13"/>
  <c r="R251" i="13"/>
  <c r="R332" i="13"/>
  <c r="R415" i="13"/>
  <c r="T241" i="13"/>
  <c r="U223" i="13"/>
  <c r="S8" i="13"/>
  <c r="S145" i="13"/>
  <c r="S281" i="13"/>
  <c r="S415" i="13"/>
  <c r="T256" i="13"/>
  <c r="U224" i="13"/>
  <c r="S24" i="13"/>
  <c r="S161" i="13"/>
  <c r="S297" i="13"/>
  <c r="R91" i="13"/>
  <c r="R172" i="13"/>
  <c r="R255" i="13"/>
  <c r="R347" i="13"/>
  <c r="T369" i="13"/>
  <c r="U304" i="13"/>
  <c r="S25" i="13"/>
  <c r="S162" i="13"/>
  <c r="S298" i="13"/>
  <c r="R11" i="13"/>
  <c r="R92" i="13"/>
  <c r="R175" i="13"/>
  <c r="R267" i="13"/>
  <c r="R348" i="13"/>
  <c r="T384" i="13"/>
  <c r="U318" i="13"/>
  <c r="U398" i="13"/>
  <c r="U399" i="13"/>
  <c r="S58" i="13"/>
  <c r="S195" i="13"/>
  <c r="S331" i="13"/>
  <c r="R27" i="13"/>
  <c r="R108" i="13"/>
  <c r="R191" i="13"/>
  <c r="R283" i="13"/>
  <c r="R364" i="13"/>
  <c r="S59" i="13"/>
  <c r="S196" i="13"/>
  <c r="S333" i="13"/>
  <c r="R28" i="13"/>
  <c r="R111" i="13"/>
  <c r="R203" i="13"/>
  <c r="R284" i="13"/>
  <c r="R367" i="13"/>
  <c r="S75" i="13"/>
  <c r="S212" i="13"/>
  <c r="S349" i="13"/>
  <c r="R31" i="13"/>
  <c r="R123" i="13"/>
  <c r="R204" i="13"/>
  <c r="R287" i="13"/>
  <c r="R379" i="13"/>
  <c r="S77" i="13"/>
  <c r="S213" i="13"/>
  <c r="S350" i="13"/>
  <c r="R43" i="13"/>
  <c r="R124" i="13"/>
  <c r="R207" i="13"/>
  <c r="R299" i="13"/>
  <c r="R380" i="13"/>
  <c r="S93" i="13"/>
  <c r="S229" i="13"/>
  <c r="S366" i="13"/>
  <c r="R44" i="13"/>
  <c r="R127" i="13"/>
  <c r="AA127" i="13" s="1"/>
  <c r="R219" i="13"/>
  <c r="R300" i="13"/>
  <c r="R383" i="13"/>
  <c r="AA383" i="13" s="1"/>
  <c r="E3" i="13"/>
  <c r="O3" i="13"/>
  <c r="J6" i="13"/>
  <c r="F7" i="13"/>
  <c r="P7" i="13"/>
  <c r="K10" i="13"/>
  <c r="G11" i="13"/>
  <c r="Q11" i="13"/>
  <c r="M12" i="13"/>
  <c r="J14" i="13"/>
  <c r="E15" i="13"/>
  <c r="N15" i="13"/>
  <c r="K17" i="13"/>
  <c r="F18" i="13"/>
  <c r="O18" i="13"/>
  <c r="G21" i="13"/>
  <c r="P21" i="13"/>
  <c r="AE21" i="13" s="1"/>
  <c r="H24" i="13"/>
  <c r="Q24" i="13"/>
  <c r="I27" i="13"/>
  <c r="D28" i="13"/>
  <c r="M28" i="13"/>
  <c r="J30" i="13"/>
  <c r="E31" i="13"/>
  <c r="N31" i="13"/>
  <c r="K33" i="13"/>
  <c r="F34" i="13"/>
  <c r="O34" i="13"/>
  <c r="G37" i="13"/>
  <c r="P37" i="13"/>
  <c r="H40" i="13"/>
  <c r="Q40" i="13"/>
  <c r="I43" i="13"/>
  <c r="D44" i="13"/>
  <c r="M44" i="13"/>
  <c r="J46" i="13"/>
  <c r="E47" i="13"/>
  <c r="N47" i="13"/>
  <c r="K49" i="13"/>
  <c r="F50" i="13"/>
  <c r="O50" i="13"/>
  <c r="G53" i="13"/>
  <c r="P53" i="13"/>
  <c r="H56" i="13"/>
  <c r="Q56" i="13"/>
  <c r="I59" i="13"/>
  <c r="D60" i="13"/>
  <c r="S94" i="13"/>
  <c r="S230" i="13"/>
  <c r="S367" i="13"/>
  <c r="R47" i="13"/>
  <c r="R139" i="13"/>
  <c r="R220" i="13"/>
  <c r="R303" i="13"/>
  <c r="R395" i="13"/>
  <c r="F3" i="13"/>
  <c r="P3" i="13"/>
  <c r="S41" i="13"/>
  <c r="R140" i="13"/>
  <c r="R351" i="13"/>
  <c r="S42" i="13"/>
  <c r="R143" i="13"/>
  <c r="R363" i="13"/>
  <c r="S110" i="13"/>
  <c r="S111" i="13"/>
  <c r="S178" i="13"/>
  <c r="R188" i="13"/>
  <c r="H3" i="13"/>
  <c r="F4" i="13"/>
  <c r="D5" i="13"/>
  <c r="O5" i="13"/>
  <c r="K9" i="13"/>
  <c r="H10" i="13"/>
  <c r="E11" i="13"/>
  <c r="P11" i="13"/>
  <c r="AE11" i="13" s="1"/>
  <c r="N12" i="13"/>
  <c r="I15" i="13"/>
  <c r="E16" i="13"/>
  <c r="O16" i="13"/>
  <c r="J19" i="13"/>
  <c r="F20" i="13"/>
  <c r="P20" i="13"/>
  <c r="K23" i="13"/>
  <c r="G24" i="13"/>
  <c r="D25" i="13"/>
  <c r="N25" i="13"/>
  <c r="I28" i="13"/>
  <c r="E29" i="13"/>
  <c r="O29" i="13"/>
  <c r="J32" i="13"/>
  <c r="F33" i="13"/>
  <c r="P33" i="13"/>
  <c r="AE33" i="13" s="1"/>
  <c r="K36" i="13"/>
  <c r="H37" i="13"/>
  <c r="D38" i="13"/>
  <c r="N38" i="13"/>
  <c r="I41" i="13"/>
  <c r="E42" i="13"/>
  <c r="O42" i="13"/>
  <c r="J45" i="13"/>
  <c r="F46" i="13"/>
  <c r="P46" i="13"/>
  <c r="H50" i="13"/>
  <c r="D51" i="13"/>
  <c r="N51" i="13"/>
  <c r="I54" i="13"/>
  <c r="E55" i="13"/>
  <c r="O55" i="13"/>
  <c r="J58" i="13"/>
  <c r="F59" i="13"/>
  <c r="P59" i="13"/>
  <c r="I62" i="13"/>
  <c r="D63" i="13"/>
  <c r="M63" i="13"/>
  <c r="J65" i="13"/>
  <c r="E66" i="13"/>
  <c r="N66" i="13"/>
  <c r="K68" i="13"/>
  <c r="F69" i="13"/>
  <c r="S179" i="13"/>
  <c r="U48" i="13"/>
  <c r="S246" i="13"/>
  <c r="R235" i="13"/>
  <c r="J3" i="13"/>
  <c r="H4" i="13"/>
  <c r="F5" i="13"/>
  <c r="Q5" i="13"/>
  <c r="O6" i="13"/>
  <c r="J10" i="13"/>
  <c r="H11" i="13"/>
  <c r="E12" i="13"/>
  <c r="P12" i="13"/>
  <c r="K15" i="13"/>
  <c r="G16" i="13"/>
  <c r="Q16" i="13"/>
  <c r="M17" i="13"/>
  <c r="H20" i="13"/>
  <c r="D21" i="13"/>
  <c r="N21" i="13"/>
  <c r="J24" i="13"/>
  <c r="F25" i="13"/>
  <c r="P25" i="13"/>
  <c r="AE25" i="13" s="1"/>
  <c r="K28" i="13"/>
  <c r="G29" i="13"/>
  <c r="Q29" i="13"/>
  <c r="M30" i="13"/>
  <c r="H33" i="13"/>
  <c r="D34" i="13"/>
  <c r="N34" i="13"/>
  <c r="J37" i="13"/>
  <c r="F38" i="13"/>
  <c r="P38" i="13"/>
  <c r="AE38" i="13" s="1"/>
  <c r="K41" i="13"/>
  <c r="G42" i="13"/>
  <c r="Q42" i="13"/>
  <c r="M43" i="13"/>
  <c r="H46" i="13"/>
  <c r="D47" i="13"/>
  <c r="O47" i="13"/>
  <c r="J50" i="13"/>
  <c r="F51" i="13"/>
  <c r="P51" i="13"/>
  <c r="K54" i="13"/>
  <c r="G55" i="13"/>
  <c r="Q55" i="13"/>
  <c r="M56" i="13"/>
  <c r="H59" i="13"/>
  <c r="E60" i="13"/>
  <c r="N60" i="13"/>
  <c r="K62" i="13"/>
  <c r="F63" i="13"/>
  <c r="O63" i="13"/>
  <c r="G66" i="13"/>
  <c r="P66" i="13"/>
  <c r="AE66" i="13" s="1"/>
  <c r="H69" i="13"/>
  <c r="Q69" i="13"/>
  <c r="I72" i="13"/>
  <c r="D73" i="13"/>
  <c r="M73" i="13"/>
  <c r="J75" i="13"/>
  <c r="E76" i="13"/>
  <c r="N76" i="13"/>
  <c r="K78" i="13"/>
  <c r="F79" i="13"/>
  <c r="O79" i="13"/>
  <c r="G82" i="13"/>
  <c r="P82" i="13"/>
  <c r="H85" i="13"/>
  <c r="Q85" i="13"/>
  <c r="I88" i="13"/>
  <c r="D89" i="13"/>
  <c r="M89" i="13"/>
  <c r="J91" i="13"/>
  <c r="U62" i="13"/>
  <c r="S247" i="13"/>
  <c r="R12" i="13"/>
  <c r="R236" i="13"/>
  <c r="S263" i="13"/>
  <c r="R15" i="13"/>
  <c r="R252" i="13"/>
  <c r="J4" i="13"/>
  <c r="H5" i="13"/>
  <c r="F6" i="13"/>
  <c r="Q6" i="13"/>
  <c r="N7" i="13"/>
  <c r="J11" i="13"/>
  <c r="H12" i="13"/>
  <c r="D13" i="13"/>
  <c r="N13" i="13"/>
  <c r="I16" i="13"/>
  <c r="E17" i="13"/>
  <c r="O17" i="13"/>
  <c r="J20" i="13"/>
  <c r="F21" i="13"/>
  <c r="Q21" i="13"/>
  <c r="M22" i="13"/>
  <c r="H25" i="13"/>
  <c r="D26" i="13"/>
  <c r="N26" i="13"/>
  <c r="I29" i="13"/>
  <c r="E30" i="13"/>
  <c r="O30" i="13"/>
  <c r="S314" i="13"/>
  <c r="R59" i="13"/>
  <c r="R268" i="13"/>
  <c r="S315" i="13"/>
  <c r="R60" i="13"/>
  <c r="R271" i="13"/>
  <c r="S382" i="13"/>
  <c r="R63" i="13"/>
  <c r="R315" i="13"/>
  <c r="R319" i="13"/>
  <c r="R335" i="13"/>
  <c r="M7" i="13"/>
  <c r="O8" i="13"/>
  <c r="P9" i="13"/>
  <c r="P10" i="13"/>
  <c r="AE10" i="13" s="1"/>
  <c r="D12" i="13"/>
  <c r="F13" i="13"/>
  <c r="E14" i="13"/>
  <c r="D15" i="13"/>
  <c r="D16" i="13"/>
  <c r="F17" i="13"/>
  <c r="E18" i="13"/>
  <c r="E19" i="13"/>
  <c r="D20" i="13"/>
  <c r="E21" i="13"/>
  <c r="F22" i="13"/>
  <c r="E23" i="13"/>
  <c r="D24" i="13"/>
  <c r="E25" i="13"/>
  <c r="F26" i="13"/>
  <c r="E27" i="13"/>
  <c r="E28" i="13"/>
  <c r="D29" i="13"/>
  <c r="F30" i="13"/>
  <c r="F31" i="13"/>
  <c r="E32" i="13"/>
  <c r="Q32" i="13"/>
  <c r="O33" i="13"/>
  <c r="P34" i="13"/>
  <c r="AE34" i="13" s="1"/>
  <c r="N35" i="13"/>
  <c r="J42" i="13"/>
  <c r="H43" i="13"/>
  <c r="G44" i="13"/>
  <c r="E45" i="13"/>
  <c r="Q45" i="13"/>
  <c r="O46" i="13"/>
  <c r="P47" i="13"/>
  <c r="N48" i="13"/>
  <c r="J55" i="13"/>
  <c r="I56" i="13"/>
  <c r="G57" i="13"/>
  <c r="E58" i="13"/>
  <c r="Q58" i="13"/>
  <c r="O59" i="13"/>
  <c r="O60" i="13"/>
  <c r="J64" i="13"/>
  <c r="G65" i="13"/>
  <c r="D66" i="13"/>
  <c r="Q66" i="13"/>
  <c r="N67" i="13"/>
  <c r="K70" i="13"/>
  <c r="G71" i="13"/>
  <c r="Q71" i="13"/>
  <c r="M72" i="13"/>
  <c r="H75" i="13"/>
  <c r="D76" i="13"/>
  <c r="O76" i="13"/>
  <c r="J79" i="13"/>
  <c r="F80" i="13"/>
  <c r="P80" i="13"/>
  <c r="AE80" i="13" s="1"/>
  <c r="R411" i="13"/>
  <c r="R79" i="13"/>
  <c r="R95" i="13"/>
  <c r="R107" i="13"/>
  <c r="R155" i="13"/>
  <c r="R171" i="13"/>
  <c r="G3" i="13"/>
  <c r="Q7" i="13"/>
  <c r="D9" i="13"/>
  <c r="F10" i="13"/>
  <c r="K11" i="13"/>
  <c r="N18" i="13"/>
  <c r="O19" i="13"/>
  <c r="O20" i="13"/>
  <c r="E22" i="13"/>
  <c r="F23" i="13"/>
  <c r="F24" i="13"/>
  <c r="J25" i="13"/>
  <c r="J26" i="13"/>
  <c r="K27" i="13"/>
  <c r="J61" i="13"/>
  <c r="I3" i="13"/>
  <c r="M6" i="13"/>
  <c r="D8" i="13"/>
  <c r="E9" i="13"/>
  <c r="G10" i="13"/>
  <c r="N17" i="13"/>
  <c r="P18" i="13"/>
  <c r="P19" i="13"/>
  <c r="Q20" i="13"/>
  <c r="G22" i="13"/>
  <c r="G23" i="13"/>
  <c r="I24" i="13"/>
  <c r="K25" i="13"/>
  <c r="K26" i="13"/>
  <c r="K61" i="13"/>
  <c r="J62" i="13"/>
  <c r="I63" i="13"/>
  <c r="G64" i="13"/>
  <c r="E65" i="13"/>
  <c r="Q65" i="13"/>
  <c r="D67" i="13"/>
  <c r="P67" i="13"/>
  <c r="N68" i="13"/>
  <c r="K72" i="13"/>
  <c r="H73" i="13"/>
  <c r="E74" i="13"/>
  <c r="P74" i="13"/>
  <c r="M75" i="13"/>
  <c r="I79" i="13"/>
  <c r="G80" i="13"/>
  <c r="D81" i="13"/>
  <c r="N81" i="13"/>
  <c r="I84" i="13"/>
  <c r="E85" i="13"/>
  <c r="O85" i="13"/>
  <c r="R223" i="13"/>
  <c r="M5" i="13"/>
  <c r="D7" i="13"/>
  <c r="F8" i="13"/>
  <c r="H9" i="13"/>
  <c r="M14" i="13"/>
  <c r="M15" i="13"/>
  <c r="N16" i="13"/>
  <c r="Q17" i="13"/>
  <c r="D19" i="13"/>
  <c r="E20" i="13"/>
  <c r="I21" i="13"/>
  <c r="I22" i="13"/>
  <c r="I23" i="13"/>
  <c r="O31" i="13"/>
  <c r="N32" i="13"/>
  <c r="M33" i="13"/>
  <c r="M34" i="13"/>
  <c r="O35" i="13"/>
  <c r="N36" i="13"/>
  <c r="M37" i="13"/>
  <c r="M38" i="13"/>
  <c r="N39" i="13"/>
  <c r="M40" i="13"/>
  <c r="M41" i="13"/>
  <c r="K63" i="13"/>
  <c r="I64" i="13"/>
  <c r="H65" i="13"/>
  <c r="H66" i="13"/>
  <c r="F67" i="13"/>
  <c r="D68" i="13"/>
  <c r="P68" i="13"/>
  <c r="N69" i="13"/>
  <c r="J73" i="13"/>
  <c r="G74" i="13"/>
  <c r="D75" i="13"/>
  <c r="O75" i="13"/>
  <c r="I80" i="13"/>
  <c r="F81" i="13"/>
  <c r="P81" i="13"/>
  <c r="AE81" i="13" s="1"/>
  <c r="K84" i="13"/>
  <c r="G85" i="13"/>
  <c r="R316" i="13"/>
  <c r="R396" i="13"/>
  <c r="N4" i="13"/>
  <c r="P5" i="13"/>
  <c r="G7" i="13"/>
  <c r="H8" i="13"/>
  <c r="J9" i="13"/>
  <c r="O13" i="13"/>
  <c r="O14" i="13"/>
  <c r="P15" i="13"/>
  <c r="AE15" i="13" s="1"/>
  <c r="D17" i="13"/>
  <c r="G18" i="13"/>
  <c r="G19" i="13"/>
  <c r="I20" i="13"/>
  <c r="K21" i="13"/>
  <c r="K22" i="13"/>
  <c r="M29" i="13"/>
  <c r="P30" i="13"/>
  <c r="AE30" i="13" s="1"/>
  <c r="Q31" i="13"/>
  <c r="P32" i="13"/>
  <c r="AE32" i="13" s="1"/>
  <c r="Q33" i="13"/>
  <c r="D35" i="13"/>
  <c r="Q35" i="13"/>
  <c r="P36" i="13"/>
  <c r="O37" i="13"/>
  <c r="Q38" i="13"/>
  <c r="P39" i="13"/>
  <c r="AE39" i="13" s="1"/>
  <c r="O40" i="13"/>
  <c r="O41" i="13"/>
  <c r="N42" i="13"/>
  <c r="O43" i="13"/>
  <c r="O44" i="13"/>
  <c r="N45" i="13"/>
  <c r="M46" i="13"/>
  <c r="M47" i="13"/>
  <c r="O48" i="13"/>
  <c r="N49" i="13"/>
  <c r="M50" i="13"/>
  <c r="M51" i="13"/>
  <c r="N52" i="13"/>
  <c r="M53" i="13"/>
  <c r="M54" i="13"/>
  <c r="M57" i="13"/>
  <c r="K65" i="13"/>
  <c r="J66" i="13"/>
  <c r="H67" i="13"/>
  <c r="F68" i="13"/>
  <c r="D69" i="13"/>
  <c r="P69" i="13"/>
  <c r="N70" i="13"/>
  <c r="I74" i="13"/>
  <c r="F75" i="13"/>
  <c r="Q75" i="13"/>
  <c r="P76" i="13"/>
  <c r="AE76" i="13" s="1"/>
  <c r="M77" i="13"/>
  <c r="K80" i="13"/>
  <c r="H81" i="13"/>
  <c r="D82" i="13"/>
  <c r="N82" i="13"/>
  <c r="J85" i="13"/>
  <c r="F86" i="13"/>
  <c r="R2" i="13"/>
  <c r="P4" i="13"/>
  <c r="O7" i="13"/>
  <c r="O10" i="13"/>
  <c r="Q13" i="13"/>
  <c r="J15" i="13"/>
  <c r="I18" i="13"/>
  <c r="N20" i="13"/>
  <c r="N23" i="13"/>
  <c r="I25" i="13"/>
  <c r="M26" i="13"/>
  <c r="F28" i="13"/>
  <c r="D31" i="13"/>
  <c r="K32" i="13"/>
  <c r="F35" i="13"/>
  <c r="I36" i="13"/>
  <c r="E39" i="13"/>
  <c r="I40" i="13"/>
  <c r="D43" i="13"/>
  <c r="I44" i="13"/>
  <c r="Q46" i="13"/>
  <c r="H48" i="13"/>
  <c r="P50" i="13"/>
  <c r="G52" i="13"/>
  <c r="K53" i="13"/>
  <c r="O54" i="13"/>
  <c r="F56" i="13"/>
  <c r="K57" i="13"/>
  <c r="N58" i="13"/>
  <c r="G60" i="13"/>
  <c r="G5" i="13"/>
  <c r="I8" i="13"/>
  <c r="F11" i="13"/>
  <c r="G14" i="13"/>
  <c r="G17" i="13"/>
  <c r="M19" i="13"/>
  <c r="Q23" i="13"/>
  <c r="Q26" i="13"/>
  <c r="J28" i="13"/>
  <c r="N29" i="13"/>
  <c r="I31" i="13"/>
  <c r="E34" i="13"/>
  <c r="I35" i="13"/>
  <c r="Q37" i="13"/>
  <c r="H39" i="13"/>
  <c r="P41" i="13"/>
  <c r="AE41" i="13" s="1"/>
  <c r="G43" i="13"/>
  <c r="O45" i="13"/>
  <c r="H47" i="13"/>
  <c r="K48" i="13"/>
  <c r="O49" i="13"/>
  <c r="G51" i="13"/>
  <c r="J52" i="13"/>
  <c r="N53" i="13"/>
  <c r="D55" i="13"/>
  <c r="K56" i="13"/>
  <c r="N57" i="13"/>
  <c r="D59" i="13"/>
  <c r="J60" i="13"/>
  <c r="M62" i="13"/>
  <c r="P63" i="13"/>
  <c r="AE63" i="13" s="1"/>
  <c r="Q64" i="13"/>
  <c r="I66" i="13"/>
  <c r="K67" i="13"/>
  <c r="M71" i="13"/>
  <c r="N72" i="13"/>
  <c r="O73" i="13"/>
  <c r="O74" i="13"/>
  <c r="F76" i="13"/>
  <c r="F77" i="13"/>
  <c r="F78" i="13"/>
  <c r="G79" i="13"/>
  <c r="J80" i="13"/>
  <c r="K81" i="13"/>
  <c r="K82" i="13"/>
  <c r="J83" i="13"/>
  <c r="J84" i="13"/>
  <c r="J86" i="13"/>
  <c r="G87" i="13"/>
  <c r="Q87" i="13"/>
  <c r="M88" i="13"/>
  <c r="H91" i="13"/>
  <c r="D92" i="13"/>
  <c r="M92" i="13"/>
  <c r="J94" i="13"/>
  <c r="E95" i="13"/>
  <c r="N95" i="13"/>
  <c r="K97" i="13"/>
  <c r="F98" i="13"/>
  <c r="O98" i="13"/>
  <c r="G101" i="13"/>
  <c r="I5" i="13"/>
  <c r="J8" i="13"/>
  <c r="M9" i="13"/>
  <c r="I11" i="13"/>
  <c r="O12" i="13"/>
  <c r="H14" i="13"/>
  <c r="H17" i="13"/>
  <c r="N19" i="13"/>
  <c r="N22" i="13"/>
  <c r="E24" i="13"/>
  <c r="D27" i="13"/>
  <c r="P29" i="13"/>
  <c r="J31" i="13"/>
  <c r="G34" i="13"/>
  <c r="J35" i="13"/>
  <c r="E38" i="13"/>
  <c r="I39" i="13"/>
  <c r="Q41" i="13"/>
  <c r="J43" i="13"/>
  <c r="P45" i="13"/>
  <c r="I47" i="13"/>
  <c r="P49" i="13"/>
  <c r="H51" i="13"/>
  <c r="K52" i="13"/>
  <c r="O53" i="13"/>
  <c r="F55" i="13"/>
  <c r="O57" i="13"/>
  <c r="E59" i="13"/>
  <c r="K60" i="13"/>
  <c r="M61" i="13"/>
  <c r="N62" i="13"/>
  <c r="Q63" i="13"/>
  <c r="D65" i="13"/>
  <c r="K66" i="13"/>
  <c r="M70" i="13"/>
  <c r="N71" i="13"/>
  <c r="O72" i="13"/>
  <c r="P73" i="13"/>
  <c r="Q74" i="13"/>
  <c r="G76" i="13"/>
  <c r="G77" i="13"/>
  <c r="G78" i="13"/>
  <c r="H79" i="13"/>
  <c r="K83" i="13"/>
  <c r="K86" i="13"/>
  <c r="H87" i="13"/>
  <c r="D88" i="13"/>
  <c r="N88" i="13"/>
  <c r="I91" i="13"/>
  <c r="E92" i="13"/>
  <c r="N92" i="13"/>
  <c r="K94" i="13"/>
  <c r="F95" i="13"/>
  <c r="O95" i="13"/>
  <c r="G98" i="13"/>
  <c r="P98" i="13"/>
  <c r="H101" i="13"/>
  <c r="Q101" i="13"/>
  <c r="K5" i="13"/>
  <c r="P6" i="13"/>
  <c r="N9" i="13"/>
  <c r="Q12" i="13"/>
  <c r="I14" i="13"/>
  <c r="I17" i="13"/>
  <c r="Q19" i="13"/>
  <c r="O22" i="13"/>
  <c r="K24" i="13"/>
  <c r="F27" i="13"/>
  <c r="D30" i="13"/>
  <c r="K31" i="13"/>
  <c r="M32" i="13"/>
  <c r="H34" i="13"/>
  <c r="K35" i="13"/>
  <c r="M36" i="13"/>
  <c r="G38" i="13"/>
  <c r="J39" i="13"/>
  <c r="D42" i="13"/>
  <c r="K43" i="13"/>
  <c r="D46" i="13"/>
  <c r="J47" i="13"/>
  <c r="Q49" i="13"/>
  <c r="I51" i="13"/>
  <c r="Q53" i="13"/>
  <c r="H55" i="13"/>
  <c r="P57" i="13"/>
  <c r="AE57" i="13" s="1"/>
  <c r="G59" i="13"/>
  <c r="N61" i="13"/>
  <c r="O62" i="13"/>
  <c r="D64" i="13"/>
  <c r="F65" i="13"/>
  <c r="O70" i="13"/>
  <c r="O71" i="13"/>
  <c r="P72" i="13"/>
  <c r="N3" i="13"/>
  <c r="E7" i="13"/>
  <c r="Q9" i="13"/>
  <c r="E13" i="13"/>
  <c r="K14" i="13"/>
  <c r="O15" i="13"/>
  <c r="J17" i="13"/>
  <c r="G20" i="13"/>
  <c r="P22" i="13"/>
  <c r="AE22" i="13" s="1"/>
  <c r="M25" i="13"/>
  <c r="G27" i="13"/>
  <c r="G30" i="13"/>
  <c r="O32" i="13"/>
  <c r="I34" i="13"/>
  <c r="O36" i="13"/>
  <c r="H38" i="13"/>
  <c r="K39" i="13"/>
  <c r="N40" i="13"/>
  <c r="F42" i="13"/>
  <c r="N44" i="13"/>
  <c r="E46" i="13"/>
  <c r="K47" i="13"/>
  <c r="M48" i="13"/>
  <c r="D50" i="13"/>
  <c r="J51" i="13"/>
  <c r="M52" i="13"/>
  <c r="D54" i="13"/>
  <c r="I55" i="13"/>
  <c r="Q57" i="13"/>
  <c r="J59" i="13"/>
  <c r="O61" i="13"/>
  <c r="P62" i="13"/>
  <c r="AE62" i="13" s="1"/>
  <c r="E64" i="13"/>
  <c r="I65" i="13"/>
  <c r="M69" i="13"/>
  <c r="P70" i="13"/>
  <c r="P71" i="13"/>
  <c r="Q72" i="13"/>
  <c r="D74" i="13"/>
  <c r="G75" i="13"/>
  <c r="I76" i="13"/>
  <c r="I77" i="13"/>
  <c r="I78" i="13"/>
  <c r="J87" i="13"/>
  <c r="F88" i="13"/>
  <c r="P88" i="13"/>
  <c r="AE88" i="13" s="1"/>
  <c r="R399" i="13"/>
  <c r="E4" i="13"/>
  <c r="J7" i="13"/>
  <c r="M8" i="13"/>
  <c r="I10" i="13"/>
  <c r="M11" i="13"/>
  <c r="I13" i="13"/>
  <c r="H16" i="13"/>
  <c r="Q18" i="13"/>
  <c r="H23" i="13"/>
  <c r="E26" i="13"/>
  <c r="P28" i="13"/>
  <c r="K30" i="13"/>
  <c r="M31" i="13"/>
  <c r="G33" i="13"/>
  <c r="M35" i="13"/>
  <c r="E37" i="13"/>
  <c r="K38" i="13"/>
  <c r="M39" i="13"/>
  <c r="E41" i="13"/>
  <c r="K42" i="13"/>
  <c r="D45" i="13"/>
  <c r="K46" i="13"/>
  <c r="D49" i="13"/>
  <c r="I50" i="13"/>
  <c r="Q52" i="13"/>
  <c r="G54" i="13"/>
  <c r="H6" i="13"/>
  <c r="N10" i="13"/>
  <c r="K13" i="13"/>
  <c r="P17" i="13"/>
  <c r="M24" i="13"/>
  <c r="P26" i="13"/>
  <c r="J29" i="13"/>
  <c r="D36" i="13"/>
  <c r="N37" i="13"/>
  <c r="E40" i="13"/>
  <c r="I42" i="13"/>
  <c r="H44" i="13"/>
  <c r="J48" i="13"/>
  <c r="P52" i="13"/>
  <c r="AE52" i="13" s="1"/>
  <c r="N54" i="13"/>
  <c r="D57" i="13"/>
  <c r="M58" i="13"/>
  <c r="P60" i="13"/>
  <c r="H62" i="13"/>
  <c r="M66" i="13"/>
  <c r="J68" i="13"/>
  <c r="E70" i="13"/>
  <c r="J71" i="13"/>
  <c r="H74" i="13"/>
  <c r="D78" i="13"/>
  <c r="Q81" i="13"/>
  <c r="G83" i="13"/>
  <c r="N86" i="13"/>
  <c r="M87" i="13"/>
  <c r="N89" i="13"/>
  <c r="K93" i="13"/>
  <c r="H94" i="13"/>
  <c r="G95" i="13"/>
  <c r="D96" i="13"/>
  <c r="O96" i="13"/>
  <c r="J100" i="13"/>
  <c r="I101" i="13"/>
  <c r="E102" i="13"/>
  <c r="N102" i="13"/>
  <c r="K104" i="13"/>
  <c r="F105" i="13"/>
  <c r="O105" i="13"/>
  <c r="G108" i="13"/>
  <c r="P108" i="13"/>
  <c r="AE108" i="13" s="1"/>
  <c r="H111" i="13"/>
  <c r="Q111" i="13"/>
  <c r="I114" i="13"/>
  <c r="D115" i="13"/>
  <c r="M115" i="13"/>
  <c r="J117" i="13"/>
  <c r="E118" i="13"/>
  <c r="N118" i="13"/>
  <c r="G4" i="13"/>
  <c r="Q8" i="13"/>
  <c r="M13" i="13"/>
  <c r="J16" i="13"/>
  <c r="J18" i="13"/>
  <c r="Q22" i="13"/>
  <c r="P24" i="13"/>
  <c r="AE24" i="13" s="1"/>
  <c r="F32" i="13"/>
  <c r="J34" i="13"/>
  <c r="G36" i="13"/>
  <c r="J40" i="13"/>
  <c r="P44" i="13"/>
  <c r="E49" i="13"/>
  <c r="Q50" i="13"/>
  <c r="F53" i="13"/>
  <c r="K55" i="13"/>
  <c r="H57" i="13"/>
  <c r="K59" i="13"/>
  <c r="E61" i="13"/>
  <c r="H64" i="13"/>
  <c r="G67" i="13"/>
  <c r="M68" i="13"/>
  <c r="H70" i="13"/>
  <c r="F73" i="13"/>
  <c r="D77" i="13"/>
  <c r="J78" i="13"/>
  <c r="O80" i="13"/>
  <c r="H82" i="13"/>
  <c r="N85" i="13"/>
  <c r="Q86" i="13"/>
  <c r="P87" i="13"/>
  <c r="AE87" i="13" s="1"/>
  <c r="E89" i="13"/>
  <c r="Q89" i="13"/>
  <c r="O90" i="13"/>
  <c r="M91" i="13"/>
  <c r="J95" i="13"/>
  <c r="G96" i="13"/>
  <c r="D97" i="13"/>
  <c r="O97" i="13"/>
  <c r="H102" i="13"/>
  <c r="Q102" i="13"/>
  <c r="I105" i="13"/>
  <c r="D106" i="13"/>
  <c r="M106" i="13"/>
  <c r="J108" i="13"/>
  <c r="I4" i="13"/>
  <c r="G9" i="13"/>
  <c r="P13" i="13"/>
  <c r="AE13" i="13" s="1"/>
  <c r="K16" i="13"/>
  <c r="K18" i="13"/>
  <c r="D23" i="13"/>
  <c r="G25" i="13"/>
  <c r="M27" i="13"/>
  <c r="G32" i="13"/>
  <c r="K34" i="13"/>
  <c r="H36" i="13"/>
  <c r="K40" i="13"/>
  <c r="Q44" i="13"/>
  <c r="N46" i="13"/>
  <c r="F49" i="13"/>
  <c r="E51" i="13"/>
  <c r="H53" i="13"/>
  <c r="I57" i="13"/>
  <c r="F61" i="13"/>
  <c r="K64" i="13"/>
  <c r="I67" i="13"/>
  <c r="O68" i="13"/>
  <c r="I70" i="13"/>
  <c r="G73" i="13"/>
  <c r="E77" i="13"/>
  <c r="Q80" i="13"/>
  <c r="I82" i="13"/>
  <c r="M84" i="13"/>
  <c r="P85" i="13"/>
  <c r="AE85" i="13" s="1"/>
  <c r="D87" i="13"/>
  <c r="E88" i="13"/>
  <c r="F89" i="13"/>
  <c r="D90" i="13"/>
  <c r="P90" i="13"/>
  <c r="N91" i="13"/>
  <c r="K95" i="13"/>
  <c r="H96" i="13"/>
  <c r="E97" i="13"/>
  <c r="P97" i="13"/>
  <c r="M98" i="13"/>
  <c r="I102" i="13"/>
  <c r="D103" i="13"/>
  <c r="M103" i="13"/>
  <c r="K4" i="13"/>
  <c r="H7" i="13"/>
  <c r="I9" i="13"/>
  <c r="N11" i="13"/>
  <c r="D14" i="13"/>
  <c r="J23" i="13"/>
  <c r="N27" i="13"/>
  <c r="H30" i="13"/>
  <c r="H32" i="13"/>
  <c r="J36" i="13"/>
  <c r="P40" i="13"/>
  <c r="M42" i="13"/>
  <c r="F45" i="13"/>
  <c r="F47" i="13"/>
  <c r="G49" i="13"/>
  <c r="K51" i="13"/>
  <c r="I53" i="13"/>
  <c r="J57" i="13"/>
  <c r="G61" i="13"/>
  <c r="M65" i="13"/>
  <c r="J67" i="13"/>
  <c r="Q68" i="13"/>
  <c r="J70" i="13"/>
  <c r="I73" i="13"/>
  <c r="H77" i="13"/>
  <c r="M79" i="13"/>
  <c r="E81" i="13"/>
  <c r="J82" i="13"/>
  <c r="N84" i="13"/>
  <c r="D86" i="13"/>
  <c r="E87" i="13"/>
  <c r="G88" i="13"/>
  <c r="G89" i="13"/>
  <c r="E90" i="13"/>
  <c r="Q90" i="13"/>
  <c r="O91" i="13"/>
  <c r="I96" i="13"/>
  <c r="F97" i="13"/>
  <c r="Q97" i="13"/>
  <c r="O4" i="13"/>
  <c r="I12" i="13"/>
  <c r="H19" i="13"/>
  <c r="J21" i="13"/>
  <c r="Q25" i="13"/>
  <c r="Q27" i="13"/>
  <c r="D37" i="13"/>
  <c r="D39" i="13"/>
  <c r="G41" i="13"/>
  <c r="F43" i="13"/>
  <c r="I45" i="13"/>
  <c r="J49" i="13"/>
  <c r="O51" i="13"/>
  <c r="P55" i="13"/>
  <c r="AE55" i="13" s="1"/>
  <c r="D58" i="13"/>
  <c r="M59" i="13"/>
  <c r="G63" i="13"/>
  <c r="P65" i="13"/>
  <c r="AE65" i="13" s="1"/>
  <c r="I69" i="13"/>
  <c r="F72" i="13"/>
  <c r="H76" i="13"/>
  <c r="M78" i="13"/>
  <c r="Q79" i="13"/>
  <c r="J81" i="13"/>
  <c r="O83" i="13"/>
  <c r="Q84" i="13"/>
  <c r="Q3" i="13"/>
  <c r="M10" i="13"/>
  <c r="N14" i="13"/>
  <c r="H21" i="13"/>
  <c r="O27" i="13"/>
  <c r="Q30" i="13"/>
  <c r="N33" i="13"/>
  <c r="K37" i="13"/>
  <c r="F40" i="13"/>
  <c r="I52" i="13"/>
  <c r="N55" i="13"/>
  <c r="K58" i="13"/>
  <c r="H61" i="13"/>
  <c r="Q67" i="13"/>
  <c r="F70" i="13"/>
  <c r="H72" i="13"/>
  <c r="F74" i="13"/>
  <c r="J76" i="13"/>
  <c r="P77" i="13"/>
  <c r="P79" i="13"/>
  <c r="AE79" i="13" s="1"/>
  <c r="M83" i="13"/>
  <c r="K85" i="13"/>
  <c r="O86" i="13"/>
  <c r="K88" i="13"/>
  <c r="M90" i="13"/>
  <c r="F92" i="13"/>
  <c r="G93" i="13"/>
  <c r="I94" i="13"/>
  <c r="M97" i="13"/>
  <c r="D99" i="13"/>
  <c r="D100" i="13"/>
  <c r="D101" i="13"/>
  <c r="F102" i="13"/>
  <c r="F103" i="13"/>
  <c r="D104" i="13"/>
  <c r="P104" i="13"/>
  <c r="AE104" i="13" s="1"/>
  <c r="M105" i="13"/>
  <c r="I109" i="13"/>
  <c r="E110" i="13"/>
  <c r="O110" i="13"/>
  <c r="J113" i="13"/>
  <c r="F114" i="13"/>
  <c r="P114" i="13"/>
  <c r="AE114" i="13" s="1"/>
  <c r="H118" i="13"/>
  <c r="D119" i="13"/>
  <c r="M119" i="13"/>
  <c r="J121" i="13"/>
  <c r="E122" i="13"/>
  <c r="N122" i="13"/>
  <c r="K124" i="13"/>
  <c r="F125" i="13"/>
  <c r="O125" i="13"/>
  <c r="G128" i="13"/>
  <c r="P128" i="13"/>
  <c r="H131" i="13"/>
  <c r="Q131" i="13"/>
  <c r="I134" i="13"/>
  <c r="D135" i="13"/>
  <c r="M135" i="13"/>
  <c r="J137" i="13"/>
  <c r="E138" i="13"/>
  <c r="N138" i="13"/>
  <c r="K140" i="13"/>
  <c r="F141" i="13"/>
  <c r="O141" i="13"/>
  <c r="G144" i="13"/>
  <c r="P144" i="13"/>
  <c r="AE144" i="13" s="1"/>
  <c r="H147" i="13"/>
  <c r="Q147" i="13"/>
  <c r="I150" i="13"/>
  <c r="D151" i="13"/>
  <c r="M151" i="13"/>
  <c r="M4" i="13"/>
  <c r="E8" i="13"/>
  <c r="O11" i="13"/>
  <c r="F15" i="13"/>
  <c r="H18" i="13"/>
  <c r="M21" i="13"/>
  <c r="N24" i="13"/>
  <c r="H28" i="13"/>
  <c r="Q34" i="13"/>
  <c r="F41" i="13"/>
  <c r="Q43" i="13"/>
  <c r="G47" i="13"/>
  <c r="G50" i="13"/>
  <c r="E53" i="13"/>
  <c r="G56" i="13"/>
  <c r="O58" i="13"/>
  <c r="P61" i="13"/>
  <c r="F66" i="13"/>
  <c r="H68" i="13"/>
  <c r="H78" i="13"/>
  <c r="H80" i="13"/>
  <c r="E82" i="13"/>
  <c r="Q83" i="13"/>
  <c r="I87" i="13"/>
  <c r="E91" i="13"/>
  <c r="I92" i="13"/>
  <c r="J93" i="13"/>
  <c r="N96" i="13"/>
  <c r="E98" i="13"/>
  <c r="G99" i="13"/>
  <c r="G100" i="13"/>
  <c r="J101" i="13"/>
  <c r="K102" i="13"/>
  <c r="I103" i="13"/>
  <c r="G104" i="13"/>
  <c r="E105" i="13"/>
  <c r="Q105" i="13"/>
  <c r="O106" i="13"/>
  <c r="H110" i="13"/>
  <c r="D111" i="13"/>
  <c r="N111" i="13"/>
  <c r="J114" i="13"/>
  <c r="F115" i="13"/>
  <c r="P115" i="13"/>
  <c r="AE115" i="13" s="1"/>
  <c r="K118" i="13"/>
  <c r="G119" i="13"/>
  <c r="P119" i="13"/>
  <c r="H122" i="13"/>
  <c r="Q122" i="13"/>
  <c r="I125" i="13"/>
  <c r="D126" i="13"/>
  <c r="M126" i="13"/>
  <c r="J128" i="13"/>
  <c r="E129" i="13"/>
  <c r="N129" i="13"/>
  <c r="K131" i="13"/>
  <c r="F132" i="13"/>
  <c r="O132" i="13"/>
  <c r="G135" i="13"/>
  <c r="Q4" i="13"/>
  <c r="G8" i="13"/>
  <c r="F12" i="13"/>
  <c r="G15" i="13"/>
  <c r="M18" i="13"/>
  <c r="O21" i="13"/>
  <c r="O24" i="13"/>
  <c r="N28" i="13"/>
  <c r="P31" i="13"/>
  <c r="AE31" i="13" s="1"/>
  <c r="E35" i="13"/>
  <c r="H41" i="13"/>
  <c r="E44" i="13"/>
  <c r="K50" i="13"/>
  <c r="J53" i="13"/>
  <c r="J56" i="13"/>
  <c r="P58" i="13"/>
  <c r="Q61" i="13"/>
  <c r="N63" i="13"/>
  <c r="I68" i="13"/>
  <c r="F82" i="13"/>
  <c r="D84" i="13"/>
  <c r="K87" i="13"/>
  <c r="O89" i="13"/>
  <c r="F91" i="13"/>
  <c r="J92" i="13"/>
  <c r="P96" i="13"/>
  <c r="AE96" i="13" s="1"/>
  <c r="H98" i="13"/>
  <c r="H99" i="13"/>
  <c r="H100" i="13"/>
  <c r="K101" i="13"/>
  <c r="J103" i="13"/>
  <c r="H104" i="13"/>
  <c r="G105" i="13"/>
  <c r="E106" i="13"/>
  <c r="P106" i="13"/>
  <c r="AE106" i="13" s="1"/>
  <c r="M107" i="13"/>
  <c r="I110" i="13"/>
  <c r="E111" i="13"/>
  <c r="O111" i="13"/>
  <c r="K114" i="13"/>
  <c r="G115" i="13"/>
  <c r="Q115" i="13"/>
  <c r="M116" i="13"/>
  <c r="H119" i="13"/>
  <c r="Q119" i="13"/>
  <c r="I122" i="13"/>
  <c r="D123" i="13"/>
  <c r="M123" i="13"/>
  <c r="J125" i="13"/>
  <c r="E126" i="13"/>
  <c r="N126" i="13"/>
  <c r="K128" i="13"/>
  <c r="F129" i="13"/>
  <c r="O129" i="13"/>
  <c r="G132" i="13"/>
  <c r="P132" i="13"/>
  <c r="AE132" i="13" s="1"/>
  <c r="H135" i="13"/>
  <c r="Q135" i="13"/>
  <c r="I138" i="13"/>
  <c r="D139" i="13"/>
  <c r="M139" i="13"/>
  <c r="J141" i="13"/>
  <c r="E5" i="13"/>
  <c r="J12" i="13"/>
  <c r="H15" i="13"/>
  <c r="F19" i="13"/>
  <c r="D22" i="13"/>
  <c r="O28" i="13"/>
  <c r="D32" i="13"/>
  <c r="G35" i="13"/>
  <c r="I38" i="13"/>
  <c r="J41" i="13"/>
  <c r="F44" i="13"/>
  <c r="N56" i="13"/>
  <c r="D62" i="13"/>
  <c r="F64" i="13"/>
  <c r="Q70" i="13"/>
  <c r="M74" i="13"/>
  <c r="E84" i="13"/>
  <c r="M85" i="13"/>
  <c r="P89" i="13"/>
  <c r="G91" i="13"/>
  <c r="K92" i="13"/>
  <c r="M95" i="13"/>
  <c r="Q96" i="13"/>
  <c r="I98" i="13"/>
  <c r="I99" i="13"/>
  <c r="I100" i="13"/>
  <c r="K103" i="13"/>
  <c r="I104" i="13"/>
  <c r="H105" i="13"/>
  <c r="F106" i="13"/>
  <c r="Q106" i="13"/>
  <c r="N107" i="13"/>
  <c r="J110" i="13"/>
  <c r="F111" i="13"/>
  <c r="P111" i="13"/>
  <c r="AE111" i="13" s="1"/>
  <c r="M112" i="13"/>
  <c r="H115" i="13"/>
  <c r="D116" i="13"/>
  <c r="N116" i="13"/>
  <c r="I119" i="13"/>
  <c r="D120" i="13"/>
  <c r="M120" i="13"/>
  <c r="J122" i="13"/>
  <c r="E123" i="13"/>
  <c r="N123" i="13"/>
  <c r="K125" i="13"/>
  <c r="F126" i="13"/>
  <c r="O126" i="13"/>
  <c r="G129" i="13"/>
  <c r="P129" i="13"/>
  <c r="H132" i="13"/>
  <c r="Q132" i="13"/>
  <c r="N5" i="13"/>
  <c r="F16" i="13"/>
  <c r="H26" i="13"/>
  <c r="H29" i="13"/>
  <c r="D33" i="13"/>
  <c r="O38" i="13"/>
  <c r="G45" i="13"/>
  <c r="E48" i="13"/>
  <c r="N50" i="13"/>
  <c r="H54" i="13"/>
  <c r="E57" i="13"/>
  <c r="Q59" i="13"/>
  <c r="G62" i="13"/>
  <c r="G69" i="13"/>
  <c r="F71" i="13"/>
  <c r="K73" i="13"/>
  <c r="I75" i="13"/>
  <c r="Q76" i="13"/>
  <c r="P78" i="13"/>
  <c r="M80" i="13"/>
  <c r="M82" i="13"/>
  <c r="H84" i="13"/>
  <c r="H86" i="13"/>
  <c r="O88" i="13"/>
  <c r="H90" i="13"/>
  <c r="N93" i="13"/>
  <c r="O94" i="13"/>
  <c r="E96" i="13"/>
  <c r="I97" i="13"/>
  <c r="I106" i="13"/>
  <c r="F107" i="13"/>
  <c r="Q107" i="13"/>
  <c r="N108" i="13"/>
  <c r="J111" i="13"/>
  <c r="F112" i="13"/>
  <c r="P112" i="13"/>
  <c r="AE112" i="13" s="1"/>
  <c r="K115" i="13"/>
  <c r="G116" i="13"/>
  <c r="Q116" i="13"/>
  <c r="M117" i="13"/>
  <c r="G120" i="13"/>
  <c r="P120" i="13"/>
  <c r="AE120" i="13" s="1"/>
  <c r="H123" i="13"/>
  <c r="Q123" i="13"/>
  <c r="I126" i="13"/>
  <c r="D127" i="13"/>
  <c r="M127" i="13"/>
  <c r="J129" i="13"/>
  <c r="E130" i="13"/>
  <c r="N130" i="13"/>
  <c r="K132" i="13"/>
  <c r="F133" i="13"/>
  <c r="O133" i="13"/>
  <c r="S398" i="13"/>
  <c r="D4" i="13"/>
  <c r="D10" i="13"/>
  <c r="O23" i="13"/>
  <c r="F29" i="13"/>
  <c r="J38" i="13"/>
  <c r="Q51" i="13"/>
  <c r="D56" i="13"/>
  <c r="H60" i="13"/>
  <c r="O69" i="13"/>
  <c r="E73" i="13"/>
  <c r="N78" i="13"/>
  <c r="P83" i="13"/>
  <c r="J90" i="13"/>
  <c r="Q91" i="13"/>
  <c r="O93" i="13"/>
  <c r="H97" i="13"/>
  <c r="K100" i="13"/>
  <c r="N101" i="13"/>
  <c r="H103" i="13"/>
  <c r="N105" i="13"/>
  <c r="H107" i="13"/>
  <c r="M110" i="13"/>
  <c r="E112" i="13"/>
  <c r="G113" i="13"/>
  <c r="P117" i="13"/>
  <c r="E119" i="13"/>
  <c r="I120" i="13"/>
  <c r="I121" i="13"/>
  <c r="P126" i="13"/>
  <c r="Q127" i="13"/>
  <c r="D129" i="13"/>
  <c r="H130" i="13"/>
  <c r="I131" i="13"/>
  <c r="J138" i="13"/>
  <c r="G139" i="13"/>
  <c r="D140" i="13"/>
  <c r="O140" i="13"/>
  <c r="K143" i="13"/>
  <c r="H144" i="13"/>
  <c r="D145" i="13"/>
  <c r="N145" i="13"/>
  <c r="I148" i="13"/>
  <c r="E149" i="13"/>
  <c r="O149" i="13"/>
  <c r="J152" i="13"/>
  <c r="E153" i="13"/>
  <c r="N153" i="13"/>
  <c r="K155" i="13"/>
  <c r="F156" i="13"/>
  <c r="O156" i="13"/>
  <c r="G159" i="13"/>
  <c r="P159" i="13"/>
  <c r="H162" i="13"/>
  <c r="Q162" i="13"/>
  <c r="I165" i="13"/>
  <c r="D166" i="13"/>
  <c r="M166" i="13"/>
  <c r="J168" i="13"/>
  <c r="E169" i="13"/>
  <c r="N169" i="13"/>
  <c r="K171" i="13"/>
  <c r="F172" i="13"/>
  <c r="O172" i="13"/>
  <c r="G175" i="13"/>
  <c r="P175" i="13"/>
  <c r="H178" i="13"/>
  <c r="Q178" i="13"/>
  <c r="I181" i="13"/>
  <c r="D182" i="13"/>
  <c r="M182" i="13"/>
  <c r="J184" i="13"/>
  <c r="E185" i="13"/>
  <c r="N185" i="13"/>
  <c r="K187" i="13"/>
  <c r="F188" i="13"/>
  <c r="O188" i="13"/>
  <c r="G191" i="13"/>
  <c r="P191" i="13"/>
  <c r="AE191" i="13" s="1"/>
  <c r="H194" i="13"/>
  <c r="Q194" i="13"/>
  <c r="I197" i="13"/>
  <c r="D198" i="13"/>
  <c r="M198" i="13"/>
  <c r="J200" i="13"/>
  <c r="E201" i="13"/>
  <c r="N201" i="13"/>
  <c r="K203" i="13"/>
  <c r="F204" i="13"/>
  <c r="O204" i="13"/>
  <c r="G207" i="13"/>
  <c r="P207" i="13"/>
  <c r="AE207" i="13" s="1"/>
  <c r="H210" i="13"/>
  <c r="Q210" i="13"/>
  <c r="I213" i="13"/>
  <c r="D214" i="13"/>
  <c r="M214" i="13"/>
  <c r="J216" i="13"/>
  <c r="E217" i="13"/>
  <c r="N217" i="13"/>
  <c r="K219" i="13"/>
  <c r="E10" i="13"/>
  <c r="P14" i="13"/>
  <c r="AE14" i="13" s="1"/>
  <c r="P23" i="13"/>
  <c r="AE23" i="13" s="1"/>
  <c r="K29" i="13"/>
  <c r="P42" i="13"/>
  <c r="AE42" i="13" s="1"/>
  <c r="Q47" i="13"/>
  <c r="D52" i="13"/>
  <c r="E56" i="13"/>
  <c r="I60" i="13"/>
  <c r="O66" i="13"/>
  <c r="D70" i="13"/>
  <c r="N75" i="13"/>
  <c r="O78" i="13"/>
  <c r="F84" i="13"/>
  <c r="K90" i="13"/>
  <c r="G92" i="13"/>
  <c r="P93" i="13"/>
  <c r="J97" i="13"/>
  <c r="N98" i="13"/>
  <c r="O101" i="13"/>
  <c r="P105" i="13"/>
  <c r="AE105" i="13" s="1"/>
  <c r="I107" i="13"/>
  <c r="M109" i="13"/>
  <c r="N110" i="13"/>
  <c r="G112" i="13"/>
  <c r="H113" i="13"/>
  <c r="O116" i="13"/>
  <c r="Q117" i="13"/>
  <c r="F119" i="13"/>
  <c r="J120" i="13"/>
  <c r="K121" i="13"/>
  <c r="M124" i="13"/>
  <c r="M125" i="13"/>
  <c r="Q126" i="13"/>
  <c r="D128" i="13"/>
  <c r="H129" i="13"/>
  <c r="I130" i="13"/>
  <c r="J131" i="13"/>
  <c r="K138" i="13"/>
  <c r="H139" i="13"/>
  <c r="E140" i="13"/>
  <c r="P140" i="13"/>
  <c r="AE140" i="13" s="1"/>
  <c r="M141" i="13"/>
  <c r="I144" i="13"/>
  <c r="E145" i="13"/>
  <c r="O145" i="13"/>
  <c r="J148" i="13"/>
  <c r="F149" i="13"/>
  <c r="P149" i="13"/>
  <c r="AE149" i="13" s="1"/>
  <c r="K152" i="13"/>
  <c r="F153" i="13"/>
  <c r="O153" i="13"/>
  <c r="G156" i="13"/>
  <c r="P156" i="13"/>
  <c r="AE156" i="13" s="1"/>
  <c r="H159" i="13"/>
  <c r="Q159" i="13"/>
  <c r="I162" i="13"/>
  <c r="D163" i="13"/>
  <c r="M163" i="13"/>
  <c r="J165" i="13"/>
  <c r="E166" i="13"/>
  <c r="N166" i="13"/>
  <c r="K168" i="13"/>
  <c r="F169" i="13"/>
  <c r="O169" i="13"/>
  <c r="G172" i="13"/>
  <c r="P172" i="13"/>
  <c r="H175" i="13"/>
  <c r="Q175" i="13"/>
  <c r="I178" i="13"/>
  <c r="D179" i="13"/>
  <c r="M179" i="13"/>
  <c r="J181" i="13"/>
  <c r="E182" i="13"/>
  <c r="N182" i="13"/>
  <c r="K184" i="13"/>
  <c r="F185" i="13"/>
  <c r="O185" i="13"/>
  <c r="G188" i="13"/>
  <c r="P188" i="13"/>
  <c r="AE188" i="13" s="1"/>
  <c r="H191" i="13"/>
  <c r="Q191" i="13"/>
  <c r="I194" i="13"/>
  <c r="D195" i="13"/>
  <c r="M195" i="13"/>
  <c r="J197" i="13"/>
  <c r="E198" i="13"/>
  <c r="N198" i="13"/>
  <c r="K200" i="13"/>
  <c r="F201" i="13"/>
  <c r="O201" i="13"/>
  <c r="G204" i="13"/>
  <c r="P204" i="13"/>
  <c r="H207" i="13"/>
  <c r="Q207" i="13"/>
  <c r="I210" i="13"/>
  <c r="D211" i="13"/>
  <c r="M211" i="13"/>
  <c r="J213" i="13"/>
  <c r="E214" i="13"/>
  <c r="N214" i="13"/>
  <c r="K216" i="13"/>
  <c r="F217" i="13"/>
  <c r="O217" i="13"/>
  <c r="Q14" i="13"/>
  <c r="F39" i="13"/>
  <c r="E43" i="13"/>
  <c r="D48" i="13"/>
  <c r="E52" i="13"/>
  <c r="O56" i="13"/>
  <c r="E67" i="13"/>
  <c r="G70" i="13"/>
  <c r="P75" i="13"/>
  <c r="Q78" i="13"/>
  <c r="G84" i="13"/>
  <c r="H92" i="13"/>
  <c r="Q93" i="13"/>
  <c r="Q98" i="13"/>
  <c r="P101" i="13"/>
  <c r="AE101" i="13" s="1"/>
  <c r="M104" i="13"/>
  <c r="G106" i="13"/>
  <c r="J107" i="13"/>
  <c r="N109" i="13"/>
  <c r="P110" i="13"/>
  <c r="H112" i="13"/>
  <c r="I113" i="13"/>
  <c r="P116" i="13"/>
  <c r="AE116" i="13" s="1"/>
  <c r="D118" i="13"/>
  <c r="J119" i="13"/>
  <c r="K120" i="13"/>
  <c r="N124" i="13"/>
  <c r="N125" i="13"/>
  <c r="E127" i="13"/>
  <c r="E128" i="13"/>
  <c r="I129" i="13"/>
  <c r="J130" i="13"/>
  <c r="M134" i="13"/>
  <c r="K20" i="13"/>
  <c r="I30" i="13"/>
  <c r="G39" i="13"/>
  <c r="F48" i="13"/>
  <c r="F52" i="13"/>
  <c r="P56" i="13"/>
  <c r="M60" i="13"/>
  <c r="K76" i="13"/>
  <c r="D79" i="13"/>
  <c r="D94" i="13"/>
  <c r="E99" i="13"/>
  <c r="D102" i="13"/>
  <c r="N104" i="13"/>
  <c r="H106" i="13"/>
  <c r="K107" i="13"/>
  <c r="O109" i="13"/>
  <c r="Q110" i="13"/>
  <c r="I112" i="13"/>
  <c r="K113" i="13"/>
  <c r="D117" i="13"/>
  <c r="F118" i="13"/>
  <c r="K119" i="13"/>
  <c r="O124" i="13"/>
  <c r="P125" i="13"/>
  <c r="F127" i="13"/>
  <c r="F128" i="13"/>
  <c r="K129" i="13"/>
  <c r="K130" i="13"/>
  <c r="M133" i="13"/>
  <c r="N134" i="13"/>
  <c r="N135" i="13"/>
  <c r="J139" i="13"/>
  <c r="G140" i="13"/>
  <c r="D141" i="13"/>
  <c r="P141" i="13"/>
  <c r="AE141" i="13" s="1"/>
  <c r="K144" i="13"/>
  <c r="G145" i="13"/>
  <c r="Q145" i="13"/>
  <c r="M146" i="13"/>
  <c r="H149" i="13"/>
  <c r="D150" i="13"/>
  <c r="N150" i="13"/>
  <c r="H153" i="13"/>
  <c r="Q153" i="13"/>
  <c r="I156" i="13"/>
  <c r="D157" i="13"/>
  <c r="M157" i="13"/>
  <c r="J159" i="13"/>
  <c r="E160" i="13"/>
  <c r="N160" i="13"/>
  <c r="K162" i="13"/>
  <c r="F163" i="13"/>
  <c r="O163" i="13"/>
  <c r="G166" i="13"/>
  <c r="P166" i="13"/>
  <c r="AE166" i="13" s="1"/>
  <c r="H169" i="13"/>
  <c r="Q169" i="13"/>
  <c r="I172" i="13"/>
  <c r="D173" i="13"/>
  <c r="M173" i="13"/>
  <c r="J175" i="13"/>
  <c r="E176" i="13"/>
  <c r="N176" i="13"/>
  <c r="K178" i="13"/>
  <c r="F179" i="13"/>
  <c r="O179" i="13"/>
  <c r="G182" i="13"/>
  <c r="P182" i="13"/>
  <c r="AE182" i="13" s="1"/>
  <c r="H185" i="13"/>
  <c r="Q185" i="13"/>
  <c r="I188" i="13"/>
  <c r="D189" i="13"/>
  <c r="M189" i="13"/>
  <c r="J191" i="13"/>
  <c r="E192" i="13"/>
  <c r="N192" i="13"/>
  <c r="K194" i="13"/>
  <c r="F195" i="13"/>
  <c r="O195" i="13"/>
  <c r="G198" i="13"/>
  <c r="P198" i="13"/>
  <c r="AE198" i="13" s="1"/>
  <c r="H201" i="13"/>
  <c r="Q201" i="13"/>
  <c r="I204" i="13"/>
  <c r="D205" i="13"/>
  <c r="M205" i="13"/>
  <c r="J207" i="13"/>
  <c r="E208" i="13"/>
  <c r="N208" i="13"/>
  <c r="K210" i="13"/>
  <c r="F211" i="13"/>
  <c r="O211" i="13"/>
  <c r="G214" i="13"/>
  <c r="P214" i="13"/>
  <c r="AE214" i="13" s="1"/>
  <c r="H217" i="13"/>
  <c r="Q217" i="13"/>
  <c r="D6" i="13"/>
  <c r="Q15" i="13"/>
  <c r="O25" i="13"/>
  <c r="N43" i="13"/>
  <c r="G48" i="13"/>
  <c r="H52" i="13"/>
  <c r="F57" i="13"/>
  <c r="Q60" i="13"/>
  <c r="D71" i="13"/>
  <c r="E79" i="13"/>
  <c r="M81" i="13"/>
  <c r="M86" i="13"/>
  <c r="Q88" i="13"/>
  <c r="E94" i="13"/>
  <c r="P95" i="13"/>
  <c r="AE95" i="13" s="1"/>
  <c r="F99" i="13"/>
  <c r="M100" i="13"/>
  <c r="G102" i="13"/>
  <c r="O104" i="13"/>
  <c r="J106" i="13"/>
  <c r="M108" i="13"/>
  <c r="P109" i="13"/>
  <c r="AE109" i="13" s="1"/>
  <c r="G111" i="13"/>
  <c r="J112" i="13"/>
  <c r="N115" i="13"/>
  <c r="E117" i="13"/>
  <c r="G118" i="13"/>
  <c r="O123" i="13"/>
  <c r="P124" i="13"/>
  <c r="Q125" i="13"/>
  <c r="G127" i="13"/>
  <c r="H128" i="13"/>
  <c r="N133" i="13"/>
  <c r="O134" i="13"/>
  <c r="O135" i="13"/>
  <c r="M136" i="13"/>
  <c r="K139" i="13"/>
  <c r="H140" i="13"/>
  <c r="E141" i="13"/>
  <c r="Q141" i="13"/>
  <c r="M142" i="13"/>
  <c r="H145" i="13"/>
  <c r="D146" i="13"/>
  <c r="N146" i="13"/>
  <c r="I149" i="13"/>
  <c r="E150" i="13"/>
  <c r="O150" i="13"/>
  <c r="I153" i="13"/>
  <c r="D154" i="13"/>
  <c r="M154" i="13"/>
  <c r="J156" i="13"/>
  <c r="E157" i="13"/>
  <c r="N157" i="13"/>
  <c r="K159" i="13"/>
  <c r="F160" i="13"/>
  <c r="O160" i="13"/>
  <c r="G163" i="13"/>
  <c r="P163" i="13"/>
  <c r="H166" i="13"/>
  <c r="Q166" i="13"/>
  <c r="I169" i="13"/>
  <c r="D170" i="13"/>
  <c r="M170" i="13"/>
  <c r="J172" i="13"/>
  <c r="E173" i="13"/>
  <c r="N173" i="13"/>
  <c r="K175" i="13"/>
  <c r="F176" i="13"/>
  <c r="O176" i="13"/>
  <c r="G179" i="13"/>
  <c r="P179" i="13"/>
  <c r="H182" i="13"/>
  <c r="Q182" i="13"/>
  <c r="I185" i="13"/>
  <c r="D186" i="13"/>
  <c r="M186" i="13"/>
  <c r="J188" i="13"/>
  <c r="E189" i="13"/>
  <c r="N189" i="13"/>
  <c r="K191" i="13"/>
  <c r="F192" i="13"/>
  <c r="O192" i="13"/>
  <c r="G195" i="13"/>
  <c r="P195" i="13"/>
  <c r="AE195" i="13" s="1"/>
  <c r="H198" i="13"/>
  <c r="Q198" i="13"/>
  <c r="I201" i="13"/>
  <c r="D202" i="13"/>
  <c r="M202" i="13"/>
  <c r="J204" i="13"/>
  <c r="E205" i="13"/>
  <c r="N205" i="13"/>
  <c r="K207" i="13"/>
  <c r="F208" i="13"/>
  <c r="O208" i="13"/>
  <c r="G211" i="13"/>
  <c r="P211" i="13"/>
  <c r="AE211" i="13" s="1"/>
  <c r="H214" i="13"/>
  <c r="Q214" i="13"/>
  <c r="I217" i="13"/>
  <c r="D218" i="13"/>
  <c r="M218" i="13"/>
  <c r="G6" i="13"/>
  <c r="G26" i="13"/>
  <c r="H35" i="13"/>
  <c r="P43" i="13"/>
  <c r="I48" i="13"/>
  <c r="O52" i="13"/>
  <c r="D61" i="13"/>
  <c r="M64" i="13"/>
  <c r="M67" i="13"/>
  <c r="E71" i="13"/>
  <c r="K79" i="13"/>
  <c r="O81" i="13"/>
  <c r="O84" i="13"/>
  <c r="P86" i="13"/>
  <c r="H89" i="13"/>
  <c r="F94" i="13"/>
  <c r="Q95" i="13"/>
  <c r="J99" i="13"/>
  <c r="N100" i="13"/>
  <c r="J102" i="13"/>
  <c r="Q104" i="13"/>
  <c r="K106" i="13"/>
  <c r="O108" i="13"/>
  <c r="Q109" i="13"/>
  <c r="I111" i="13"/>
  <c r="K112" i="13"/>
  <c r="O115" i="13"/>
  <c r="F117" i="13"/>
  <c r="I118" i="13"/>
  <c r="P123" i="13"/>
  <c r="Q124" i="13"/>
  <c r="G126" i="13"/>
  <c r="H127" i="13"/>
  <c r="I128" i="13"/>
  <c r="P133" i="13"/>
  <c r="AE133" i="13" s="1"/>
  <c r="P134" i="13"/>
  <c r="P135" i="13"/>
  <c r="AE135" i="13" s="1"/>
  <c r="N136" i="13"/>
  <c r="I140" i="13"/>
  <c r="G141" i="13"/>
  <c r="D142" i="13"/>
  <c r="N142" i="13"/>
  <c r="I145" i="13"/>
  <c r="E146" i="13"/>
  <c r="O146" i="13"/>
  <c r="J149" i="13"/>
  <c r="F150" i="13"/>
  <c r="P150" i="13"/>
  <c r="AE150" i="13" s="1"/>
  <c r="J153" i="13"/>
  <c r="E154" i="13"/>
  <c r="N154" i="13"/>
  <c r="K156" i="13"/>
  <c r="F157" i="13"/>
  <c r="O157" i="13"/>
  <c r="G160" i="13"/>
  <c r="P160" i="13"/>
  <c r="H163" i="13"/>
  <c r="Q163" i="13"/>
  <c r="I166" i="13"/>
  <c r="D167" i="13"/>
  <c r="M167" i="13"/>
  <c r="J169" i="13"/>
  <c r="E170" i="13"/>
  <c r="N170" i="13"/>
  <c r="K172" i="13"/>
  <c r="F173" i="13"/>
  <c r="O173" i="13"/>
  <c r="G176" i="13"/>
  <c r="P176" i="13"/>
  <c r="H179" i="13"/>
  <c r="Q179" i="13"/>
  <c r="I182" i="13"/>
  <c r="D183" i="13"/>
  <c r="M183" i="13"/>
  <c r="J185" i="13"/>
  <c r="E186" i="13"/>
  <c r="N186" i="13"/>
  <c r="K188" i="13"/>
  <c r="F189" i="13"/>
  <c r="O189" i="13"/>
  <c r="G192" i="13"/>
  <c r="P192" i="13"/>
  <c r="AE192" i="13" s="1"/>
  <c r="H195" i="13"/>
  <c r="Q195" i="13"/>
  <c r="I198" i="13"/>
  <c r="D199" i="13"/>
  <c r="M199" i="13"/>
  <c r="J201" i="13"/>
  <c r="E202" i="13"/>
  <c r="N202" i="13"/>
  <c r="K204" i="13"/>
  <c r="F205" i="13"/>
  <c r="O205" i="13"/>
  <c r="G208" i="13"/>
  <c r="P208" i="13"/>
  <c r="AE208" i="13" s="1"/>
  <c r="H211" i="13"/>
  <c r="Q211" i="13"/>
  <c r="I214" i="13"/>
  <c r="D215" i="13"/>
  <c r="M215" i="13"/>
  <c r="J217" i="13"/>
  <c r="E218" i="13"/>
  <c r="N218" i="13"/>
  <c r="I6" i="13"/>
  <c r="Q10" i="13"/>
  <c r="M20" i="13"/>
  <c r="I26" i="13"/>
  <c r="O39" i="13"/>
  <c r="J44" i="13"/>
  <c r="P48" i="13"/>
  <c r="D53" i="13"/>
  <c r="I61" i="13"/>
  <c r="N64" i="13"/>
  <c r="O67" i="13"/>
  <c r="H71" i="13"/>
  <c r="N73" i="13"/>
  <c r="M76" i="13"/>
  <c r="P84" i="13"/>
  <c r="AE84" i="13" s="1"/>
  <c r="F87" i="13"/>
  <c r="I89" i="13"/>
  <c r="N90" i="13"/>
  <c r="O92" i="13"/>
  <c r="G94" i="13"/>
  <c r="F96" i="13"/>
  <c r="K99" i="13"/>
  <c r="I7" i="13"/>
  <c r="K12" i="13"/>
  <c r="P16" i="13"/>
  <c r="AE16" i="13" s="1"/>
  <c r="G31" i="13"/>
  <c r="E36" i="13"/>
  <c r="D40" i="13"/>
  <c r="H45" i="13"/>
  <c r="H49" i="13"/>
  <c r="F54" i="13"/>
  <c r="G58" i="13"/>
  <c r="E62" i="13"/>
  <c r="P64" i="13"/>
  <c r="G68" i="13"/>
  <c r="K71" i="13"/>
  <c r="J74" i="13"/>
  <c r="K77" i="13"/>
  <c r="N79" i="13"/>
  <c r="O82" i="13"/>
  <c r="F85" i="13"/>
  <c r="K89" i="13"/>
  <c r="K91" i="13"/>
  <c r="Q92" i="13"/>
  <c r="K96" i="13"/>
  <c r="N97" i="13"/>
  <c r="Q100" i="13"/>
  <c r="P103" i="13"/>
  <c r="AE103" i="13" s="1"/>
  <c r="K105" i="13"/>
  <c r="O107" i="13"/>
  <c r="E109" i="13"/>
  <c r="G110" i="13"/>
  <c r="N113" i="13"/>
  <c r="O114" i="13"/>
  <c r="H116" i="13"/>
  <c r="I117" i="13"/>
  <c r="N120" i="13"/>
  <c r="O121" i="13"/>
  <c r="P122" i="13"/>
  <c r="AE122" i="13" s="1"/>
  <c r="F124" i="13"/>
  <c r="G125" i="13"/>
  <c r="K126" i="13"/>
  <c r="K127" i="13"/>
  <c r="M130" i="13"/>
  <c r="N131" i="13"/>
  <c r="D133" i="13"/>
  <c r="E134" i="13"/>
  <c r="F135" i="13"/>
  <c r="F136" i="13"/>
  <c r="Q136" i="13"/>
  <c r="N137" i="13"/>
  <c r="K141" i="13"/>
  <c r="G142" i="13"/>
  <c r="Q142" i="13"/>
  <c r="M143" i="13"/>
  <c r="H146" i="13"/>
  <c r="D147" i="13"/>
  <c r="N147" i="13"/>
  <c r="J150" i="13"/>
  <c r="F151" i="13"/>
  <c r="P151" i="13"/>
  <c r="H154" i="13"/>
  <c r="Q154" i="13"/>
  <c r="I157" i="13"/>
  <c r="D158" i="13"/>
  <c r="M158" i="13"/>
  <c r="J160" i="13"/>
  <c r="E161" i="13"/>
  <c r="N161" i="13"/>
  <c r="K163" i="13"/>
  <c r="F164" i="13"/>
  <c r="O164" i="13"/>
  <c r="G167" i="13"/>
  <c r="P167" i="13"/>
  <c r="H170" i="13"/>
  <c r="Q170" i="13"/>
  <c r="I173" i="13"/>
  <c r="D174" i="13"/>
  <c r="M174" i="13"/>
  <c r="J176" i="13"/>
  <c r="E177" i="13"/>
  <c r="N177" i="13"/>
  <c r="K179" i="13"/>
  <c r="F180" i="13"/>
  <c r="O180" i="13"/>
  <c r="G183" i="13"/>
  <c r="P183" i="13"/>
  <c r="AE183" i="13" s="1"/>
  <c r="H186" i="13"/>
  <c r="Q186" i="13"/>
  <c r="I189" i="13"/>
  <c r="D190" i="13"/>
  <c r="M190" i="13"/>
  <c r="J192" i="13"/>
  <c r="E193" i="13"/>
  <c r="N193" i="13"/>
  <c r="K195" i="13"/>
  <c r="F196" i="13"/>
  <c r="O196" i="13"/>
  <c r="G199" i="13"/>
  <c r="P199" i="13"/>
  <c r="AE199" i="13" s="1"/>
  <c r="H202" i="13"/>
  <c r="Q202" i="13"/>
  <c r="I205" i="13"/>
  <c r="D206" i="13"/>
  <c r="M206" i="13"/>
  <c r="J208" i="13"/>
  <c r="E209" i="13"/>
  <c r="N209" i="13"/>
  <c r="K211" i="13"/>
  <c r="F212" i="13"/>
  <c r="O212" i="13"/>
  <c r="G215" i="13"/>
  <c r="P215" i="13"/>
  <c r="AE215" i="13" s="1"/>
  <c r="H218" i="13"/>
  <c r="Q218" i="13"/>
  <c r="I221" i="13"/>
  <c r="K7" i="13"/>
  <c r="H22" i="13"/>
  <c r="H31" i="13"/>
  <c r="F36" i="13"/>
  <c r="G40" i="13"/>
  <c r="K45" i="13"/>
  <c r="I49" i="13"/>
  <c r="J54" i="13"/>
  <c r="H58" i="13"/>
  <c r="F62" i="13"/>
  <c r="K74" i="13"/>
  <c r="D80" i="13"/>
  <c r="Q82" i="13"/>
  <c r="I85" i="13"/>
  <c r="D93" i="13"/>
  <c r="M94" i="13"/>
  <c r="D98" i="13"/>
  <c r="M99" i="13"/>
  <c r="E101" i="13"/>
  <c r="Q103" i="13"/>
  <c r="P107" i="13"/>
  <c r="AE107" i="13" s="1"/>
  <c r="F109" i="13"/>
  <c r="K110" i="13"/>
  <c r="O113" i="13"/>
  <c r="Q114" i="13"/>
  <c r="I116" i="13"/>
  <c r="K117" i="13"/>
  <c r="O120" i="13"/>
  <c r="P121" i="13"/>
  <c r="AE121" i="13" s="1"/>
  <c r="F123" i="13"/>
  <c r="G124" i="13"/>
  <c r="H125" i="13"/>
  <c r="O130" i="13"/>
  <c r="O131" i="13"/>
  <c r="E133" i="13"/>
  <c r="F134" i="13"/>
  <c r="K6" i="13"/>
  <c r="P27" i="13"/>
  <c r="M49" i="13"/>
  <c r="Q73" i="13"/>
  <c r="G86" i="13"/>
  <c r="I90" i="13"/>
  <c r="N94" i="13"/>
  <c r="D107" i="13"/>
  <c r="K109" i="13"/>
  <c r="E114" i="13"/>
  <c r="O118" i="13"/>
  <c r="F121" i="13"/>
  <c r="K123" i="13"/>
  <c r="N127" i="13"/>
  <c r="D130" i="13"/>
  <c r="I132" i="13"/>
  <c r="K134" i="13"/>
  <c r="H136" i="13"/>
  <c r="P138" i="13"/>
  <c r="AE138" i="13" s="1"/>
  <c r="E143" i="13"/>
  <c r="J144" i="13"/>
  <c r="Q146" i="13"/>
  <c r="G148" i="13"/>
  <c r="M150" i="13"/>
  <c r="F152" i="13"/>
  <c r="N155" i="13"/>
  <c r="Q156" i="13"/>
  <c r="H158" i="13"/>
  <c r="P161" i="13"/>
  <c r="E163" i="13"/>
  <c r="J164" i="13"/>
  <c r="D168" i="13"/>
  <c r="G169" i="13"/>
  <c r="M172" i="13"/>
  <c r="F174" i="13"/>
  <c r="I175" i="13"/>
  <c r="M177" i="13"/>
  <c r="O178" i="13"/>
  <c r="H180" i="13"/>
  <c r="K181" i="13"/>
  <c r="O183" i="13"/>
  <c r="Q184" i="13"/>
  <c r="J186" i="13"/>
  <c r="Q189" i="13"/>
  <c r="E191" i="13"/>
  <c r="M194" i="13"/>
  <c r="E196" i="13"/>
  <c r="G197" i="13"/>
  <c r="O200" i="13"/>
  <c r="G202" i="13"/>
  <c r="I203" i="13"/>
  <c r="G28" i="13"/>
  <c r="Q39" i="13"/>
  <c r="E50" i="13"/>
  <c r="N74" i="13"/>
  <c r="I86" i="13"/>
  <c r="D91" i="13"/>
  <c r="P94" i="13"/>
  <c r="AE94" i="13" s="1"/>
  <c r="E107" i="13"/>
  <c r="M111" i="13"/>
  <c r="G114" i="13"/>
  <c r="P118" i="13"/>
  <c r="G121" i="13"/>
  <c r="O127" i="13"/>
  <c r="F130" i="13"/>
  <c r="J132" i="13"/>
  <c r="I136" i="13"/>
  <c r="Q138" i="13"/>
  <c r="F143" i="13"/>
  <c r="E147" i="13"/>
  <c r="H148" i="13"/>
  <c r="Q150" i="13"/>
  <c r="G152" i="13"/>
  <c r="O155" i="13"/>
  <c r="G157" i="13"/>
  <c r="I158" i="13"/>
  <c r="Q161" i="13"/>
  <c r="I163" i="13"/>
  <c r="K164" i="13"/>
  <c r="E168" i="13"/>
  <c r="K169" i="13"/>
  <c r="M171" i="13"/>
  <c r="N172" i="13"/>
  <c r="G174" i="13"/>
  <c r="O177" i="13"/>
  <c r="P178" i="13"/>
  <c r="AE178" i="13" s="1"/>
  <c r="I180" i="13"/>
  <c r="Q183" i="13"/>
  <c r="D185" i="13"/>
  <c r="K186" i="13"/>
  <c r="E190" i="13"/>
  <c r="F191" i="13"/>
  <c r="N194" i="13"/>
  <c r="G196" i="13"/>
  <c r="H197" i="13"/>
  <c r="N199" i="13"/>
  <c r="P200" i="13"/>
  <c r="AE200" i="13" s="1"/>
  <c r="I202" i="13"/>
  <c r="J203" i="13"/>
  <c r="P205" i="13"/>
  <c r="AE205" i="13" s="1"/>
  <c r="D207" i="13"/>
  <c r="K208" i="13"/>
  <c r="D18" i="13"/>
  <c r="Q28" i="13"/>
  <c r="D41" i="13"/>
  <c r="N59" i="13"/>
  <c r="E68" i="13"/>
  <c r="E75" i="13"/>
  <c r="N80" i="13"/>
  <c r="Q94" i="13"/>
  <c r="M101" i="13"/>
  <c r="G107" i="13"/>
  <c r="D112" i="13"/>
  <c r="H114" i="13"/>
  <c r="Q118" i="13"/>
  <c r="H121" i="13"/>
  <c r="P127" i="13"/>
  <c r="G130" i="13"/>
  <c r="J136" i="13"/>
  <c r="M137" i="13"/>
  <c r="E139" i="13"/>
  <c r="N141" i="13"/>
  <c r="G143" i="13"/>
  <c r="F147" i="13"/>
  <c r="K148" i="13"/>
  <c r="E151" i="13"/>
  <c r="H152" i="13"/>
  <c r="P155" i="13"/>
  <c r="AE155" i="13" s="1"/>
  <c r="H157" i="13"/>
  <c r="J158" i="13"/>
  <c r="M160" i="13"/>
  <c r="D162" i="13"/>
  <c r="J163" i="13"/>
  <c r="O166" i="13"/>
  <c r="F168" i="13"/>
  <c r="N171" i="13"/>
  <c r="Q172" i="13"/>
  <c r="H174" i="13"/>
  <c r="P177" i="13"/>
  <c r="E179" i="13"/>
  <c r="J180" i="13"/>
  <c r="D184" i="13"/>
  <c r="G185" i="13"/>
  <c r="M188" i="13"/>
  <c r="F190" i="13"/>
  <c r="I191" i="13"/>
  <c r="M193" i="13"/>
  <c r="O194" i="13"/>
  <c r="H196" i="13"/>
  <c r="K197" i="13"/>
  <c r="O199" i="13"/>
  <c r="Q200" i="13"/>
  <c r="J202" i="13"/>
  <c r="Q205" i="13"/>
  <c r="E207" i="13"/>
  <c r="M210" i="13"/>
  <c r="E212" i="13"/>
  <c r="G213" i="13"/>
  <c r="O216" i="13"/>
  <c r="G218" i="13"/>
  <c r="I219" i="13"/>
  <c r="J220" i="13"/>
  <c r="F221" i="13"/>
  <c r="P221" i="13"/>
  <c r="AE221" i="13" s="1"/>
  <c r="H224" i="13"/>
  <c r="Q224" i="13"/>
  <c r="I227" i="13"/>
  <c r="D228" i="13"/>
  <c r="I19" i="13"/>
  <c r="N30" i="13"/>
  <c r="F60" i="13"/>
  <c r="E69" i="13"/>
  <c r="K75" i="13"/>
  <c r="G81" i="13"/>
  <c r="D95" i="13"/>
  <c r="D105" i="13"/>
  <c r="D110" i="13"/>
  <c r="M114" i="13"/>
  <c r="G117" i="13"/>
  <c r="M121" i="13"/>
  <c r="D124" i="13"/>
  <c r="H126" i="13"/>
  <c r="M132" i="13"/>
  <c r="Q134" i="13"/>
  <c r="K136" i="13"/>
  <c r="O137" i="13"/>
  <c r="F139" i="13"/>
  <c r="E142" i="13"/>
  <c r="H143" i="13"/>
  <c r="M145" i="13"/>
  <c r="G147" i="13"/>
  <c r="G151" i="13"/>
  <c r="I152" i="13"/>
  <c r="O154" i="13"/>
  <c r="Q155" i="13"/>
  <c r="J157" i="13"/>
  <c r="K158" i="13"/>
  <c r="Q160" i="13"/>
  <c r="E162" i="13"/>
  <c r="M165" i="13"/>
  <c r="E167" i="13"/>
  <c r="G168" i="13"/>
  <c r="O171" i="13"/>
  <c r="G173" i="13"/>
  <c r="I174" i="13"/>
  <c r="Q177" i="13"/>
  <c r="I179" i="13"/>
  <c r="K180" i="13"/>
  <c r="E184" i="13"/>
  <c r="K185" i="13"/>
  <c r="M187" i="13"/>
  <c r="N188" i="13"/>
  <c r="G190" i="13"/>
  <c r="O193" i="13"/>
  <c r="P194" i="13"/>
  <c r="AE194" i="13" s="1"/>
  <c r="I196" i="13"/>
  <c r="N8" i="13"/>
  <c r="K19" i="13"/>
  <c r="I32" i="13"/>
  <c r="J69" i="13"/>
  <c r="I81" i="13"/>
  <c r="H95" i="13"/>
  <c r="J105" i="13"/>
  <c r="F110" i="13"/>
  <c r="N114" i="13"/>
  <c r="H117" i="13"/>
  <c r="N121" i="13"/>
  <c r="E124" i="13"/>
  <c r="J126" i="13"/>
  <c r="N132" i="13"/>
  <c r="E135" i="13"/>
  <c r="P137" i="13"/>
  <c r="AE137" i="13" s="1"/>
  <c r="I139" i="13"/>
  <c r="F142" i="13"/>
  <c r="I143" i="13"/>
  <c r="P145" i="13"/>
  <c r="AE145" i="13" s="1"/>
  <c r="I147" i="13"/>
  <c r="M149" i="13"/>
  <c r="H151" i="13"/>
  <c r="P154" i="13"/>
  <c r="D156" i="13"/>
  <c r="K157" i="13"/>
  <c r="D161" i="13"/>
  <c r="F162" i="13"/>
  <c r="N165" i="13"/>
  <c r="F167" i="13"/>
  <c r="H168" i="13"/>
  <c r="P171" i="13"/>
  <c r="H173" i="13"/>
  <c r="J174" i="13"/>
  <c r="M176" i="13"/>
  <c r="D178" i="13"/>
  <c r="J179" i="13"/>
  <c r="O182" i="13"/>
  <c r="F184" i="13"/>
  <c r="N187" i="13"/>
  <c r="Q188" i="13"/>
  <c r="H190" i="13"/>
  <c r="P193" i="13"/>
  <c r="AE193" i="13" s="1"/>
  <c r="E195" i="13"/>
  <c r="J196" i="13"/>
  <c r="D200" i="13"/>
  <c r="G201" i="13"/>
  <c r="M204" i="13"/>
  <c r="F206" i="13"/>
  <c r="I207" i="13"/>
  <c r="P8" i="13"/>
  <c r="N41" i="13"/>
  <c r="K69" i="13"/>
  <c r="I95" i="13"/>
  <c r="N99" i="13"/>
  <c r="D108" i="13"/>
  <c r="N112" i="13"/>
  <c r="E115" i="13"/>
  <c r="Q121" i="13"/>
  <c r="H124" i="13"/>
  <c r="P130" i="13"/>
  <c r="G133" i="13"/>
  <c r="I135" i="13"/>
  <c r="Q137" i="13"/>
  <c r="H142" i="13"/>
  <c r="J143" i="13"/>
  <c r="F146" i="13"/>
  <c r="J147" i="13"/>
  <c r="N149" i="13"/>
  <c r="I151" i="13"/>
  <c r="D155" i="13"/>
  <c r="E156" i="13"/>
  <c r="M159" i="13"/>
  <c r="F161" i="13"/>
  <c r="G162" i="13"/>
  <c r="M164" i="13"/>
  <c r="O165" i="13"/>
  <c r="H167" i="13"/>
  <c r="I168" i="13"/>
  <c r="O170" i="13"/>
  <c r="Q171" i="13"/>
  <c r="J173" i="13"/>
  <c r="K174" i="13"/>
  <c r="Q176" i="13"/>
  <c r="E178" i="13"/>
  <c r="M181" i="13"/>
  <c r="E183" i="13"/>
  <c r="G184" i="13"/>
  <c r="O187" i="13"/>
  <c r="G189" i="13"/>
  <c r="I190" i="13"/>
  <c r="Q193" i="13"/>
  <c r="I195" i="13"/>
  <c r="K196" i="13"/>
  <c r="E200" i="13"/>
  <c r="K201" i="13"/>
  <c r="M203" i="13"/>
  <c r="N204" i="13"/>
  <c r="G206" i="13"/>
  <c r="O209" i="13"/>
  <c r="P210" i="13"/>
  <c r="AE210" i="13" s="1"/>
  <c r="I212" i="13"/>
  <c r="J22" i="13"/>
  <c r="E33" i="13"/>
  <c r="H42" i="13"/>
  <c r="E54" i="13"/>
  <c r="D83" i="13"/>
  <c r="N87" i="13"/>
  <c r="J96" i="13"/>
  <c r="O99" i="13"/>
  <c r="M102" i="13"/>
  <c r="E108" i="13"/>
  <c r="O112" i="13"/>
  <c r="I115" i="13"/>
  <c r="N119" i="13"/>
  <c r="D122" i="13"/>
  <c r="I124" i="13"/>
  <c r="Q130" i="13"/>
  <c r="H133" i="13"/>
  <c r="J135" i="13"/>
  <c r="D138" i="13"/>
  <c r="M140" i="13"/>
  <c r="I142" i="13"/>
  <c r="M144" i="13"/>
  <c r="G146" i="13"/>
  <c r="K147" i="13"/>
  <c r="M148" i="13"/>
  <c r="Q149" i="13"/>
  <c r="J151" i="13"/>
  <c r="E155" i="13"/>
  <c r="H156" i="13"/>
  <c r="N159" i="13"/>
  <c r="G161" i="13"/>
  <c r="J162" i="13"/>
  <c r="N164" i="13"/>
  <c r="P165" i="13"/>
  <c r="I167" i="13"/>
  <c r="P170" i="13"/>
  <c r="D172" i="13"/>
  <c r="K173" i="13"/>
  <c r="D177" i="13"/>
  <c r="F178" i="13"/>
  <c r="N181" i="13"/>
  <c r="F183" i="13"/>
  <c r="H184" i="13"/>
  <c r="P187" i="13"/>
  <c r="AE187" i="13" s="1"/>
  <c r="H189" i="13"/>
  <c r="J190" i="13"/>
  <c r="M192" i="13"/>
  <c r="D194" i="13"/>
  <c r="J195" i="13"/>
  <c r="O198" i="13"/>
  <c r="F200" i="13"/>
  <c r="N203" i="13"/>
  <c r="Q204" i="13"/>
  <c r="H206" i="13"/>
  <c r="R187" i="13"/>
  <c r="G13" i="13"/>
  <c r="J33" i="13"/>
  <c r="K44" i="13"/>
  <c r="E63" i="13"/>
  <c r="F83" i="13"/>
  <c r="H88" i="13"/>
  <c r="P92" i="13"/>
  <c r="Q99" i="13"/>
  <c r="P102" i="13"/>
  <c r="AE102" i="13" s="1"/>
  <c r="H108" i="13"/>
  <c r="D113" i="13"/>
  <c r="E120" i="13"/>
  <c r="G122" i="13"/>
  <c r="N128" i="13"/>
  <c r="E131" i="13"/>
  <c r="J133" i="13"/>
  <c r="P136" i="13"/>
  <c r="AE136" i="13" s="1"/>
  <c r="G138" i="13"/>
  <c r="Q140" i="13"/>
  <c r="K142" i="13"/>
  <c r="O144" i="13"/>
  <c r="J146" i="13"/>
  <c r="O148" i="13"/>
  <c r="H150" i="13"/>
  <c r="M152" i="13"/>
  <c r="P153" i="13"/>
  <c r="AE153" i="13" s="1"/>
  <c r="G155" i="13"/>
  <c r="O158" i="13"/>
  <c r="D160" i="13"/>
  <c r="I161" i="13"/>
  <c r="Q164" i="13"/>
  <c r="F166" i="13"/>
  <c r="K167" i="13"/>
  <c r="E171" i="13"/>
  <c r="H172" i="13"/>
  <c r="N175" i="13"/>
  <c r="G177" i="13"/>
  <c r="J178" i="13"/>
  <c r="N180" i="13"/>
  <c r="P181" i="13"/>
  <c r="AE181" i="13" s="1"/>
  <c r="I183" i="13"/>
  <c r="P186" i="13"/>
  <c r="AE186" i="13" s="1"/>
  <c r="D188" i="13"/>
  <c r="K189" i="13"/>
  <c r="D193" i="13"/>
  <c r="F194" i="13"/>
  <c r="N197" i="13"/>
  <c r="F199" i="13"/>
  <c r="H200" i="13"/>
  <c r="H13" i="13"/>
  <c r="H63" i="13"/>
  <c r="I71" i="13"/>
  <c r="H83" i="13"/>
  <c r="J88" i="13"/>
  <c r="E93" i="13"/>
  <c r="E100" i="13"/>
  <c r="E103" i="13"/>
  <c r="I108" i="13"/>
  <c r="E113" i="13"/>
  <c r="N117" i="13"/>
  <c r="F120" i="13"/>
  <c r="K122" i="13"/>
  <c r="O128" i="13"/>
  <c r="F131" i="13"/>
  <c r="K133" i="13"/>
  <c r="D137" i="13"/>
  <c r="H138" i="13"/>
  <c r="H141" i="13"/>
  <c r="N143" i="13"/>
  <c r="Q144" i="13"/>
  <c r="K146" i="13"/>
  <c r="P148" i="13"/>
  <c r="AE148" i="13" s="1"/>
  <c r="K150" i="13"/>
  <c r="N152" i="13"/>
  <c r="F154" i="13"/>
  <c r="H155" i="13"/>
  <c r="P158" i="13"/>
  <c r="H160" i="13"/>
  <c r="J161" i="13"/>
  <c r="D165" i="13"/>
  <c r="J166" i="13"/>
  <c r="M169" i="13"/>
  <c r="F171" i="13"/>
  <c r="N174" i="13"/>
  <c r="O175" i="13"/>
  <c r="H177" i="13"/>
  <c r="P180" i="13"/>
  <c r="AE180" i="13" s="1"/>
  <c r="Q181" i="13"/>
  <c r="J183" i="13"/>
  <c r="D187" i="13"/>
  <c r="E188" i="13"/>
  <c r="M191" i="13"/>
  <c r="F193" i="13"/>
  <c r="G194" i="13"/>
  <c r="M196" i="13"/>
  <c r="O197" i="13"/>
  <c r="H199" i="13"/>
  <c r="I200" i="13"/>
  <c r="O202" i="13"/>
  <c r="Q203" i="13"/>
  <c r="J205" i="13"/>
  <c r="K206" i="13"/>
  <c r="Q208" i="13"/>
  <c r="J13" i="13"/>
  <c r="Q36" i="13"/>
  <c r="I58" i="13"/>
  <c r="J77" i="13"/>
  <c r="J104" i="13"/>
  <c r="F116" i="13"/>
  <c r="D121" i="13"/>
  <c r="D136" i="13"/>
  <c r="O138" i="13"/>
  <c r="K145" i="13"/>
  <c r="E148" i="13"/>
  <c r="K151" i="13"/>
  <c r="I154" i="13"/>
  <c r="G165" i="13"/>
  <c r="O167" i="13"/>
  <c r="D171" i="13"/>
  <c r="K176" i="13"/>
  <c r="N178" i="13"/>
  <c r="F182" i="13"/>
  <c r="M184" i="13"/>
  <c r="I187" i="13"/>
  <c r="K190" i="13"/>
  <c r="H193" i="13"/>
  <c r="N200" i="13"/>
  <c r="G203" i="13"/>
  <c r="J209" i="13"/>
  <c r="H212" i="13"/>
  <c r="E215" i="13"/>
  <c r="H216" i="13"/>
  <c r="P218" i="13"/>
  <c r="AE218" i="13" s="1"/>
  <c r="E220" i="13"/>
  <c r="P220" i="13"/>
  <c r="AE220" i="13" s="1"/>
  <c r="M221" i="13"/>
  <c r="I224" i="13"/>
  <c r="E225" i="13"/>
  <c r="O225" i="13"/>
  <c r="J228" i="13"/>
  <c r="E229" i="13"/>
  <c r="N229" i="13"/>
  <c r="K231" i="13"/>
  <c r="F232" i="13"/>
  <c r="O232" i="13"/>
  <c r="G235" i="13"/>
  <c r="P235" i="13"/>
  <c r="AE235" i="13" s="1"/>
  <c r="H238" i="13"/>
  <c r="Q238" i="13"/>
  <c r="I241" i="13"/>
  <c r="D242" i="13"/>
  <c r="M242" i="13"/>
  <c r="J244" i="13"/>
  <c r="E245" i="13"/>
  <c r="N245" i="13"/>
  <c r="K247" i="13"/>
  <c r="F248" i="13"/>
  <c r="O248" i="13"/>
  <c r="F37" i="13"/>
  <c r="N77" i="13"/>
  <c r="J98" i="13"/>
  <c r="K111" i="13"/>
  <c r="J116" i="13"/>
  <c r="E121" i="13"/>
  <c r="M131" i="13"/>
  <c r="E136" i="13"/>
  <c r="F148" i="13"/>
  <c r="J154" i="13"/>
  <c r="M156" i="13"/>
  <c r="O159" i="13"/>
  <c r="H165" i="13"/>
  <c r="Q167" i="13"/>
  <c r="G171" i="13"/>
  <c r="J182" i="13"/>
  <c r="N184" i="13"/>
  <c r="J187" i="13"/>
  <c r="I193" i="13"/>
  <c r="N195" i="13"/>
  <c r="D201" i="13"/>
  <c r="H203" i="13"/>
  <c r="K209" i="13"/>
  <c r="N210" i="13"/>
  <c r="J212" i="13"/>
  <c r="F215" i="13"/>
  <c r="I216" i="13"/>
  <c r="D219" i="13"/>
  <c r="F220" i="13"/>
  <c r="Q220" i="13"/>
  <c r="N221" i="13"/>
  <c r="J224" i="13"/>
  <c r="F225" i="13"/>
  <c r="P225" i="13"/>
  <c r="AE225" i="13" s="1"/>
  <c r="K228" i="13"/>
  <c r="F229" i="13"/>
  <c r="O229" i="13"/>
  <c r="G232" i="13"/>
  <c r="P232" i="13"/>
  <c r="H235" i="13"/>
  <c r="Q235" i="13"/>
  <c r="I238" i="13"/>
  <c r="D239" i="13"/>
  <c r="M239" i="13"/>
  <c r="J241" i="13"/>
  <c r="E242" i="13"/>
  <c r="N242" i="13"/>
  <c r="K244" i="13"/>
  <c r="F245" i="13"/>
  <c r="O245" i="13"/>
  <c r="G248" i="13"/>
  <c r="P248" i="13"/>
  <c r="AE248" i="13" s="1"/>
  <c r="I37" i="13"/>
  <c r="Q62" i="13"/>
  <c r="O77" i="13"/>
  <c r="K98" i="13"/>
  <c r="K116" i="13"/>
  <c r="F122" i="13"/>
  <c r="I127" i="13"/>
  <c r="P131" i="13"/>
  <c r="G136" i="13"/>
  <c r="N139" i="13"/>
  <c r="N148" i="13"/>
  <c r="N151" i="13"/>
  <c r="K154" i="13"/>
  <c r="N156" i="13"/>
  <c r="I160" i="13"/>
  <c r="M162" i="13"/>
  <c r="K165" i="13"/>
  <c r="H171" i="13"/>
  <c r="P173" i="13"/>
  <c r="K182" i="13"/>
  <c r="O184" i="13"/>
  <c r="Q187" i="13"/>
  <c r="N190" i="13"/>
  <c r="J193" i="13"/>
  <c r="D196" i="13"/>
  <c r="E199" i="13"/>
  <c r="M207" i="13"/>
  <c r="O210" i="13"/>
  <c r="K212" i="13"/>
  <c r="M213" i="13"/>
  <c r="H215" i="13"/>
  <c r="E219" i="13"/>
  <c r="G220" i="13"/>
  <c r="D221" i="13"/>
  <c r="O221" i="13"/>
  <c r="K224" i="13"/>
  <c r="G225" i="13"/>
  <c r="Q225" i="13"/>
  <c r="M226" i="13"/>
  <c r="G229" i="13"/>
  <c r="P229" i="13"/>
  <c r="AE229" i="13" s="1"/>
  <c r="H232" i="13"/>
  <c r="Q232" i="13"/>
  <c r="I235" i="13"/>
  <c r="D236" i="13"/>
  <c r="M236" i="13"/>
  <c r="J238" i="13"/>
  <c r="E239" i="13"/>
  <c r="N239" i="13"/>
  <c r="K241" i="13"/>
  <c r="F242" i="13"/>
  <c r="O242" i="13"/>
  <c r="G245" i="13"/>
  <c r="P245" i="13"/>
  <c r="AE245" i="13" s="1"/>
  <c r="F14" i="13"/>
  <c r="J63" i="13"/>
  <c r="Q77" i="13"/>
  <c r="F90" i="13"/>
  <c r="P99" i="13"/>
  <c r="AE99" i="13" s="1"/>
  <c r="J127" i="13"/>
  <c r="D132" i="13"/>
  <c r="O136" i="13"/>
  <c r="O139" i="13"/>
  <c r="O142" i="13"/>
  <c r="Q148" i="13"/>
  <c r="O151" i="13"/>
  <c r="K160" i="13"/>
  <c r="N162" i="13"/>
  <c r="M168" i="13"/>
  <c r="I171" i="13"/>
  <c r="Q173" i="13"/>
  <c r="F177" i="13"/>
  <c r="P184" i="13"/>
  <c r="AE184" i="13" s="1"/>
  <c r="H188" i="13"/>
  <c r="O190" i="13"/>
  <c r="K193" i="13"/>
  <c r="I199" i="13"/>
  <c r="O203" i="13"/>
  <c r="N207" i="13"/>
  <c r="E211" i="13"/>
  <c r="N213" i="13"/>
  <c r="I215" i="13"/>
  <c r="F219" i="13"/>
  <c r="H220" i="13"/>
  <c r="E221" i="13"/>
  <c r="Q221" i="13"/>
  <c r="M222" i="13"/>
  <c r="H225" i="13"/>
  <c r="D226" i="13"/>
  <c r="N226" i="13"/>
  <c r="H229" i="13"/>
  <c r="Q229" i="13"/>
  <c r="I232" i="13"/>
  <c r="D233" i="13"/>
  <c r="M233" i="13"/>
  <c r="J235" i="13"/>
  <c r="E236" i="13"/>
  <c r="N236" i="13"/>
  <c r="K238" i="13"/>
  <c r="F239" i="13"/>
  <c r="O239" i="13"/>
  <c r="G242" i="13"/>
  <c r="P242" i="13"/>
  <c r="AE242" i="13" s="1"/>
  <c r="H245" i="13"/>
  <c r="Q245" i="13"/>
  <c r="I248" i="13"/>
  <c r="D249" i="13"/>
  <c r="M16" i="13"/>
  <c r="O64" i="13"/>
  <c r="E78" i="13"/>
  <c r="G90" i="13"/>
  <c r="F100" i="13"/>
  <c r="M122" i="13"/>
  <c r="E132" i="13"/>
  <c r="E137" i="13"/>
  <c r="P139" i="13"/>
  <c r="AE139" i="13" s="1"/>
  <c r="P142" i="13"/>
  <c r="AE142" i="13" s="1"/>
  <c r="I146" i="13"/>
  <c r="D149" i="13"/>
  <c r="Q151" i="13"/>
  <c r="O162" i="13"/>
  <c r="Q165" i="13"/>
  <c r="N168" i="13"/>
  <c r="J171" i="13"/>
  <c r="E174" i="13"/>
  <c r="I177" i="13"/>
  <c r="N179" i="13"/>
  <c r="P190" i="13"/>
  <c r="AE190" i="13" s="1"/>
  <c r="N196" i="13"/>
  <c r="J199" i="13"/>
  <c r="P203" i="13"/>
  <c r="E206" i="13"/>
  <c r="O207" i="13"/>
  <c r="M209" i="13"/>
  <c r="I211" i="13"/>
  <c r="O213" i="13"/>
  <c r="J215" i="13"/>
  <c r="M217" i="13"/>
  <c r="G219" i="13"/>
  <c r="I220" i="13"/>
  <c r="G221" i="13"/>
  <c r="D222" i="13"/>
  <c r="N222" i="13"/>
  <c r="I225" i="13"/>
  <c r="E226" i="13"/>
  <c r="O226" i="13"/>
  <c r="I229" i="13"/>
  <c r="D230" i="13"/>
  <c r="M230" i="13"/>
  <c r="J232" i="13"/>
  <c r="E233" i="13"/>
  <c r="N233" i="13"/>
  <c r="K235" i="13"/>
  <c r="F236" i="13"/>
  <c r="O236" i="13"/>
  <c r="G239" i="13"/>
  <c r="P239" i="13"/>
  <c r="H242" i="13"/>
  <c r="Q242" i="13"/>
  <c r="I245" i="13"/>
  <c r="P91" i="13"/>
  <c r="AE91" i="13" s="1"/>
  <c r="O100" i="13"/>
  <c r="O117" i="13"/>
  <c r="O122" i="13"/>
  <c r="I133" i="13"/>
  <c r="F137" i="13"/>
  <c r="Q139" i="13"/>
  <c r="D143" i="13"/>
  <c r="G149" i="13"/>
  <c r="D152" i="13"/>
  <c r="F155" i="13"/>
  <c r="P157" i="13"/>
  <c r="AE157" i="13" s="1"/>
  <c r="P162" i="13"/>
  <c r="K166" i="13"/>
  <c r="O168" i="13"/>
  <c r="J177" i="13"/>
  <c r="D180" i="13"/>
  <c r="Q190" i="13"/>
  <c r="E194" i="13"/>
  <c r="P196" i="13"/>
  <c r="AE196" i="13" s="1"/>
  <c r="K199" i="13"/>
  <c r="D204" i="13"/>
  <c r="I206" i="13"/>
  <c r="D208" i="13"/>
  <c r="P209" i="13"/>
  <c r="AE209" i="13" s="1"/>
  <c r="J211" i="13"/>
  <c r="P213" i="13"/>
  <c r="AE213" i="13" s="1"/>
  <c r="K215" i="13"/>
  <c r="P217" i="13"/>
  <c r="AE217" i="13" s="1"/>
  <c r="H219" i="13"/>
  <c r="K220" i="13"/>
  <c r="H221" i="13"/>
  <c r="E222" i="13"/>
  <c r="O222" i="13"/>
  <c r="J225" i="13"/>
  <c r="F226" i="13"/>
  <c r="P226" i="13"/>
  <c r="AE226" i="13" s="1"/>
  <c r="J229" i="13"/>
  <c r="E230" i="13"/>
  <c r="N230" i="13"/>
  <c r="K232" i="13"/>
  <c r="F233" i="13"/>
  <c r="O233" i="13"/>
  <c r="G236" i="13"/>
  <c r="P236" i="13"/>
  <c r="H239" i="13"/>
  <c r="Q239" i="13"/>
  <c r="I242" i="13"/>
  <c r="D243" i="13"/>
  <c r="M243" i="13"/>
  <c r="J245" i="13"/>
  <c r="E246" i="13"/>
  <c r="N246" i="13"/>
  <c r="K248" i="13"/>
  <c r="F249" i="13"/>
  <c r="O249" i="13"/>
  <c r="G46" i="13"/>
  <c r="N65" i="13"/>
  <c r="E83" i="13"/>
  <c r="H93" i="13"/>
  <c r="F101" i="13"/>
  <c r="N106" i="13"/>
  <c r="F113" i="13"/>
  <c r="I123" i="13"/>
  <c r="M128" i="13"/>
  <c r="Q133" i="13"/>
  <c r="H137" i="13"/>
  <c r="J140" i="13"/>
  <c r="O143" i="13"/>
  <c r="J155" i="13"/>
  <c r="E158" i="13"/>
  <c r="N163" i="13"/>
  <c r="Q168" i="13"/>
  <c r="E172" i="13"/>
  <c r="P174" i="13"/>
  <c r="G180" i="13"/>
  <c r="K183" i="13"/>
  <c r="P185" i="13"/>
  <c r="AE185" i="13" s="1"/>
  <c r="D197" i="13"/>
  <c r="P201" i="13"/>
  <c r="AE201" i="13" s="1"/>
  <c r="H204" i="13"/>
  <c r="I208" i="13"/>
  <c r="D210" i="13"/>
  <c r="N212" i="13"/>
  <c r="F214" i="13"/>
  <c r="N216" i="13"/>
  <c r="I218" i="13"/>
  <c r="K221" i="13"/>
  <c r="G222" i="13"/>
  <c r="Q222" i="13"/>
  <c r="M223" i="13"/>
  <c r="H226" i="13"/>
  <c r="D227" i="13"/>
  <c r="N227" i="13"/>
  <c r="G230" i="13"/>
  <c r="P230" i="13"/>
  <c r="H233" i="13"/>
  <c r="M23" i="13"/>
  <c r="I46" i="13"/>
  <c r="O65" i="13"/>
  <c r="I83" i="13"/>
  <c r="I93" i="13"/>
  <c r="F108" i="13"/>
  <c r="J123" i="13"/>
  <c r="Q128" i="13"/>
  <c r="D134" i="13"/>
  <c r="I137" i="13"/>
  <c r="N140" i="13"/>
  <c r="P143" i="13"/>
  <c r="AE143" i="13" s="1"/>
  <c r="O152" i="13"/>
  <c r="F158" i="13"/>
  <c r="H161" i="13"/>
  <c r="D164" i="13"/>
  <c r="D169" i="13"/>
  <c r="Q174" i="13"/>
  <c r="M180" i="13"/>
  <c r="F186" i="13"/>
  <c r="N191" i="13"/>
  <c r="E197" i="13"/>
  <c r="F202" i="13"/>
  <c r="E210" i="13"/>
  <c r="P212" i="13"/>
  <c r="AE212" i="13" s="1"/>
  <c r="J214" i="13"/>
  <c r="P216" i="13"/>
  <c r="AE216" i="13" s="1"/>
  <c r="J218" i="13"/>
  <c r="H222" i="13"/>
  <c r="D223" i="13"/>
  <c r="N223" i="13"/>
  <c r="I226" i="13"/>
  <c r="E227" i="13"/>
  <c r="O227" i="13"/>
  <c r="H230" i="13"/>
  <c r="Q230" i="13"/>
  <c r="F93" i="13"/>
  <c r="J118" i="13"/>
  <c r="G137" i="13"/>
  <c r="K149" i="13"/>
  <c r="I155" i="13"/>
  <c r="K177" i="13"/>
  <c r="H183" i="13"/>
  <c r="J194" i="13"/>
  <c r="E204" i="13"/>
  <c r="H208" i="13"/>
  <c r="Q213" i="13"/>
  <c r="M216" i="13"/>
  <c r="J219" i="13"/>
  <c r="J221" i="13"/>
  <c r="P222" i="13"/>
  <c r="AE222" i="13" s="1"/>
  <c r="G226" i="13"/>
  <c r="M227" i="13"/>
  <c r="K229" i="13"/>
  <c r="O230" i="13"/>
  <c r="E232" i="13"/>
  <c r="N234" i="13"/>
  <c r="O235" i="13"/>
  <c r="H237" i="13"/>
  <c r="P240" i="13"/>
  <c r="AE240" i="13" s="1"/>
  <c r="Q241" i="13"/>
  <c r="J243" i="13"/>
  <c r="O246" i="13"/>
  <c r="N247" i="13"/>
  <c r="M248" i="13"/>
  <c r="N249" i="13"/>
  <c r="H252" i="13"/>
  <c r="Q252" i="13"/>
  <c r="I255" i="13"/>
  <c r="D256" i="13"/>
  <c r="M256" i="13"/>
  <c r="J258" i="13"/>
  <c r="E259" i="13"/>
  <c r="N259" i="13"/>
  <c r="K261" i="13"/>
  <c r="F262" i="13"/>
  <c r="O262" i="13"/>
  <c r="G265" i="13"/>
  <c r="P265" i="13"/>
  <c r="H268" i="13"/>
  <c r="Q268" i="13"/>
  <c r="I271" i="13"/>
  <c r="D272" i="13"/>
  <c r="M272" i="13"/>
  <c r="J274" i="13"/>
  <c r="E275" i="13"/>
  <c r="N275" i="13"/>
  <c r="K277" i="13"/>
  <c r="F278" i="13"/>
  <c r="O278" i="13"/>
  <c r="G281" i="13"/>
  <c r="P281" i="13"/>
  <c r="AE281" i="13" s="1"/>
  <c r="H284" i="13"/>
  <c r="Q284" i="13"/>
  <c r="I287" i="13"/>
  <c r="D288" i="13"/>
  <c r="M288" i="13"/>
  <c r="J290" i="13"/>
  <c r="E291" i="13"/>
  <c r="K108" i="13"/>
  <c r="K137" i="13"/>
  <c r="Q143" i="13"/>
  <c r="G150" i="13"/>
  <c r="K161" i="13"/>
  <c r="J189" i="13"/>
  <c r="Q199" i="13"/>
  <c r="K214" i="13"/>
  <c r="Q216" i="13"/>
  <c r="E223" i="13"/>
  <c r="J226" i="13"/>
  <c r="P227" i="13"/>
  <c r="AE227" i="13" s="1"/>
  <c r="D231" i="13"/>
  <c r="O234" i="13"/>
  <c r="H236" i="13"/>
  <c r="I237" i="13"/>
  <c r="Q240" i="13"/>
  <c r="J242" i="13"/>
  <c r="K243" i="13"/>
  <c r="P246" i="13"/>
  <c r="AE246" i="13" s="1"/>
  <c r="O247" i="13"/>
  <c r="N248" i="13"/>
  <c r="P249" i="13"/>
  <c r="AE249" i="13" s="1"/>
  <c r="I252" i="13"/>
  <c r="D253" i="13"/>
  <c r="M253" i="13"/>
  <c r="J255" i="13"/>
  <c r="E256" i="13"/>
  <c r="N256" i="13"/>
  <c r="K258" i="13"/>
  <c r="F259" i="13"/>
  <c r="O259" i="13"/>
  <c r="G262" i="13"/>
  <c r="P262" i="13"/>
  <c r="AE262" i="13" s="1"/>
  <c r="H265" i="13"/>
  <c r="Q265" i="13"/>
  <c r="I268" i="13"/>
  <c r="D269" i="13"/>
  <c r="M269" i="13"/>
  <c r="J271" i="13"/>
  <c r="E272" i="13"/>
  <c r="N272" i="13"/>
  <c r="K274" i="13"/>
  <c r="F275" i="13"/>
  <c r="O275" i="13"/>
  <c r="G278" i="13"/>
  <c r="P278" i="13"/>
  <c r="AE278" i="13" s="1"/>
  <c r="H281" i="13"/>
  <c r="Q281" i="13"/>
  <c r="I284" i="13"/>
  <c r="D285" i="13"/>
  <c r="M285" i="13"/>
  <c r="J287" i="13"/>
  <c r="E288" i="13"/>
  <c r="N288" i="13"/>
  <c r="K290" i="13"/>
  <c r="F291" i="13"/>
  <c r="O26" i="13"/>
  <c r="D72" i="13"/>
  <c r="M93" i="13"/>
  <c r="Q108" i="13"/>
  <c r="M118" i="13"/>
  <c r="F138" i="13"/>
  <c r="D144" i="13"/>
  <c r="G178" i="13"/>
  <c r="G200" i="13"/>
  <c r="M208" i="13"/>
  <c r="D217" i="13"/>
  <c r="M219" i="13"/>
  <c r="F223" i="13"/>
  <c r="K226" i="13"/>
  <c r="Q227" i="13"/>
  <c r="E231" i="13"/>
  <c r="P234" i="13"/>
  <c r="I236" i="13"/>
  <c r="J237" i="13"/>
  <c r="D241" i="13"/>
  <c r="K242" i="13"/>
  <c r="M245" i="13"/>
  <c r="Q246" i="13"/>
  <c r="P247" i="13"/>
  <c r="AE247" i="13" s="1"/>
  <c r="Q248" i="13"/>
  <c r="Q249" i="13"/>
  <c r="M250" i="13"/>
  <c r="J252" i="13"/>
  <c r="E253" i="13"/>
  <c r="N253" i="13"/>
  <c r="K255" i="13"/>
  <c r="F256" i="13"/>
  <c r="O256" i="13"/>
  <c r="G259" i="13"/>
  <c r="P259" i="13"/>
  <c r="AE259" i="13" s="1"/>
  <c r="H262" i="13"/>
  <c r="Q262" i="13"/>
  <c r="I265" i="13"/>
  <c r="D266" i="13"/>
  <c r="M266" i="13"/>
  <c r="J268" i="13"/>
  <c r="E269" i="13"/>
  <c r="N269" i="13"/>
  <c r="K271" i="13"/>
  <c r="F272" i="13"/>
  <c r="O272" i="13"/>
  <c r="G275" i="13"/>
  <c r="P275" i="13"/>
  <c r="AE275" i="13" s="1"/>
  <c r="H278" i="13"/>
  <c r="Q278" i="13"/>
  <c r="I281" i="13"/>
  <c r="D282" i="13"/>
  <c r="M282" i="13"/>
  <c r="J284" i="13"/>
  <c r="E285" i="13"/>
  <c r="N285" i="13"/>
  <c r="K287" i="13"/>
  <c r="F288" i="13"/>
  <c r="O288" i="13"/>
  <c r="G291" i="13"/>
  <c r="H27" i="13"/>
  <c r="E72" i="13"/>
  <c r="D109" i="13"/>
  <c r="O119" i="13"/>
  <c r="E144" i="13"/>
  <c r="M155" i="13"/>
  <c r="J167" i="13"/>
  <c r="D209" i="13"/>
  <c r="G217" i="13"/>
  <c r="N219" i="13"/>
  <c r="G223" i="13"/>
  <c r="M224" i="13"/>
  <c r="E228" i="13"/>
  <c r="F231" i="13"/>
  <c r="P233" i="13"/>
  <c r="Q234" i="13"/>
  <c r="J236" i="13"/>
  <c r="K237" i="13"/>
  <c r="D240" i="13"/>
  <c r="E241" i="13"/>
  <c r="M244" i="13"/>
  <c r="D246" i="13"/>
  <c r="D247" i="13"/>
  <c r="Q247" i="13"/>
  <c r="E249" i="13"/>
  <c r="D250" i="13"/>
  <c r="N250" i="13"/>
  <c r="K252" i="13"/>
  <c r="F253" i="13"/>
  <c r="O253" i="13"/>
  <c r="G256" i="13"/>
  <c r="P256" i="13"/>
  <c r="AE256" i="13" s="1"/>
  <c r="H259" i="13"/>
  <c r="Q259" i="13"/>
  <c r="I262" i="13"/>
  <c r="D263" i="13"/>
  <c r="M263" i="13"/>
  <c r="J265" i="13"/>
  <c r="E266" i="13"/>
  <c r="N266" i="13"/>
  <c r="K268" i="13"/>
  <c r="F269" i="13"/>
  <c r="O269" i="13"/>
  <c r="G272" i="13"/>
  <c r="P272" i="13"/>
  <c r="AE272" i="13" s="1"/>
  <c r="H275" i="13"/>
  <c r="Q275" i="13"/>
  <c r="I278" i="13"/>
  <c r="D279" i="13"/>
  <c r="M279" i="13"/>
  <c r="J281" i="13"/>
  <c r="E282" i="13"/>
  <c r="N282" i="13"/>
  <c r="K284" i="13"/>
  <c r="F285" i="13"/>
  <c r="O285" i="13"/>
  <c r="G288" i="13"/>
  <c r="P288" i="13"/>
  <c r="AE288" i="13" s="1"/>
  <c r="H291" i="13"/>
  <c r="J27" i="13"/>
  <c r="G72" i="13"/>
  <c r="G109" i="13"/>
  <c r="H120" i="13"/>
  <c r="M129" i="13"/>
  <c r="F144" i="13"/>
  <c r="N183" i="13"/>
  <c r="G205" i="13"/>
  <c r="F209" i="13"/>
  <c r="K217" i="13"/>
  <c r="O219" i="13"/>
  <c r="H223" i="13"/>
  <c r="N224" i="13"/>
  <c r="F228" i="13"/>
  <c r="G231" i="13"/>
  <c r="Q233" i="13"/>
  <c r="D235" i="13"/>
  <c r="K236" i="13"/>
  <c r="E240" i="13"/>
  <c r="F241" i="13"/>
  <c r="N244" i="13"/>
  <c r="F246" i="13"/>
  <c r="E247" i="13"/>
  <c r="D248" i="13"/>
  <c r="G249" i="13"/>
  <c r="E250" i="13"/>
  <c r="O250" i="13"/>
  <c r="G253" i="13"/>
  <c r="P253" i="13"/>
  <c r="AE253" i="13" s="1"/>
  <c r="H256" i="13"/>
  <c r="Q256" i="13"/>
  <c r="I259" i="13"/>
  <c r="D260" i="13"/>
  <c r="M260" i="13"/>
  <c r="J262" i="13"/>
  <c r="E263" i="13"/>
  <c r="N263" i="13"/>
  <c r="K265" i="13"/>
  <c r="F266" i="13"/>
  <c r="O266" i="13"/>
  <c r="G269" i="13"/>
  <c r="P269" i="13"/>
  <c r="AE269" i="13" s="1"/>
  <c r="H272" i="13"/>
  <c r="Q272" i="13"/>
  <c r="I275" i="13"/>
  <c r="D276" i="13"/>
  <c r="M276" i="13"/>
  <c r="J278" i="13"/>
  <c r="E279" i="13"/>
  <c r="N279" i="13"/>
  <c r="K281" i="13"/>
  <c r="F282" i="13"/>
  <c r="O282" i="13"/>
  <c r="G285" i="13"/>
  <c r="P285" i="13"/>
  <c r="AE285" i="13" s="1"/>
  <c r="H288" i="13"/>
  <c r="Q288" i="13"/>
  <c r="I291" i="13"/>
  <c r="I33" i="13"/>
  <c r="J72" i="13"/>
  <c r="H109" i="13"/>
  <c r="Q129" i="13"/>
  <c r="N144" i="13"/>
  <c r="M161" i="13"/>
  <c r="I184" i="13"/>
  <c r="H205" i="13"/>
  <c r="G209" i="13"/>
  <c r="N211" i="13"/>
  <c r="P219" i="13"/>
  <c r="AE219" i="13" s="1"/>
  <c r="I223" i="13"/>
  <c r="O224" i="13"/>
  <c r="G228" i="13"/>
  <c r="H231" i="13"/>
  <c r="D234" i="13"/>
  <c r="E235" i="13"/>
  <c r="M238" i="13"/>
  <c r="F240" i="13"/>
  <c r="G241" i="13"/>
  <c r="N243" i="13"/>
  <c r="O244" i="13"/>
  <c r="G246" i="13"/>
  <c r="F247" i="13"/>
  <c r="E248" i="13"/>
  <c r="H249" i="13"/>
  <c r="F250" i="13"/>
  <c r="P250" i="13"/>
  <c r="AE250" i="13" s="1"/>
  <c r="H253" i="13"/>
  <c r="Q253" i="13"/>
  <c r="I256" i="13"/>
  <c r="D257" i="13"/>
  <c r="M257" i="13"/>
  <c r="J259" i="13"/>
  <c r="E260" i="13"/>
  <c r="N260" i="13"/>
  <c r="K262" i="13"/>
  <c r="F263" i="13"/>
  <c r="O263" i="13"/>
  <c r="G266" i="13"/>
  <c r="P266" i="13"/>
  <c r="AE266" i="13" s="1"/>
  <c r="H269" i="13"/>
  <c r="Q269" i="13"/>
  <c r="I272" i="13"/>
  <c r="D273" i="13"/>
  <c r="M273" i="13"/>
  <c r="J275" i="13"/>
  <c r="E276" i="13"/>
  <c r="N276" i="13"/>
  <c r="K278" i="13"/>
  <c r="F279" i="13"/>
  <c r="O279" i="13"/>
  <c r="G282" i="13"/>
  <c r="P282" i="13"/>
  <c r="AE282" i="13" s="1"/>
  <c r="H285" i="13"/>
  <c r="Q285" i="13"/>
  <c r="I288" i="13"/>
  <c r="D289" i="13"/>
  <c r="M289" i="13"/>
  <c r="J291" i="13"/>
  <c r="P35" i="13"/>
  <c r="M96" i="13"/>
  <c r="J109" i="13"/>
  <c r="D131" i="13"/>
  <c r="F145" i="13"/>
  <c r="O161" i="13"/>
  <c r="K205" i="13"/>
  <c r="H209" i="13"/>
  <c r="D212" i="13"/>
  <c r="Q219" i="13"/>
  <c r="J223" i="13"/>
  <c r="P224" i="13"/>
  <c r="AE224" i="13" s="1"/>
  <c r="H228" i="13"/>
  <c r="I231" i="13"/>
  <c r="E234" i="13"/>
  <c r="F235" i="13"/>
  <c r="M237" i="13"/>
  <c r="N238" i="13"/>
  <c r="G240" i="13"/>
  <c r="H241" i="13"/>
  <c r="O243" i="13"/>
  <c r="P244" i="13"/>
  <c r="H246" i="13"/>
  <c r="G247" i="13"/>
  <c r="H248" i="13"/>
  <c r="I249" i="13"/>
  <c r="G250" i="13"/>
  <c r="Q250" i="13"/>
  <c r="I253" i="13"/>
  <c r="D254" i="13"/>
  <c r="M254" i="13"/>
  <c r="J256" i="13"/>
  <c r="E257" i="13"/>
  <c r="N257" i="13"/>
  <c r="K259" i="13"/>
  <c r="F260" i="13"/>
  <c r="O260" i="13"/>
  <c r="G263" i="13"/>
  <c r="P263" i="13"/>
  <c r="H266" i="13"/>
  <c r="Q266" i="13"/>
  <c r="I269" i="13"/>
  <c r="D270" i="13"/>
  <c r="M270" i="13"/>
  <c r="G97" i="13"/>
  <c r="Q120" i="13"/>
  <c r="G131" i="13"/>
  <c r="M138" i="13"/>
  <c r="J145" i="13"/>
  <c r="N167" i="13"/>
  <c r="M178" i="13"/>
  <c r="P189" i="13"/>
  <c r="M200" i="13"/>
  <c r="I209" i="13"/>
  <c r="G212" i="13"/>
  <c r="O214" i="13"/>
  <c r="D220" i="13"/>
  <c r="K223" i="13"/>
  <c r="D225" i="13"/>
  <c r="I228" i="13"/>
  <c r="M229" i="13"/>
  <c r="J231" i="13"/>
  <c r="W231" i="13" s="1"/>
  <c r="F234" i="13"/>
  <c r="N237" i="13"/>
  <c r="O238" i="13"/>
  <c r="H240" i="13"/>
  <c r="P243" i="13"/>
  <c r="AE243" i="13" s="1"/>
  <c r="Q244" i="13"/>
  <c r="I246" i="13"/>
  <c r="H247" i="13"/>
  <c r="J248" i="13"/>
  <c r="J249" i="13"/>
  <c r="H250" i="13"/>
  <c r="D251" i="13"/>
  <c r="M251" i="13"/>
  <c r="J253" i="13"/>
  <c r="E254" i="13"/>
  <c r="N254" i="13"/>
  <c r="K256" i="13"/>
  <c r="F257" i="13"/>
  <c r="O257" i="13"/>
  <c r="G260" i="13"/>
  <c r="P260" i="13"/>
  <c r="AE260" i="13" s="1"/>
  <c r="H263" i="13"/>
  <c r="Q263" i="13"/>
  <c r="I266" i="13"/>
  <c r="D267" i="13"/>
  <c r="M267" i="13"/>
  <c r="J269" i="13"/>
  <c r="E270" i="13"/>
  <c r="N270" i="13"/>
  <c r="K272" i="13"/>
  <c r="F273" i="13"/>
  <c r="O273" i="13"/>
  <c r="G276" i="13"/>
  <c r="P276" i="13"/>
  <c r="AE276" i="13" s="1"/>
  <c r="H279" i="13"/>
  <c r="Q279" i="13"/>
  <c r="M45" i="13"/>
  <c r="E80" i="13"/>
  <c r="P100" i="13"/>
  <c r="AE100" i="13" s="1"/>
  <c r="Q112" i="13"/>
  <c r="G123" i="13"/>
  <c r="F140" i="13"/>
  <c r="E152" i="13"/>
  <c r="Q157" i="13"/>
  <c r="P168" i="13"/>
  <c r="AE168" i="13" s="1"/>
  <c r="O174" i="13"/>
  <c r="E180" i="13"/>
  <c r="M185" i="13"/>
  <c r="D191" i="13"/>
  <c r="Q196" i="13"/>
  <c r="M201" i="13"/>
  <c r="J206" i="13"/>
  <c r="Q209" i="13"/>
  <c r="M212" i="13"/>
  <c r="F218" i="13"/>
  <c r="F222" i="13"/>
  <c r="K225" i="13"/>
  <c r="Q226" i="13"/>
  <c r="F230" i="13"/>
  <c r="M232" i="13"/>
  <c r="G234" i="13"/>
  <c r="O237" i="13"/>
  <c r="P238" i="13"/>
  <c r="I240" i="13"/>
  <c r="Q243" i="13"/>
  <c r="D245" i="13"/>
  <c r="J246" i="13"/>
  <c r="I247" i="13"/>
  <c r="K249" i="13"/>
  <c r="I250" i="13"/>
  <c r="E251" i="13"/>
  <c r="N251" i="13"/>
  <c r="K253" i="13"/>
  <c r="F254" i="13"/>
  <c r="O254" i="13"/>
  <c r="G257" i="13"/>
  <c r="P257" i="13"/>
  <c r="AE257" i="13" s="1"/>
  <c r="H260" i="13"/>
  <c r="Q260" i="13"/>
  <c r="I263" i="13"/>
  <c r="D264" i="13"/>
  <c r="M264" i="13"/>
  <c r="J266" i="13"/>
  <c r="E267" i="13"/>
  <c r="N267" i="13"/>
  <c r="K269" i="13"/>
  <c r="F270" i="13"/>
  <c r="O270" i="13"/>
  <c r="G273" i="13"/>
  <c r="P273" i="13"/>
  <c r="H276" i="13"/>
  <c r="Q276" i="13"/>
  <c r="I279" i="13"/>
  <c r="Q48" i="13"/>
  <c r="D85" i="13"/>
  <c r="O102" i="13"/>
  <c r="P113" i="13"/>
  <c r="AE113" i="13" s="1"/>
  <c r="H134" i="13"/>
  <c r="P146" i="13"/>
  <c r="AE146" i="13" s="1"/>
  <c r="Q152" i="13"/>
  <c r="N158" i="13"/>
  <c r="G164" i="13"/>
  <c r="P169" i="13"/>
  <c r="E175" i="13"/>
  <c r="D181" i="13"/>
  <c r="I186" i="13"/>
  <c r="D192" i="13"/>
  <c r="M197" i="13"/>
  <c r="E104" i="13"/>
  <c r="K135" i="13"/>
  <c r="P152" i="13"/>
  <c r="E165" i="13"/>
  <c r="F181" i="13"/>
  <c r="F197" i="13"/>
  <c r="P206" i="13"/>
  <c r="AE206" i="13" s="1"/>
  <c r="K213" i="13"/>
  <c r="Q223" i="13"/>
  <c r="K227" i="13"/>
  <c r="I234" i="13"/>
  <c r="D237" i="13"/>
  <c r="M249" i="13"/>
  <c r="P251" i="13"/>
  <c r="AE251" i="13" s="1"/>
  <c r="G255" i="13"/>
  <c r="H257" i="13"/>
  <c r="N258" i="13"/>
  <c r="E262" i="13"/>
  <c r="F264" i="13"/>
  <c r="K267" i="13"/>
  <c r="D271" i="13"/>
  <c r="F274" i="13"/>
  <c r="G277" i="13"/>
  <c r="G280" i="13"/>
  <c r="O283" i="13"/>
  <c r="P284" i="13"/>
  <c r="AE284" i="13" s="1"/>
  <c r="I286" i="13"/>
  <c r="Q289" i="13"/>
  <c r="D291" i="13"/>
  <c r="E292" i="13"/>
  <c r="N292" i="13"/>
  <c r="K294" i="13"/>
  <c r="F295" i="13"/>
  <c r="O295" i="13"/>
  <c r="G298" i="13"/>
  <c r="P298" i="13"/>
  <c r="AE298" i="13" s="1"/>
  <c r="H301" i="13"/>
  <c r="Q301" i="13"/>
  <c r="I304" i="13"/>
  <c r="D305" i="13"/>
  <c r="M305" i="13"/>
  <c r="J307" i="13"/>
  <c r="E308" i="13"/>
  <c r="N308" i="13"/>
  <c r="K310" i="13"/>
  <c r="F311" i="13"/>
  <c r="O311" i="13"/>
  <c r="G314" i="13"/>
  <c r="P314" i="13"/>
  <c r="AE314" i="13" s="1"/>
  <c r="H317" i="13"/>
  <c r="Q317" i="13"/>
  <c r="I320" i="13"/>
  <c r="D321" i="13"/>
  <c r="M321" i="13"/>
  <c r="J323" i="13"/>
  <c r="E324" i="13"/>
  <c r="N324" i="13"/>
  <c r="K326" i="13"/>
  <c r="F327" i="13"/>
  <c r="O327" i="13"/>
  <c r="G330" i="13"/>
  <c r="P330" i="13"/>
  <c r="AE330" i="13" s="1"/>
  <c r="H333" i="13"/>
  <c r="Q333" i="13"/>
  <c r="I336" i="13"/>
  <c r="D337" i="13"/>
  <c r="M337" i="13"/>
  <c r="J339" i="13"/>
  <c r="E340" i="13"/>
  <c r="N340" i="13"/>
  <c r="K342" i="13"/>
  <c r="F104" i="13"/>
  <c r="D153" i="13"/>
  <c r="F165" i="13"/>
  <c r="G181" i="13"/>
  <c r="P197" i="13"/>
  <c r="AE197" i="13" s="1"/>
  <c r="Q206" i="13"/>
  <c r="D224" i="13"/>
  <c r="J234" i="13"/>
  <c r="E237" i="13"/>
  <c r="J250" i="13"/>
  <c r="Q251" i="13"/>
  <c r="H255" i="13"/>
  <c r="I257" i="13"/>
  <c r="O258" i="13"/>
  <c r="G264" i="13"/>
  <c r="M265" i="13"/>
  <c r="E271" i="13"/>
  <c r="G274" i="13"/>
  <c r="H277" i="13"/>
  <c r="H280" i="13"/>
  <c r="P283" i="13"/>
  <c r="AE283" i="13" s="1"/>
  <c r="I285" i="13"/>
  <c r="J286" i="13"/>
  <c r="D290" i="13"/>
  <c r="K291" i="13"/>
  <c r="F292" i="13"/>
  <c r="O292" i="13"/>
  <c r="G295" i="13"/>
  <c r="P295" i="13"/>
  <c r="AE295" i="13" s="1"/>
  <c r="H298" i="13"/>
  <c r="Q298" i="13"/>
  <c r="I301" i="13"/>
  <c r="D302" i="13"/>
  <c r="M302" i="13"/>
  <c r="J304" i="13"/>
  <c r="E305" i="13"/>
  <c r="N305" i="13"/>
  <c r="K307" i="13"/>
  <c r="F308" i="13"/>
  <c r="O308" i="13"/>
  <c r="G311" i="13"/>
  <c r="P311" i="13"/>
  <c r="H314" i="13"/>
  <c r="Q314" i="13"/>
  <c r="I317" i="13"/>
  <c r="D318" i="13"/>
  <c r="M318" i="13"/>
  <c r="J320" i="13"/>
  <c r="E321" i="13"/>
  <c r="N321" i="13"/>
  <c r="K323" i="13"/>
  <c r="F324" i="13"/>
  <c r="O324" i="13"/>
  <c r="G327" i="13"/>
  <c r="P327" i="13"/>
  <c r="H330" i="13"/>
  <c r="Q330" i="13"/>
  <c r="I333" i="13"/>
  <c r="D334" i="13"/>
  <c r="M334" i="13"/>
  <c r="J336" i="13"/>
  <c r="E337" i="13"/>
  <c r="N337" i="13"/>
  <c r="K339" i="13"/>
  <c r="F340" i="13"/>
  <c r="O340" i="13"/>
  <c r="G343" i="13"/>
  <c r="P54" i="13"/>
  <c r="M113" i="13"/>
  <c r="G153" i="13"/>
  <c r="H181" i="13"/>
  <c r="Q197" i="13"/>
  <c r="F207" i="13"/>
  <c r="N215" i="13"/>
  <c r="E224" i="13"/>
  <c r="M231" i="13"/>
  <c r="K234" i="13"/>
  <c r="F237" i="13"/>
  <c r="J240" i="13"/>
  <c r="E243" i="13"/>
  <c r="M247" i="13"/>
  <c r="K250" i="13"/>
  <c r="D252" i="13"/>
  <c r="J257" i="13"/>
  <c r="P258" i="13"/>
  <c r="AE258" i="13" s="1"/>
  <c r="H264" i="13"/>
  <c r="N265" i="13"/>
  <c r="O267" i="13"/>
  <c r="F271" i="13"/>
  <c r="H274" i="13"/>
  <c r="I277" i="13"/>
  <c r="M278" i="13"/>
  <c r="I280" i="13"/>
  <c r="Q283" i="13"/>
  <c r="J285" i="13"/>
  <c r="K286" i="13"/>
  <c r="E290" i="13"/>
  <c r="G292" i="13"/>
  <c r="P292" i="13"/>
  <c r="AE292" i="13" s="1"/>
  <c r="H295" i="13"/>
  <c r="Q295" i="13"/>
  <c r="I298" i="13"/>
  <c r="D299" i="13"/>
  <c r="M299" i="13"/>
  <c r="J301" i="13"/>
  <c r="E302" i="13"/>
  <c r="N302" i="13"/>
  <c r="K304" i="13"/>
  <c r="F305" i="13"/>
  <c r="O305" i="13"/>
  <c r="G308" i="13"/>
  <c r="P308" i="13"/>
  <c r="AE308" i="13" s="1"/>
  <c r="H311" i="13"/>
  <c r="Q311" i="13"/>
  <c r="I314" i="13"/>
  <c r="D315" i="13"/>
  <c r="M315" i="13"/>
  <c r="J317" i="13"/>
  <c r="E318" i="13"/>
  <c r="N318" i="13"/>
  <c r="K320" i="13"/>
  <c r="F321" i="13"/>
  <c r="O321" i="13"/>
  <c r="G324" i="13"/>
  <c r="P324" i="13"/>
  <c r="AE324" i="13" s="1"/>
  <c r="H327" i="13"/>
  <c r="Q327" i="13"/>
  <c r="I330" i="13"/>
  <c r="D331" i="13"/>
  <c r="M331" i="13"/>
  <c r="J333" i="13"/>
  <c r="E334" i="13"/>
  <c r="N334" i="13"/>
  <c r="K336" i="13"/>
  <c r="F337" i="13"/>
  <c r="O337" i="13"/>
  <c r="G340" i="13"/>
  <c r="P340" i="13"/>
  <c r="AE340" i="13" s="1"/>
  <c r="Q54" i="13"/>
  <c r="Q113" i="13"/>
  <c r="K153" i="13"/>
  <c r="F170" i="13"/>
  <c r="O181" i="13"/>
  <c r="F198" i="13"/>
  <c r="O215" i="13"/>
  <c r="F224" i="13"/>
  <c r="N231" i="13"/>
  <c r="G237" i="13"/>
  <c r="K240" i="13"/>
  <c r="F243" i="13"/>
  <c r="E252" i="13"/>
  <c r="K257" i="13"/>
  <c r="Q258" i="13"/>
  <c r="D261" i="13"/>
  <c r="I264" i="13"/>
  <c r="O265" i="13"/>
  <c r="P267" i="13"/>
  <c r="AE267" i="13" s="1"/>
  <c r="G271" i="13"/>
  <c r="I274" i="13"/>
  <c r="M275" i="13"/>
  <c r="J277" i="13"/>
  <c r="N278" i="13"/>
  <c r="J280" i="13"/>
  <c r="Q282" i="13"/>
  <c r="D284" i="13"/>
  <c r="K285" i="13"/>
  <c r="E289" i="13"/>
  <c r="F290" i="13"/>
  <c r="H292" i="13"/>
  <c r="Q292" i="13"/>
  <c r="I295" i="13"/>
  <c r="D296" i="13"/>
  <c r="M296" i="13"/>
  <c r="J298" i="13"/>
  <c r="E299" i="13"/>
  <c r="N299" i="13"/>
  <c r="K301" i="13"/>
  <c r="F302" i="13"/>
  <c r="O302" i="13"/>
  <c r="G305" i="13"/>
  <c r="P305" i="13"/>
  <c r="AE305" i="13" s="1"/>
  <c r="H308" i="13"/>
  <c r="Q308" i="13"/>
  <c r="I311" i="13"/>
  <c r="D312" i="13"/>
  <c r="M312" i="13"/>
  <c r="J314" i="13"/>
  <c r="E315" i="13"/>
  <c r="N315" i="13"/>
  <c r="K317" i="13"/>
  <c r="F318" i="13"/>
  <c r="O318" i="13"/>
  <c r="G321" i="13"/>
  <c r="P321" i="13"/>
  <c r="AE321" i="13" s="1"/>
  <c r="H324" i="13"/>
  <c r="Q324" i="13"/>
  <c r="I327" i="13"/>
  <c r="D328" i="13"/>
  <c r="M328" i="13"/>
  <c r="J330" i="13"/>
  <c r="E331" i="13"/>
  <c r="N331" i="13"/>
  <c r="K333" i="13"/>
  <c r="F334" i="13"/>
  <c r="O334" i="13"/>
  <c r="G337" i="13"/>
  <c r="P337" i="13"/>
  <c r="AE337" i="13" s="1"/>
  <c r="H340" i="13"/>
  <c r="Q340" i="13"/>
  <c r="M55" i="13"/>
  <c r="D114" i="13"/>
  <c r="I141" i="13"/>
  <c r="M153" i="13"/>
  <c r="G170" i="13"/>
  <c r="G186" i="13"/>
  <c r="J198" i="13"/>
  <c r="F210" i="13"/>
  <c r="Q215" i="13"/>
  <c r="M220" i="13"/>
  <c r="G224" i="13"/>
  <c r="M228" i="13"/>
  <c r="O231" i="13"/>
  <c r="P237" i="13"/>
  <c r="G243" i="13"/>
  <c r="F252" i="13"/>
  <c r="G254" i="13"/>
  <c r="M255" i="13"/>
  <c r="D259" i="13"/>
  <c r="E261" i="13"/>
  <c r="J264" i="13"/>
  <c r="K266" i="13"/>
  <c r="Q267" i="13"/>
  <c r="H271" i="13"/>
  <c r="E273" i="13"/>
  <c r="F276" i="13"/>
  <c r="G279" i="13"/>
  <c r="K280" i="13"/>
  <c r="D283" i="13"/>
  <c r="E284" i="13"/>
  <c r="M287" i="13"/>
  <c r="F289" i="13"/>
  <c r="G290" i="13"/>
  <c r="I292" i="13"/>
  <c r="D293" i="13"/>
  <c r="M293" i="13"/>
  <c r="J295" i="13"/>
  <c r="E296" i="13"/>
  <c r="N296" i="13"/>
  <c r="K298" i="13"/>
  <c r="F299" i="13"/>
  <c r="O299" i="13"/>
  <c r="G302" i="13"/>
  <c r="P302" i="13"/>
  <c r="AE302" i="13" s="1"/>
  <c r="H305" i="13"/>
  <c r="Q305" i="13"/>
  <c r="I308" i="13"/>
  <c r="D309" i="13"/>
  <c r="M309" i="13"/>
  <c r="J311" i="13"/>
  <c r="E312" i="13"/>
  <c r="N312" i="13"/>
  <c r="K314" i="13"/>
  <c r="F315" i="13"/>
  <c r="O315" i="13"/>
  <c r="G318" i="13"/>
  <c r="P318" i="13"/>
  <c r="H321" i="13"/>
  <c r="Q321" i="13"/>
  <c r="I324" i="13"/>
  <c r="D325" i="13"/>
  <c r="M325" i="13"/>
  <c r="J327" i="13"/>
  <c r="E328" i="13"/>
  <c r="N328" i="13"/>
  <c r="K330" i="13"/>
  <c r="F331" i="13"/>
  <c r="O331" i="13"/>
  <c r="G334" i="13"/>
  <c r="P334" i="13"/>
  <c r="H337" i="13"/>
  <c r="Q337" i="13"/>
  <c r="I340" i="13"/>
  <c r="D341" i="13"/>
  <c r="M341" i="13"/>
  <c r="F58" i="13"/>
  <c r="J115" i="13"/>
  <c r="G154" i="13"/>
  <c r="I170" i="13"/>
  <c r="O186" i="13"/>
  <c r="K198" i="13"/>
  <c r="G210" i="13"/>
  <c r="D216" i="13"/>
  <c r="N220" i="13"/>
  <c r="N228" i="13"/>
  <c r="P231" i="13"/>
  <c r="AE231" i="13" s="1"/>
  <c r="M234" i="13"/>
  <c r="Q237" i="13"/>
  <c r="H243" i="13"/>
  <c r="K246" i="13"/>
  <c r="G252" i="13"/>
  <c r="H254" i="13"/>
  <c r="N255" i="13"/>
  <c r="F261" i="13"/>
  <c r="K264" i="13"/>
  <c r="D268" i="13"/>
  <c r="H273" i="13"/>
  <c r="I276" i="13"/>
  <c r="M277" i="13"/>
  <c r="J279" i="13"/>
  <c r="E283" i="13"/>
  <c r="F284" i="13"/>
  <c r="M286" i="13"/>
  <c r="N287" i="13"/>
  <c r="G289" i="13"/>
  <c r="H290" i="13"/>
  <c r="J292" i="13"/>
  <c r="E293" i="13"/>
  <c r="N293" i="13"/>
  <c r="K295" i="13"/>
  <c r="F296" i="13"/>
  <c r="O296" i="13"/>
  <c r="G299" i="13"/>
  <c r="P299" i="13"/>
  <c r="AE299" i="13" s="1"/>
  <c r="H302" i="13"/>
  <c r="Q302" i="13"/>
  <c r="I305" i="13"/>
  <c r="D306" i="13"/>
  <c r="M306" i="13"/>
  <c r="J308" i="13"/>
  <c r="E309" i="13"/>
  <c r="N309" i="13"/>
  <c r="K311" i="13"/>
  <c r="F312" i="13"/>
  <c r="O312" i="13"/>
  <c r="G315" i="13"/>
  <c r="P315" i="13"/>
  <c r="AE315" i="13" s="1"/>
  <c r="H318" i="13"/>
  <c r="Q318" i="13"/>
  <c r="I321" i="13"/>
  <c r="D322" i="13"/>
  <c r="M322" i="13"/>
  <c r="J324" i="13"/>
  <c r="E325" i="13"/>
  <c r="N325" i="13"/>
  <c r="K327" i="13"/>
  <c r="F328" i="13"/>
  <c r="O328" i="13"/>
  <c r="G331" i="13"/>
  <c r="P331" i="13"/>
  <c r="AE331" i="13" s="1"/>
  <c r="H334" i="13"/>
  <c r="Q334" i="13"/>
  <c r="I337" i="13"/>
  <c r="D338" i="13"/>
  <c r="M338" i="13"/>
  <c r="J340" i="13"/>
  <c r="E341" i="13"/>
  <c r="N341" i="13"/>
  <c r="N83" i="13"/>
  <c r="G158" i="13"/>
  <c r="J170" i="13"/>
  <c r="E187" i="13"/>
  <c r="K202" i="13"/>
  <c r="J210" i="13"/>
  <c r="E216" i="13"/>
  <c r="O220" i="13"/>
  <c r="O228" i="13"/>
  <c r="Q231" i="13"/>
  <c r="D238" i="13"/>
  <c r="M240" i="13"/>
  <c r="I243" i="13"/>
  <c r="I254" i="13"/>
  <c r="O255" i="13"/>
  <c r="G261" i="13"/>
  <c r="M262" i="13"/>
  <c r="N264" i="13"/>
  <c r="E268" i="13"/>
  <c r="I273" i="13"/>
  <c r="M274" i="13"/>
  <c r="J276" i="13"/>
  <c r="N277" i="13"/>
  <c r="K279" i="13"/>
  <c r="M281" i="13"/>
  <c r="F283" i="13"/>
  <c r="G284" i="13"/>
  <c r="N286" i="13"/>
  <c r="O287" i="13"/>
  <c r="H289" i="13"/>
  <c r="I290" i="13"/>
  <c r="K292" i="13"/>
  <c r="F293" i="13"/>
  <c r="O293" i="13"/>
  <c r="G296" i="13"/>
  <c r="P296" i="13"/>
  <c r="AE296" i="13" s="1"/>
  <c r="H299" i="13"/>
  <c r="Q299" i="13"/>
  <c r="I302" i="13"/>
  <c r="D303" i="13"/>
  <c r="M303" i="13"/>
  <c r="J305" i="13"/>
  <c r="E306" i="13"/>
  <c r="N306" i="13"/>
  <c r="K308" i="13"/>
  <c r="F309" i="13"/>
  <c r="O309" i="13"/>
  <c r="G312" i="13"/>
  <c r="P312" i="13"/>
  <c r="AE312" i="13" s="1"/>
  <c r="H315" i="13"/>
  <c r="Q315" i="13"/>
  <c r="I318" i="13"/>
  <c r="D319" i="13"/>
  <c r="M319" i="13"/>
  <c r="J321" i="13"/>
  <c r="E322" i="13"/>
  <c r="N322" i="13"/>
  <c r="K324" i="13"/>
  <c r="F325" i="13"/>
  <c r="O325" i="13"/>
  <c r="G328" i="13"/>
  <c r="P328" i="13"/>
  <c r="AE328" i="13" s="1"/>
  <c r="H331" i="13"/>
  <c r="Q331" i="13"/>
  <c r="I334" i="13"/>
  <c r="D335" i="13"/>
  <c r="M335" i="13"/>
  <c r="J337" i="13"/>
  <c r="E338" i="13"/>
  <c r="N338" i="13"/>
  <c r="K340" i="13"/>
  <c r="F341" i="13"/>
  <c r="O341" i="13"/>
  <c r="E116" i="13"/>
  <c r="Q158" i="13"/>
  <c r="K170" i="13"/>
  <c r="F187" i="13"/>
  <c r="F216" i="13"/>
  <c r="I222" i="13"/>
  <c r="P228" i="13"/>
  <c r="AE228" i="13" s="1"/>
  <c r="D232" i="13"/>
  <c r="E238" i="13"/>
  <c r="N240" i="13"/>
  <c r="D244" i="13"/>
  <c r="J254" i="13"/>
  <c r="P255" i="13"/>
  <c r="AE255" i="13" s="1"/>
  <c r="Q257" i="13"/>
  <c r="H261" i="13"/>
  <c r="N262" i="13"/>
  <c r="O264" i="13"/>
  <c r="F268" i="13"/>
  <c r="G270" i="13"/>
  <c r="M271" i="13"/>
  <c r="J273" i="13"/>
  <c r="N274" i="13"/>
  <c r="K276" i="13"/>
  <c r="O277" i="13"/>
  <c r="M280" i="13"/>
  <c r="N281" i="13"/>
  <c r="G283" i="13"/>
  <c r="O286" i="13"/>
  <c r="P287" i="13"/>
  <c r="AE287" i="13" s="1"/>
  <c r="I289" i="13"/>
  <c r="G293" i="13"/>
  <c r="P293" i="13"/>
  <c r="AE293" i="13" s="1"/>
  <c r="H296" i="13"/>
  <c r="Q296" i="13"/>
  <c r="I299" i="13"/>
  <c r="D300" i="13"/>
  <c r="M300" i="13"/>
  <c r="J302" i="13"/>
  <c r="E303" i="13"/>
  <c r="N303" i="13"/>
  <c r="K305" i="13"/>
  <c r="F306" i="13"/>
  <c r="O306" i="13"/>
  <c r="G309" i="13"/>
  <c r="P309" i="13"/>
  <c r="H312" i="13"/>
  <c r="Q312" i="13"/>
  <c r="I315" i="13"/>
  <c r="D316" i="13"/>
  <c r="M316" i="13"/>
  <c r="J318" i="13"/>
  <c r="E319" i="13"/>
  <c r="N319" i="13"/>
  <c r="K321" i="13"/>
  <c r="F322" i="13"/>
  <c r="O322" i="13"/>
  <c r="G325" i="13"/>
  <c r="P325" i="13"/>
  <c r="AE325" i="13" s="1"/>
  <c r="H328" i="13"/>
  <c r="Q328" i="13"/>
  <c r="I331" i="13"/>
  <c r="D332" i="13"/>
  <c r="M332" i="13"/>
  <c r="J124" i="13"/>
  <c r="D159" i="13"/>
  <c r="D175" i="13"/>
  <c r="G187" i="13"/>
  <c r="G216" i="13"/>
  <c r="J222" i="13"/>
  <c r="Q228" i="13"/>
  <c r="N232" i="13"/>
  <c r="F238" i="13"/>
  <c r="O240" i="13"/>
  <c r="E244" i="13"/>
  <c r="F251" i="13"/>
  <c r="K254" i="13"/>
  <c r="Q255" i="13"/>
  <c r="D258" i="13"/>
  <c r="I261" i="13"/>
  <c r="J263" i="13"/>
  <c r="P264" i="13"/>
  <c r="G268" i="13"/>
  <c r="H270" i="13"/>
  <c r="N271" i="13"/>
  <c r="K273" i="13"/>
  <c r="O274" i="13"/>
  <c r="P277" i="13"/>
  <c r="AE277" i="13" s="1"/>
  <c r="N280" i="13"/>
  <c r="O281" i="13"/>
  <c r="H283" i="13"/>
  <c r="P286" i="13"/>
  <c r="AE286" i="13" s="1"/>
  <c r="Q287" i="13"/>
  <c r="J289" i="13"/>
  <c r="H293" i="13"/>
  <c r="Q293" i="13"/>
  <c r="I296" i="13"/>
  <c r="D297" i="13"/>
  <c r="M297" i="13"/>
  <c r="J299" i="13"/>
  <c r="E300" i="13"/>
  <c r="N300" i="13"/>
  <c r="K302" i="13"/>
  <c r="F303" i="13"/>
  <c r="O303" i="13"/>
  <c r="G306" i="13"/>
  <c r="P306" i="13"/>
  <c r="AE306" i="13" s="1"/>
  <c r="H309" i="13"/>
  <c r="Q309" i="13"/>
  <c r="I312" i="13"/>
  <c r="D313" i="13"/>
  <c r="M313" i="13"/>
  <c r="J315" i="13"/>
  <c r="E316" i="13"/>
  <c r="N316" i="13"/>
  <c r="K318" i="13"/>
  <c r="F319" i="13"/>
  <c r="O319" i="13"/>
  <c r="G322" i="13"/>
  <c r="P322" i="13"/>
  <c r="AE322" i="13" s="1"/>
  <c r="H325" i="13"/>
  <c r="Q325" i="13"/>
  <c r="I328" i="13"/>
  <c r="D329" i="13"/>
  <c r="M329" i="13"/>
  <c r="J331" i="13"/>
  <c r="E332" i="13"/>
  <c r="N332" i="13"/>
  <c r="E86" i="13"/>
  <c r="D125" i="13"/>
  <c r="J142" i="13"/>
  <c r="E159" i="13"/>
  <c r="F175" i="13"/>
  <c r="H187" i="13"/>
  <c r="P202" i="13"/>
  <c r="AE202" i="13" s="1"/>
  <c r="K218" i="13"/>
  <c r="K222" i="13"/>
  <c r="D229" i="13"/>
  <c r="G233" i="13"/>
  <c r="G238" i="13"/>
  <c r="F244" i="13"/>
  <c r="G251" i="13"/>
  <c r="M252" i="13"/>
  <c r="E258" i="13"/>
  <c r="J261" i="13"/>
  <c r="K263" i="13"/>
  <c r="Q264" i="13"/>
  <c r="I270" i="13"/>
  <c r="O271" i="13"/>
  <c r="P274" i="13"/>
  <c r="AE274" i="13" s="1"/>
  <c r="Q277" i="13"/>
  <c r="O280" i="13"/>
  <c r="H282" i="13"/>
  <c r="I283" i="13"/>
  <c r="Q286" i="13"/>
  <c r="O87" i="13"/>
  <c r="E125" i="13"/>
  <c r="F159" i="13"/>
  <c r="M175" i="13"/>
  <c r="O191" i="13"/>
  <c r="D203" i="13"/>
  <c r="M225" i="13"/>
  <c r="I230" i="13"/>
  <c r="I233" i="13"/>
  <c r="G244" i="13"/>
  <c r="H251" i="13"/>
  <c r="N252" i="13"/>
  <c r="F258" i="13"/>
  <c r="M261" i="13"/>
  <c r="D265" i="13"/>
  <c r="J270" i="13"/>
  <c r="P271" i="13"/>
  <c r="Q274" i="13"/>
  <c r="D278" i="13"/>
  <c r="P280" i="13"/>
  <c r="AE280" i="13" s="1"/>
  <c r="I282" i="13"/>
  <c r="J283" i="13"/>
  <c r="D287" i="13"/>
  <c r="K288" i="13"/>
  <c r="M291" i="13"/>
  <c r="J293" i="13"/>
  <c r="E294" i="13"/>
  <c r="N294" i="13"/>
  <c r="K296" i="13"/>
  <c r="F297" i="13"/>
  <c r="O297" i="13"/>
  <c r="G300" i="13"/>
  <c r="P300" i="13"/>
  <c r="AE300" i="13" s="1"/>
  <c r="H303" i="13"/>
  <c r="Q303" i="13"/>
  <c r="I306" i="13"/>
  <c r="D307" i="13"/>
  <c r="M307" i="13"/>
  <c r="J309" i="13"/>
  <c r="E310" i="13"/>
  <c r="N310" i="13"/>
  <c r="K312" i="13"/>
  <c r="F313" i="13"/>
  <c r="O313" i="13"/>
  <c r="G316" i="13"/>
  <c r="P316" i="13"/>
  <c r="H319" i="13"/>
  <c r="Q319" i="13"/>
  <c r="J89" i="13"/>
  <c r="E164" i="13"/>
  <c r="O223" i="13"/>
  <c r="H234" i="13"/>
  <c r="H244" i="13"/>
  <c r="J251" i="13"/>
  <c r="Q261" i="13"/>
  <c r="J267" i="13"/>
  <c r="G286" i="13"/>
  <c r="N289" i="13"/>
  <c r="J294" i="13"/>
  <c r="M304" i="13"/>
  <c r="O310" i="13"/>
  <c r="M314" i="13"/>
  <c r="Q316" i="13"/>
  <c r="O320" i="13"/>
  <c r="G326" i="13"/>
  <c r="M327" i="13"/>
  <c r="N329" i="13"/>
  <c r="E333" i="13"/>
  <c r="Q335" i="13"/>
  <c r="P339" i="13"/>
  <c r="AE339" i="13" s="1"/>
  <c r="K341" i="13"/>
  <c r="M342" i="13"/>
  <c r="G345" i="13"/>
  <c r="P345" i="13"/>
  <c r="AE345" i="13" s="1"/>
  <c r="H348" i="13"/>
  <c r="Q348" i="13"/>
  <c r="I351" i="13"/>
  <c r="D352" i="13"/>
  <c r="M352" i="13"/>
  <c r="J354" i="13"/>
  <c r="E355" i="13"/>
  <c r="N355" i="13"/>
  <c r="K357" i="13"/>
  <c r="F358" i="13"/>
  <c r="O358" i="13"/>
  <c r="G361" i="13"/>
  <c r="P361" i="13"/>
  <c r="H364" i="13"/>
  <c r="Q364" i="13"/>
  <c r="I367" i="13"/>
  <c r="D368" i="13"/>
  <c r="M368" i="13"/>
  <c r="J370" i="13"/>
  <c r="E371" i="13"/>
  <c r="N371" i="13"/>
  <c r="K373" i="13"/>
  <c r="F374" i="13"/>
  <c r="O374" i="13"/>
  <c r="G377" i="13"/>
  <c r="P377" i="13"/>
  <c r="H380" i="13"/>
  <c r="Q380" i="13"/>
  <c r="I383" i="13"/>
  <c r="D384" i="13"/>
  <c r="M384" i="13"/>
  <c r="J386" i="13"/>
  <c r="E387" i="13"/>
  <c r="N387" i="13"/>
  <c r="K389" i="13"/>
  <c r="F390" i="13"/>
  <c r="O390" i="13"/>
  <c r="G393" i="13"/>
  <c r="P393" i="13"/>
  <c r="H396" i="13"/>
  <c r="Q396" i="13"/>
  <c r="I399" i="13"/>
  <c r="D400" i="13"/>
  <c r="M400" i="13"/>
  <c r="J402" i="13"/>
  <c r="E403" i="13"/>
  <c r="N403" i="13"/>
  <c r="K405" i="13"/>
  <c r="F406" i="13"/>
  <c r="O406" i="13"/>
  <c r="G409" i="13"/>
  <c r="P409" i="13"/>
  <c r="AE409" i="13" s="1"/>
  <c r="H412" i="13"/>
  <c r="Q412" i="13"/>
  <c r="I415" i="13"/>
  <c r="H164" i="13"/>
  <c r="N206" i="13"/>
  <c r="P223" i="13"/>
  <c r="AE223" i="13" s="1"/>
  <c r="M235" i="13"/>
  <c r="I244" i="13"/>
  <c r="K251" i="13"/>
  <c r="D262" i="13"/>
  <c r="N273" i="13"/>
  <c r="H286" i="13"/>
  <c r="O289" i="13"/>
  <c r="M294" i="13"/>
  <c r="O300" i="13"/>
  <c r="N304" i="13"/>
  <c r="Q306" i="13"/>
  <c r="P310" i="13"/>
  <c r="AE310" i="13" s="1"/>
  <c r="E313" i="13"/>
  <c r="N314" i="13"/>
  <c r="D317" i="13"/>
  <c r="G319" i="13"/>
  <c r="P320" i="13"/>
  <c r="AE320" i="13" s="1"/>
  <c r="Q322" i="13"/>
  <c r="H326" i="13"/>
  <c r="N327" i="13"/>
  <c r="O329" i="13"/>
  <c r="F333" i="13"/>
  <c r="D336" i="13"/>
  <c r="O338" i="13"/>
  <c r="Q339" i="13"/>
  <c r="N342" i="13"/>
  <c r="H345" i="13"/>
  <c r="Q345" i="13"/>
  <c r="I348" i="13"/>
  <c r="D349" i="13"/>
  <c r="M349" i="13"/>
  <c r="J351" i="13"/>
  <c r="E352" i="13"/>
  <c r="N352" i="13"/>
  <c r="K354" i="13"/>
  <c r="F355" i="13"/>
  <c r="O355" i="13"/>
  <c r="G358" i="13"/>
  <c r="P358" i="13"/>
  <c r="H361" i="13"/>
  <c r="Q361" i="13"/>
  <c r="I364" i="13"/>
  <c r="D365" i="13"/>
  <c r="M365" i="13"/>
  <c r="J367" i="13"/>
  <c r="E368" i="13"/>
  <c r="N368" i="13"/>
  <c r="K370" i="13"/>
  <c r="F371" i="13"/>
  <c r="O371" i="13"/>
  <c r="G374" i="13"/>
  <c r="P374" i="13"/>
  <c r="H377" i="13"/>
  <c r="Q377" i="13"/>
  <c r="I380" i="13"/>
  <c r="D381" i="13"/>
  <c r="M381" i="13"/>
  <c r="J383" i="13"/>
  <c r="E384" i="13"/>
  <c r="N384" i="13"/>
  <c r="K386" i="13"/>
  <c r="F387" i="13"/>
  <c r="O387" i="13"/>
  <c r="G390" i="13"/>
  <c r="P390" i="13"/>
  <c r="H393" i="13"/>
  <c r="Q393" i="13"/>
  <c r="I396" i="13"/>
  <c r="D397" i="13"/>
  <c r="M397" i="13"/>
  <c r="J399" i="13"/>
  <c r="E400" i="13"/>
  <c r="N400" i="13"/>
  <c r="K402" i="13"/>
  <c r="F403" i="13"/>
  <c r="O403" i="13"/>
  <c r="G406" i="13"/>
  <c r="P406" i="13"/>
  <c r="H409" i="13"/>
  <c r="Q409" i="13"/>
  <c r="I412" i="13"/>
  <c r="D413" i="13"/>
  <c r="M413" i="13"/>
  <c r="J415" i="13"/>
  <c r="G103" i="13"/>
  <c r="I164" i="13"/>
  <c r="O206" i="13"/>
  <c r="N225" i="13"/>
  <c r="N235" i="13"/>
  <c r="M268" i="13"/>
  <c r="Q273" i="13"/>
  <c r="E287" i="13"/>
  <c r="P289" i="13"/>
  <c r="AE289" i="13" s="1"/>
  <c r="O294" i="13"/>
  <c r="M298" i="13"/>
  <c r="Q300" i="13"/>
  <c r="O304" i="13"/>
  <c r="E307" i="13"/>
  <c r="M308" i="13"/>
  <c r="Q310" i="13"/>
  <c r="G313" i="13"/>
  <c r="O314" i="13"/>
  <c r="E317" i="13"/>
  <c r="I319" i="13"/>
  <c r="Q320" i="13"/>
  <c r="D323" i="13"/>
  <c r="I326" i="13"/>
  <c r="J328" i="13"/>
  <c r="P329" i="13"/>
  <c r="AE329" i="13" s="1"/>
  <c r="G333" i="13"/>
  <c r="E336" i="13"/>
  <c r="P338" i="13"/>
  <c r="AE338" i="13" s="1"/>
  <c r="D340" i="13"/>
  <c r="O342" i="13"/>
  <c r="I345" i="13"/>
  <c r="D346" i="13"/>
  <c r="M346" i="13"/>
  <c r="J348" i="13"/>
  <c r="E349" i="13"/>
  <c r="N349" i="13"/>
  <c r="K351" i="13"/>
  <c r="F352" i="13"/>
  <c r="O352" i="13"/>
  <c r="G355" i="13"/>
  <c r="P355" i="13"/>
  <c r="AE355" i="13" s="1"/>
  <c r="H358" i="13"/>
  <c r="Q358" i="13"/>
  <c r="I361" i="13"/>
  <c r="D362" i="13"/>
  <c r="M362" i="13"/>
  <c r="J364" i="13"/>
  <c r="E365" i="13"/>
  <c r="N365" i="13"/>
  <c r="K367" i="13"/>
  <c r="F368" i="13"/>
  <c r="O368" i="13"/>
  <c r="G371" i="13"/>
  <c r="P371" i="13"/>
  <c r="AE371" i="13" s="1"/>
  <c r="H374" i="13"/>
  <c r="Q374" i="13"/>
  <c r="I377" i="13"/>
  <c r="D378" i="13"/>
  <c r="M378" i="13"/>
  <c r="J380" i="13"/>
  <c r="E381" i="13"/>
  <c r="N381" i="13"/>
  <c r="K383" i="13"/>
  <c r="F384" i="13"/>
  <c r="O384" i="13"/>
  <c r="G387" i="13"/>
  <c r="P387" i="13"/>
  <c r="AE387" i="13" s="1"/>
  <c r="H390" i="13"/>
  <c r="Q390" i="13"/>
  <c r="I393" i="13"/>
  <c r="D394" i="13"/>
  <c r="M394" i="13"/>
  <c r="J396" i="13"/>
  <c r="E397" i="13"/>
  <c r="N397" i="13"/>
  <c r="K399" i="13"/>
  <c r="F400" i="13"/>
  <c r="O400" i="13"/>
  <c r="G403" i="13"/>
  <c r="P403" i="13"/>
  <c r="AE403" i="13" s="1"/>
  <c r="H406" i="13"/>
  <c r="Q406" i="13"/>
  <c r="I409" i="13"/>
  <c r="D410" i="13"/>
  <c r="M410" i="13"/>
  <c r="J412" i="13"/>
  <c r="E413" i="13"/>
  <c r="N413" i="13"/>
  <c r="K415" i="13"/>
  <c r="N103" i="13"/>
  <c r="P164" i="13"/>
  <c r="Q212" i="13"/>
  <c r="F227" i="13"/>
  <c r="K245" i="13"/>
  <c r="O251" i="13"/>
  <c r="G258" i="13"/>
  <c r="N268" i="13"/>
  <c r="D274" i="13"/>
  <c r="K283" i="13"/>
  <c r="F287" i="13"/>
  <c r="P294" i="13"/>
  <c r="AE294" i="13" s="1"/>
  <c r="E297" i="13"/>
  <c r="N298" i="13"/>
  <c r="D301" i="13"/>
  <c r="G303" i="13"/>
  <c r="P304" i="13"/>
  <c r="AE304" i="13" s="1"/>
  <c r="F307" i="13"/>
  <c r="I309" i="13"/>
  <c r="D311" i="13"/>
  <c r="H313" i="13"/>
  <c r="K315" i="13"/>
  <c r="F317" i="13"/>
  <c r="J319" i="13"/>
  <c r="E323" i="13"/>
  <c r="J326" i="13"/>
  <c r="K328" i="13"/>
  <c r="Q329" i="13"/>
  <c r="F336" i="13"/>
  <c r="Q338" i="13"/>
  <c r="P342" i="13"/>
  <c r="AE342" i="13" s="1"/>
  <c r="M343" i="13"/>
  <c r="J345" i="13"/>
  <c r="E346" i="13"/>
  <c r="N346" i="13"/>
  <c r="K348" i="13"/>
  <c r="F349" i="13"/>
  <c r="O349" i="13"/>
  <c r="G352" i="13"/>
  <c r="P352" i="13"/>
  <c r="AE352" i="13" s="1"/>
  <c r="H355" i="13"/>
  <c r="Q355" i="13"/>
  <c r="I358" i="13"/>
  <c r="D359" i="13"/>
  <c r="M359" i="13"/>
  <c r="J361" i="13"/>
  <c r="E362" i="13"/>
  <c r="N362" i="13"/>
  <c r="K364" i="13"/>
  <c r="F365" i="13"/>
  <c r="O365" i="13"/>
  <c r="G368" i="13"/>
  <c r="P368" i="13"/>
  <c r="AE368" i="13" s="1"/>
  <c r="H371" i="13"/>
  <c r="Q371" i="13"/>
  <c r="I374" i="13"/>
  <c r="D375" i="13"/>
  <c r="M375" i="13"/>
  <c r="J377" i="13"/>
  <c r="E378" i="13"/>
  <c r="N378" i="13"/>
  <c r="K380" i="13"/>
  <c r="F381" i="13"/>
  <c r="O381" i="13"/>
  <c r="G384" i="13"/>
  <c r="P384" i="13"/>
  <c r="AE384" i="13" s="1"/>
  <c r="H387" i="13"/>
  <c r="Q387" i="13"/>
  <c r="I390" i="13"/>
  <c r="D391" i="13"/>
  <c r="M391" i="13"/>
  <c r="J393" i="13"/>
  <c r="E394" i="13"/>
  <c r="N394" i="13"/>
  <c r="K396" i="13"/>
  <c r="F397" i="13"/>
  <c r="O397" i="13"/>
  <c r="G400" i="13"/>
  <c r="P400" i="13"/>
  <c r="AE400" i="13" s="1"/>
  <c r="H403" i="13"/>
  <c r="Q403" i="13"/>
  <c r="I406" i="13"/>
  <c r="D407" i="13"/>
  <c r="M407" i="13"/>
  <c r="J409" i="13"/>
  <c r="E410" i="13"/>
  <c r="N410" i="13"/>
  <c r="K412" i="13"/>
  <c r="F413" i="13"/>
  <c r="O413" i="13"/>
  <c r="O103" i="13"/>
  <c r="D176" i="13"/>
  <c r="D213" i="13"/>
  <c r="G227" i="13"/>
  <c r="O252" i="13"/>
  <c r="H258" i="13"/>
  <c r="O268" i="13"/>
  <c r="E274" i="13"/>
  <c r="G287" i="13"/>
  <c r="M290" i="13"/>
  <c r="M292" i="13"/>
  <c r="Q294" i="13"/>
  <c r="G297" i="13"/>
  <c r="O298" i="13"/>
  <c r="E301" i="13"/>
  <c r="I303" i="13"/>
  <c r="Q304" i="13"/>
  <c r="G307" i="13"/>
  <c r="K309" i="13"/>
  <c r="E311" i="13"/>
  <c r="I313" i="13"/>
  <c r="G317" i="13"/>
  <c r="K319" i="13"/>
  <c r="F323" i="13"/>
  <c r="M326" i="13"/>
  <c r="D330" i="13"/>
  <c r="E335" i="13"/>
  <c r="G336" i="13"/>
  <c r="D339" i="13"/>
  <c r="Q342" i="13"/>
  <c r="N343" i="13"/>
  <c r="K345" i="13"/>
  <c r="F346" i="13"/>
  <c r="O346" i="13"/>
  <c r="G349" i="13"/>
  <c r="P349" i="13"/>
  <c r="AE349" i="13" s="1"/>
  <c r="H352" i="13"/>
  <c r="Q352" i="13"/>
  <c r="I355" i="13"/>
  <c r="D356" i="13"/>
  <c r="M356" i="13"/>
  <c r="J358" i="13"/>
  <c r="E359" i="13"/>
  <c r="N359" i="13"/>
  <c r="K361" i="13"/>
  <c r="F362" i="13"/>
  <c r="O362" i="13"/>
  <c r="G365" i="13"/>
  <c r="P365" i="13"/>
  <c r="AE365" i="13" s="1"/>
  <c r="H368" i="13"/>
  <c r="Q368" i="13"/>
  <c r="I371" i="13"/>
  <c r="D372" i="13"/>
  <c r="M372" i="13"/>
  <c r="J374" i="13"/>
  <c r="E375" i="13"/>
  <c r="N375" i="13"/>
  <c r="K377" i="13"/>
  <c r="F378" i="13"/>
  <c r="O378" i="13"/>
  <c r="G381" i="13"/>
  <c r="P381" i="13"/>
  <c r="AE381" i="13" s="1"/>
  <c r="H384" i="13"/>
  <c r="Q384" i="13"/>
  <c r="I387" i="13"/>
  <c r="D388" i="13"/>
  <c r="M388" i="13"/>
  <c r="J390" i="13"/>
  <c r="E391" i="13"/>
  <c r="N391" i="13"/>
  <c r="K393" i="13"/>
  <c r="F394" i="13"/>
  <c r="O394" i="13"/>
  <c r="G397" i="13"/>
  <c r="P397" i="13"/>
  <c r="H400" i="13"/>
  <c r="Q400" i="13"/>
  <c r="I403" i="13"/>
  <c r="D404" i="13"/>
  <c r="M404" i="13"/>
  <c r="J406" i="13"/>
  <c r="E407" i="13"/>
  <c r="N407" i="13"/>
  <c r="K409" i="13"/>
  <c r="F410" i="13"/>
  <c r="O410" i="13"/>
  <c r="G413" i="13"/>
  <c r="P413" i="13"/>
  <c r="AE413" i="13" s="1"/>
  <c r="H176" i="13"/>
  <c r="E213" i="13"/>
  <c r="H227" i="13"/>
  <c r="Q236" i="13"/>
  <c r="M246" i="13"/>
  <c r="P252" i="13"/>
  <c r="I258" i="13"/>
  <c r="P268" i="13"/>
  <c r="AE268" i="13" s="1"/>
  <c r="D275" i="13"/>
  <c r="P279" i="13"/>
  <c r="AE279" i="13" s="1"/>
  <c r="H287" i="13"/>
  <c r="N290" i="13"/>
  <c r="I293" i="13"/>
  <c r="D295" i="13"/>
  <c r="H297" i="13"/>
  <c r="K299" i="13"/>
  <c r="F301" i="13"/>
  <c r="J303" i="13"/>
  <c r="H307" i="13"/>
  <c r="J313" i="13"/>
  <c r="G323" i="13"/>
  <c r="M324" i="13"/>
  <c r="N326" i="13"/>
  <c r="E330" i="13"/>
  <c r="F332" i="13"/>
  <c r="F335" i="13"/>
  <c r="H336" i="13"/>
  <c r="E339" i="13"/>
  <c r="P341" i="13"/>
  <c r="AE341" i="13" s="1"/>
  <c r="D343" i="13"/>
  <c r="O343" i="13"/>
  <c r="G346" i="13"/>
  <c r="P346" i="13"/>
  <c r="AE346" i="13" s="1"/>
  <c r="H349" i="13"/>
  <c r="Q349" i="13"/>
  <c r="I352" i="13"/>
  <c r="D353" i="13"/>
  <c r="M353" i="13"/>
  <c r="J355" i="13"/>
  <c r="E356" i="13"/>
  <c r="N356" i="13"/>
  <c r="K358" i="13"/>
  <c r="F359" i="13"/>
  <c r="O359" i="13"/>
  <c r="G362" i="13"/>
  <c r="P362" i="13"/>
  <c r="H365" i="13"/>
  <c r="Q365" i="13"/>
  <c r="I368" i="13"/>
  <c r="D369" i="13"/>
  <c r="M369" i="13"/>
  <c r="J371" i="13"/>
  <c r="E372" i="13"/>
  <c r="N372" i="13"/>
  <c r="K374" i="13"/>
  <c r="F375" i="13"/>
  <c r="O375" i="13"/>
  <c r="G378" i="13"/>
  <c r="P378" i="13"/>
  <c r="H381" i="13"/>
  <c r="Q381" i="13"/>
  <c r="I384" i="13"/>
  <c r="D385" i="13"/>
  <c r="M385" i="13"/>
  <c r="J387" i="13"/>
  <c r="E388" i="13"/>
  <c r="N388" i="13"/>
  <c r="K390" i="13"/>
  <c r="F391" i="13"/>
  <c r="O391" i="13"/>
  <c r="G394" i="13"/>
  <c r="P394" i="13"/>
  <c r="H397" i="13"/>
  <c r="Q397" i="13"/>
  <c r="I400" i="13"/>
  <c r="D401" i="13"/>
  <c r="M401" i="13"/>
  <c r="J403" i="13"/>
  <c r="E404" i="13"/>
  <c r="N404" i="13"/>
  <c r="K406" i="13"/>
  <c r="F407" i="13"/>
  <c r="O407" i="13"/>
  <c r="G410" i="13"/>
  <c r="P410" i="13"/>
  <c r="AE410" i="13" s="1"/>
  <c r="H413" i="13"/>
  <c r="Q413" i="13"/>
  <c r="I176" i="13"/>
  <c r="F213" i="13"/>
  <c r="J227" i="13"/>
  <c r="I239" i="13"/>
  <c r="J247" i="13"/>
  <c r="E264" i="13"/>
  <c r="K270" i="13"/>
  <c r="K275" i="13"/>
  <c r="D280" i="13"/>
  <c r="M283" i="13"/>
  <c r="O290" i="13"/>
  <c r="K293" i="13"/>
  <c r="E295" i="13"/>
  <c r="I297" i="13"/>
  <c r="G301" i="13"/>
  <c r="K303" i="13"/>
  <c r="I307" i="13"/>
  <c r="K313" i="13"/>
  <c r="H323" i="13"/>
  <c r="I325" i="13"/>
  <c r="O326" i="13"/>
  <c r="F330" i="13"/>
  <c r="G332" i="13"/>
  <c r="G335" i="13"/>
  <c r="F339" i="13"/>
  <c r="Q341" i="13"/>
  <c r="E343" i="13"/>
  <c r="P343" i="13"/>
  <c r="AE343" i="13" s="1"/>
  <c r="H346" i="13"/>
  <c r="Q346" i="13"/>
  <c r="I349" i="13"/>
  <c r="D350" i="13"/>
  <c r="M350" i="13"/>
  <c r="J352" i="13"/>
  <c r="E353" i="13"/>
  <c r="N353" i="13"/>
  <c r="K355" i="13"/>
  <c r="F356" i="13"/>
  <c r="O356" i="13"/>
  <c r="G359" i="13"/>
  <c r="P359" i="13"/>
  <c r="AE359" i="13" s="1"/>
  <c r="H362" i="13"/>
  <c r="Q362" i="13"/>
  <c r="I365" i="13"/>
  <c r="D366" i="13"/>
  <c r="M366" i="13"/>
  <c r="J368" i="13"/>
  <c r="E369" i="13"/>
  <c r="N369" i="13"/>
  <c r="K371" i="13"/>
  <c r="F372" i="13"/>
  <c r="O372" i="13"/>
  <c r="G375" i="13"/>
  <c r="P375" i="13"/>
  <c r="AE375" i="13" s="1"/>
  <c r="H378" i="13"/>
  <c r="Q378" i="13"/>
  <c r="I381" i="13"/>
  <c r="D382" i="13"/>
  <c r="M382" i="13"/>
  <c r="J384" i="13"/>
  <c r="E385" i="13"/>
  <c r="N385" i="13"/>
  <c r="K387" i="13"/>
  <c r="F388" i="13"/>
  <c r="O388" i="13"/>
  <c r="G391" i="13"/>
  <c r="P391" i="13"/>
  <c r="H394" i="13"/>
  <c r="Q394" i="13"/>
  <c r="I397" i="13"/>
  <c r="D398" i="13"/>
  <c r="M398" i="13"/>
  <c r="J400" i="13"/>
  <c r="E401" i="13"/>
  <c r="N401" i="13"/>
  <c r="K403" i="13"/>
  <c r="F404" i="13"/>
  <c r="O404" i="13"/>
  <c r="G407" i="13"/>
  <c r="P407" i="13"/>
  <c r="AE407" i="13" s="1"/>
  <c r="H410" i="13"/>
  <c r="Q410" i="13"/>
  <c r="I413" i="13"/>
  <c r="D414" i="13"/>
  <c r="M414" i="13"/>
  <c r="Q180" i="13"/>
  <c r="H213" i="13"/>
  <c r="J230" i="13"/>
  <c r="J239" i="13"/>
  <c r="M258" i="13"/>
  <c r="E265" i="13"/>
  <c r="E280" i="13"/>
  <c r="N283" i="13"/>
  <c r="J288" i="13"/>
  <c r="P290" i="13"/>
  <c r="AE290" i="13" s="1"/>
  <c r="J297" i="13"/>
  <c r="N313" i="13"/>
  <c r="M317" i="13"/>
  <c r="P319" i="13"/>
  <c r="I323" i="13"/>
  <c r="J325" i="13"/>
  <c r="P326" i="13"/>
  <c r="H332" i="13"/>
  <c r="M333" i="13"/>
  <c r="H335" i="13"/>
  <c r="G339" i="13"/>
  <c r="D342" i="13"/>
  <c r="F343" i="13"/>
  <c r="Q343" i="13"/>
  <c r="I346" i="13"/>
  <c r="D347" i="13"/>
  <c r="M347" i="13"/>
  <c r="J349" i="13"/>
  <c r="E350" i="13"/>
  <c r="N350" i="13"/>
  <c r="K352" i="13"/>
  <c r="F353" i="13"/>
  <c r="O353" i="13"/>
  <c r="G356" i="13"/>
  <c r="P356" i="13"/>
  <c r="AE356" i="13" s="1"/>
  <c r="H359" i="13"/>
  <c r="Q359" i="13"/>
  <c r="I362" i="13"/>
  <c r="D363" i="13"/>
  <c r="M363" i="13"/>
  <c r="J365" i="13"/>
  <c r="E366" i="13"/>
  <c r="N366" i="13"/>
  <c r="K368" i="13"/>
  <c r="F369" i="13"/>
  <c r="O369" i="13"/>
  <c r="G372" i="13"/>
  <c r="P372" i="13"/>
  <c r="H375" i="13"/>
  <c r="Q375" i="13"/>
  <c r="I378" i="13"/>
  <c r="D379" i="13"/>
  <c r="M379" i="13"/>
  <c r="J381" i="13"/>
  <c r="E382" i="13"/>
  <c r="N382" i="13"/>
  <c r="K384" i="13"/>
  <c r="F385" i="13"/>
  <c r="O385" i="13"/>
  <c r="G388" i="13"/>
  <c r="P388" i="13"/>
  <c r="H391" i="13"/>
  <c r="Q391" i="13"/>
  <c r="I394" i="13"/>
  <c r="D395" i="13"/>
  <c r="M395" i="13"/>
  <c r="J397" i="13"/>
  <c r="E398" i="13"/>
  <c r="N398" i="13"/>
  <c r="K400" i="13"/>
  <c r="F401" i="13"/>
  <c r="O401" i="13"/>
  <c r="G404" i="13"/>
  <c r="P404" i="13"/>
  <c r="AE404" i="13" s="1"/>
  <c r="H407" i="13"/>
  <c r="Q407" i="13"/>
  <c r="I410" i="13"/>
  <c r="D411" i="13"/>
  <c r="M411" i="13"/>
  <c r="J413" i="13"/>
  <c r="E414" i="13"/>
  <c r="N414" i="13"/>
  <c r="G134" i="13"/>
  <c r="E181" i="13"/>
  <c r="K230" i="13"/>
  <c r="K239" i="13"/>
  <c r="M259" i="13"/>
  <c r="F265" i="13"/>
  <c r="F280" i="13"/>
  <c r="Q290" i="13"/>
  <c r="K297" i="13"/>
  <c r="N307" i="13"/>
  <c r="P313" i="13"/>
  <c r="AE313" i="13" s="1"/>
  <c r="N317" i="13"/>
  <c r="D320" i="13"/>
  <c r="K325" i="13"/>
  <c r="Q326" i="13"/>
  <c r="I332" i="13"/>
  <c r="N333" i="13"/>
  <c r="I335" i="13"/>
  <c r="F338" i="13"/>
  <c r="H339" i="13"/>
  <c r="E342" i="13"/>
  <c r="H343" i="13"/>
  <c r="D344" i="13"/>
  <c r="M344" i="13"/>
  <c r="J346" i="13"/>
  <c r="E347" i="13"/>
  <c r="N347" i="13"/>
  <c r="K349" i="13"/>
  <c r="F350" i="13"/>
  <c r="O350" i="13"/>
  <c r="G353" i="13"/>
  <c r="P353" i="13"/>
  <c r="AE353" i="13" s="1"/>
  <c r="H356" i="13"/>
  <c r="Q356" i="13"/>
  <c r="I359" i="13"/>
  <c r="D360" i="13"/>
  <c r="M360" i="13"/>
  <c r="J362" i="13"/>
  <c r="E363" i="13"/>
  <c r="N363" i="13"/>
  <c r="K365" i="13"/>
  <c r="F366" i="13"/>
  <c r="O366" i="13"/>
  <c r="G369" i="13"/>
  <c r="P369" i="13"/>
  <c r="AE369" i="13" s="1"/>
  <c r="H372" i="13"/>
  <c r="Q372" i="13"/>
  <c r="I375" i="13"/>
  <c r="D376" i="13"/>
  <c r="M376" i="13"/>
  <c r="J378" i="13"/>
  <c r="E379" i="13"/>
  <c r="N379" i="13"/>
  <c r="K381" i="13"/>
  <c r="F382" i="13"/>
  <c r="O382" i="13"/>
  <c r="G385" i="13"/>
  <c r="P385" i="13"/>
  <c r="AE385" i="13" s="1"/>
  <c r="H388" i="13"/>
  <c r="Q388" i="13"/>
  <c r="I391" i="13"/>
  <c r="D392" i="13"/>
  <c r="M392" i="13"/>
  <c r="J394" i="13"/>
  <c r="E395" i="13"/>
  <c r="N395" i="13"/>
  <c r="K397" i="13"/>
  <c r="F398" i="13"/>
  <c r="O398" i="13"/>
  <c r="G401" i="13"/>
  <c r="P401" i="13"/>
  <c r="AE401" i="13" s="1"/>
  <c r="H404" i="13"/>
  <c r="Q404" i="13"/>
  <c r="I407" i="13"/>
  <c r="D408" i="13"/>
  <c r="M408" i="13"/>
  <c r="J410" i="13"/>
  <c r="E411" i="13"/>
  <c r="N411" i="13"/>
  <c r="K413" i="13"/>
  <c r="F414" i="13"/>
  <c r="O414" i="13"/>
  <c r="J134" i="13"/>
  <c r="H192" i="13"/>
  <c r="P254" i="13"/>
  <c r="AE254" i="13" s="1"/>
  <c r="I260" i="13"/>
  <c r="P270" i="13"/>
  <c r="AE270" i="13" s="1"/>
  <c r="Q280" i="13"/>
  <c r="N297" i="13"/>
  <c r="M301" i="13"/>
  <c r="P303" i="13"/>
  <c r="AE303" i="13" s="1"/>
  <c r="O307" i="13"/>
  <c r="D310" i="13"/>
  <c r="M311" i="13"/>
  <c r="Q313" i="13"/>
  <c r="F316" i="13"/>
  <c r="O317" i="13"/>
  <c r="E320" i="13"/>
  <c r="M323" i="13"/>
  <c r="D327" i="13"/>
  <c r="E329" i="13"/>
  <c r="J332" i="13"/>
  <c r="O333" i="13"/>
  <c r="J335" i="13"/>
  <c r="G338" i="13"/>
  <c r="I339" i="13"/>
  <c r="F342" i="13"/>
  <c r="I343" i="13"/>
  <c r="E344" i="13"/>
  <c r="N344" i="13"/>
  <c r="K346" i="13"/>
  <c r="F347" i="13"/>
  <c r="O347" i="13"/>
  <c r="G350" i="13"/>
  <c r="P350" i="13"/>
  <c r="AE350" i="13" s="1"/>
  <c r="H353" i="13"/>
  <c r="Q353" i="13"/>
  <c r="I356" i="13"/>
  <c r="D357" i="13"/>
  <c r="M357" i="13"/>
  <c r="J359" i="13"/>
  <c r="E360" i="13"/>
  <c r="N360" i="13"/>
  <c r="K362" i="13"/>
  <c r="F363" i="13"/>
  <c r="O363" i="13"/>
  <c r="G366" i="13"/>
  <c r="P366" i="13"/>
  <c r="AE366" i="13" s="1"/>
  <c r="H369" i="13"/>
  <c r="Q369" i="13"/>
  <c r="I372" i="13"/>
  <c r="D373" i="13"/>
  <c r="M373" i="13"/>
  <c r="J375" i="13"/>
  <c r="E376" i="13"/>
  <c r="N376" i="13"/>
  <c r="K378" i="13"/>
  <c r="F379" i="13"/>
  <c r="O379" i="13"/>
  <c r="G382" i="13"/>
  <c r="P382" i="13"/>
  <c r="AE382" i="13" s="1"/>
  <c r="H385" i="13"/>
  <c r="Q385" i="13"/>
  <c r="I388" i="13"/>
  <c r="D389" i="13"/>
  <c r="M389" i="13"/>
  <c r="J391" i="13"/>
  <c r="E392" i="13"/>
  <c r="N392" i="13"/>
  <c r="K394" i="13"/>
  <c r="F395" i="13"/>
  <c r="O395" i="13"/>
  <c r="G398" i="13"/>
  <c r="P398" i="13"/>
  <c r="AE398" i="13" s="1"/>
  <c r="H401" i="13"/>
  <c r="Q401" i="13"/>
  <c r="I404" i="13"/>
  <c r="D405" i="13"/>
  <c r="M405" i="13"/>
  <c r="J407" i="13"/>
  <c r="E408" i="13"/>
  <c r="N408" i="13"/>
  <c r="K410" i="13"/>
  <c r="F411" i="13"/>
  <c r="O411" i="13"/>
  <c r="G414" i="13"/>
  <c r="P414" i="13"/>
  <c r="AE414" i="13" s="1"/>
  <c r="I192" i="13"/>
  <c r="Q254" i="13"/>
  <c r="J260" i="13"/>
  <c r="Q270" i="13"/>
  <c r="D281" i="13"/>
  <c r="M284" i="13"/>
  <c r="N291" i="13"/>
  <c r="P297" i="13"/>
  <c r="AE297" i="13" s="1"/>
  <c r="N301" i="13"/>
  <c r="D304" i="13"/>
  <c r="P307" i="13"/>
  <c r="AE307" i="13" s="1"/>
  <c r="F310" i="13"/>
  <c r="N311" i="13"/>
  <c r="D314" i="13"/>
  <c r="H316" i="13"/>
  <c r="P317" i="13"/>
  <c r="AE317" i="13" s="1"/>
  <c r="F320" i="13"/>
  <c r="H322" i="13"/>
  <c r="N323" i="13"/>
  <c r="E327" i="13"/>
  <c r="F329" i="13"/>
  <c r="K332" i="13"/>
  <c r="P333" i="13"/>
  <c r="K335" i="13"/>
  <c r="M336" i="13"/>
  <c r="H338" i="13"/>
  <c r="G342" i="13"/>
  <c r="J343" i="13"/>
  <c r="F344" i="13"/>
  <c r="O344" i="13"/>
  <c r="G347" i="13"/>
  <c r="P347" i="13"/>
  <c r="AE347" i="13" s="1"/>
  <c r="H350" i="13"/>
  <c r="Q350" i="13"/>
  <c r="I353" i="13"/>
  <c r="D354" i="13"/>
  <c r="M354" i="13"/>
  <c r="J356" i="13"/>
  <c r="E357" i="13"/>
  <c r="N357" i="13"/>
  <c r="K359" i="13"/>
  <c r="F360" i="13"/>
  <c r="O360" i="13"/>
  <c r="G363" i="13"/>
  <c r="P363" i="13"/>
  <c r="H366" i="13"/>
  <c r="Q366" i="13"/>
  <c r="I369" i="13"/>
  <c r="D370" i="13"/>
  <c r="M370" i="13"/>
  <c r="J372" i="13"/>
  <c r="E373" i="13"/>
  <c r="N373" i="13"/>
  <c r="K375" i="13"/>
  <c r="F376" i="13"/>
  <c r="O376" i="13"/>
  <c r="G379" i="13"/>
  <c r="P379" i="13"/>
  <c r="H382" i="13"/>
  <c r="Q382" i="13"/>
  <c r="I385" i="13"/>
  <c r="D386" i="13"/>
  <c r="M386" i="13"/>
  <c r="J388" i="13"/>
  <c r="E389" i="13"/>
  <c r="N389" i="13"/>
  <c r="K391" i="13"/>
  <c r="F392" i="13"/>
  <c r="O392" i="13"/>
  <c r="G395" i="13"/>
  <c r="P395" i="13"/>
  <c r="AE395" i="13" s="1"/>
  <c r="H398" i="13"/>
  <c r="Q398" i="13"/>
  <c r="I401" i="13"/>
  <c r="D402" i="13"/>
  <c r="M402" i="13"/>
  <c r="J404" i="13"/>
  <c r="E405" i="13"/>
  <c r="N405" i="13"/>
  <c r="K407" i="13"/>
  <c r="F408" i="13"/>
  <c r="O408" i="13"/>
  <c r="G411" i="13"/>
  <c r="P411" i="13"/>
  <c r="AE411" i="13" s="1"/>
  <c r="H414" i="13"/>
  <c r="Q414" i="13"/>
  <c r="M147" i="13"/>
  <c r="K192" i="13"/>
  <c r="D255" i="13"/>
  <c r="K260" i="13"/>
  <c r="Q271" i="13"/>
  <c r="O276" i="13"/>
  <c r="E281" i="13"/>
  <c r="N284" i="13"/>
  <c r="O291" i="13"/>
  <c r="D294" i="13"/>
  <c r="M295" i="13"/>
  <c r="Q297" i="13"/>
  <c r="F300" i="13"/>
  <c r="O301" i="13"/>
  <c r="E304" i="13"/>
  <c r="H306" i="13"/>
  <c r="Q307" i="13"/>
  <c r="G310" i="13"/>
  <c r="J312" i="13"/>
  <c r="E314" i="13"/>
  <c r="I316" i="13"/>
  <c r="G320" i="13"/>
  <c r="I322" i="13"/>
  <c r="O323" i="13"/>
  <c r="G329" i="13"/>
  <c r="M330" i="13"/>
  <c r="J334" i="13"/>
  <c r="N336" i="13"/>
  <c r="I338" i="13"/>
  <c r="M340" i="13"/>
  <c r="H342" i="13"/>
  <c r="K343" i="13"/>
  <c r="G344" i="13"/>
  <c r="P344" i="13"/>
  <c r="AE344" i="13" s="1"/>
  <c r="H347" i="13"/>
  <c r="Q347" i="13"/>
  <c r="I350" i="13"/>
  <c r="D351" i="13"/>
  <c r="M351" i="13"/>
  <c r="J353" i="13"/>
  <c r="E354" i="13"/>
  <c r="N354" i="13"/>
  <c r="K356" i="13"/>
  <c r="F357" i="13"/>
  <c r="O357" i="13"/>
  <c r="G360" i="13"/>
  <c r="P360" i="13"/>
  <c r="H363" i="13"/>
  <c r="Q363" i="13"/>
  <c r="I366" i="13"/>
  <c r="D367" i="13"/>
  <c r="M367" i="13"/>
  <c r="J369" i="13"/>
  <c r="E370" i="13"/>
  <c r="N370" i="13"/>
  <c r="K372" i="13"/>
  <c r="F373" i="13"/>
  <c r="O373" i="13"/>
  <c r="G376" i="13"/>
  <c r="P376" i="13"/>
  <c r="AE376" i="13" s="1"/>
  <c r="H379" i="13"/>
  <c r="Q379" i="13"/>
  <c r="I382" i="13"/>
  <c r="D383" i="13"/>
  <c r="M383" i="13"/>
  <c r="J385" i="13"/>
  <c r="E386" i="13"/>
  <c r="N386" i="13"/>
  <c r="K388" i="13"/>
  <c r="F389" i="13"/>
  <c r="O389" i="13"/>
  <c r="G392" i="13"/>
  <c r="P392" i="13"/>
  <c r="H395" i="13"/>
  <c r="Q395" i="13"/>
  <c r="I398" i="13"/>
  <c r="D399" i="13"/>
  <c r="M399" i="13"/>
  <c r="J401" i="13"/>
  <c r="E402" i="13"/>
  <c r="N402" i="13"/>
  <c r="K404" i="13"/>
  <c r="F405" i="13"/>
  <c r="O147" i="13"/>
  <c r="M241" i="13"/>
  <c r="F267" i="13"/>
  <c r="O284" i="13"/>
  <c r="N295" i="13"/>
  <c r="F304" i="13"/>
  <c r="H320" i="13"/>
  <c r="K334" i="13"/>
  <c r="H344" i="13"/>
  <c r="I347" i="13"/>
  <c r="J350" i="13"/>
  <c r="K353" i="13"/>
  <c r="M380" i="13"/>
  <c r="N383" i="13"/>
  <c r="O386" i="13"/>
  <c r="P389" i="13"/>
  <c r="Q392" i="13"/>
  <c r="D396" i="13"/>
  <c r="E399" i="13"/>
  <c r="F402" i="13"/>
  <c r="G405" i="13"/>
  <c r="N409" i="13"/>
  <c r="G412" i="13"/>
  <c r="D415" i="13"/>
  <c r="C10" i="13"/>
  <c r="C26" i="13"/>
  <c r="C42" i="13"/>
  <c r="C58" i="13"/>
  <c r="C74" i="13"/>
  <c r="C90" i="13"/>
  <c r="C106" i="13"/>
  <c r="C122" i="13"/>
  <c r="C138" i="13"/>
  <c r="C154" i="13"/>
  <c r="C170" i="13"/>
  <c r="C186" i="13"/>
  <c r="C202" i="13"/>
  <c r="C218" i="13"/>
  <c r="C234" i="13"/>
  <c r="C250" i="13"/>
  <c r="P147" i="13"/>
  <c r="AE147" i="13" s="1"/>
  <c r="N241" i="13"/>
  <c r="G267" i="13"/>
  <c r="D286" i="13"/>
  <c r="J296" i="13"/>
  <c r="G304" i="13"/>
  <c r="M339" i="13"/>
  <c r="I344" i="13"/>
  <c r="J347" i="13"/>
  <c r="K350" i="13"/>
  <c r="M377" i="13"/>
  <c r="N380" i="13"/>
  <c r="O383" i="13"/>
  <c r="P386" i="13"/>
  <c r="AE386" i="13" s="1"/>
  <c r="Q389" i="13"/>
  <c r="D393" i="13"/>
  <c r="E396" i="13"/>
  <c r="F399" i="13"/>
  <c r="G402" i="13"/>
  <c r="H405" i="13"/>
  <c r="O409" i="13"/>
  <c r="E415" i="13"/>
  <c r="C11" i="13"/>
  <c r="C27" i="13"/>
  <c r="C43" i="13"/>
  <c r="C59" i="13"/>
  <c r="C75" i="13"/>
  <c r="C91" i="13"/>
  <c r="C107" i="13"/>
  <c r="C123" i="13"/>
  <c r="C139" i="13"/>
  <c r="C155" i="13"/>
  <c r="C171" i="13"/>
  <c r="C187" i="13"/>
  <c r="C203" i="13"/>
  <c r="C219" i="13"/>
  <c r="C235" i="13"/>
  <c r="C251" i="13"/>
  <c r="D148" i="13"/>
  <c r="O241" i="13"/>
  <c r="H267" i="13"/>
  <c r="E286" i="13"/>
  <c r="H304" i="13"/>
  <c r="M320" i="13"/>
  <c r="N339" i="13"/>
  <c r="J344" i="13"/>
  <c r="K347" i="13"/>
  <c r="M374" i="13"/>
  <c r="N377" i="13"/>
  <c r="O380" i="13"/>
  <c r="P383" i="13"/>
  <c r="AE383" i="13" s="1"/>
  <c r="Q386" i="13"/>
  <c r="D390" i="13"/>
  <c r="E393" i="13"/>
  <c r="F396" i="13"/>
  <c r="G399" i="13"/>
  <c r="H402" i="13"/>
  <c r="I405" i="13"/>
  <c r="M412" i="13"/>
  <c r="F415" i="13"/>
  <c r="C12" i="13"/>
  <c r="C28" i="13"/>
  <c r="C44" i="13"/>
  <c r="C60" i="13"/>
  <c r="C76" i="13"/>
  <c r="C92" i="13"/>
  <c r="C108" i="13"/>
  <c r="C124" i="13"/>
  <c r="C140" i="13"/>
  <c r="C156" i="13"/>
  <c r="C172" i="13"/>
  <c r="C188" i="13"/>
  <c r="C204" i="13"/>
  <c r="C220" i="13"/>
  <c r="C236" i="13"/>
  <c r="C252" i="13"/>
  <c r="C268" i="13"/>
  <c r="I159" i="13"/>
  <c r="P241" i="13"/>
  <c r="AE241" i="13" s="1"/>
  <c r="I267" i="13"/>
  <c r="F286" i="13"/>
  <c r="N320" i="13"/>
  <c r="O339" i="13"/>
  <c r="K344" i="13"/>
  <c r="M371" i="13"/>
  <c r="N374" i="13"/>
  <c r="O377" i="13"/>
  <c r="P380" i="13"/>
  <c r="AE380" i="13" s="1"/>
  <c r="Q383" i="13"/>
  <c r="D387" i="13"/>
  <c r="E390" i="13"/>
  <c r="F393" i="13"/>
  <c r="G396" i="13"/>
  <c r="H399" i="13"/>
  <c r="I402" i="13"/>
  <c r="J405" i="13"/>
  <c r="G408" i="13"/>
  <c r="N412" i="13"/>
  <c r="G415" i="13"/>
  <c r="M2" i="13"/>
  <c r="C13" i="13"/>
  <c r="C29" i="13"/>
  <c r="C45" i="13"/>
  <c r="C61" i="13"/>
  <c r="C77" i="13"/>
  <c r="C93" i="13"/>
  <c r="C109" i="13"/>
  <c r="C125" i="13"/>
  <c r="C141" i="13"/>
  <c r="C157" i="13"/>
  <c r="C173" i="13"/>
  <c r="C189" i="13"/>
  <c r="C205" i="13"/>
  <c r="C221" i="13"/>
  <c r="C237" i="13"/>
  <c r="C253" i="13"/>
  <c r="C269" i="13"/>
  <c r="Q192" i="13"/>
  <c r="J272" i="13"/>
  <c r="D298" i="13"/>
  <c r="J306" i="13"/>
  <c r="F314" i="13"/>
  <c r="J322" i="13"/>
  <c r="H329" i="13"/>
  <c r="G341" i="13"/>
  <c r="Q344" i="13"/>
  <c r="D348" i="13"/>
  <c r="E351" i="13"/>
  <c r="F354" i="13"/>
  <c r="G357" i="13"/>
  <c r="H360" i="13"/>
  <c r="I363" i="13"/>
  <c r="J366" i="13"/>
  <c r="K369" i="13"/>
  <c r="M396" i="13"/>
  <c r="N399" i="13"/>
  <c r="O402" i="13"/>
  <c r="O405" i="13"/>
  <c r="H408" i="13"/>
  <c r="O412" i="13"/>
  <c r="H415" i="13"/>
  <c r="E2" i="13"/>
  <c r="N2" i="13"/>
  <c r="C14" i="13"/>
  <c r="C30" i="13"/>
  <c r="C46" i="13"/>
  <c r="C62" i="13"/>
  <c r="C78" i="13"/>
  <c r="C94" i="13"/>
  <c r="C110" i="13"/>
  <c r="C126" i="13"/>
  <c r="C142" i="13"/>
  <c r="C158" i="13"/>
  <c r="C174" i="13"/>
  <c r="C190" i="13"/>
  <c r="C206" i="13"/>
  <c r="C222" i="13"/>
  <c r="C238" i="13"/>
  <c r="C254" i="13"/>
  <c r="C270" i="13"/>
  <c r="G193" i="13"/>
  <c r="K289" i="13"/>
  <c r="E298" i="13"/>
  <c r="K306" i="13"/>
  <c r="K322" i="13"/>
  <c r="I329" i="13"/>
  <c r="N335" i="13"/>
  <c r="H341" i="13"/>
  <c r="D345" i="13"/>
  <c r="E348" i="13"/>
  <c r="F351" i="13"/>
  <c r="G354" i="13"/>
  <c r="H357" i="13"/>
  <c r="I360" i="13"/>
  <c r="J363" i="13"/>
  <c r="K366" i="13"/>
  <c r="M393" i="13"/>
  <c r="N396" i="13"/>
  <c r="O399" i="13"/>
  <c r="P402" i="13"/>
  <c r="AE402" i="13" s="1"/>
  <c r="P405" i="13"/>
  <c r="I408" i="13"/>
  <c r="P412" i="13"/>
  <c r="AE412" i="13" s="1"/>
  <c r="M415" i="13"/>
  <c r="F2" i="13"/>
  <c r="O2" i="13"/>
  <c r="C15" i="13"/>
  <c r="C31" i="13"/>
  <c r="C47" i="13"/>
  <c r="C63" i="13"/>
  <c r="C79" i="13"/>
  <c r="C95" i="13"/>
  <c r="C111" i="13"/>
  <c r="C127" i="13"/>
  <c r="C143" i="13"/>
  <c r="C159" i="13"/>
  <c r="C175" i="13"/>
  <c r="C191" i="13"/>
  <c r="C207" i="13"/>
  <c r="C223" i="13"/>
  <c r="C239" i="13"/>
  <c r="C255" i="13"/>
  <c r="C271" i="13"/>
  <c r="C287" i="13"/>
  <c r="E203" i="13"/>
  <c r="F298" i="13"/>
  <c r="J329" i="13"/>
  <c r="O335" i="13"/>
  <c r="I341" i="13"/>
  <c r="E345" i="13"/>
  <c r="F348" i="13"/>
  <c r="G351" i="13"/>
  <c r="H354" i="13"/>
  <c r="I357" i="13"/>
  <c r="J360" i="13"/>
  <c r="K363" i="13"/>
  <c r="M390" i="13"/>
  <c r="N393" i="13"/>
  <c r="O396" i="13"/>
  <c r="P399" i="13"/>
  <c r="AE399" i="13" s="1"/>
  <c r="Q402" i="13"/>
  <c r="Q405" i="13"/>
  <c r="J408" i="13"/>
  <c r="N415" i="13"/>
  <c r="G2" i="13"/>
  <c r="P2" i="13"/>
  <c r="C16" i="13"/>
  <c r="C32" i="13"/>
  <c r="C48" i="13"/>
  <c r="C64" i="13"/>
  <c r="C80" i="13"/>
  <c r="C96" i="13"/>
  <c r="C112" i="13"/>
  <c r="C128" i="13"/>
  <c r="C144" i="13"/>
  <c r="C160" i="13"/>
  <c r="C176" i="13"/>
  <c r="C192" i="13"/>
  <c r="C208" i="13"/>
  <c r="C224" i="13"/>
  <c r="C240" i="13"/>
  <c r="C256" i="13"/>
  <c r="C272" i="13"/>
  <c r="F203" i="13"/>
  <c r="I251" i="13"/>
  <c r="K329" i="13"/>
  <c r="P335" i="13"/>
  <c r="J341" i="13"/>
  <c r="F345" i="13"/>
  <c r="G348" i="13"/>
  <c r="H351" i="13"/>
  <c r="I354" i="13"/>
  <c r="J357" i="13"/>
  <c r="K360" i="13"/>
  <c r="M387" i="13"/>
  <c r="N390" i="13"/>
  <c r="O393" i="13"/>
  <c r="P396" i="13"/>
  <c r="AE396" i="13" s="1"/>
  <c r="Q399" i="13"/>
  <c r="D403" i="13"/>
  <c r="D406" i="13"/>
  <c r="K408" i="13"/>
  <c r="H411" i="13"/>
  <c r="O415" i="13"/>
  <c r="H2" i="13"/>
  <c r="Q2" i="13"/>
  <c r="C17" i="13"/>
  <c r="C33" i="13"/>
  <c r="C49" i="13"/>
  <c r="C65" i="13"/>
  <c r="C81" i="13"/>
  <c r="C97" i="13"/>
  <c r="C113" i="13"/>
  <c r="C129" i="13"/>
  <c r="C145" i="13"/>
  <c r="C161" i="13"/>
  <c r="C177" i="13"/>
  <c r="C193" i="13"/>
  <c r="O218" i="13"/>
  <c r="E255" i="13"/>
  <c r="D277" i="13"/>
  <c r="P291" i="13"/>
  <c r="AE291" i="13" s="1"/>
  <c r="H300" i="13"/>
  <c r="D308" i="13"/>
  <c r="J316" i="13"/>
  <c r="P323" i="13"/>
  <c r="AE323" i="13" s="1"/>
  <c r="N330" i="13"/>
  <c r="O336" i="13"/>
  <c r="I342" i="13"/>
  <c r="M348" i="13"/>
  <c r="N351" i="13"/>
  <c r="O354" i="13"/>
  <c r="P357" i="13"/>
  <c r="AE357" i="13" s="1"/>
  <c r="Q360" i="13"/>
  <c r="D364" i="13"/>
  <c r="E367" i="13"/>
  <c r="F370" i="13"/>
  <c r="G373" i="13"/>
  <c r="H376" i="13"/>
  <c r="I379" i="13"/>
  <c r="J382" i="13"/>
  <c r="K385" i="13"/>
  <c r="E406" i="13"/>
  <c r="P408" i="13"/>
  <c r="AE408" i="13" s="1"/>
  <c r="I411" i="13"/>
  <c r="P415" i="13"/>
  <c r="AE415" i="13" s="1"/>
  <c r="I2" i="13"/>
  <c r="D2" i="13"/>
  <c r="C18" i="13"/>
  <c r="C34" i="13"/>
  <c r="C50" i="13"/>
  <c r="C66" i="13"/>
  <c r="C82" i="13"/>
  <c r="C98" i="13"/>
  <c r="C114" i="13"/>
  <c r="C130" i="13"/>
  <c r="C146" i="13"/>
  <c r="C162" i="13"/>
  <c r="C178" i="13"/>
  <c r="F255" i="13"/>
  <c r="E277" i="13"/>
  <c r="Q291" i="13"/>
  <c r="I300" i="13"/>
  <c r="K316" i="13"/>
  <c r="Q323" i="13"/>
  <c r="O330" i="13"/>
  <c r="P336" i="13"/>
  <c r="AE336" i="13" s="1"/>
  <c r="J342" i="13"/>
  <c r="M345" i="13"/>
  <c r="N348" i="13"/>
  <c r="O351" i="13"/>
  <c r="P354" i="13"/>
  <c r="AE354" i="13" s="1"/>
  <c r="Q357" i="13"/>
  <c r="D361" i="13"/>
  <c r="E364" i="13"/>
  <c r="F367" i="13"/>
  <c r="G370" i="13"/>
  <c r="H373" i="13"/>
  <c r="I376" i="13"/>
  <c r="J379" i="13"/>
  <c r="K382" i="13"/>
  <c r="Q408" i="13"/>
  <c r="J411" i="13"/>
  <c r="Q415" i="13"/>
  <c r="J2" i="13"/>
  <c r="C3" i="13"/>
  <c r="C19" i="13"/>
  <c r="C35" i="13"/>
  <c r="C51" i="13"/>
  <c r="C67" i="13"/>
  <c r="C83" i="13"/>
  <c r="C99" i="13"/>
  <c r="C115" i="13"/>
  <c r="C131" i="13"/>
  <c r="C147" i="13"/>
  <c r="C163" i="13"/>
  <c r="C179" i="13"/>
  <c r="C195" i="13"/>
  <c r="C211" i="13"/>
  <c r="C227" i="13"/>
  <c r="C243" i="13"/>
  <c r="C259" i="13"/>
  <c r="F277" i="13"/>
  <c r="D292" i="13"/>
  <c r="J300" i="13"/>
  <c r="D324" i="13"/>
  <c r="K331" i="13"/>
  <c r="Q336" i="13"/>
  <c r="N345" i="13"/>
  <c r="O348" i="13"/>
  <c r="P351" i="13"/>
  <c r="AE351" i="13" s="1"/>
  <c r="Q354" i="13"/>
  <c r="D358" i="13"/>
  <c r="E361" i="13"/>
  <c r="F364" i="13"/>
  <c r="G367" i="13"/>
  <c r="H370" i="13"/>
  <c r="I373" i="13"/>
  <c r="J376" i="13"/>
  <c r="K379" i="13"/>
  <c r="D409" i="13"/>
  <c r="K411" i="13"/>
  <c r="K2" i="13"/>
  <c r="C4" i="13"/>
  <c r="C20" i="13"/>
  <c r="C36" i="13"/>
  <c r="C52" i="13"/>
  <c r="C68" i="13"/>
  <c r="C84" i="13"/>
  <c r="C100" i="13"/>
  <c r="E278" i="13"/>
  <c r="K300" i="13"/>
  <c r="O316" i="13"/>
  <c r="K337" i="13"/>
  <c r="O345" i="13"/>
  <c r="P348" i="13"/>
  <c r="Q351" i="13"/>
  <c r="D355" i="13"/>
  <c r="E358" i="13"/>
  <c r="F361" i="13"/>
  <c r="G364" i="13"/>
  <c r="H367" i="13"/>
  <c r="I370" i="13"/>
  <c r="J373" i="13"/>
  <c r="K376" i="13"/>
  <c r="M403" i="13"/>
  <c r="E409" i="13"/>
  <c r="I414" i="13"/>
  <c r="C5" i="13"/>
  <c r="C21" i="13"/>
  <c r="C37" i="13"/>
  <c r="C53" i="13"/>
  <c r="C69" i="13"/>
  <c r="C85" i="13"/>
  <c r="C101" i="13"/>
  <c r="C117" i="13"/>
  <c r="J233" i="13"/>
  <c r="F281" i="13"/>
  <c r="F294" i="13"/>
  <c r="K233" i="13"/>
  <c r="N261" i="13"/>
  <c r="G294" i="13"/>
  <c r="I310" i="13"/>
  <c r="D326" i="13"/>
  <c r="P332" i="13"/>
  <c r="AE332" i="13" s="1"/>
  <c r="K338" i="13"/>
  <c r="M361" i="13"/>
  <c r="N364" i="13"/>
  <c r="O367" i="13"/>
  <c r="P370" i="13"/>
  <c r="AE370" i="13" s="1"/>
  <c r="Q373" i="13"/>
  <c r="D377" i="13"/>
  <c r="E380" i="13"/>
  <c r="F383" i="13"/>
  <c r="G386" i="13"/>
  <c r="H389" i="13"/>
  <c r="I392" i="13"/>
  <c r="J395" i="13"/>
  <c r="W395" i="13" s="1"/>
  <c r="K398" i="13"/>
  <c r="N406" i="13"/>
  <c r="D412" i="13"/>
  <c r="K414" i="13"/>
  <c r="A400" i="13"/>
  <c r="Y400" i="13" s="1"/>
  <c r="A384" i="13"/>
  <c r="Y384" i="13" s="1"/>
  <c r="A368" i="13"/>
  <c r="Y368" i="13" s="1"/>
  <c r="A352" i="13"/>
  <c r="Y352" i="13" s="1"/>
  <c r="A336" i="13"/>
  <c r="Y336" i="13" s="1"/>
  <c r="A320" i="13"/>
  <c r="Y320" i="13" s="1"/>
  <c r="A304" i="13"/>
  <c r="Y304" i="13" s="1"/>
  <c r="A288" i="13"/>
  <c r="Y288" i="13" s="1"/>
  <c r="A272" i="13"/>
  <c r="Y272" i="13" s="1"/>
  <c r="A256" i="13"/>
  <c r="Y256" i="13" s="1"/>
  <c r="A240" i="13"/>
  <c r="Y240" i="13" s="1"/>
  <c r="A224" i="13"/>
  <c r="Y224" i="13" s="1"/>
  <c r="A208" i="13"/>
  <c r="Y208" i="13" s="1"/>
  <c r="A192" i="13"/>
  <c r="Y192" i="13" s="1"/>
  <c r="A176" i="13"/>
  <c r="Y176" i="13" s="1"/>
  <c r="A160" i="13"/>
  <c r="Y160" i="13" s="1"/>
  <c r="A144" i="13"/>
  <c r="Y144" i="13" s="1"/>
  <c r="A128" i="13"/>
  <c r="Y128" i="13" s="1"/>
  <c r="A112" i="13"/>
  <c r="Y112" i="13" s="1"/>
  <c r="A96" i="13"/>
  <c r="Y96" i="13" s="1"/>
  <c r="A80" i="13"/>
  <c r="Y80" i="13" s="1"/>
  <c r="A64" i="13"/>
  <c r="Y64" i="13" s="1"/>
  <c r="A48" i="13"/>
  <c r="Y48" i="13" s="1"/>
  <c r="A32" i="13"/>
  <c r="Y32" i="13" s="1"/>
  <c r="A16" i="13"/>
  <c r="Y16" i="13" s="1"/>
  <c r="C411" i="13"/>
  <c r="C395" i="13"/>
  <c r="C379" i="13"/>
  <c r="C363" i="13"/>
  <c r="C347" i="13"/>
  <c r="C331" i="13"/>
  <c r="C315" i="13"/>
  <c r="C299" i="13"/>
  <c r="C282" i="13"/>
  <c r="C261" i="13"/>
  <c r="C229" i="13"/>
  <c r="C197" i="13"/>
  <c r="C152" i="13"/>
  <c r="C105" i="13"/>
  <c r="C41" i="13"/>
  <c r="J414" i="13"/>
  <c r="G383" i="13"/>
  <c r="N367" i="13"/>
  <c r="E326" i="13"/>
  <c r="O261" i="13"/>
  <c r="A2" i="13"/>
  <c r="Y2" i="13" s="1"/>
  <c r="A415" i="13"/>
  <c r="Y415" i="13" s="1"/>
  <c r="A399" i="13"/>
  <c r="Y399" i="13" s="1"/>
  <c r="A383" i="13"/>
  <c r="Y383" i="13" s="1"/>
  <c r="A367" i="13"/>
  <c r="Y367" i="13" s="1"/>
  <c r="A351" i="13"/>
  <c r="Y351" i="13" s="1"/>
  <c r="A335" i="13"/>
  <c r="Y335" i="13" s="1"/>
  <c r="A319" i="13"/>
  <c r="Y319" i="13" s="1"/>
  <c r="A303" i="13"/>
  <c r="Y303" i="13" s="1"/>
  <c r="A287" i="13"/>
  <c r="Y287" i="13" s="1"/>
  <c r="A271" i="13"/>
  <c r="Y271" i="13" s="1"/>
  <c r="A255" i="13"/>
  <c r="Y255" i="13" s="1"/>
  <c r="A239" i="13"/>
  <c r="Y239" i="13" s="1"/>
  <c r="A223" i="13"/>
  <c r="Y223" i="13" s="1"/>
  <c r="A207" i="13"/>
  <c r="Y207" i="13" s="1"/>
  <c r="A191" i="13"/>
  <c r="Y191" i="13" s="1"/>
  <c r="A175" i="13"/>
  <c r="Y175" i="13" s="1"/>
  <c r="A159" i="13"/>
  <c r="Y159" i="13" s="1"/>
  <c r="A143" i="13"/>
  <c r="Y143" i="13" s="1"/>
  <c r="A127" i="13"/>
  <c r="Y127" i="13" s="1"/>
  <c r="A111" i="13"/>
  <c r="Y111" i="13" s="1"/>
  <c r="A95" i="13"/>
  <c r="Y95" i="13" s="1"/>
  <c r="A79" i="13"/>
  <c r="Y79" i="13" s="1"/>
  <c r="A63" i="13"/>
  <c r="Y63" i="13" s="1"/>
  <c r="A47" i="13"/>
  <c r="Y47" i="13" s="1"/>
  <c r="A31" i="13"/>
  <c r="Y31" i="13" s="1"/>
  <c r="A15" i="13"/>
  <c r="Y15" i="13" s="1"/>
  <c r="C410" i="13"/>
  <c r="C394" i="13"/>
  <c r="C378" i="13"/>
  <c r="C362" i="13"/>
  <c r="C346" i="13"/>
  <c r="C330" i="13"/>
  <c r="C314" i="13"/>
  <c r="C298" i="13"/>
  <c r="C281" i="13"/>
  <c r="C260" i="13"/>
  <c r="C228" i="13"/>
  <c r="C196" i="13"/>
  <c r="C151" i="13"/>
  <c r="C104" i="13"/>
  <c r="C40" i="13"/>
  <c r="F412" i="13"/>
  <c r="E383" i="13"/>
  <c r="P364" i="13"/>
  <c r="AE364" i="13" s="1"/>
  <c r="A414" i="13"/>
  <c r="Y414" i="13" s="1"/>
  <c r="A398" i="13"/>
  <c r="Y398" i="13" s="1"/>
  <c r="A382" i="13"/>
  <c r="Y382" i="13" s="1"/>
  <c r="A366" i="13"/>
  <c r="Y366" i="13" s="1"/>
  <c r="A350" i="13"/>
  <c r="Y350" i="13" s="1"/>
  <c r="A334" i="13"/>
  <c r="Y334" i="13" s="1"/>
  <c r="A318" i="13"/>
  <c r="Y318" i="13" s="1"/>
  <c r="A302" i="13"/>
  <c r="Y302" i="13" s="1"/>
  <c r="A286" i="13"/>
  <c r="Y286" i="13" s="1"/>
  <c r="A270" i="13"/>
  <c r="Y270" i="13" s="1"/>
  <c r="A254" i="13"/>
  <c r="Y254" i="13" s="1"/>
  <c r="A238" i="13"/>
  <c r="Y238" i="13" s="1"/>
  <c r="A222" i="13"/>
  <c r="Y222" i="13" s="1"/>
  <c r="A206" i="13"/>
  <c r="Y206" i="13" s="1"/>
  <c r="A190" i="13"/>
  <c r="Y190" i="13" s="1"/>
  <c r="A174" i="13"/>
  <c r="Y174" i="13" s="1"/>
  <c r="A158" i="13"/>
  <c r="Y158" i="13" s="1"/>
  <c r="A142" i="13"/>
  <c r="Y142" i="13" s="1"/>
  <c r="A126" i="13"/>
  <c r="Y126" i="13" s="1"/>
  <c r="A110" i="13"/>
  <c r="Y110" i="13" s="1"/>
  <c r="A94" i="13"/>
  <c r="Y94" i="13" s="1"/>
  <c r="A78" i="13"/>
  <c r="Y78" i="13" s="1"/>
  <c r="A62" i="13"/>
  <c r="Y62" i="13" s="1"/>
  <c r="A46" i="13"/>
  <c r="Y46" i="13" s="1"/>
  <c r="A30" i="13"/>
  <c r="Y30" i="13" s="1"/>
  <c r="A14" i="13"/>
  <c r="Y14" i="13" s="1"/>
  <c r="C409" i="13"/>
  <c r="C393" i="13"/>
  <c r="C377" i="13"/>
  <c r="C361" i="13"/>
  <c r="C345" i="13"/>
  <c r="C329" i="13"/>
  <c r="C313" i="13"/>
  <c r="C297" i="13"/>
  <c r="C280" i="13"/>
  <c r="C258" i="13"/>
  <c r="C226" i="13"/>
  <c r="C194" i="13"/>
  <c r="C150" i="13"/>
  <c r="C103" i="13"/>
  <c r="C39" i="13"/>
  <c r="E412" i="13"/>
  <c r="J398" i="13"/>
  <c r="G380" i="13"/>
  <c r="O364" i="13"/>
  <c r="L157" i="13"/>
  <c r="AD157" i="13" s="1" a="1"/>
  <c r="AD157" i="13" s="1"/>
  <c r="L322" i="13"/>
  <c r="AD322" i="13" s="1" a="1"/>
  <c r="AD322" i="13" s="1"/>
  <c r="L148" i="13"/>
  <c r="AD148" i="13" s="1" a="1"/>
  <c r="AD148" i="13" s="1"/>
  <c r="L235" i="13"/>
  <c r="AD235" i="13" s="1" a="1"/>
  <c r="AD235" i="13" s="1"/>
  <c r="L227" i="13"/>
  <c r="AD227" i="13" s="1" a="1"/>
  <c r="AD227" i="13" s="1"/>
  <c r="L394" i="13"/>
  <c r="AD394" i="13" s="1" a="1"/>
  <c r="AD394" i="13" s="1"/>
  <c r="L317" i="13"/>
  <c r="AD317" i="13" s="1" a="1"/>
  <c r="AD317" i="13" s="1"/>
  <c r="L389" i="13"/>
  <c r="AD389" i="13" s="1" a="1"/>
  <c r="AD389" i="13" s="1"/>
  <c r="AS2" i="13"/>
  <c r="AF414" i="13" l="1"/>
  <c r="AF415" i="13"/>
  <c r="AF413" i="13"/>
  <c r="AF408" i="13"/>
  <c r="AF410" i="13"/>
  <c r="AF411" i="13"/>
  <c r="AF409" i="13"/>
  <c r="AF406" i="13"/>
  <c r="AF412" i="13"/>
  <c r="AF53" i="13"/>
  <c r="AF348" i="13"/>
  <c r="AF200" i="13"/>
  <c r="AF360" i="13"/>
  <c r="AF68" i="13"/>
  <c r="AF241" i="13"/>
  <c r="AF65" i="13"/>
  <c r="AF376" i="13"/>
  <c r="AF63" i="13"/>
  <c r="AF144" i="13"/>
  <c r="AF205" i="13"/>
  <c r="AF3" i="13"/>
  <c r="AF39" i="13"/>
  <c r="AF251" i="13"/>
  <c r="AF2" i="15"/>
  <c r="AG2" i="15" s="1"/>
  <c r="AF2" i="13" s="1"/>
  <c r="AI6" i="15"/>
  <c r="AF301" i="13"/>
  <c r="AF60" i="13"/>
  <c r="AF66" i="13"/>
  <c r="AF99" i="13"/>
  <c r="AF34" i="13"/>
  <c r="AF312" i="13"/>
  <c r="AF333" i="13"/>
  <c r="AF120" i="13"/>
  <c r="AF268" i="13"/>
  <c r="AF230" i="13"/>
  <c r="AE29" i="13"/>
  <c r="AE40" i="13"/>
  <c r="AE335" i="13"/>
  <c r="AE124" i="13"/>
  <c r="AF116" i="13"/>
  <c r="AF162" i="13"/>
  <c r="AF387" i="13"/>
  <c r="AF199" i="13"/>
  <c r="AF176" i="13"/>
  <c r="AF326" i="13"/>
  <c r="AF184" i="13"/>
  <c r="AF239" i="13"/>
  <c r="AF313" i="13"/>
  <c r="AF40" i="13"/>
  <c r="AF370" i="13"/>
  <c r="AF133" i="13"/>
  <c r="AF67" i="13"/>
  <c r="AF349" i="13"/>
  <c r="AF308" i="13"/>
  <c r="AF166" i="13"/>
  <c r="AF20" i="13"/>
  <c r="AF117" i="13"/>
  <c r="AF227" i="13"/>
  <c r="AF243" i="13"/>
  <c r="AF90" i="13"/>
  <c r="AF189" i="13"/>
  <c r="AF266" i="13"/>
  <c r="AF145" i="13"/>
  <c r="AF91" i="13"/>
  <c r="AF164" i="13"/>
  <c r="AF48" i="13"/>
  <c r="AF279" i="13"/>
  <c r="AF128" i="13"/>
  <c r="AF131" i="13"/>
  <c r="AF382" i="13"/>
  <c r="AF18" i="13"/>
  <c r="AF207" i="13"/>
  <c r="AF286" i="13"/>
  <c r="AF277" i="13"/>
  <c r="AF263" i="13"/>
  <c r="AF134" i="13"/>
  <c r="AF38" i="13"/>
  <c r="AF396" i="13"/>
  <c r="AF159" i="13"/>
  <c r="AF240" i="13"/>
  <c r="AF14" i="13"/>
  <c r="AF150" i="13"/>
  <c r="AF85" i="13"/>
  <c r="AF270" i="13"/>
  <c r="AF47" i="13"/>
  <c r="AF32" i="13"/>
  <c r="AF210" i="13"/>
  <c r="AF12" i="13"/>
  <c r="AF124" i="13"/>
  <c r="AF259" i="13"/>
  <c r="AF321" i="13"/>
  <c r="AF44" i="13"/>
  <c r="AF388" i="13"/>
  <c r="AF361" i="13"/>
  <c r="AF107" i="13"/>
  <c r="AF395" i="13"/>
  <c r="AF379" i="13"/>
  <c r="AF357" i="13"/>
  <c r="AF97" i="13"/>
  <c r="AF23" i="13"/>
  <c r="AF369" i="13"/>
  <c r="AF7" i="13"/>
  <c r="AF221" i="13"/>
  <c r="AF77" i="13"/>
  <c r="AF384" i="13"/>
  <c r="AF280" i="13"/>
  <c r="AF228" i="13"/>
  <c r="AF30" i="13"/>
  <c r="AF332" i="13"/>
  <c r="AF293" i="13"/>
  <c r="AF163" i="13"/>
  <c r="AF311" i="13"/>
  <c r="AF298" i="13"/>
  <c r="AF15" i="13"/>
  <c r="AF28" i="13"/>
  <c r="AF170" i="13"/>
  <c r="AF365" i="13"/>
  <c r="AF21" i="13"/>
  <c r="AF304" i="13"/>
  <c r="AF11" i="13"/>
  <c r="AF86" i="13"/>
  <c r="AF400" i="13"/>
  <c r="AF248" i="13"/>
  <c r="AF273" i="13"/>
  <c r="AF50" i="13"/>
  <c r="AF216" i="13"/>
  <c r="AF191" i="13"/>
  <c r="AF337" i="13"/>
  <c r="AF386" i="13"/>
  <c r="AF225" i="13"/>
  <c r="AF31" i="13"/>
  <c r="AF278" i="13"/>
  <c r="AF125" i="13"/>
  <c r="AF138" i="13"/>
  <c r="AF71" i="13"/>
  <c r="AF33" i="13"/>
  <c r="AF314" i="13"/>
  <c r="AF101" i="13"/>
  <c r="AF232" i="13"/>
  <c r="AF25" i="13"/>
  <c r="AF58" i="13"/>
  <c r="AF296" i="13"/>
  <c r="AF295" i="13"/>
  <c r="AF190" i="13"/>
  <c r="AF247" i="13"/>
  <c r="AF198" i="13"/>
  <c r="AF75" i="13"/>
  <c r="AF219" i="13"/>
  <c r="AF172" i="13"/>
  <c r="AF204" i="13"/>
  <c r="AF319" i="13"/>
  <c r="AF250" i="13"/>
  <c r="AF372" i="13"/>
  <c r="AF129" i="13"/>
  <c r="AF306" i="13"/>
  <c r="AF169" i="13"/>
  <c r="AF171" i="13"/>
  <c r="AF45" i="13"/>
  <c r="AF303" i="13"/>
  <c r="AE162" i="13"/>
  <c r="AE131" i="13"/>
  <c r="AE263" i="13"/>
  <c r="AE394" i="13"/>
  <c r="AE130" i="13"/>
  <c r="AE69" i="13"/>
  <c r="AF358" i="13"/>
  <c r="AF217" i="13"/>
  <c r="AF54" i="13"/>
  <c r="AF284" i="13"/>
  <c r="AF147" i="13"/>
  <c r="AF185" i="13"/>
  <c r="AF218" i="13"/>
  <c r="AF325" i="13"/>
  <c r="AF155" i="13"/>
  <c r="AF291" i="13"/>
  <c r="AF136" i="13"/>
  <c r="AF6" i="13"/>
  <c r="AF158" i="13"/>
  <c r="AF102" i="13"/>
  <c r="AF76" i="13"/>
  <c r="AF27" i="13"/>
  <c r="AF142" i="13"/>
  <c r="AF146" i="13"/>
  <c r="AF340" i="13"/>
  <c r="AF220" i="13"/>
  <c r="AF100" i="13"/>
  <c r="AF352" i="13"/>
  <c r="AF197" i="13"/>
  <c r="AF152" i="13"/>
  <c r="AF307" i="13"/>
  <c r="AF213" i="13"/>
  <c r="AF283" i="13"/>
  <c r="AF289" i="13"/>
  <c r="AF242" i="13"/>
  <c r="AF288" i="13"/>
  <c r="AF383" i="13"/>
  <c r="AF188" i="13"/>
  <c r="AF336" i="13"/>
  <c r="AF161" i="13"/>
  <c r="AF52" i="13"/>
  <c r="AF148" i="13"/>
  <c r="AF331" i="13"/>
  <c r="AF4" i="13"/>
  <c r="AF139" i="13"/>
  <c r="AF26" i="13"/>
  <c r="AF317" i="13"/>
  <c r="AF367" i="13"/>
  <c r="AF324" i="13"/>
  <c r="AF260" i="13"/>
  <c r="AF302" i="13"/>
  <c r="AF285" i="13"/>
  <c r="AF346" i="13"/>
  <c r="AF92" i="13"/>
  <c r="AF258" i="13"/>
  <c r="AF108" i="13"/>
  <c r="AF362" i="13"/>
  <c r="AF305" i="13"/>
  <c r="AF126" i="13"/>
  <c r="AF46" i="13"/>
  <c r="AF175" i="13"/>
  <c r="AF300" i="13"/>
  <c r="AF5" i="13"/>
  <c r="AF375" i="13"/>
  <c r="AF141" i="13"/>
  <c r="AF236" i="13"/>
  <c r="AF156" i="13"/>
  <c r="AF374" i="13"/>
  <c r="AF84" i="13"/>
  <c r="AF41" i="13"/>
  <c r="AF354" i="13"/>
  <c r="AF351" i="13"/>
  <c r="AF167" i="13"/>
  <c r="AF281" i="13"/>
  <c r="AF381" i="13"/>
  <c r="AF9" i="13"/>
  <c r="AF113" i="13"/>
  <c r="AF344" i="13"/>
  <c r="AF82" i="13"/>
  <c r="AF229" i="13"/>
  <c r="AF359" i="13"/>
  <c r="AF202" i="13"/>
  <c r="AF73" i="13"/>
  <c r="AF264" i="13"/>
  <c r="AF29" i="13"/>
  <c r="AF168" i="13"/>
  <c r="AF193" i="13"/>
  <c r="AF157" i="13"/>
  <c r="AF350" i="13"/>
  <c r="AF115" i="13"/>
  <c r="AF363" i="13"/>
  <c r="AF371" i="13"/>
  <c r="AF309" i="13"/>
  <c r="AF208" i="13"/>
  <c r="AF127" i="13"/>
  <c r="AF89" i="13"/>
  <c r="AF255" i="13"/>
  <c r="AF69" i="13"/>
  <c r="AF231" i="13"/>
  <c r="AF272" i="13"/>
  <c r="AF322" i="13"/>
  <c r="AF49" i="13"/>
  <c r="AF64" i="13"/>
  <c r="AF78" i="13"/>
  <c r="AF297" i="13"/>
  <c r="AF261" i="13"/>
  <c r="AF246" i="13"/>
  <c r="AF94" i="13"/>
  <c r="AF178" i="13"/>
  <c r="AF196" i="13"/>
  <c r="AF140" i="13"/>
  <c r="AF212" i="13"/>
  <c r="AF235" i="13"/>
  <c r="AF177" i="13"/>
  <c r="AF57" i="13"/>
  <c r="AF61" i="13"/>
  <c r="AF59" i="13"/>
  <c r="AF224" i="13"/>
  <c r="AF267" i="13"/>
  <c r="AF339" i="13"/>
  <c r="AF96" i="13"/>
  <c r="AF271" i="13"/>
  <c r="AF253" i="13"/>
  <c r="AF335" i="13"/>
  <c r="AF318" i="13"/>
  <c r="AF355" i="13"/>
  <c r="AF87" i="13"/>
  <c r="AF234" i="13"/>
  <c r="AF215" i="13"/>
  <c r="AF104" i="13"/>
  <c r="AF123" i="13"/>
  <c r="AF121" i="13"/>
  <c r="AF81" i="13"/>
  <c r="AF132" i="13"/>
  <c r="AF112" i="13"/>
  <c r="AF62" i="13"/>
  <c r="AF70" i="13"/>
  <c r="AF404" i="13"/>
  <c r="AF338" i="13"/>
  <c r="AF151" i="13"/>
  <c r="AF275" i="13"/>
  <c r="AF292" i="13"/>
  <c r="AF403" i="13"/>
  <c r="AF223" i="13"/>
  <c r="AF143" i="13"/>
  <c r="AF356" i="13"/>
  <c r="AF201" i="13"/>
  <c r="AF109" i="13"/>
  <c r="AF368" i="13"/>
  <c r="AF8" i="13"/>
  <c r="AF51" i="13"/>
  <c r="AF186" i="13"/>
  <c r="AF72" i="13"/>
  <c r="AF233" i="13"/>
  <c r="AF103" i="13"/>
  <c r="AF405" i="13"/>
  <c r="AF329" i="13"/>
  <c r="AF181" i="13"/>
  <c r="AF252" i="13"/>
  <c r="AF98" i="13"/>
  <c r="AF13" i="13"/>
  <c r="AF153" i="13"/>
  <c r="AF244" i="13"/>
  <c r="AF315" i="13"/>
  <c r="AF16" i="13"/>
  <c r="AF249" i="13"/>
  <c r="AF343" i="13"/>
  <c r="AF238" i="13"/>
  <c r="AF353" i="13"/>
  <c r="AF274" i="13"/>
  <c r="AF10" i="13"/>
  <c r="AF347" i="13"/>
  <c r="AF397" i="13"/>
  <c r="AF55" i="13"/>
  <c r="AF137" i="13"/>
  <c r="AF183" i="13"/>
  <c r="AF299" i="13"/>
  <c r="AF154" i="13"/>
  <c r="AF160" i="13"/>
  <c r="AF282" i="13"/>
  <c r="AF320" i="13"/>
  <c r="AF245" i="13"/>
  <c r="AF310" i="13"/>
  <c r="AF135" i="13"/>
  <c r="AF237" i="13"/>
  <c r="AF105" i="13"/>
  <c r="AF17" i="13"/>
  <c r="AF254" i="13"/>
  <c r="AF330" i="13"/>
  <c r="AF401" i="13"/>
  <c r="AF173" i="13"/>
  <c r="AF118" i="13"/>
  <c r="AF106" i="13"/>
  <c r="AF373" i="13"/>
  <c r="AF265" i="13"/>
  <c r="AF24" i="13"/>
  <c r="AF182" i="13"/>
  <c r="AF214" i="13"/>
  <c r="AF80" i="13"/>
  <c r="AF74" i="13"/>
  <c r="AF111" i="13"/>
  <c r="AF328" i="13"/>
  <c r="AF192" i="13"/>
  <c r="AF389" i="13"/>
  <c r="AF19" i="13"/>
  <c r="AF222" i="13"/>
  <c r="AF79" i="13"/>
  <c r="AF203" i="13"/>
  <c r="AF114" i="13"/>
  <c r="AF22" i="13"/>
  <c r="AF290" i="13"/>
  <c r="AF262" i="13"/>
  <c r="AF35" i="13"/>
  <c r="AF364" i="13"/>
  <c r="AF95" i="13"/>
  <c r="AF323" i="13"/>
  <c r="AF88" i="13"/>
  <c r="AF366" i="13"/>
  <c r="AF42" i="13"/>
  <c r="AF37" i="13"/>
  <c r="AF119" i="13"/>
  <c r="AF377" i="13"/>
  <c r="AF43" i="13"/>
  <c r="AF341" i="13"/>
  <c r="AF342" i="13"/>
  <c r="AF174" i="13"/>
  <c r="AF327" i="13"/>
  <c r="AF165" i="13"/>
  <c r="AF122" i="13"/>
  <c r="AF56" i="13"/>
  <c r="AF209" i="13"/>
  <c r="AF110" i="13"/>
  <c r="AF130" i="13"/>
  <c r="AF345" i="13"/>
  <c r="AF294" i="13"/>
  <c r="AF83" i="13"/>
  <c r="AF211" i="13"/>
  <c r="AF334" i="13"/>
  <c r="AF257" i="13"/>
  <c r="AF398" i="13"/>
  <c r="AF256" i="13"/>
  <c r="AF179" i="13"/>
  <c r="AF378" i="13"/>
  <c r="AF226" i="13"/>
  <c r="AF316" i="13"/>
  <c r="AF206" i="13"/>
  <c r="AF287" i="13"/>
  <c r="AF195" i="13"/>
  <c r="AF194" i="13"/>
  <c r="AF380" i="13"/>
  <c r="AE392" i="13"/>
  <c r="AE27" i="13"/>
  <c r="AE348" i="13"/>
  <c r="AE35" i="13"/>
  <c r="AE71" i="13"/>
  <c r="AE56" i="13"/>
  <c r="AE333" i="13"/>
  <c r="AE83" i="13"/>
  <c r="AE234" i="13"/>
  <c r="AE43" i="13"/>
  <c r="AE238" i="13"/>
  <c r="AE75" i="13"/>
  <c r="AE6" i="13"/>
  <c r="AE319" i="13"/>
  <c r="AE265" i="13"/>
  <c r="AE78" i="13"/>
  <c r="AE372" i="13"/>
  <c r="AE126" i="13"/>
  <c r="AE169" i="13"/>
  <c r="AE64" i="13"/>
  <c r="AE252" i="13"/>
  <c r="AE117" i="13"/>
  <c r="AE89" i="13"/>
  <c r="AE28" i="13"/>
  <c r="AE7" i="13"/>
  <c r="AE44" i="13"/>
  <c r="AE361" i="13"/>
  <c r="AE264" i="13"/>
  <c r="AE237" i="13"/>
  <c r="AE134" i="13"/>
  <c r="AE163" i="13"/>
  <c r="AE172" i="13"/>
  <c r="AE233" i="13"/>
  <c r="AE379" i="13"/>
  <c r="AE92" i="13"/>
  <c r="AE36" i="13"/>
  <c r="AE37" i="13"/>
  <c r="AE173" i="13"/>
  <c r="AE232" i="13"/>
  <c r="AE72" i="13"/>
  <c r="AE5" i="13"/>
  <c r="AE391" i="13"/>
  <c r="AE358" i="13"/>
  <c r="AE127" i="13"/>
  <c r="AE160" i="13"/>
  <c r="AE236" i="13"/>
  <c r="AE239" i="13"/>
  <c r="AE60" i="13"/>
  <c r="AE46" i="13"/>
  <c r="AE374" i="13"/>
  <c r="AE174" i="13"/>
  <c r="AE158" i="13"/>
  <c r="AE170" i="13"/>
  <c r="AE167" i="13"/>
  <c r="AE176" i="13"/>
  <c r="AE129" i="13"/>
  <c r="AE58" i="13"/>
  <c r="AE77" i="13"/>
  <c r="AE73" i="13"/>
  <c r="AE49" i="13"/>
  <c r="AE74" i="13"/>
  <c r="AE12" i="13"/>
  <c r="AE397" i="13"/>
  <c r="AE165" i="13"/>
  <c r="AE154" i="13"/>
  <c r="AE45" i="13"/>
  <c r="AE51" i="13"/>
  <c r="AE20" i="13"/>
  <c r="AE363" i="13"/>
  <c r="AE390" i="13"/>
  <c r="AE125" i="13"/>
  <c r="AE93" i="13"/>
  <c r="AE19" i="13"/>
  <c r="AE98" i="13"/>
  <c r="AE377" i="13"/>
  <c r="AE152" i="13"/>
  <c r="AE118" i="13"/>
  <c r="AE179" i="13"/>
  <c r="AE159" i="13"/>
  <c r="AE18" i="13"/>
  <c r="AE4" i="13"/>
  <c r="AE164" i="13"/>
  <c r="AE309" i="13"/>
  <c r="AE161" i="13"/>
  <c r="AE70" i="13"/>
  <c r="AE67" i="13"/>
  <c r="AE59" i="13"/>
  <c r="AE311" i="13"/>
  <c r="AE389" i="13"/>
  <c r="AE362" i="13"/>
  <c r="AE393" i="13"/>
  <c r="AE271" i="13"/>
  <c r="AE8" i="13"/>
  <c r="AE177" i="13"/>
  <c r="AE48" i="13"/>
  <c r="AE123" i="13"/>
  <c r="AE86" i="13"/>
  <c r="AE204" i="13"/>
  <c r="AE175" i="13"/>
  <c r="AE47" i="13"/>
  <c r="AE326" i="13"/>
  <c r="AE203" i="13"/>
  <c r="AE110" i="13"/>
  <c r="AE97" i="13"/>
  <c r="AE68" i="13"/>
  <c r="AE9" i="13"/>
  <c r="AE334" i="13"/>
  <c r="AE327" i="13"/>
  <c r="AE273" i="13"/>
  <c r="AE82" i="13"/>
  <c r="AE53" i="13"/>
  <c r="AE405" i="13"/>
  <c r="AE378" i="13"/>
  <c r="AE316" i="13"/>
  <c r="AE171" i="13"/>
  <c r="AE61" i="13"/>
  <c r="AE26" i="13"/>
  <c r="AE50" i="13"/>
  <c r="AE360" i="13"/>
  <c r="AE244" i="13"/>
  <c r="AE230" i="13"/>
  <c r="AE3" i="13"/>
  <c r="AE406" i="13"/>
  <c r="AE318" i="13"/>
  <c r="AE388" i="13"/>
  <c r="AE54" i="13"/>
  <c r="AE119" i="13"/>
  <c r="AE17" i="13"/>
  <c r="AE189" i="13"/>
  <c r="AE151" i="13"/>
  <c r="AE128" i="13"/>
  <c r="AE90" i="13"/>
  <c r="W183" i="13"/>
  <c r="W297" i="13"/>
  <c r="W126" i="13"/>
  <c r="W281" i="13"/>
  <c r="Z273" i="13"/>
  <c r="Z359" i="13"/>
  <c r="W171" i="13"/>
  <c r="W51" i="13"/>
  <c r="W298" i="13"/>
  <c r="W63" i="13"/>
  <c r="Z187" i="13"/>
  <c r="W318" i="13"/>
  <c r="W96" i="13"/>
  <c r="Z353" i="13"/>
  <c r="Z27" i="13"/>
  <c r="Z153" i="13"/>
  <c r="Z86" i="13"/>
  <c r="W150" i="13"/>
  <c r="Z408" i="13"/>
  <c r="Z357" i="13"/>
  <c r="Z282" i="13"/>
  <c r="Z22" i="13"/>
  <c r="W182" i="13"/>
  <c r="Z152" i="13"/>
  <c r="W2" i="13"/>
  <c r="W342" i="13"/>
  <c r="W41" i="13"/>
  <c r="AA366" i="13"/>
  <c r="W296" i="13"/>
  <c r="W172" i="13"/>
  <c r="Z41" i="13"/>
  <c r="W351" i="13"/>
  <c r="Z281" i="13"/>
  <c r="Z198" i="13"/>
  <c r="W349" i="13"/>
  <c r="Z200" i="13"/>
  <c r="L339" i="13"/>
  <c r="AD339" i="13" s="1" a="1"/>
  <c r="AD339" i="13" s="1"/>
  <c r="L55" i="13"/>
  <c r="AD55" i="13" s="1" a="1"/>
  <c r="AD55" i="13" s="1"/>
  <c r="L19" i="13"/>
  <c r="AD19" i="13" s="1" a="1"/>
  <c r="AD19" i="13" s="1"/>
  <c r="L98" i="13"/>
  <c r="AD98" i="13" s="1" a="1"/>
  <c r="AD98" i="13" s="1"/>
  <c r="L177" i="13"/>
  <c r="AD177" i="13" s="1" a="1"/>
  <c r="AD177" i="13" s="1"/>
  <c r="L9" i="13"/>
  <c r="AD9" i="13" s="1" a="1"/>
  <c r="AD9" i="13" s="1"/>
  <c r="L41" i="13"/>
  <c r="AD41" i="13" s="1" a="1"/>
  <c r="AD41" i="13" s="1"/>
  <c r="L147" i="13"/>
  <c r="AD147" i="13" s="1" a="1"/>
  <c r="AD147" i="13" s="1"/>
  <c r="L343" i="13"/>
  <c r="AD343" i="13" s="1" a="1"/>
  <c r="AD343" i="13" s="1"/>
  <c r="L192" i="13"/>
  <c r="AD192" i="13" s="1" a="1"/>
  <c r="AD192" i="13" s="1"/>
  <c r="L80" i="13"/>
  <c r="AD80" i="13" s="1" a="1"/>
  <c r="AD80" i="13" s="1"/>
  <c r="L22" i="13"/>
  <c r="AD22" i="13" s="1" a="1"/>
  <c r="AD22" i="13" s="1"/>
  <c r="L37" i="13"/>
  <c r="AD37" i="13" s="1" a="1"/>
  <c r="AD37" i="13" s="1"/>
  <c r="L144" i="13"/>
  <c r="AD144" i="13" s="1" a="1"/>
  <c r="AD144" i="13" s="1"/>
  <c r="L118" i="13"/>
  <c r="AD118" i="13" s="1" a="1"/>
  <c r="AD118" i="13" s="1"/>
  <c r="L66" i="13"/>
  <c r="AD66" i="13" s="1" a="1"/>
  <c r="AD66" i="13" s="1"/>
  <c r="L167" i="13"/>
  <c r="AD167" i="13" s="1" a="1"/>
  <c r="AD167" i="13" s="1"/>
  <c r="L124" i="13"/>
  <c r="AD124" i="13" s="1" a="1"/>
  <c r="AD124" i="13" s="1"/>
  <c r="L342" i="13"/>
  <c r="AD342" i="13" s="1" a="1"/>
  <c r="AD342" i="13" s="1"/>
  <c r="L170" i="13"/>
  <c r="AD170" i="13" s="1" a="1"/>
  <c r="AD170" i="13" s="1"/>
  <c r="L76" i="13"/>
  <c r="AD76" i="13" s="1" a="1"/>
  <c r="AD76" i="13" s="1"/>
  <c r="L384" i="13"/>
  <c r="AD384" i="13" s="1" a="1"/>
  <c r="AD384" i="13" s="1"/>
  <c r="L171" i="13"/>
  <c r="AD171" i="13" s="1" a="1"/>
  <c r="AD171" i="13" s="1"/>
  <c r="L154" i="13"/>
  <c r="AD154" i="13" s="1" a="1"/>
  <c r="AD154" i="13" s="1"/>
  <c r="L385" i="13"/>
  <c r="AD385" i="13" s="1" a="1"/>
  <c r="AD385" i="13" s="1"/>
  <c r="L174" i="13"/>
  <c r="AD174" i="13" s="1" a="1"/>
  <c r="AD174" i="13" s="1"/>
  <c r="L404" i="13"/>
  <c r="AD404" i="13" s="1" a="1"/>
  <c r="AD404" i="13" s="1"/>
  <c r="L398" i="13"/>
  <c r="AD398" i="13" s="1" a="1"/>
  <c r="AD398" i="13" s="1"/>
  <c r="L302" i="13"/>
  <c r="AD302" i="13" s="1" a="1"/>
  <c r="AD302" i="13" s="1"/>
  <c r="L377" i="13"/>
  <c r="AD377" i="13" s="1" a="1"/>
  <c r="AD377" i="13" s="1"/>
  <c r="L382" i="13"/>
  <c r="AD382" i="13" s="1" a="1"/>
  <c r="AD382" i="13" s="1"/>
  <c r="W386" i="13"/>
  <c r="Z342" i="13"/>
  <c r="L35" i="13"/>
  <c r="AD35" i="13" s="1" a="1"/>
  <c r="AD35" i="13" s="1"/>
  <c r="L310" i="13"/>
  <c r="AD310" i="13" s="1" a="1"/>
  <c r="AD310" i="13" s="1"/>
  <c r="L77" i="13"/>
  <c r="AD77" i="13" s="1" a="1"/>
  <c r="AD77" i="13" s="1"/>
  <c r="L275" i="13"/>
  <c r="AD275" i="13" s="1" a="1"/>
  <c r="AD275" i="13" s="1"/>
  <c r="L248" i="13"/>
  <c r="AD248" i="13" s="1" a="1"/>
  <c r="AD248" i="13" s="1"/>
  <c r="L20" i="13"/>
  <c r="AD20" i="13" s="1" a="1"/>
  <c r="AD20" i="13" s="1"/>
  <c r="L71" i="13"/>
  <c r="AD71" i="13" s="1" a="1"/>
  <c r="AD71" i="13" s="1"/>
  <c r="L6" i="13"/>
  <c r="AD6" i="13" s="1" a="1"/>
  <c r="AD6" i="13" s="1"/>
  <c r="L106" i="13"/>
  <c r="AD106" i="13" s="1" a="1"/>
  <c r="AD106" i="13" s="1"/>
  <c r="L57" i="13"/>
  <c r="AD57" i="13" s="1" a="1"/>
  <c r="AD57" i="13" s="1"/>
  <c r="L110" i="13"/>
  <c r="AD110" i="13" s="1" a="1"/>
  <c r="AD110" i="13" s="1"/>
  <c r="L27" i="13"/>
  <c r="AD27" i="13" s="1" a="1"/>
  <c r="AD27" i="13" s="1"/>
  <c r="L231" i="13"/>
  <c r="AD231" i="13" s="1" a="1"/>
  <c r="AD231" i="13" s="1"/>
  <c r="L111" i="13"/>
  <c r="AD111" i="13" s="1" a="1"/>
  <c r="AD111" i="13" s="1"/>
  <c r="L165" i="13"/>
  <c r="AD165" i="13" s="1" a="1"/>
  <c r="AD165" i="13" s="1"/>
  <c r="L294" i="13"/>
  <c r="AD294" i="13" s="1" a="1"/>
  <c r="AD294" i="13" s="1"/>
  <c r="L329" i="13"/>
  <c r="AD329" i="13" s="1" a="1"/>
  <c r="AD329" i="13" s="1"/>
  <c r="L116" i="13"/>
  <c r="AD116" i="13" s="1" a="1"/>
  <c r="AD116" i="13" s="1"/>
  <c r="L183" i="13"/>
  <c r="AD183" i="13" s="1" a="1"/>
  <c r="AD183" i="13" s="1"/>
  <c r="W109" i="13"/>
  <c r="L92" i="13"/>
  <c r="AD92" i="13" s="1" a="1"/>
  <c r="AD92" i="13" s="1"/>
  <c r="W210" i="13"/>
  <c r="L168" i="13"/>
  <c r="AD168" i="13" s="1" a="1"/>
  <c r="AD168" i="13" s="1"/>
  <c r="L200" i="13"/>
  <c r="AD200" i="13" s="1" a="1"/>
  <c r="AD200" i="13" s="1"/>
  <c r="L151" i="13"/>
  <c r="AD151" i="13" s="1" a="1"/>
  <c r="AD151" i="13" s="1"/>
  <c r="L33" i="13"/>
  <c r="AD33" i="13" s="1" a="1"/>
  <c r="AD33" i="13" s="1"/>
  <c r="L375" i="13"/>
  <c r="AD375" i="13" s="1" a="1"/>
  <c r="AD375" i="13" s="1"/>
  <c r="L258" i="13"/>
  <c r="AD258" i="13" s="1" a="1"/>
  <c r="AD258" i="13" s="1"/>
  <c r="L23" i="13"/>
  <c r="AD23" i="13" s="1" a="1"/>
  <c r="AD23" i="13" s="1"/>
  <c r="L26" i="13"/>
  <c r="AD26" i="13" s="1" a="1"/>
  <c r="AD26" i="13" s="1"/>
  <c r="L34" i="13"/>
  <c r="AD34" i="13" s="1" a="1"/>
  <c r="AD34" i="13" s="1"/>
  <c r="L325" i="13"/>
  <c r="AD325" i="13" s="1" a="1"/>
  <c r="AD325" i="13" s="1"/>
  <c r="L75" i="13"/>
  <c r="AD75" i="13" s="1" a="1"/>
  <c r="AD75" i="13" s="1"/>
  <c r="L99" i="13"/>
  <c r="AD99" i="13" s="1" a="1"/>
  <c r="AD99" i="13" s="1"/>
  <c r="L402" i="13"/>
  <c r="AD402" i="13" s="1" a="1"/>
  <c r="AD402" i="13" s="1"/>
  <c r="L139" i="13"/>
  <c r="AD139" i="13" s="1" a="1"/>
  <c r="AD139" i="13" s="1"/>
  <c r="L279" i="13"/>
  <c r="AD279" i="13" s="1" a="1"/>
  <c r="AD279" i="13" s="1"/>
  <c r="L345" i="13"/>
  <c r="AD345" i="13" s="1" a="1"/>
  <c r="AD345" i="13" s="1"/>
  <c r="L400" i="13"/>
  <c r="AD400" i="13" s="1" a="1"/>
  <c r="AD400" i="13" s="1"/>
  <c r="L323" i="13"/>
  <c r="AD323" i="13" s="1" a="1"/>
  <c r="AD323" i="13" s="1"/>
  <c r="L395" i="13"/>
  <c r="AD395" i="13" s="1" a="1"/>
  <c r="AD395" i="13" s="1"/>
  <c r="L179" i="13"/>
  <c r="AD179" i="13" s="1" a="1"/>
  <c r="AD179" i="13" s="1"/>
  <c r="L127" i="13"/>
  <c r="AD127" i="13" s="1" a="1"/>
  <c r="AD127" i="13" s="1"/>
  <c r="L24" i="13"/>
  <c r="AD24" i="13" s="1" a="1"/>
  <c r="AD24" i="13" s="1"/>
  <c r="W206" i="13"/>
  <c r="L412" i="13"/>
  <c r="AD412" i="13" s="1" a="1"/>
  <c r="AD412" i="13" s="1"/>
  <c r="L365" i="13"/>
  <c r="AD365" i="13" s="1" a="1"/>
  <c r="AD365" i="13" s="1"/>
  <c r="L346" i="13"/>
  <c r="AD346" i="13" s="1" a="1"/>
  <c r="AD346" i="13" s="1"/>
  <c r="L15" i="13"/>
  <c r="AD15" i="13" s="1" a="1"/>
  <c r="AD15" i="13" s="1"/>
  <c r="L321" i="13"/>
  <c r="AD321" i="13" s="1" a="1"/>
  <c r="AD321" i="13" s="1"/>
  <c r="L390" i="13"/>
  <c r="AD390" i="13" s="1" a="1"/>
  <c r="AD390" i="13" s="1"/>
  <c r="L228" i="13"/>
  <c r="AD228" i="13" s="1" a="1"/>
  <c r="AD228" i="13" s="1"/>
  <c r="L229" i="13"/>
  <c r="AD229" i="13" s="1" a="1"/>
  <c r="AD229" i="13" s="1"/>
  <c r="L246" i="13"/>
  <c r="AD246" i="13" s="1" a="1"/>
  <c r="AD246" i="13" s="1"/>
  <c r="L119" i="13"/>
  <c r="AD119" i="13" s="1" a="1"/>
  <c r="AD119" i="13" s="1"/>
  <c r="L64" i="13"/>
  <c r="AD64" i="13" s="1" a="1"/>
  <c r="AD64" i="13" s="1"/>
  <c r="L16" i="13"/>
  <c r="AD16" i="13" s="1" a="1"/>
  <c r="AD16" i="13" s="1"/>
  <c r="L326" i="13"/>
  <c r="AD326" i="13" s="1" a="1"/>
  <c r="AD326" i="13" s="1"/>
  <c r="L72" i="13"/>
  <c r="AD72" i="13" s="1" a="1"/>
  <c r="AD72" i="13" s="1"/>
  <c r="L17" i="13"/>
  <c r="AD17" i="13" s="1" a="1"/>
  <c r="AD17" i="13" s="1"/>
  <c r="L306" i="13"/>
  <c r="AD306" i="13" s="1" a="1"/>
  <c r="AD306" i="13" s="1"/>
  <c r="L87" i="13"/>
  <c r="AD87" i="13" s="1" a="1"/>
  <c r="AD87" i="13" s="1"/>
  <c r="L351" i="13"/>
  <c r="AD351" i="13" s="1" a="1"/>
  <c r="AD351" i="13" s="1"/>
  <c r="L155" i="13"/>
  <c r="AD155" i="13" s="1" a="1"/>
  <c r="AD155" i="13" s="1"/>
  <c r="L197" i="13"/>
  <c r="AD197" i="13" s="1" a="1"/>
  <c r="AD197" i="13" s="1"/>
  <c r="L220" i="13"/>
  <c r="AD220" i="13" s="1" a="1"/>
  <c r="AD220" i="13" s="1"/>
  <c r="L314" i="13"/>
  <c r="AD314" i="13" s="1" a="1"/>
  <c r="AD314" i="13" s="1"/>
  <c r="L146" i="13"/>
  <c r="AD146" i="13" s="1" a="1"/>
  <c r="AD146" i="13" s="1"/>
  <c r="L102" i="13"/>
  <c r="AD102" i="13" s="1" a="1"/>
  <c r="AD102" i="13" s="1"/>
  <c r="L60" i="13"/>
  <c r="AD60" i="13" s="1" a="1"/>
  <c r="AD60" i="13" s="1"/>
  <c r="L12" i="13"/>
  <c r="AD12" i="13" s="1" a="1"/>
  <c r="AD12" i="13" s="1"/>
  <c r="L286" i="13"/>
  <c r="AD286" i="13" s="1" a="1"/>
  <c r="AD286" i="13" s="1"/>
  <c r="L69" i="13"/>
  <c r="AD69" i="13" s="1" a="1"/>
  <c r="AD69" i="13" s="1"/>
  <c r="L166" i="13"/>
  <c r="AD166" i="13" s="1" a="1"/>
  <c r="AD166" i="13" s="1"/>
  <c r="L50" i="13"/>
  <c r="AD50" i="13" s="1" a="1"/>
  <c r="AD50" i="13" s="1"/>
  <c r="L5" i="13"/>
  <c r="AD5" i="13" s="1" a="1"/>
  <c r="AD5" i="13" s="1"/>
  <c r="L315" i="13"/>
  <c r="AD315" i="13" s="1" a="1"/>
  <c r="AD315" i="13" s="1"/>
  <c r="L39" i="13"/>
  <c r="AD39" i="13" s="1" a="1"/>
  <c r="AD39" i="13" s="1"/>
  <c r="L301" i="13"/>
  <c r="AD301" i="13" s="1" a="1"/>
  <c r="AD301" i="13" s="1"/>
  <c r="L149" i="13"/>
  <c r="AD149" i="13" s="1" a="1"/>
  <c r="AD149" i="13" s="1"/>
  <c r="L136" i="13"/>
  <c r="AD136" i="13" s="1" a="1"/>
  <c r="AD136" i="13" s="1"/>
  <c r="L292" i="13"/>
  <c r="AD292" i="13" s="1" a="1"/>
  <c r="AD292" i="13" s="1"/>
  <c r="L90" i="13"/>
  <c r="AD90" i="13" s="1" a="1"/>
  <c r="AD90" i="13" s="1"/>
  <c r="L138" i="13"/>
  <c r="AD138" i="13" s="1" a="1"/>
  <c r="AD138" i="13" s="1"/>
  <c r="L47" i="13"/>
  <c r="AD47" i="13" s="1" a="1"/>
  <c r="AD47" i="13" s="1"/>
  <c r="L107" i="13"/>
  <c r="AD107" i="13" s="1" a="1"/>
  <c r="AD107" i="13" s="1"/>
  <c r="L44" i="13"/>
  <c r="AD44" i="13" s="1" a="1"/>
  <c r="AD44" i="13" s="1"/>
  <c r="L194" i="13"/>
  <c r="AD194" i="13" s="1" a="1"/>
  <c r="AD194" i="13" s="1"/>
  <c r="L267" i="13"/>
  <c r="AD267" i="13" s="1" a="1"/>
  <c r="AD267" i="13" s="1"/>
  <c r="L131" i="13"/>
  <c r="AD131" i="13" s="1" a="1"/>
  <c r="AD131" i="13" s="1"/>
  <c r="L32" i="13"/>
  <c r="AD32" i="13" s="1" a="1"/>
  <c r="AD32" i="13" s="1"/>
  <c r="L243" i="13"/>
  <c r="AD243" i="13" s="1" a="1"/>
  <c r="AD243" i="13" s="1"/>
  <c r="L130" i="13"/>
  <c r="AD130" i="13" s="1" a="1"/>
  <c r="AD130" i="13" s="1"/>
  <c r="L264" i="13"/>
  <c r="AD264" i="13" s="1" a="1"/>
  <c r="AD264" i="13" s="1"/>
  <c r="L56" i="13"/>
  <c r="AD56" i="13" s="1" a="1"/>
  <c r="AD56" i="13" s="1"/>
  <c r="L184" i="13"/>
  <c r="AD184" i="13" s="1" a="1"/>
  <c r="AD184" i="13" s="1"/>
  <c r="L341" i="13"/>
  <c r="AD341" i="13" s="1" a="1"/>
  <c r="AD341" i="13" s="1"/>
  <c r="L82" i="13"/>
  <c r="AD82" i="13" s="1" a="1"/>
  <c r="AD82" i="13" s="1"/>
  <c r="L210" i="13"/>
  <c r="AD210" i="13" s="1" a="1"/>
  <c r="AD210" i="13" s="1"/>
  <c r="L40" i="13"/>
  <c r="AD40" i="13" s="1" a="1"/>
  <c r="AD40" i="13" s="1"/>
  <c r="L357" i="13"/>
  <c r="AD357" i="13" s="1" a="1"/>
  <c r="AD357" i="13" s="1"/>
  <c r="Z186" i="13"/>
  <c r="L313" i="13"/>
  <c r="AD313" i="13" s="1" a="1"/>
  <c r="AD313" i="13" s="1"/>
  <c r="L328" i="13"/>
  <c r="AD328" i="13" s="1" a="1"/>
  <c r="AD328" i="13" s="1"/>
  <c r="L114" i="13"/>
  <c r="AD114" i="13" s="1" a="1"/>
  <c r="AD114" i="13" s="1"/>
  <c r="L112" i="13"/>
  <c r="AD112" i="13" s="1" a="1"/>
  <c r="AD112" i="13" s="1"/>
  <c r="L216" i="13"/>
  <c r="AD216" i="13" s="1" a="1"/>
  <c r="AD216" i="13" s="1"/>
  <c r="L172" i="13"/>
  <c r="AD172" i="13" s="1" a="1"/>
  <c r="AD172" i="13" s="1"/>
  <c r="L296" i="13"/>
  <c r="AD296" i="13" s="1" a="1"/>
  <c r="AD296" i="13" s="1"/>
  <c r="L415" i="13"/>
  <c r="AD415" i="13" s="1" a="1"/>
  <c r="AD415" i="13" s="1"/>
  <c r="L338" i="13"/>
  <c r="AD338" i="13" s="1" a="1"/>
  <c r="AD338" i="13" s="1"/>
  <c r="L254" i="13"/>
  <c r="AD254" i="13" s="1" a="1"/>
  <c r="AD254" i="13" s="1"/>
  <c r="L115" i="13"/>
  <c r="AD115" i="13" s="1" a="1"/>
  <c r="AD115" i="13" s="1"/>
  <c r="L379" i="13"/>
  <c r="AD379" i="13" s="1" a="1"/>
  <c r="AD379" i="13" s="1"/>
  <c r="L299" i="13"/>
  <c r="AD299" i="13" s="1" a="1"/>
  <c r="AD299" i="13" s="1"/>
  <c r="L133" i="13"/>
  <c r="AD133" i="13" s="1" a="1"/>
  <c r="AD133" i="13" s="1"/>
  <c r="L350" i="13"/>
  <c r="AD350" i="13" s="1" a="1"/>
  <c r="AD350" i="13" s="1"/>
  <c r="L224" i="13"/>
  <c r="AD224" i="13" s="1" a="1"/>
  <c r="AD224" i="13" s="1"/>
  <c r="Z185" i="13"/>
  <c r="W360" i="13"/>
  <c r="W142" i="13"/>
  <c r="W315" i="13"/>
  <c r="W124" i="13"/>
  <c r="W332" i="13"/>
  <c r="W27" i="13"/>
  <c r="W284" i="13"/>
  <c r="W205" i="13"/>
  <c r="W130" i="13"/>
  <c r="W80" i="13"/>
  <c r="AA328" i="13"/>
  <c r="L337" i="13"/>
  <c r="AD337" i="13" s="1" a="1"/>
  <c r="AD337" i="13" s="1"/>
  <c r="L371" i="13"/>
  <c r="AD371" i="13" s="1" a="1"/>
  <c r="AD371" i="13" s="1"/>
  <c r="W320" i="13"/>
  <c r="W133" i="13"/>
  <c r="W119" i="13"/>
  <c r="W29" i="13"/>
  <c r="AA220" i="13"/>
  <c r="AA106" i="13"/>
  <c r="AA327" i="13"/>
  <c r="Z42" i="13"/>
  <c r="Z179" i="13"/>
  <c r="L43" i="13"/>
  <c r="AD43" i="13" s="1" a="1"/>
  <c r="AD43" i="13" s="1"/>
  <c r="Z182" i="13"/>
  <c r="L266" i="13"/>
  <c r="AD266" i="13" s="1" a="1"/>
  <c r="AD266" i="13" s="1"/>
  <c r="L161" i="13"/>
  <c r="AD161" i="13" s="1" a="1"/>
  <c r="AD161" i="13" s="1"/>
  <c r="W411" i="13"/>
  <c r="W362" i="13"/>
  <c r="W194" i="13"/>
  <c r="W214" i="13"/>
  <c r="W161" i="13"/>
  <c r="W54" i="13"/>
  <c r="W21" i="13"/>
  <c r="AA138" i="13"/>
  <c r="AA182" i="13"/>
  <c r="L409" i="13"/>
  <c r="AD409" i="13" s="1" a="1"/>
  <c r="AD409" i="13" s="1"/>
  <c r="L103" i="13"/>
  <c r="AD103" i="13" s="1" a="1"/>
  <c r="AD103" i="13" s="1"/>
  <c r="L396" i="13"/>
  <c r="AD396" i="13" s="1" a="1"/>
  <c r="AD396" i="13" s="1"/>
  <c r="L142" i="13"/>
  <c r="AD142" i="13" s="1" a="1"/>
  <c r="AD142" i="13" s="1"/>
  <c r="L295" i="13"/>
  <c r="AD295" i="13" s="1" a="1"/>
  <c r="AD295" i="13" s="1"/>
  <c r="L152" i="13"/>
  <c r="AD152" i="13" s="1" a="1"/>
  <c r="AD152" i="13" s="1"/>
  <c r="L201" i="13"/>
  <c r="AD201" i="13" s="1" a="1"/>
  <c r="AD201" i="13" s="1"/>
  <c r="L53" i="13"/>
  <c r="AD53" i="13" s="1" a="1"/>
  <c r="AD53" i="13" s="1"/>
  <c r="W355" i="13"/>
  <c r="W261" i="13"/>
  <c r="W189" i="13"/>
  <c r="W144" i="13"/>
  <c r="AA236" i="13"/>
  <c r="AA184" i="13"/>
  <c r="L356" i="13"/>
  <c r="AD356" i="13" s="1" a="1"/>
  <c r="AD356" i="13" s="1"/>
  <c r="L289" i="13"/>
  <c r="AD289" i="13" s="1" a="1"/>
  <c r="AD289" i="13" s="1"/>
  <c r="L308" i="13"/>
  <c r="AD308" i="13" s="1" a="1"/>
  <c r="AD308" i="13" s="1"/>
  <c r="L105" i="13"/>
  <c r="AD105" i="13" s="1" a="1"/>
  <c r="AD105" i="13" s="1"/>
  <c r="L169" i="13"/>
  <c r="AD169" i="13" s="1" a="1"/>
  <c r="AD169" i="13" s="1"/>
  <c r="L290" i="13"/>
  <c r="AD290" i="13" s="1" a="1"/>
  <c r="AD290" i="13" s="1"/>
  <c r="L125" i="13"/>
  <c r="AD125" i="13" s="1" a="1"/>
  <c r="AD125" i="13" s="1"/>
  <c r="L261" i="13"/>
  <c r="AD261" i="13" s="1" a="1"/>
  <c r="AD261" i="13" s="1"/>
  <c r="L199" i="13"/>
  <c r="AD199" i="13" s="1" a="1"/>
  <c r="AD199" i="13" s="1"/>
  <c r="W331" i="13"/>
  <c r="W245" i="13"/>
  <c r="Z180" i="13"/>
  <c r="L28" i="13"/>
  <c r="AD28" i="13" s="1" a="1"/>
  <c r="AD28" i="13" s="1"/>
  <c r="L335" i="13"/>
  <c r="AD335" i="13" s="1" a="1"/>
  <c r="AD335" i="13" s="1"/>
  <c r="L8" i="13"/>
  <c r="AD8" i="13" s="1" a="1"/>
  <c r="AD8" i="13" s="1"/>
  <c r="L363" i="13"/>
  <c r="AD363" i="13" s="1" a="1"/>
  <c r="AD363" i="13" s="1"/>
  <c r="L320" i="13"/>
  <c r="AD320" i="13" s="1" a="1"/>
  <c r="AD320" i="13" s="1"/>
  <c r="L253" i="13"/>
  <c r="AD253" i="13" s="1" a="1"/>
  <c r="AD253" i="13" s="1"/>
  <c r="L79" i="13"/>
  <c r="AD79" i="13" s="1" a="1"/>
  <c r="AD79" i="13" s="1"/>
  <c r="L221" i="13"/>
  <c r="AD221" i="13" s="1" a="1"/>
  <c r="AD221" i="13" s="1"/>
  <c r="L91" i="13"/>
  <c r="AD91" i="13" s="1" a="1"/>
  <c r="AD91" i="13" s="1"/>
  <c r="W316" i="13"/>
  <c r="W327" i="13"/>
  <c r="W219" i="13"/>
  <c r="W211" i="13"/>
  <c r="W22" i="13"/>
  <c r="AA332" i="13"/>
  <c r="AA157" i="13"/>
  <c r="AA329" i="13"/>
  <c r="L185" i="13"/>
  <c r="AD185" i="13" s="1" a="1"/>
  <c r="AD185" i="13" s="1"/>
  <c r="L244" i="13"/>
  <c r="AD244" i="13" s="1" a="1"/>
  <c r="AD244" i="13" s="1"/>
  <c r="L63" i="13"/>
  <c r="AD63" i="13" s="1" a="1"/>
  <c r="AD63" i="13" s="1"/>
  <c r="L21" i="13"/>
  <c r="AD21" i="13" s="1" a="1"/>
  <c r="AD21" i="13" s="1"/>
  <c r="L374" i="13"/>
  <c r="AD374" i="13" s="1" a="1"/>
  <c r="AD374" i="13" s="1"/>
  <c r="L84" i="13"/>
  <c r="AD84" i="13" s="1" a="1"/>
  <c r="AD84" i="13" s="1"/>
  <c r="L104" i="13"/>
  <c r="AD104" i="13" s="1" a="1"/>
  <c r="AD104" i="13" s="1"/>
  <c r="L25" i="13"/>
  <c r="AD25" i="13" s="1" a="1"/>
  <c r="AD25" i="13" s="1"/>
  <c r="L11" i="13"/>
  <c r="AD11" i="13" s="1" a="1"/>
  <c r="AD11" i="13" s="1"/>
  <c r="L126" i="13"/>
  <c r="AD126" i="13" s="1" a="1"/>
  <c r="AD126" i="13" s="1"/>
  <c r="L312" i="13"/>
  <c r="AD312" i="13" s="1" a="1"/>
  <c r="AD312" i="13" s="1"/>
  <c r="L62" i="13"/>
  <c r="AD62" i="13" s="1" a="1"/>
  <c r="AD62" i="13" s="1"/>
  <c r="L368" i="13"/>
  <c r="AD368" i="13" s="1" a="1"/>
  <c r="AD368" i="13" s="1"/>
  <c r="L73" i="13"/>
  <c r="AD73" i="13" s="1" a="1"/>
  <c r="AD73" i="13" s="1"/>
  <c r="L406" i="13"/>
  <c r="AD406" i="13" s="1" a="1"/>
  <c r="AD406" i="13" s="1"/>
  <c r="L250" i="13"/>
  <c r="AD250" i="13" s="1" a="1"/>
  <c r="AD250" i="13" s="1"/>
  <c r="L283" i="13"/>
  <c r="AD283" i="13" s="1" a="1"/>
  <c r="AD283" i="13" s="1"/>
  <c r="L61" i="13"/>
  <c r="AD61" i="13" s="1" a="1"/>
  <c r="AD61" i="13" s="1"/>
  <c r="L195" i="13"/>
  <c r="AD195" i="13" s="1" a="1"/>
  <c r="AD195" i="13" s="1"/>
  <c r="L213" i="13"/>
  <c r="AD213" i="13" s="1" a="1"/>
  <c r="AD213" i="13" s="1"/>
  <c r="L178" i="13"/>
  <c r="AD178" i="13" s="1" a="1"/>
  <c r="AD178" i="13" s="1"/>
  <c r="L141" i="13"/>
  <c r="AD141" i="13" s="1" a="1"/>
  <c r="AD141" i="13" s="1"/>
  <c r="L153" i="13"/>
  <c r="AD153" i="13" s="1" a="1"/>
  <c r="AD153" i="13" s="1"/>
  <c r="L281" i="13"/>
  <c r="AD281" i="13" s="1" a="1"/>
  <c r="AD281" i="13" s="1"/>
  <c r="L187" i="13"/>
  <c r="AD187" i="13" s="1" a="1"/>
  <c r="AD187" i="13" s="1"/>
  <c r="L7" i="13"/>
  <c r="AD7" i="13" s="1" a="1"/>
  <c r="AD7" i="13" s="1"/>
  <c r="W319" i="13"/>
  <c r="W299" i="13"/>
  <c r="Z181" i="13"/>
  <c r="AY2" i="13"/>
  <c r="C14" i="6" s="1"/>
  <c r="W145" i="13"/>
  <c r="L277" i="13"/>
  <c r="AD277" i="13" s="1" a="1"/>
  <c r="AD277" i="13" s="1"/>
  <c r="L303" i="13"/>
  <c r="AD303" i="13" s="1" a="1"/>
  <c r="AD303" i="13" s="1"/>
  <c r="L135" i="13"/>
  <c r="AD135" i="13" s="1" a="1"/>
  <c r="AD135" i="13" s="1"/>
  <c r="L140" i="13"/>
  <c r="AD140" i="13" s="1" a="1"/>
  <c r="AD140" i="13" s="1"/>
  <c r="L96" i="13"/>
  <c r="AD96" i="13" s="1" a="1"/>
  <c r="AD96" i="13" s="1"/>
  <c r="L336" i="13"/>
  <c r="AD336" i="13" s="1" a="1"/>
  <c r="AD336" i="13" s="1"/>
  <c r="W76" i="13"/>
  <c r="AA229" i="13"/>
  <c r="AA170" i="13"/>
  <c r="AA357" i="13"/>
  <c r="AA356" i="13"/>
  <c r="L348" i="13"/>
  <c r="AD348" i="13" s="1" a="1"/>
  <c r="AD348" i="13" s="1"/>
  <c r="L233" i="13"/>
  <c r="AD233" i="13" s="1" a="1"/>
  <c r="AD233" i="13" s="1"/>
  <c r="L30" i="13"/>
  <c r="AD30" i="13" s="1" a="1"/>
  <c r="AD30" i="13" s="1"/>
  <c r="L29" i="13"/>
  <c r="AD29" i="13" s="1" a="1"/>
  <c r="AD29" i="13" s="1"/>
  <c r="L278" i="13"/>
  <c r="AD278" i="13" s="1" a="1"/>
  <c r="AD278" i="13" s="1"/>
  <c r="L367" i="13"/>
  <c r="AD367" i="13" s="1" a="1"/>
  <c r="AD367" i="13" s="1"/>
  <c r="L349" i="13"/>
  <c r="AD349" i="13" s="1" a="1"/>
  <c r="AD349" i="13" s="1"/>
  <c r="L222" i="13"/>
  <c r="AD222" i="13" s="1" a="1"/>
  <c r="AD222" i="13" s="1"/>
  <c r="L288" i="13"/>
  <c r="AD288" i="13" s="1" a="1"/>
  <c r="AD288" i="13" s="1"/>
  <c r="L272" i="13"/>
  <c r="AD272" i="13" s="1" a="1"/>
  <c r="AD272" i="13" s="1"/>
  <c r="L263" i="13"/>
  <c r="AD263" i="13" s="1" a="1"/>
  <c r="AD263" i="13" s="1"/>
  <c r="L234" i="13"/>
  <c r="AD234" i="13" s="1" a="1"/>
  <c r="AD234" i="13" s="1"/>
  <c r="L65" i="13"/>
  <c r="AD65" i="13" s="1" a="1"/>
  <c r="AD65" i="13" s="1"/>
  <c r="L207" i="13"/>
  <c r="AD207" i="13" s="1" a="1"/>
  <c r="AD207" i="13" s="1"/>
  <c r="L121" i="13"/>
  <c r="AD121" i="13" s="1" a="1"/>
  <c r="AD121" i="13" s="1"/>
  <c r="L245" i="13"/>
  <c r="AD245" i="13" s="1" a="1"/>
  <c r="AD245" i="13" s="1"/>
  <c r="L284" i="13"/>
  <c r="AD284" i="13" s="1" a="1"/>
  <c r="AD284" i="13" s="1"/>
  <c r="W272" i="13"/>
  <c r="W396" i="13"/>
  <c r="W88" i="13"/>
  <c r="W105" i="13"/>
  <c r="AA325" i="13"/>
  <c r="AA324" i="13"/>
  <c r="AA323" i="13"/>
  <c r="AA322" i="13"/>
  <c r="L209" i="13"/>
  <c r="AD209" i="13" s="1" a="1"/>
  <c r="AD209" i="13" s="1"/>
  <c r="L257" i="13"/>
  <c r="AD257" i="13" s="1" a="1"/>
  <c r="AD257" i="13" s="1"/>
  <c r="L293" i="13"/>
  <c r="AD293" i="13" s="1" a="1"/>
  <c r="AD293" i="13" s="1"/>
  <c r="L188" i="13"/>
  <c r="AD188" i="13" s="1" a="1"/>
  <c r="AD188" i="13" s="1"/>
  <c r="L361" i="13"/>
  <c r="AD361" i="13" s="1" a="1"/>
  <c r="AD361" i="13" s="1"/>
  <c r="L316" i="13"/>
  <c r="AD316" i="13" s="1" a="1"/>
  <c r="AD316" i="13" s="1"/>
  <c r="L270" i="13"/>
  <c r="AD270" i="13" s="1" a="1"/>
  <c r="AD270" i="13" s="1"/>
  <c r="L4" i="13"/>
  <c r="AD4" i="13" s="1" a="1"/>
  <c r="AD4" i="13" s="1"/>
  <c r="L414" i="13"/>
  <c r="AD414" i="13" s="1" a="1"/>
  <c r="AD414" i="13" s="1"/>
  <c r="L359" i="13"/>
  <c r="AD359" i="13" s="1" a="1"/>
  <c r="AD359" i="13" s="1"/>
  <c r="L300" i="13"/>
  <c r="AD300" i="13" s="1" a="1"/>
  <c r="AD300" i="13" s="1"/>
  <c r="L241" i="13"/>
  <c r="AD241" i="13" s="1" a="1"/>
  <c r="AD241" i="13" s="1"/>
  <c r="L232" i="13"/>
  <c r="AD232" i="13" s="1" a="1"/>
  <c r="AD232" i="13" s="1"/>
  <c r="L59" i="13"/>
  <c r="AD59" i="13" s="1" a="1"/>
  <c r="AD59" i="13" s="1"/>
  <c r="L413" i="13"/>
  <c r="AD413" i="13" s="1" a="1"/>
  <c r="AD413" i="13" s="1"/>
  <c r="L173" i="13"/>
  <c r="AD173" i="13" s="1" a="1"/>
  <c r="AD173" i="13" s="1"/>
  <c r="L242" i="13"/>
  <c r="AD242" i="13" s="1" a="1"/>
  <c r="AD242" i="13" s="1"/>
  <c r="L117" i="13"/>
  <c r="AD117" i="13" s="1" a="1"/>
  <c r="AD117" i="13" s="1"/>
  <c r="L85" i="13"/>
  <c r="AD85" i="13" s="1" a="1"/>
  <c r="AD85" i="13" s="1"/>
  <c r="L392" i="13"/>
  <c r="AD392" i="13" s="1" a="1"/>
  <c r="AD392" i="13" s="1"/>
  <c r="L327" i="13"/>
  <c r="AD327" i="13" s="1" a="1"/>
  <c r="AD327" i="13" s="1"/>
  <c r="L280" i="13"/>
  <c r="AD280" i="13" s="1" a="1"/>
  <c r="AD280" i="13" s="1"/>
  <c r="L352" i="13"/>
  <c r="AD352" i="13" s="1" a="1"/>
  <c r="AD352" i="13" s="1"/>
  <c r="L297" i="13"/>
  <c r="AD297" i="13" s="1" a="1"/>
  <c r="AD297" i="13" s="1"/>
  <c r="L291" i="13"/>
  <c r="AD291" i="13" s="1" a="1"/>
  <c r="AD291" i="13" s="1"/>
  <c r="L150" i="13"/>
  <c r="AD150" i="13" s="1" a="1"/>
  <c r="AD150" i="13" s="1"/>
  <c r="L353" i="13"/>
  <c r="AD353" i="13" s="1" a="1"/>
  <c r="AD353" i="13" s="1"/>
  <c r="L191" i="13"/>
  <c r="AD191" i="13" s="1" a="1"/>
  <c r="AD191" i="13" s="1"/>
  <c r="L196" i="13"/>
  <c r="AD196" i="13" s="1" a="1"/>
  <c r="AD196" i="13" s="1"/>
  <c r="L236" i="13"/>
  <c r="AD236" i="13" s="1" a="1"/>
  <c r="AD236" i="13" s="1"/>
  <c r="L74" i="13"/>
  <c r="AD74" i="13" s="1" a="1"/>
  <c r="AD74" i="13" s="1"/>
  <c r="W127" i="13"/>
  <c r="W163" i="13"/>
  <c r="W159" i="13"/>
  <c r="W18" i="13"/>
  <c r="W73" i="13"/>
  <c r="W45" i="13"/>
  <c r="Z197" i="13"/>
  <c r="W377" i="13"/>
  <c r="W263" i="13"/>
  <c r="W266" i="13"/>
  <c r="W146" i="13"/>
  <c r="W224" i="13"/>
  <c r="W398" i="13"/>
  <c r="W363" i="13"/>
  <c r="W388" i="13"/>
  <c r="W288" i="13"/>
  <c r="W230" i="13"/>
  <c r="W384" i="13"/>
  <c r="W277" i="13"/>
  <c r="W285" i="13"/>
  <c r="W286" i="13"/>
  <c r="W249" i="13"/>
  <c r="W218" i="13"/>
  <c r="W225" i="13"/>
  <c r="W166" i="13"/>
  <c r="W174" i="13"/>
  <c r="W207" i="13"/>
  <c r="W107" i="13"/>
  <c r="W113" i="13"/>
  <c r="W75" i="13"/>
  <c r="AA215" i="13"/>
  <c r="AA326" i="13"/>
  <c r="W341" i="13"/>
  <c r="W401" i="13"/>
  <c r="W267" i="13"/>
  <c r="W293" i="13"/>
  <c r="W115" i="13"/>
  <c r="W275" i="13"/>
  <c r="W178" i="13"/>
  <c r="W196" i="13"/>
  <c r="W139" i="13"/>
  <c r="W181" i="13"/>
  <c r="W49" i="13"/>
  <c r="Z199" i="13"/>
  <c r="Z196" i="13"/>
  <c r="W246" i="13"/>
  <c r="W357" i="13"/>
  <c r="W375" i="13"/>
  <c r="W305" i="13"/>
  <c r="W290" i="13"/>
  <c r="W221" i="13"/>
  <c r="W118" i="13"/>
  <c r="AA321" i="13"/>
  <c r="L215" i="13"/>
  <c r="AD215" i="13" s="1" a="1"/>
  <c r="AD215" i="13" s="1"/>
  <c r="L163" i="13"/>
  <c r="AD163" i="13" s="1" a="1"/>
  <c r="AD163" i="13" s="1"/>
  <c r="L319" i="13"/>
  <c r="AD319" i="13" s="1" a="1"/>
  <c r="AD319" i="13" s="1"/>
  <c r="L247" i="13"/>
  <c r="AD247" i="13" s="1" a="1"/>
  <c r="AD247" i="13" s="1"/>
  <c r="L10" i="13"/>
  <c r="AD10" i="13" s="1" a="1"/>
  <c r="AD10" i="13" s="1"/>
  <c r="L208" i="13"/>
  <c r="AD208" i="13" s="1" a="1"/>
  <c r="AD208" i="13" s="1"/>
  <c r="L304" i="13"/>
  <c r="AD304" i="13" s="1" a="1"/>
  <c r="AD304" i="13" s="1"/>
  <c r="L206" i="13"/>
  <c r="AD206" i="13" s="1" a="1"/>
  <c r="AD206" i="13" s="1"/>
  <c r="L376" i="13"/>
  <c r="AD376" i="13" s="1" a="1"/>
  <c r="AD376" i="13" s="1"/>
  <c r="L3" i="13"/>
  <c r="AD3" i="13" s="1" a="1"/>
  <c r="AD3" i="13" s="1"/>
  <c r="L274" i="13"/>
  <c r="AD274" i="13" s="1" a="1"/>
  <c r="AD274" i="13" s="1"/>
  <c r="L333" i="13"/>
  <c r="AD333" i="13" s="1" a="1"/>
  <c r="AD333" i="13" s="1"/>
  <c r="L240" i="13"/>
  <c r="AD240" i="13" s="1" a="1"/>
  <c r="AD240" i="13" s="1"/>
  <c r="L255" i="13"/>
  <c r="AD255" i="13" s="1" a="1"/>
  <c r="AD255" i="13" s="1"/>
  <c r="L176" i="13"/>
  <c r="AD176" i="13" s="1" a="1"/>
  <c r="AD176" i="13" s="1"/>
  <c r="L219" i="13"/>
  <c r="AD219" i="13" s="1" a="1"/>
  <c r="AD219" i="13" s="1"/>
  <c r="L181" i="13"/>
  <c r="AD181" i="13" s="1" a="1"/>
  <c r="AD181" i="13" s="1"/>
  <c r="L182" i="13"/>
  <c r="AD182" i="13" s="1" a="1"/>
  <c r="AD182" i="13" s="1"/>
  <c r="L145" i="13"/>
  <c r="AD145" i="13" s="1" a="1"/>
  <c r="AD145" i="13" s="1"/>
  <c r="L89" i="13"/>
  <c r="AD89" i="13" s="1" a="1"/>
  <c r="AD89" i="13" s="1"/>
  <c r="L256" i="13"/>
  <c r="AD256" i="13" s="1" a="1"/>
  <c r="AD256" i="13" s="1"/>
  <c r="L101" i="13"/>
  <c r="AD101" i="13" s="1" a="1"/>
  <c r="AD101" i="13" s="1"/>
  <c r="L391" i="13"/>
  <c r="AD391" i="13" s="1" a="1"/>
  <c r="AD391" i="13" s="1"/>
  <c r="L307" i="13"/>
  <c r="AD307" i="13" s="1" a="1"/>
  <c r="AD307" i="13" s="1"/>
  <c r="L282" i="13"/>
  <c r="AD282" i="13" s="1" a="1"/>
  <c r="AD282" i="13" s="1"/>
  <c r="L360" i="13"/>
  <c r="AD360" i="13" s="1" a="1"/>
  <c r="AD360" i="13" s="1"/>
  <c r="L311" i="13"/>
  <c r="AD311" i="13" s="1" a="1"/>
  <c r="AD311" i="13" s="1"/>
  <c r="L186" i="13"/>
  <c r="AD186" i="13" s="1" a="1"/>
  <c r="AD186" i="13" s="1"/>
  <c r="L94" i="13"/>
  <c r="AD94" i="13" s="1" a="1"/>
  <c r="AD94" i="13" s="1"/>
  <c r="L122" i="13"/>
  <c r="AD122" i="13" s="1" a="1"/>
  <c r="AD122" i="13" s="1"/>
  <c r="L198" i="13"/>
  <c r="AD198" i="13" s="1" a="1"/>
  <c r="AD198" i="13" s="1"/>
  <c r="L372" i="13"/>
  <c r="AD372" i="13" s="1" a="1"/>
  <c r="AD372" i="13" s="1"/>
  <c r="L120" i="13"/>
  <c r="AD120" i="13" s="1" a="1"/>
  <c r="AD120" i="13" s="1"/>
  <c r="L383" i="13"/>
  <c r="AD383" i="13" s="1" a="1"/>
  <c r="AD383" i="13" s="1"/>
  <c r="L334" i="13"/>
  <c r="AD334" i="13" s="1" a="1"/>
  <c r="AD334" i="13" s="1"/>
  <c r="L51" i="13"/>
  <c r="AD51" i="13" s="1" a="1"/>
  <c r="AD51" i="13" s="1"/>
  <c r="L405" i="13"/>
  <c r="AD405" i="13" s="1" a="1"/>
  <c r="AD405" i="13" s="1"/>
  <c r="L230" i="13"/>
  <c r="AD230" i="13" s="1" a="1"/>
  <c r="AD230" i="13" s="1"/>
  <c r="L162" i="13"/>
  <c r="AD162" i="13" s="1" a="1"/>
  <c r="AD162" i="13" s="1"/>
  <c r="L137" i="13"/>
  <c r="AD137" i="13" s="1" a="1"/>
  <c r="AD137" i="13" s="1"/>
  <c r="L113" i="13"/>
  <c r="AD113" i="13" s="1" a="1"/>
  <c r="AD113" i="13" s="1"/>
  <c r="L164" i="13"/>
  <c r="AD164" i="13" s="1" a="1"/>
  <c r="AD164" i="13" s="1"/>
  <c r="L276" i="13"/>
  <c r="AD276" i="13" s="1" a="1"/>
  <c r="AD276" i="13" s="1"/>
  <c r="L366" i="13"/>
  <c r="AD366" i="13" s="1" a="1"/>
  <c r="AD366" i="13" s="1"/>
  <c r="L309" i="13"/>
  <c r="AD309" i="13" s="1" a="1"/>
  <c r="AD309" i="13" s="1"/>
  <c r="L218" i="13"/>
  <c r="AD218" i="13" s="1" a="1"/>
  <c r="AD218" i="13" s="1"/>
  <c r="L52" i="13"/>
  <c r="AD52" i="13" s="1" a="1"/>
  <c r="AD52" i="13" s="1"/>
  <c r="L251" i="13"/>
  <c r="AD251" i="13" s="1" a="1"/>
  <c r="AD251" i="13" s="1"/>
  <c r="L68" i="13"/>
  <c r="AD68" i="13" s="1" a="1"/>
  <c r="AD68" i="13" s="1"/>
  <c r="L159" i="13"/>
  <c r="AD159" i="13" s="1" a="1"/>
  <c r="AD159" i="13" s="1"/>
  <c r="L48" i="13"/>
  <c r="AD48" i="13" s="1" a="1"/>
  <c r="AD48" i="13" s="1"/>
  <c r="L202" i="13"/>
  <c r="AD202" i="13" s="1" a="1"/>
  <c r="AD202" i="13" s="1"/>
  <c r="L237" i="13"/>
  <c r="AD237" i="13" s="1" a="1"/>
  <c r="AD237" i="13" s="1"/>
  <c r="L83" i="13"/>
  <c r="AD83" i="13" s="1" a="1"/>
  <c r="AD83" i="13" s="1"/>
  <c r="L42" i="13"/>
  <c r="AD42" i="13" s="1" a="1"/>
  <c r="AD42" i="13" s="1"/>
  <c r="L387" i="13"/>
  <c r="AD387" i="13" s="1" a="1"/>
  <c r="AD387" i="13" s="1"/>
  <c r="L347" i="13"/>
  <c r="AD347" i="13" s="1" a="1"/>
  <c r="AD347" i="13" s="1"/>
  <c r="L401" i="13"/>
  <c r="AD401" i="13" s="1" a="1"/>
  <c r="AD401" i="13" s="1"/>
  <c r="L373" i="13"/>
  <c r="AD373" i="13" s="1" a="1"/>
  <c r="AD373" i="13" s="1"/>
  <c r="L214" i="13"/>
  <c r="AD214" i="13" s="1" a="1"/>
  <c r="AD214" i="13" s="1"/>
  <c r="L158" i="13"/>
  <c r="AD158" i="13" s="1" a="1"/>
  <c r="AD158" i="13" s="1"/>
  <c r="L58" i="13"/>
  <c r="AD58" i="13" s="1" a="1"/>
  <c r="AD58" i="13" s="1"/>
  <c r="L378" i="13"/>
  <c r="AD378" i="13" s="1" a="1"/>
  <c r="AD378" i="13" s="1"/>
  <c r="L109" i="13"/>
  <c r="AD109" i="13" s="1" a="1"/>
  <c r="AD109" i="13" s="1"/>
  <c r="L160" i="13"/>
  <c r="AD160" i="13" s="1" a="1"/>
  <c r="AD160" i="13" s="1"/>
  <c r="L340" i="13"/>
  <c r="AD340" i="13" s="1" a="1"/>
  <c r="AD340" i="13" s="1"/>
  <c r="L364" i="13"/>
  <c r="AD364" i="13" s="1" a="1"/>
  <c r="AD364" i="13" s="1"/>
  <c r="L31" i="13"/>
  <c r="AD31" i="13" s="1" a="1"/>
  <c r="AD31" i="13" s="1"/>
  <c r="L78" i="13"/>
  <c r="AD78" i="13" s="1" a="1"/>
  <c r="AD78" i="13" s="1"/>
  <c r="L217" i="13"/>
  <c r="AD217" i="13" s="1" a="1"/>
  <c r="AD217" i="13" s="1"/>
  <c r="L265" i="13"/>
  <c r="AD265" i="13" s="1" a="1"/>
  <c r="AD265" i="13" s="1"/>
  <c r="L271" i="13"/>
  <c r="AD271" i="13" s="1" a="1"/>
  <c r="AD271" i="13" s="1"/>
  <c r="L330" i="13"/>
  <c r="AD330" i="13" s="1" a="1"/>
  <c r="AD330" i="13" s="1"/>
  <c r="L249" i="13"/>
  <c r="AD249" i="13" s="1" a="1"/>
  <c r="AD249" i="13" s="1"/>
  <c r="L285" i="13"/>
  <c r="AD285" i="13" s="1" a="1"/>
  <c r="AD285" i="13" s="1"/>
  <c r="L226" i="13"/>
  <c r="AD226" i="13" s="1" a="1"/>
  <c r="AD226" i="13" s="1"/>
  <c r="L381" i="13"/>
  <c r="AD381" i="13" s="1" a="1"/>
  <c r="AD381" i="13" s="1"/>
  <c r="L204" i="13"/>
  <c r="AD204" i="13" s="1" a="1"/>
  <c r="AD204" i="13" s="1"/>
  <c r="L46" i="13"/>
  <c r="AD46" i="13" s="1" a="1"/>
  <c r="AD46" i="13" s="1"/>
  <c r="L370" i="13"/>
  <c r="AD370" i="13" s="1" a="1"/>
  <c r="AD370" i="13" s="1"/>
  <c r="L108" i="13"/>
  <c r="AD108" i="13" s="1" a="1"/>
  <c r="AD108" i="13" s="1"/>
  <c r="L397" i="13"/>
  <c r="AD397" i="13" s="1" a="1"/>
  <c r="AD397" i="13" s="1"/>
  <c r="L407" i="13"/>
  <c r="AD407" i="13" s="1" a="1"/>
  <c r="AD407" i="13" s="1"/>
  <c r="L38" i="13"/>
  <c r="AD38" i="13" s="1" a="1"/>
  <c r="AD38" i="13" s="1"/>
  <c r="L259" i="13"/>
  <c r="AD259" i="13" s="1" a="1"/>
  <c r="AD259" i="13" s="1"/>
  <c r="L134" i="13"/>
  <c r="AD134" i="13" s="1" a="1"/>
  <c r="AD134" i="13" s="1"/>
  <c r="L369" i="13"/>
  <c r="AD369" i="13" s="1" a="1"/>
  <c r="AD369" i="13" s="1"/>
  <c r="L193" i="13"/>
  <c r="AD193" i="13" s="1" a="1"/>
  <c r="AD193" i="13" s="1"/>
  <c r="L128" i="13"/>
  <c r="AD128" i="13" s="1" a="1"/>
  <c r="AD128" i="13" s="1"/>
  <c r="L18" i="13"/>
  <c r="AD18" i="13" s="1" a="1"/>
  <c r="AD18" i="13" s="1"/>
  <c r="L354" i="13"/>
  <c r="AD354" i="13" s="1" a="1"/>
  <c r="AD354" i="13" s="1"/>
  <c r="L97" i="13"/>
  <c r="AD97" i="13" s="1" a="1"/>
  <c r="AD97" i="13" s="1"/>
  <c r="L49" i="13"/>
  <c r="AD49" i="13" s="1" a="1"/>
  <c r="AD49" i="13" s="1"/>
  <c r="L156" i="13"/>
  <c r="AD156" i="13" s="1" a="1"/>
  <c r="AD156" i="13" s="1"/>
  <c r="L410" i="13"/>
  <c r="AD410" i="13" s="1" a="1"/>
  <c r="AD410" i="13" s="1"/>
  <c r="L273" i="13"/>
  <c r="AD273" i="13" s="1" a="1"/>
  <c r="AD273" i="13" s="1"/>
  <c r="L132" i="13"/>
  <c r="AD132" i="13" s="1" a="1"/>
  <c r="AD132" i="13" s="1"/>
  <c r="L252" i="13"/>
  <c r="AD252" i="13" s="1" a="1"/>
  <c r="AD252" i="13" s="1"/>
  <c r="L211" i="13"/>
  <c r="AD211" i="13" s="1" a="1"/>
  <c r="AD211" i="13" s="1"/>
  <c r="L123" i="13"/>
  <c r="AD123" i="13" s="1" a="1"/>
  <c r="AD123" i="13" s="1"/>
  <c r="L86" i="13"/>
  <c r="AD86" i="13" s="1" a="1"/>
  <c r="AD86" i="13" s="1"/>
  <c r="L180" i="13"/>
  <c r="AD180" i="13" s="1" a="1"/>
  <c r="AD180" i="13" s="1"/>
  <c r="L67" i="13"/>
  <c r="AD67" i="13" s="1" a="1"/>
  <c r="AD67" i="13" s="1"/>
  <c r="L81" i="13"/>
  <c r="AD81" i="13" s="1" a="1"/>
  <c r="AD81" i="13" s="1"/>
  <c r="L403" i="13"/>
  <c r="AD403" i="13" s="1" a="1"/>
  <c r="AD403" i="13" s="1"/>
  <c r="L238" i="13"/>
  <c r="AD238" i="13" s="1" a="1"/>
  <c r="AD238" i="13" s="1"/>
  <c r="L88" i="13"/>
  <c r="AD88" i="13" s="1" a="1"/>
  <c r="AD88" i="13" s="1"/>
  <c r="L324" i="13"/>
  <c r="AD324" i="13" s="1" a="1"/>
  <c r="AD324" i="13" s="1"/>
  <c r="L2" i="13"/>
  <c r="AD2" i="13" s="1" a="1"/>
  <c r="AD2" i="13" s="1"/>
  <c r="L223" i="13"/>
  <c r="AD223" i="13" s="1" a="1"/>
  <c r="AD223" i="13" s="1"/>
  <c r="L225" i="13"/>
  <c r="AD225" i="13" s="1" a="1"/>
  <c r="AD225" i="13" s="1"/>
  <c r="L189" i="13"/>
  <c r="AD189" i="13" s="1" a="1"/>
  <c r="AD189" i="13" s="1"/>
  <c r="L190" i="13"/>
  <c r="AD190" i="13" s="1" a="1"/>
  <c r="AD190" i="13" s="1"/>
  <c r="L14" i="13"/>
  <c r="AD14" i="13" s="1" a="1"/>
  <c r="AD14" i="13" s="1"/>
  <c r="L129" i="13"/>
  <c r="AD129" i="13" s="1" a="1"/>
  <c r="AD129" i="13" s="1"/>
  <c r="L93" i="13"/>
  <c r="AD93" i="13" s="1" a="1"/>
  <c r="AD93" i="13" s="1"/>
  <c r="L45" i="13"/>
  <c r="AD45" i="13" s="1" a="1"/>
  <c r="AD45" i="13" s="1"/>
  <c r="L143" i="13"/>
  <c r="AD143" i="13" s="1" a="1"/>
  <c r="AD143" i="13" s="1"/>
  <c r="L36" i="13"/>
  <c r="AD36" i="13" s="1" a="1"/>
  <c r="AD36" i="13" s="1"/>
  <c r="L260" i="13"/>
  <c r="AD260" i="13" s="1" a="1"/>
  <c r="AD260" i="13" s="1"/>
  <c r="W383" i="13"/>
  <c r="W276" i="13"/>
  <c r="W381" i="13"/>
  <c r="W242" i="13"/>
  <c r="W154" i="13"/>
  <c r="W394" i="13"/>
  <c r="W212" i="13"/>
  <c r="W179" i="13"/>
  <c r="W180" i="13"/>
  <c r="W56" i="13"/>
  <c r="W114" i="13"/>
  <c r="W26" i="13"/>
  <c r="W408" i="13"/>
  <c r="W329" i="13"/>
  <c r="W391" i="13"/>
  <c r="W134" i="13"/>
  <c r="W239" i="13"/>
  <c r="W387" i="13"/>
  <c r="W364" i="13"/>
  <c r="W399" i="13"/>
  <c r="W354" i="13"/>
  <c r="W270" i="13"/>
  <c r="W170" i="13"/>
  <c r="W198" i="13"/>
  <c r="W330" i="13"/>
  <c r="W234" i="13"/>
  <c r="W269" i="13"/>
  <c r="W278" i="13"/>
  <c r="W140" i="13"/>
  <c r="W190" i="13"/>
  <c r="W147" i="13"/>
  <c r="W69" i="13"/>
  <c r="W153" i="13"/>
  <c r="W112" i="13"/>
  <c r="W97" i="13"/>
  <c r="W141" i="13"/>
  <c r="W53" i="13"/>
  <c r="W67" i="13"/>
  <c r="W108" i="13"/>
  <c r="W25" i="13"/>
  <c r="W64" i="13"/>
  <c r="W4" i="13"/>
  <c r="W160" i="13"/>
  <c r="W200" i="13"/>
  <c r="W407" i="13"/>
  <c r="W86" i="13"/>
  <c r="AA105" i="13"/>
  <c r="W47" i="13"/>
  <c r="W60" i="13"/>
  <c r="W55" i="13"/>
  <c r="W366" i="13"/>
  <c r="W256" i="13"/>
  <c r="W291" i="13"/>
  <c r="W82" i="13"/>
  <c r="AA45" i="13"/>
  <c r="W227" i="13"/>
  <c r="W71" i="13"/>
  <c r="W31" i="13"/>
  <c r="W91" i="13"/>
  <c r="W157" i="13"/>
  <c r="W367" i="13"/>
  <c r="W352" i="13"/>
  <c r="W393" i="13"/>
  <c r="W104" i="13"/>
  <c r="W36" i="13"/>
  <c r="W28" i="13"/>
  <c r="W11" i="13"/>
  <c r="W412" i="13"/>
  <c r="W236" i="13"/>
  <c r="W335" i="13"/>
  <c r="W336" i="13"/>
  <c r="W287" i="13"/>
  <c r="W215" i="13"/>
  <c r="W132" i="13"/>
  <c r="W217" i="13"/>
  <c r="W39" i="13"/>
  <c r="W50" i="13"/>
  <c r="W373" i="13"/>
  <c r="W379" i="13"/>
  <c r="W334" i="13"/>
  <c r="W404" i="13"/>
  <c r="W321" i="13"/>
  <c r="W292" i="13"/>
  <c r="W123" i="13"/>
  <c r="W193" i="13"/>
  <c r="W135" i="13"/>
  <c r="W197" i="13"/>
  <c r="W131" i="13"/>
  <c r="W168" i="13"/>
  <c r="W129" i="13"/>
  <c r="W68" i="13"/>
  <c r="W59" i="13"/>
  <c r="W15" i="13"/>
  <c r="W19" i="13"/>
  <c r="W314" i="13"/>
  <c r="W244" i="13"/>
  <c r="W350" i="13"/>
  <c r="W254" i="13"/>
  <c r="W204" i="13"/>
  <c r="W323" i="13"/>
  <c r="W344" i="13"/>
  <c r="W371" i="13"/>
  <c r="W250" i="13"/>
  <c r="W162" i="13"/>
  <c r="W353" i="13"/>
  <c r="W303" i="13"/>
  <c r="W13" i="13"/>
  <c r="W110" i="13"/>
  <c r="W397" i="13"/>
  <c r="W410" i="13"/>
  <c r="W324" i="13"/>
  <c r="W295" i="13"/>
  <c r="W317" i="13"/>
  <c r="W248" i="13"/>
  <c r="W199" i="13"/>
  <c r="W173" i="13"/>
  <c r="W143" i="13"/>
  <c r="W186" i="13"/>
  <c r="W40" i="13"/>
  <c r="W32" i="13"/>
  <c r="W382" i="13"/>
  <c r="W322" i="13"/>
  <c r="W369" i="13"/>
  <c r="W264" i="13"/>
  <c r="W300" i="13"/>
  <c r="W356" i="13"/>
  <c r="W380" i="13"/>
  <c r="W370" i="13"/>
  <c r="W279" i="13"/>
  <c r="W259" i="13"/>
  <c r="W116" i="13"/>
  <c r="W151" i="13"/>
  <c r="W202" i="13"/>
  <c r="W44" i="13"/>
  <c r="W169" i="13"/>
  <c r="W149" i="13"/>
  <c r="W148" i="13"/>
  <c r="W121" i="13"/>
  <c r="W57" i="13"/>
  <c r="W78" i="13"/>
  <c r="W17" i="13"/>
  <c r="W66" i="13"/>
  <c r="W38" i="13"/>
  <c r="W347" i="13"/>
  <c r="W390" i="13"/>
  <c r="W415" i="13"/>
  <c r="W312" i="13"/>
  <c r="W325" i="13"/>
  <c r="W257" i="13"/>
  <c r="W72" i="13"/>
  <c r="W177" i="13"/>
  <c r="W235" i="13"/>
  <c r="W120" i="13"/>
  <c r="W138" i="13"/>
  <c r="W34" i="13"/>
  <c r="W85" i="13"/>
  <c r="W20" i="13"/>
  <c r="W5" i="13"/>
  <c r="W345" i="13"/>
  <c r="W403" i="13"/>
  <c r="W306" i="13"/>
  <c r="W413" i="13"/>
  <c r="W400" i="13"/>
  <c r="W302" i="13"/>
  <c r="W167" i="13"/>
  <c r="W237" i="13"/>
  <c r="W74" i="13"/>
  <c r="W106" i="13"/>
  <c r="W128" i="13"/>
  <c r="W48" i="13"/>
  <c r="W43" i="13"/>
  <c r="W79" i="13"/>
  <c r="W376" i="13"/>
  <c r="W385" i="13"/>
  <c r="W406" i="13"/>
  <c r="W361" i="13"/>
  <c r="W294" i="13"/>
  <c r="W222" i="13"/>
  <c r="W273" i="13"/>
  <c r="W340" i="13"/>
  <c r="W311" i="13"/>
  <c r="W280" i="13"/>
  <c r="W333" i="13"/>
  <c r="W304" i="13"/>
  <c r="W307" i="13"/>
  <c r="W265" i="13"/>
  <c r="W255" i="13"/>
  <c r="W226" i="13"/>
  <c r="W243" i="13"/>
  <c r="W238" i="13"/>
  <c r="W98" i="13"/>
  <c r="W209" i="13"/>
  <c r="W33" i="13"/>
  <c r="W136" i="13"/>
  <c r="W176" i="13"/>
  <c r="W185" i="13"/>
  <c r="W156" i="13"/>
  <c r="W216" i="13"/>
  <c r="W122" i="13"/>
  <c r="W92" i="13"/>
  <c r="W81" i="13"/>
  <c r="W8" i="13"/>
  <c r="W84" i="13"/>
  <c r="W37" i="13"/>
  <c r="W372" i="13"/>
  <c r="W260" i="13"/>
  <c r="W346" i="13"/>
  <c r="W187" i="13"/>
  <c r="W165" i="13"/>
  <c r="W137" i="13"/>
  <c r="W83" i="13"/>
  <c r="W14" i="13"/>
  <c r="AA64" i="13"/>
  <c r="Z194" i="13"/>
  <c r="W271" i="13"/>
  <c r="W201" i="13"/>
  <c r="W338" i="13"/>
  <c r="W414" i="13"/>
  <c r="W326" i="13"/>
  <c r="W402" i="13"/>
  <c r="W309" i="13"/>
  <c r="W240" i="13"/>
  <c r="W203" i="13"/>
  <c r="W152" i="13"/>
  <c r="W90" i="13"/>
  <c r="W101" i="13"/>
  <c r="W95" i="13"/>
  <c r="W16" i="13"/>
  <c r="W7" i="13"/>
  <c r="W9" i="13"/>
  <c r="AA59" i="13"/>
  <c r="W65" i="13"/>
  <c r="AA303" i="13"/>
  <c r="W30" i="13"/>
  <c r="W359" i="13"/>
  <c r="W251" i="13"/>
  <c r="W283" i="13"/>
  <c r="W228" i="13"/>
  <c r="W220" i="13"/>
  <c r="W158" i="13"/>
  <c r="W111" i="13"/>
  <c r="W10" i="13"/>
  <c r="W405" i="13"/>
  <c r="W365" i="13"/>
  <c r="W339" i="13"/>
  <c r="W252" i="13"/>
  <c r="W258" i="13"/>
  <c r="W241" i="13"/>
  <c r="W208" i="13"/>
  <c r="W188" i="13"/>
  <c r="W175" i="13"/>
  <c r="W392" i="13"/>
  <c r="W328" i="13"/>
  <c r="W192" i="13"/>
  <c r="AA317" i="13"/>
  <c r="W378" i="13"/>
  <c r="W358" i="13"/>
  <c r="W77" i="13"/>
  <c r="W46" i="13"/>
  <c r="W389" i="13"/>
  <c r="W35" i="13"/>
  <c r="W343" i="13"/>
  <c r="W313" i="13"/>
  <c r="W348" i="13"/>
  <c r="W289" i="13"/>
  <c r="W253" i="13"/>
  <c r="W262" i="13"/>
  <c r="W195" i="13"/>
  <c r="W102" i="13"/>
  <c r="W125" i="13"/>
  <c r="W100" i="13"/>
  <c r="W94" i="13"/>
  <c r="W52" i="13"/>
  <c r="W62" i="13"/>
  <c r="W61" i="13"/>
  <c r="W6" i="13"/>
  <c r="W282" i="13"/>
  <c r="W310" i="13"/>
  <c r="W368" i="13"/>
  <c r="W409" i="13"/>
  <c r="W223" i="13"/>
  <c r="W268" i="13"/>
  <c r="W274" i="13"/>
  <c r="W155" i="13"/>
  <c r="W229" i="13"/>
  <c r="W232" i="13"/>
  <c r="W164" i="13"/>
  <c r="W191" i="13"/>
  <c r="W12" i="13"/>
  <c r="W93" i="13"/>
  <c r="W70" i="13"/>
  <c r="W87" i="13"/>
  <c r="W247" i="13"/>
  <c r="W233" i="13"/>
  <c r="W374" i="13"/>
  <c r="W89" i="13"/>
  <c r="W337" i="13"/>
  <c r="W308" i="13"/>
  <c r="W301" i="13"/>
  <c r="W99" i="13"/>
  <c r="W213" i="13"/>
  <c r="W184" i="13"/>
  <c r="W103" i="13"/>
  <c r="W23" i="13"/>
  <c r="W117" i="13"/>
  <c r="W42" i="13"/>
  <c r="W24" i="13"/>
  <c r="W3" i="13"/>
  <c r="W58" i="13"/>
  <c r="Z409" i="13"/>
  <c r="AA395" i="13"/>
  <c r="AA320" i="13"/>
  <c r="Z203" i="13"/>
  <c r="Z202" i="13"/>
  <c r="Z201" i="13"/>
  <c r="AA203" i="13"/>
  <c r="AA393" i="13"/>
  <c r="AA389" i="13"/>
  <c r="AA131" i="13"/>
  <c r="AA390" i="13"/>
  <c r="Z85" i="13"/>
  <c r="Z84" i="13"/>
  <c r="AA242" i="13"/>
  <c r="AA402" i="13"/>
  <c r="AA134" i="13"/>
  <c r="Z251" i="13"/>
  <c r="Z250" i="13"/>
  <c r="Z244" i="13"/>
  <c r="Z252" i="13"/>
  <c r="Z227" i="13"/>
  <c r="AA136" i="13"/>
  <c r="Z270" i="13"/>
  <c r="AA37" i="13"/>
  <c r="Z235" i="13"/>
  <c r="Z232" i="13"/>
  <c r="Z233" i="13"/>
  <c r="Z105" i="13"/>
  <c r="Z360" i="13"/>
  <c r="Z100" i="13"/>
  <c r="Z339" i="13"/>
  <c r="Z83" i="13"/>
  <c r="Z341" i="13"/>
  <c r="Z340" i="13"/>
  <c r="Z228" i="13"/>
  <c r="Z312" i="13"/>
  <c r="Z292" i="13"/>
  <c r="Z217" i="13"/>
  <c r="AA354" i="13"/>
  <c r="AA286" i="13"/>
  <c r="Z204" i="13"/>
  <c r="AA413" i="13"/>
  <c r="AA384" i="13"/>
  <c r="Z400" i="13"/>
  <c r="AA101" i="13"/>
  <c r="AA143" i="13"/>
  <c r="AA367" i="13"/>
  <c r="AA199" i="13"/>
  <c r="Z321" i="13"/>
  <c r="AA133" i="13"/>
  <c r="Z50" i="13"/>
  <c r="AA164" i="13"/>
  <c r="AA284" i="13"/>
  <c r="AA173" i="13"/>
  <c r="AA202" i="13"/>
  <c r="AA39" i="13"/>
  <c r="AA200" i="13"/>
  <c r="AA87" i="13"/>
  <c r="AA230" i="13"/>
  <c r="AA180" i="13"/>
  <c r="AA14" i="13"/>
  <c r="AA53" i="13"/>
  <c r="AA400" i="13"/>
  <c r="AA387" i="13"/>
  <c r="AA77" i="13"/>
  <c r="AA397" i="13"/>
  <c r="AA141" i="13"/>
  <c r="AA121" i="13"/>
  <c r="AA260" i="13"/>
  <c r="AA407" i="13"/>
  <c r="AA353" i="13"/>
  <c r="AA29" i="13"/>
  <c r="Z364" i="13"/>
  <c r="Z108" i="13"/>
  <c r="AA312" i="13"/>
  <c r="AA60" i="13"/>
  <c r="AA247" i="13"/>
  <c r="AA94" i="13"/>
  <c r="Z399" i="13"/>
  <c r="AA368" i="13"/>
  <c r="AA361" i="13"/>
  <c r="Z382" i="13"/>
  <c r="AA391" i="13"/>
  <c r="AA22" i="13"/>
  <c r="AA84" i="13"/>
  <c r="Z175" i="13"/>
  <c r="AA81" i="13"/>
  <c r="AA338" i="13"/>
  <c r="AA192" i="13"/>
  <c r="Z15" i="13"/>
  <c r="Z365" i="13"/>
  <c r="Z109" i="13"/>
  <c r="Z333" i="13"/>
  <c r="Z77" i="13"/>
  <c r="Z322" i="13"/>
  <c r="Z66" i="13"/>
  <c r="Z307" i="13"/>
  <c r="Z51" i="13"/>
  <c r="Z290" i="13"/>
  <c r="Z34" i="13"/>
  <c r="AA343" i="13"/>
  <c r="AA339" i="13"/>
  <c r="AA48" i="13"/>
  <c r="Z316" i="13"/>
  <c r="Z315" i="13"/>
  <c r="Z291" i="13"/>
  <c r="AA110" i="13"/>
  <c r="AA79" i="13"/>
  <c r="AA287" i="13"/>
  <c r="AA61" i="13"/>
  <c r="AA246" i="13"/>
  <c r="AA168" i="13"/>
  <c r="AA190" i="13"/>
  <c r="AA233" i="13"/>
  <c r="AA100" i="13"/>
  <c r="AA30" i="13"/>
  <c r="AA165" i="13"/>
  <c r="Z215" i="13"/>
  <c r="Z214" i="13"/>
  <c r="AA252" i="13"/>
  <c r="AA144" i="13"/>
  <c r="AA313" i="13"/>
  <c r="AA201" i="13"/>
  <c r="AA193" i="13"/>
  <c r="AA344" i="13"/>
  <c r="AA72" i="13"/>
  <c r="AA231" i="13"/>
  <c r="AA104" i="13"/>
  <c r="AA68" i="13"/>
  <c r="AA66" i="13"/>
  <c r="AA32" i="13"/>
  <c r="AA15" i="13"/>
  <c r="AA43" i="13"/>
  <c r="AA308" i="13"/>
  <c r="AA306" i="13"/>
  <c r="AA16" i="13"/>
  <c r="AA251" i="13"/>
  <c r="Z146" i="13"/>
  <c r="AA283" i="13"/>
  <c r="Z150" i="13"/>
  <c r="Z148" i="13"/>
  <c r="AA47" i="13"/>
  <c r="Z143" i="13"/>
  <c r="AA298" i="13"/>
  <c r="AA42" i="13"/>
  <c r="AA292" i="13"/>
  <c r="AA17" i="13"/>
  <c r="AA290" i="13"/>
  <c r="AA114" i="13"/>
  <c r="Z171" i="13"/>
  <c r="AA185" i="13"/>
  <c r="Z151" i="13"/>
  <c r="Z406" i="13"/>
  <c r="Z405" i="13"/>
  <c r="AA350" i="13"/>
  <c r="AA162" i="13"/>
  <c r="AA281" i="13"/>
  <c r="AA146" i="13"/>
  <c r="AA409" i="13"/>
  <c r="AA153" i="13"/>
  <c r="AA294" i="13"/>
  <c r="AA21" i="13"/>
  <c r="AA183" i="13"/>
  <c r="AA174" i="13"/>
  <c r="AA405" i="13"/>
  <c r="Z193" i="13"/>
  <c r="AA273" i="13"/>
  <c r="AA147" i="13"/>
  <c r="Z177" i="13"/>
  <c r="Z374" i="13"/>
  <c r="Z118" i="13"/>
  <c r="Z401" i="13"/>
  <c r="AA102" i="13"/>
  <c r="AA223" i="13"/>
  <c r="AA266" i="13"/>
  <c r="AA24" i="13"/>
  <c r="Z362" i="13"/>
  <c r="Z106" i="13"/>
  <c r="AA225" i="13"/>
  <c r="AA197" i="13"/>
  <c r="AA151" i="13"/>
  <c r="AA373" i="13"/>
  <c r="AA371" i="13"/>
  <c r="AA97" i="13"/>
  <c r="AA297" i="13"/>
  <c r="AA335" i="13"/>
  <c r="AA148" i="13"/>
  <c r="Z246" i="13"/>
  <c r="Z245" i="13"/>
  <c r="Z387" i="13"/>
  <c r="Z144" i="13"/>
  <c r="AA154" i="13"/>
  <c r="AA404" i="13"/>
  <c r="AA128" i="13"/>
  <c r="AA408" i="13"/>
  <c r="AA152" i="13"/>
  <c r="Z352" i="13"/>
  <c r="AA293" i="13"/>
  <c r="AA257" i="13"/>
  <c r="Z351" i="13"/>
  <c r="AA386" i="13"/>
  <c r="AA352" i="13"/>
  <c r="AA318" i="13"/>
  <c r="AA62" i="13"/>
  <c r="AA410" i="13"/>
  <c r="AA198" i="13"/>
  <c r="AA272" i="13"/>
  <c r="AA380" i="13"/>
  <c r="AA23" i="13"/>
  <c r="Z336" i="13"/>
  <c r="AA372" i="13"/>
  <c r="AA238" i="13"/>
  <c r="Z221" i="13"/>
  <c r="Z220" i="13"/>
  <c r="AA401" i="13"/>
  <c r="AA314" i="13"/>
  <c r="AA175" i="13"/>
  <c r="AA120" i="13"/>
  <c r="AA150" i="13"/>
  <c r="Z191" i="13"/>
  <c r="AA221" i="13"/>
  <c r="AA209" i="13"/>
  <c r="AA288" i="13"/>
  <c r="Z156" i="13"/>
  <c r="AA86" i="13"/>
  <c r="AA316" i="13"/>
  <c r="AA188" i="13"/>
  <c r="AA207" i="13"/>
  <c r="AA75" i="13"/>
  <c r="AA214" i="13"/>
  <c r="AA330" i="13"/>
  <c r="AA57" i="13"/>
  <c r="AA270" i="13"/>
  <c r="Z184" i="13"/>
  <c r="Z183" i="13"/>
  <c r="AA171" i="13"/>
  <c r="AA300" i="13"/>
  <c r="AA145" i="13"/>
  <c r="Z129" i="13"/>
  <c r="Z225" i="13"/>
  <c r="AA167" i="13"/>
  <c r="AA310" i="13"/>
  <c r="AA309" i="13"/>
  <c r="Z65" i="13"/>
  <c r="AA256" i="13"/>
  <c r="AA113" i="13"/>
  <c r="Z361" i="13"/>
  <c r="Z104" i="13"/>
  <c r="AA58" i="13"/>
  <c r="AA377" i="13"/>
  <c r="AA234" i="13"/>
  <c r="AA315" i="13"/>
  <c r="AA345" i="13"/>
  <c r="AA232" i="13"/>
  <c r="AA205" i="13"/>
  <c r="AA176" i="13"/>
  <c r="AA108" i="13"/>
  <c r="AA124" i="13"/>
  <c r="AA196" i="13"/>
  <c r="AA160" i="13"/>
  <c r="AA189" i="13"/>
  <c r="AA319" i="13"/>
  <c r="AA191" i="13"/>
  <c r="AA237" i="13"/>
  <c r="AA362" i="13"/>
  <c r="AA213" i="13"/>
  <c r="AA374" i="13"/>
  <c r="AA222" i="13"/>
  <c r="AA406" i="13"/>
  <c r="AA4" i="13"/>
  <c r="Z103" i="13"/>
  <c r="Z358" i="13"/>
  <c r="Z102" i="13"/>
  <c r="Z101" i="13"/>
  <c r="Z356" i="13"/>
  <c r="AA8" i="13"/>
  <c r="AA107" i="13"/>
  <c r="AA228" i="13"/>
  <c r="AA219" i="13"/>
  <c r="AA166" i="13"/>
  <c r="AA285" i="13"/>
  <c r="AA414" i="13"/>
  <c r="AA158" i="13"/>
  <c r="Z271" i="13"/>
  <c r="Z331" i="13"/>
  <c r="Z75" i="13"/>
  <c r="Z330" i="13"/>
  <c r="Z74" i="13"/>
  <c r="Z329" i="13"/>
  <c r="Z73" i="13"/>
  <c r="Z328" i="13"/>
  <c r="Z72" i="13"/>
  <c r="Z327" i="13"/>
  <c r="Z71" i="13"/>
  <c r="Z326" i="13"/>
  <c r="Z70" i="13"/>
  <c r="Z325" i="13"/>
  <c r="Z69" i="13"/>
  <c r="Z324" i="13"/>
  <c r="Z68" i="13"/>
  <c r="AA140" i="13"/>
  <c r="AA44" i="13"/>
  <c r="AA379" i="13"/>
  <c r="AA239" i="13"/>
  <c r="AA365" i="13"/>
  <c r="AA109" i="13"/>
  <c r="AA78" i="13"/>
  <c r="AA218" i="13"/>
  <c r="AA89" i="13"/>
  <c r="AA346" i="13"/>
  <c r="AA248" i="13"/>
  <c r="AA278" i="13"/>
  <c r="AA2" i="13"/>
  <c r="L386" i="13"/>
  <c r="AD386" i="13" s="1" a="1"/>
  <c r="AD386" i="13" s="1"/>
  <c r="AA25" i="13"/>
  <c r="AA253" i="13"/>
  <c r="AA112" i="13"/>
  <c r="Z249" i="13"/>
  <c r="Z248" i="13"/>
  <c r="Z247" i="13"/>
  <c r="Z210" i="13"/>
  <c r="AA259" i="13"/>
  <c r="Z211" i="13"/>
  <c r="AA82" i="13"/>
  <c r="AA11" i="13"/>
  <c r="Z14" i="13"/>
  <c r="AA254" i="13"/>
  <c r="Z205" i="13"/>
  <c r="Z188" i="13"/>
  <c r="Z163" i="13"/>
  <c r="Z162" i="13"/>
  <c r="AA111" i="13"/>
  <c r="AA139" i="13"/>
  <c r="AA7" i="13"/>
  <c r="AA55" i="13"/>
  <c r="AA208" i="13"/>
  <c r="AA358" i="13"/>
  <c r="AA34" i="13"/>
  <c r="AA161" i="13"/>
  <c r="Z161" i="13"/>
  <c r="AA375" i="13"/>
  <c r="AA258" i="13"/>
  <c r="AA341" i="13"/>
  <c r="AA212" i="13"/>
  <c r="AA340" i="13"/>
  <c r="Z78" i="13"/>
  <c r="Z55" i="13"/>
  <c r="Z54" i="13"/>
  <c r="Z308" i="13"/>
  <c r="Z306" i="13"/>
  <c r="AA399" i="13"/>
  <c r="AA235" i="13"/>
  <c r="AA347" i="13"/>
  <c r="AA156" i="13"/>
  <c r="AA349" i="13"/>
  <c r="AA93" i="13"/>
  <c r="AA334" i="13"/>
  <c r="AA177" i="13"/>
  <c r="Z47" i="13"/>
  <c r="AA56" i="13"/>
  <c r="AA216" i="13"/>
  <c r="AA359" i="13"/>
  <c r="AA103" i="13"/>
  <c r="AA88" i="13"/>
  <c r="AA50" i="13"/>
  <c r="AA194" i="13"/>
  <c r="AA305" i="13"/>
  <c r="AA49" i="13"/>
  <c r="AA304" i="13"/>
  <c r="AA250" i="13"/>
  <c r="AA126" i="13"/>
  <c r="Z299" i="13"/>
  <c r="Z296" i="13"/>
  <c r="Z295" i="13"/>
  <c r="Z294" i="13"/>
  <c r="Z38" i="13"/>
  <c r="Z37" i="13"/>
  <c r="Z36" i="13"/>
  <c r="AA119" i="13"/>
  <c r="Z81" i="13"/>
  <c r="AA6" i="13"/>
  <c r="AA85" i="13"/>
  <c r="Z96" i="13"/>
  <c r="AA83" i="13"/>
  <c r="AA210" i="13"/>
  <c r="AA267" i="13"/>
  <c r="AA398" i="13"/>
  <c r="Z59" i="13"/>
  <c r="Z58" i="13"/>
  <c r="Z311" i="13"/>
  <c r="Z310" i="13"/>
  <c r="Z53" i="13"/>
  <c r="AA411" i="13"/>
  <c r="AA268" i="13"/>
  <c r="AA41" i="13"/>
  <c r="AA204" i="13"/>
  <c r="AA255" i="13"/>
  <c r="AA186" i="13"/>
  <c r="Z126" i="13"/>
  <c r="AA299" i="13"/>
  <c r="AA187" i="13"/>
  <c r="Z318" i="13"/>
  <c r="AA415" i="13"/>
  <c r="AA333" i="13"/>
  <c r="AA71" i="13"/>
  <c r="AA178" i="13"/>
  <c r="AA289" i="13"/>
  <c r="AA33" i="13"/>
  <c r="Z300" i="13"/>
  <c r="Z44" i="13"/>
  <c r="Z275" i="13"/>
  <c r="AA73" i="13"/>
  <c r="Z258" i="13"/>
  <c r="AA69" i="13"/>
  <c r="AA311" i="13"/>
  <c r="AA277" i="13"/>
  <c r="L287" i="13"/>
  <c r="AD287" i="13" s="1" a="1"/>
  <c r="AD287" i="13" s="1"/>
  <c r="AA65" i="13"/>
  <c r="AA348" i="13"/>
  <c r="AA5" i="13"/>
  <c r="AA132" i="13"/>
  <c r="AA130" i="13"/>
  <c r="AA117" i="13"/>
  <c r="AA241" i="13"/>
  <c r="AA96" i="13"/>
  <c r="AA337" i="13"/>
  <c r="AA28" i="13"/>
  <c r="Z229" i="13"/>
  <c r="AA159" i="13"/>
  <c r="AA381" i="13"/>
  <c r="AA265" i="13"/>
  <c r="AA295" i="13"/>
  <c r="AA261" i="13"/>
  <c r="AA76" i="13"/>
  <c r="Z159" i="13"/>
  <c r="AA394" i="13"/>
  <c r="AA9" i="13"/>
  <c r="AA90" i="13"/>
  <c r="AA95" i="13"/>
  <c r="AA351" i="13"/>
  <c r="Z16" i="13"/>
  <c r="Z289" i="13"/>
  <c r="Z17" i="13"/>
  <c r="Z190" i="13"/>
  <c r="Z170" i="13"/>
  <c r="Z169" i="13"/>
  <c r="Z168" i="13"/>
  <c r="Z167" i="13"/>
  <c r="Z166" i="13"/>
  <c r="Z165" i="13"/>
  <c r="Z164" i="13"/>
  <c r="Z403" i="13"/>
  <c r="Z147" i="13"/>
  <c r="AA169" i="13"/>
  <c r="Z407" i="13"/>
  <c r="Z305" i="13"/>
  <c r="Z33" i="13"/>
  <c r="Z98" i="13"/>
  <c r="AA382" i="13"/>
  <c r="AA363" i="13"/>
  <c r="AA26" i="13"/>
  <c r="AA262" i="13"/>
  <c r="AA142" i="13"/>
  <c r="AA296" i="13"/>
  <c r="AA40" i="13"/>
  <c r="AA149" i="13"/>
  <c r="AA403" i="13"/>
  <c r="AA385" i="13"/>
  <c r="AA280" i="13"/>
  <c r="AA54" i="13"/>
  <c r="AA118" i="13"/>
  <c r="Z49" i="13"/>
  <c r="Z2" i="13"/>
  <c r="Z350" i="13"/>
  <c r="AA224" i="13"/>
  <c r="AA264" i="13"/>
  <c r="AA38" i="13"/>
  <c r="Z323" i="13"/>
  <c r="Z67" i="13"/>
  <c r="AA364" i="13"/>
  <c r="AA269" i="13"/>
  <c r="AA13" i="13"/>
  <c r="AA122" i="13"/>
  <c r="AA91" i="13"/>
  <c r="AA249" i="13"/>
  <c r="AA244" i="13"/>
  <c r="AA392" i="13"/>
  <c r="AA123" i="13"/>
  <c r="AA279" i="13"/>
  <c r="AA155" i="13"/>
  <c r="AA245" i="13"/>
  <c r="AA370" i="13"/>
  <c r="AA80" i="13"/>
  <c r="AA302" i="13"/>
  <c r="AA46" i="13"/>
  <c r="AA12" i="13"/>
  <c r="AA396" i="13"/>
  <c r="AA74" i="13"/>
  <c r="AA376" i="13"/>
  <c r="AA98" i="13"/>
  <c r="Z145" i="13"/>
  <c r="Z288" i="13"/>
  <c r="Z94" i="13"/>
  <c r="Z238" i="13"/>
  <c r="Z208" i="13"/>
  <c r="Z80" i="13"/>
  <c r="Z32" i="13"/>
  <c r="Z383" i="13"/>
  <c r="Z127" i="13"/>
  <c r="Z280" i="13"/>
  <c r="Z23" i="13"/>
  <c r="Z239" i="13"/>
  <c r="Z189" i="13"/>
  <c r="Z172" i="13"/>
  <c r="Z173" i="13"/>
  <c r="Z95" i="13"/>
  <c r="Z174" i="13"/>
  <c r="Z411" i="13"/>
  <c r="Z154" i="13"/>
  <c r="Z7" i="13"/>
  <c r="Z412" i="13"/>
  <c r="Z370" i="13"/>
  <c r="Z114" i="13"/>
  <c r="Z304" i="13"/>
  <c r="Z48" i="13"/>
  <c r="Z298" i="13"/>
  <c r="Z297" i="13"/>
  <c r="Z332" i="13"/>
  <c r="Z76" i="13"/>
  <c r="Z368" i="13"/>
  <c r="Z111" i="13"/>
  <c r="Z320" i="13"/>
  <c r="Z20" i="13"/>
  <c r="Z276" i="13"/>
  <c r="Z386" i="13"/>
  <c r="Z130" i="13"/>
  <c r="Z176" i="13"/>
  <c r="Z240" i="13"/>
  <c r="Z286" i="13"/>
  <c r="Z30" i="13"/>
  <c r="Z268" i="13"/>
  <c r="Z12" i="13"/>
  <c r="Z267" i="13"/>
  <c r="Z11" i="13"/>
  <c r="Z266" i="13"/>
  <c r="Z10" i="13"/>
  <c r="Z265" i="13"/>
  <c r="Z9" i="13"/>
  <c r="Z264" i="13"/>
  <c r="Z8" i="13"/>
  <c r="Z263" i="13"/>
  <c r="Z262" i="13"/>
  <c r="Z6" i="13"/>
  <c r="Z261" i="13"/>
  <c r="Z5" i="13"/>
  <c r="Z260" i="13"/>
  <c r="Z4" i="13"/>
  <c r="Z25" i="13"/>
  <c r="Z21" i="13"/>
  <c r="Z293" i="13"/>
  <c r="Z31" i="13"/>
  <c r="Z413" i="13"/>
  <c r="Z157" i="13"/>
  <c r="Z241" i="13"/>
  <c r="Z207" i="13"/>
  <c r="Z269" i="13"/>
  <c r="Z13" i="13"/>
  <c r="Z219" i="13"/>
  <c r="Z367" i="13"/>
  <c r="Z216" i="13"/>
  <c r="Z283" i="13"/>
  <c r="Z139" i="13"/>
  <c r="Z136" i="13"/>
  <c r="Z390" i="13"/>
  <c r="Z134" i="13"/>
  <c r="Z389" i="13"/>
  <c r="Z133" i="13"/>
  <c r="Z388" i="13"/>
  <c r="Z132" i="13"/>
  <c r="Z354" i="13"/>
  <c r="Z243" i="13"/>
  <c r="Z226" i="13"/>
  <c r="Z384" i="13"/>
  <c r="Z369" i="13"/>
  <c r="Z192" i="13"/>
  <c r="Z334" i="13"/>
  <c r="Z61" i="13"/>
  <c r="Z274" i="13"/>
  <c r="Z18" i="13"/>
  <c r="Z255" i="13"/>
  <c r="Z223" i="13"/>
  <c r="Z302" i="13"/>
  <c r="Z285" i="13"/>
  <c r="Z284" i="13"/>
  <c r="Z28" i="13"/>
  <c r="Z278" i="13"/>
  <c r="Z259" i="13"/>
  <c r="Z242" i="13"/>
  <c r="Z141" i="13"/>
  <c r="Z123" i="13"/>
  <c r="Z26" i="13"/>
  <c r="Z279" i="13"/>
  <c r="Z256" i="13"/>
  <c r="Z46" i="13"/>
  <c r="Z122" i="13"/>
  <c r="Z24" i="13"/>
  <c r="Z206" i="13"/>
  <c r="Z3" i="13"/>
  <c r="Z224" i="13"/>
  <c r="Z402" i="13"/>
  <c r="Z131" i="13"/>
  <c r="Z303" i="13"/>
  <c r="Z287" i="13"/>
  <c r="Z277" i="13"/>
  <c r="Z112" i="13"/>
  <c r="Z254" i="13"/>
  <c r="Z237" i="13"/>
  <c r="Z236" i="13"/>
  <c r="Z213" i="13"/>
  <c r="Z212" i="13"/>
  <c r="Z195" i="13"/>
  <c r="Z178" i="13"/>
  <c r="Z155" i="13"/>
  <c r="Z410" i="13"/>
  <c r="Z149" i="13"/>
  <c r="Z404" i="13"/>
  <c r="Z414" i="13"/>
  <c r="Z158" i="13"/>
  <c r="Z397" i="13"/>
  <c r="Z395" i="13"/>
  <c r="Z394" i="13"/>
  <c r="Z138" i="13"/>
  <c r="Z393" i="13"/>
  <c r="Z137" i="13"/>
  <c r="Z392" i="13"/>
  <c r="Z391" i="13"/>
  <c r="Z135" i="13"/>
  <c r="Z257" i="13"/>
  <c r="Z319" i="13"/>
  <c r="Z363" i="13"/>
  <c r="Z107" i="13"/>
  <c r="Z110" i="13"/>
  <c r="Z348" i="13"/>
  <c r="Z92" i="13"/>
  <c r="Z347" i="13"/>
  <c r="Z91" i="13"/>
  <c r="Z346" i="13"/>
  <c r="Z90" i="13"/>
  <c r="Z345" i="13"/>
  <c r="Z89" i="13"/>
  <c r="Z344" i="13"/>
  <c r="Z88" i="13"/>
  <c r="Z343" i="13"/>
  <c r="Z87" i="13"/>
  <c r="Z317" i="13"/>
  <c r="Z301" i="13"/>
  <c r="Z45" i="13"/>
  <c r="Z19" i="13"/>
  <c r="Z29" i="13"/>
  <c r="Z366" i="13"/>
  <c r="Z272" i="13"/>
  <c r="Z335" i="13"/>
  <c r="Z79" i="13"/>
  <c r="Z349" i="13"/>
  <c r="Z93" i="13"/>
  <c r="AA31" i="13"/>
  <c r="AA301" i="13"/>
  <c r="Z253" i="13"/>
  <c r="Z234" i="13"/>
  <c r="Z231" i="13"/>
  <c r="Z230" i="13"/>
  <c r="Z415" i="13"/>
  <c r="Z218" i="13"/>
  <c r="AA378" i="13"/>
  <c r="AA92" i="13"/>
  <c r="L399" i="13"/>
  <c r="AD399" i="13" s="1" a="1"/>
  <c r="AD399" i="13" s="1"/>
  <c r="L203" i="13"/>
  <c r="AD203" i="13" s="1" a="1"/>
  <c r="AD203" i="13" s="1"/>
  <c r="AA27" i="13"/>
  <c r="AA52" i="13"/>
  <c r="L388" i="13"/>
  <c r="AD388" i="13" s="1" a="1"/>
  <c r="AD388" i="13" s="1"/>
  <c r="AA10" i="13"/>
  <c r="AA369" i="13"/>
  <c r="Z128" i="13"/>
  <c r="L393" i="13"/>
  <c r="AD393" i="13" s="1" a="1"/>
  <c r="AD393" i="13" s="1"/>
  <c r="Z60" i="13"/>
  <c r="Z314" i="13"/>
  <c r="Z313" i="13"/>
  <c r="Z57" i="13"/>
  <c r="Z56" i="13"/>
  <c r="Z309" i="13"/>
  <c r="Z52" i="13"/>
  <c r="Z35" i="13"/>
  <c r="Z62" i="13"/>
  <c r="Z43" i="13"/>
  <c r="Z40" i="13"/>
  <c r="Z39" i="13"/>
  <c r="AA263" i="13"/>
  <c r="Z385" i="13"/>
  <c r="AA342" i="13"/>
  <c r="AA36" i="13"/>
  <c r="Z97" i="13"/>
  <c r="Z337" i="13"/>
  <c r="AA115" i="13"/>
  <c r="AA125" i="13"/>
  <c r="Z222" i="13"/>
  <c r="Z209" i="13"/>
  <c r="AA355" i="13"/>
  <c r="AA99" i="13"/>
  <c r="AA226" i="13"/>
  <c r="AA360" i="13"/>
  <c r="AA331" i="13"/>
  <c r="AA282" i="13"/>
  <c r="AA412" i="13"/>
  <c r="AA70" i="13"/>
  <c r="AA137" i="13"/>
  <c r="AA276" i="13"/>
  <c r="AA20" i="13"/>
  <c r="AA135" i="13"/>
  <c r="AA274" i="13"/>
  <c r="AA18" i="13"/>
  <c r="AA271" i="13"/>
  <c r="AA129" i="13"/>
  <c r="AA388" i="13"/>
  <c r="AA116" i="13"/>
  <c r="AA240" i="13"/>
  <c r="AA217" i="13"/>
  <c r="Z160" i="13"/>
  <c r="AA336" i="13"/>
  <c r="AA63" i="13"/>
  <c r="AA206" i="13"/>
  <c r="AA181" i="13"/>
  <c r="Z64" i="13"/>
  <c r="Z63" i="13"/>
  <c r="AA172" i="13"/>
  <c r="Z398" i="13"/>
  <c r="Z142" i="13"/>
  <c r="Z396" i="13"/>
  <c r="Z140" i="13"/>
  <c r="Z381" i="13"/>
  <c r="Z125" i="13"/>
  <c r="Z380" i="13"/>
  <c r="Z124" i="13"/>
  <c r="Z379" i="13"/>
  <c r="Z378" i="13"/>
  <c r="Z377" i="13"/>
  <c r="Z121" i="13"/>
  <c r="Z376" i="13"/>
  <c r="Z120" i="13"/>
  <c r="Z375" i="13"/>
  <c r="Z119" i="13"/>
  <c r="Z373" i="13"/>
  <c r="Z117" i="13"/>
  <c r="Z371" i="13"/>
  <c r="Z115" i="13"/>
  <c r="Z372" i="13"/>
  <c r="Z116" i="13"/>
  <c r="Z355" i="13"/>
  <c r="Z99" i="13"/>
  <c r="Z338" i="13"/>
  <c r="Z82" i="13"/>
  <c r="AA67" i="13"/>
  <c r="AA307" i="13"/>
  <c r="AA51" i="13"/>
  <c r="AA291" i="13"/>
  <c r="AA35" i="13"/>
  <c r="AA275" i="13"/>
  <c r="AA19" i="13"/>
  <c r="AA3" i="13"/>
  <c r="AA243" i="13"/>
  <c r="Z113" i="13"/>
  <c r="AA227" i="13"/>
  <c r="AA211" i="13"/>
  <c r="AA195" i="13"/>
  <c r="AA179" i="13"/>
  <c r="AA163" i="13"/>
  <c r="L212" i="13" l="1"/>
  <c r="AD212" i="13" s="1" a="1"/>
  <c r="AD212" i="13" s="1"/>
  <c r="L318" i="13"/>
  <c r="AD318" i="13" s="1" a="1"/>
  <c r="AD318" i="13" s="1"/>
  <c r="L269" i="13"/>
  <c r="AD269" i="13" s="1" a="1"/>
  <c r="AD269" i="13" s="1"/>
  <c r="L331" i="13"/>
  <c r="AD331" i="13" s="1" a="1"/>
  <c r="AD331" i="13" s="1"/>
  <c r="L358" i="13"/>
  <c r="AD358" i="13" s="1" a="1"/>
  <c r="AD358" i="13" s="1"/>
  <c r="L175" i="13"/>
  <c r="AD175" i="13" s="1" a="1"/>
  <c r="AD175" i="13" s="1"/>
  <c r="L344" i="13"/>
  <c r="AD344" i="13" s="1" a="1"/>
  <c r="AD344" i="13" s="1"/>
  <c r="L262" i="13"/>
  <c r="AD262" i="13" s="1" a="1"/>
  <c r="AD262" i="13" s="1"/>
  <c r="L408" i="13"/>
  <c r="AD408" i="13" s="1" a="1"/>
  <c r="AD408" i="13" s="1"/>
  <c r="L205" i="13"/>
  <c r="AD205" i="13" s="1" a="1"/>
  <c r="AD205" i="13" s="1"/>
  <c r="L239" i="13"/>
  <c r="AD239" i="13" s="1" a="1"/>
  <c r="AD239" i="13" s="1"/>
  <c r="L355" i="13"/>
  <c r="AD355" i="13" s="1" a="1"/>
  <c r="AD355" i="13" s="1"/>
  <c r="L332" i="13"/>
  <c r="AD332" i="13" s="1" a="1"/>
  <c r="AD332" i="13" s="1"/>
  <c r="L305" i="13"/>
  <c r="AD305" i="13" s="1" a="1"/>
  <c r="AD305" i="13" s="1"/>
  <c r="L268" i="13"/>
  <c r="AD268" i="13" s="1" a="1"/>
  <c r="AD268" i="13" s="1"/>
  <c r="L298" i="13"/>
  <c r="AD298" i="13" s="1" a="1"/>
  <c r="AD298" i="13" s="1"/>
  <c r="L362" i="13"/>
  <c r="AD362" i="13" s="1" a="1"/>
  <c r="AD362" i="13" s="1"/>
  <c r="L411" i="13"/>
  <c r="AD411" i="13" s="1" a="1"/>
  <c r="AD411" i="13" s="1"/>
  <c r="L380" i="13"/>
  <c r="AD380" i="13" s="1" a="1"/>
  <c r="AD380" i="13" s="1"/>
  <c r="AV2" i="13"/>
  <c r="C11" i="6" s="1"/>
  <c r="AU2" i="13"/>
  <c r="C10" i="6" s="1"/>
  <c r="AI2" i="13" l="1"/>
  <c r="AN2" i="13"/>
  <c r="AL2" i="13"/>
  <c r="AO2" i="13"/>
  <c r="S44" i="11"/>
  <c r="S43" i="11"/>
  <c r="S45" i="11" l="1"/>
  <c r="AG2" i="13"/>
  <c r="C5" i="6"/>
  <c r="S3" i="6"/>
  <c r="E17" i="6" l="1"/>
  <c r="E18" i="6"/>
  <c r="E19" i="6"/>
  <c r="E21" i="6"/>
  <c r="E22" i="6"/>
  <c r="E23" i="6"/>
  <c r="E24" i="6"/>
  <c r="E25" i="6"/>
  <c r="E26" i="6"/>
  <c r="E27" i="6"/>
  <c r="E28" i="6"/>
  <c r="E29" i="6"/>
  <c r="E30" i="6"/>
  <c r="AP2" i="13" l="1"/>
  <c r="AQ2" i="13" l="1"/>
  <c r="AX2" i="13" s="1"/>
  <c r="S11" i="7"/>
  <c r="S10" i="7"/>
  <c r="S8" i="7"/>
  <c r="S16" i="7" s="1"/>
  <c r="S9" i="7"/>
  <c r="S15" i="7" s="1"/>
  <c r="D7" i="14"/>
  <c r="D8" i="14"/>
  <c r="D9" i="14"/>
  <c r="D10" i="14"/>
  <c r="D11" i="14"/>
  <c r="D12" i="14"/>
  <c r="D13" i="14"/>
  <c r="D14" i="14"/>
  <c r="D5" i="14"/>
  <c r="D6" i="14"/>
  <c r="M2" i="7"/>
  <c r="S12" i="7" l="1"/>
  <c r="S14" i="7"/>
  <c r="P3" i="6"/>
  <c r="Q3" i="6"/>
  <c r="R3" i="6"/>
  <c r="AH2" i="13" l="1"/>
  <c r="C6" i="8"/>
  <c r="D6" i="8"/>
  <c r="B6" i="8"/>
  <c r="D3" i="8"/>
  <c r="F6" i="8"/>
  <c r="J6" i="8"/>
  <c r="K6" i="8"/>
  <c r="L6" i="8"/>
  <c r="AJ2" i="13" l="1"/>
  <c r="C3" i="6" s="1"/>
  <c r="AW2" i="13"/>
  <c r="C12" i="6" s="1"/>
  <c r="C13" i="6"/>
  <c r="BB2" i="13"/>
  <c r="BC2" i="13"/>
  <c r="BA2" i="13"/>
  <c r="AM2" i="13"/>
  <c r="C6" i="6" s="1"/>
  <c r="AR2" i="13"/>
  <c r="C7" i="6" s="1"/>
  <c r="AZ2" i="13"/>
  <c r="AT2" i="13"/>
  <c r="C9" i="6" s="1"/>
  <c r="U3" i="6"/>
  <c r="L3" i="8" s="1"/>
  <c r="E20" i="6" l="1"/>
  <c r="O3" i="6" s="1"/>
  <c r="BD2" i="13"/>
  <c r="C8" i="6"/>
  <c r="AK2" i="13"/>
  <c r="C4" i="6" l="1"/>
  <c r="G6" i="8"/>
  <c r="T3" i="6" l="1"/>
  <c r="H3" i="8" s="1"/>
  <c r="V3" i="6" l="1"/>
  <c r="D14" i="6" l="1"/>
  <c r="D11" i="6"/>
  <c r="D12" i="6"/>
  <c r="D9" i="6"/>
  <c r="D5" i="6"/>
  <c r="D13" i="6"/>
  <c r="D10" i="6"/>
  <c r="D8" i="6"/>
  <c r="D7" i="6"/>
  <c r="D6" i="6"/>
  <c r="D4" i="6"/>
  <c r="D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Walleci Lira</author>
    <author>tc={4181D1B7-BD1B-4C09-9B5A-237922279D9A}</author>
    <author>tc={A89A0B59-4CAB-4703-A7E8-029238CE7EF2}</author>
    <author>tc={023C203D-6AD1-45D5-B726-1E546BD36B29}</author>
  </authors>
  <commentList>
    <comment ref="AC1" authorId="0" shapeId="0" xr:uid="{410D9D3B-CB49-4E60-AD4E-B618D2ADB4AE}">
      <text>
        <r>
          <rPr>
            <b/>
            <sz val="9"/>
            <color indexed="81"/>
            <rFont val="Segoe UI"/>
            <family val="2"/>
          </rPr>
          <t>Walleci Lira:</t>
        </r>
        <r>
          <rPr>
            <sz val="9"/>
            <color indexed="81"/>
            <rFont val="Segoe UI"/>
            <family val="2"/>
          </rPr>
          <t xml:space="preserve">
"Estudante"
"Professor"
"Funcionário"
ND = Informação Não Disponível
*Preencher caso todos os dados estejam disponíveis.</t>
        </r>
      </text>
    </comment>
    <comment ref="AG1" authorId="0" shapeId="0" xr:uid="{B59EB0A2-973A-48B8-B187-BA8752620C08}">
      <text>
        <r>
          <rPr>
            <b/>
            <sz val="9"/>
            <color indexed="81"/>
            <rFont val="Segoe UI"/>
            <family val="2"/>
          </rPr>
          <t>Walleci Lira:</t>
        </r>
        <r>
          <rPr>
            <sz val="9"/>
            <color indexed="81"/>
            <rFont val="Segoe UI"/>
            <family val="2"/>
          </rPr>
          <t xml:space="preserve">
Emissões por viagens muito curtas (evitáveis)</t>
        </r>
      </text>
    </comment>
    <comment ref="AH1" authorId="0" shapeId="0" xr:uid="{D405F29A-508F-4409-84D6-824368757147}">
      <text>
        <r>
          <rPr>
            <b/>
            <sz val="9"/>
            <color indexed="81"/>
            <rFont val="Segoe UI"/>
            <family val="2"/>
          </rPr>
          <t>Walleci Lira:</t>
        </r>
        <r>
          <rPr>
            <sz val="9"/>
            <color indexed="81"/>
            <rFont val="Segoe UI"/>
            <family val="2"/>
          </rPr>
          <t xml:space="preserve">
Emissões por viagens de curta distância</t>
        </r>
      </text>
    </comment>
    <comment ref="AI1" authorId="0" shapeId="0" xr:uid="{71A0648E-9585-4F8C-9125-1CC74A6A68B4}">
      <text>
        <r>
          <rPr>
            <b/>
            <sz val="9"/>
            <color indexed="81"/>
            <rFont val="Segoe UI"/>
            <family val="2"/>
          </rPr>
          <t>Walleci Lira:</t>
        </r>
        <r>
          <rPr>
            <sz val="9"/>
            <color indexed="81"/>
            <rFont val="Segoe UI"/>
            <family val="2"/>
          </rPr>
          <t xml:space="preserve">
Emissões por viagens de longa distância</t>
        </r>
      </text>
    </comment>
    <comment ref="AJ1" authorId="0" shapeId="0" xr:uid="{8560674F-3D4E-4995-BF84-AA4CDFCBCCFE}">
      <text>
        <r>
          <rPr>
            <b/>
            <sz val="9"/>
            <color indexed="81"/>
            <rFont val="Segoe UI"/>
            <family val="2"/>
          </rPr>
          <t>Walleci Lira:</t>
        </r>
        <r>
          <rPr>
            <sz val="9"/>
            <color indexed="81"/>
            <rFont val="Segoe UI"/>
            <family val="2"/>
          </rPr>
          <t xml:space="preserve">
Total de emissões</t>
        </r>
      </text>
    </comment>
    <comment ref="AK1" authorId="0" shapeId="0" xr:uid="{28445BBB-18DD-4D37-A1ED-CF7895EBD385}">
      <text>
        <r>
          <rPr>
            <b/>
            <sz val="9"/>
            <color indexed="81"/>
            <rFont val="Segoe UI"/>
            <family val="2"/>
          </rPr>
          <t>Walleci Lira:</t>
        </r>
        <r>
          <rPr>
            <sz val="9"/>
            <color indexed="81"/>
            <rFont val="Segoe UI"/>
            <family val="2"/>
          </rPr>
          <t xml:space="preserve">
Emissão média por viagem</t>
        </r>
      </text>
    </comment>
    <comment ref="AL1" authorId="0" shapeId="0" xr:uid="{F4464C7D-978C-42FD-9831-0372ACD01E27}">
      <text>
        <r>
          <rPr>
            <b/>
            <sz val="9"/>
            <color indexed="81"/>
            <rFont val="Segoe UI"/>
            <family val="2"/>
          </rPr>
          <t>Walleci Lira:</t>
        </r>
        <r>
          <rPr>
            <sz val="9"/>
            <color indexed="81"/>
            <rFont val="Segoe UI"/>
            <family val="2"/>
          </rPr>
          <t xml:space="preserve">
Distância Total percorrida</t>
        </r>
      </text>
    </comment>
    <comment ref="AM1" authorId="0" shapeId="0" xr:uid="{8A7C1CA0-A5A3-4DB9-A307-04059D862B66}">
      <text>
        <r>
          <rPr>
            <b/>
            <sz val="9"/>
            <color indexed="81"/>
            <rFont val="Segoe UI"/>
            <family val="2"/>
          </rPr>
          <t>Walleci Lira:</t>
        </r>
        <r>
          <rPr>
            <sz val="9"/>
            <color indexed="81"/>
            <rFont val="Segoe UI"/>
            <family val="2"/>
          </rPr>
          <t xml:space="preserve">
Distância média por viagem</t>
        </r>
      </text>
    </comment>
    <comment ref="AN1" authorId="0" shapeId="0" xr:uid="{FEAF20D4-6C16-43CF-B507-DD6569096A67}">
      <text>
        <r>
          <rPr>
            <b/>
            <sz val="9"/>
            <color indexed="81"/>
            <rFont val="Segoe UI"/>
            <family val="2"/>
          </rPr>
          <t>Walleci Lira:</t>
        </r>
        <r>
          <rPr>
            <sz val="9"/>
            <color indexed="81"/>
            <rFont val="Segoe UI"/>
            <family val="2"/>
          </rPr>
          <t xml:space="preserve">
Número de viagens muito curtas (evitáveis)</t>
        </r>
      </text>
    </comment>
    <comment ref="AO1" authorId="0" shapeId="0" xr:uid="{290CEA78-0562-457B-A0D6-BAE78309D833}">
      <text>
        <r>
          <rPr>
            <b/>
            <sz val="9"/>
            <color indexed="81"/>
            <rFont val="Segoe UI"/>
            <family val="2"/>
          </rPr>
          <t>Walleci Lira:</t>
        </r>
        <r>
          <rPr>
            <sz val="9"/>
            <color indexed="81"/>
            <rFont val="Segoe UI"/>
            <family val="2"/>
          </rPr>
          <t xml:space="preserve">
Número de viagens de curta distância</t>
        </r>
      </text>
    </comment>
    <comment ref="AP1" authorId="0" shapeId="0" xr:uid="{31D18198-2DF6-4582-870E-1E1D99E6FB39}">
      <text>
        <r>
          <rPr>
            <b/>
            <sz val="9"/>
            <color indexed="81"/>
            <rFont val="Segoe UI"/>
            <family val="2"/>
          </rPr>
          <t>Walleci Lira:</t>
        </r>
        <r>
          <rPr>
            <sz val="9"/>
            <color indexed="81"/>
            <rFont val="Segoe UI"/>
            <family val="2"/>
          </rPr>
          <t xml:space="preserve">
Número de viagens de longa distância
</t>
        </r>
      </text>
    </comment>
    <comment ref="AQ1" authorId="0" shapeId="0" xr:uid="{E98A17A5-AE8E-4C40-B53E-447983A84C76}">
      <text>
        <r>
          <rPr>
            <b/>
            <sz val="9"/>
            <color indexed="81"/>
            <rFont val="Segoe UI"/>
            <family val="2"/>
          </rPr>
          <t>Walleci Lira:</t>
        </r>
        <r>
          <rPr>
            <sz val="9"/>
            <color indexed="81"/>
            <rFont val="Segoe UI"/>
            <family val="2"/>
          </rPr>
          <t xml:space="preserve">
Número de Viagens</t>
        </r>
      </text>
    </comment>
    <comment ref="AR1" authorId="0" shapeId="0" xr:uid="{610F7120-7A02-4C58-A48D-82B0E69E870C}">
      <text>
        <r>
          <rPr>
            <b/>
            <sz val="9"/>
            <color indexed="81"/>
            <rFont val="Segoe UI"/>
            <family val="2"/>
          </rPr>
          <t>Walleci Lira:</t>
        </r>
        <r>
          <rPr>
            <sz val="9"/>
            <color indexed="81"/>
            <rFont val="Segoe UI"/>
            <family val="2"/>
          </rPr>
          <t xml:space="preserve">
Taxa de voos com escala</t>
        </r>
      </text>
    </comment>
    <comment ref="AS1" authorId="0" shapeId="0" xr:uid="{BB3F9995-2513-40E8-AB39-C4A89273AF19}">
      <text>
        <r>
          <rPr>
            <b/>
            <sz val="9"/>
            <color indexed="81"/>
            <rFont val="Segoe UI"/>
            <family val="2"/>
          </rPr>
          <t>Walleci Lira:</t>
        </r>
        <r>
          <rPr>
            <sz val="9"/>
            <color indexed="81"/>
            <rFont val="Segoe UI"/>
            <family val="2"/>
          </rPr>
          <t xml:space="preserve">
Voos em Classe Econômica</t>
        </r>
      </text>
    </comment>
    <comment ref="AT1" authorId="0" shapeId="0" xr:uid="{332FC164-5C62-4CCE-8B12-0D6E21561552}">
      <text>
        <r>
          <rPr>
            <b/>
            <sz val="9"/>
            <color indexed="81"/>
            <rFont val="Segoe UI"/>
            <family val="2"/>
          </rPr>
          <t>Walleci Lira:</t>
        </r>
        <r>
          <rPr>
            <sz val="9"/>
            <color indexed="81"/>
            <rFont val="Segoe UI"/>
            <family val="2"/>
          </rPr>
          <t xml:space="preserve">
Taxa de viagens em classe econômica</t>
        </r>
      </text>
    </comment>
    <comment ref="AU1" authorId="0" shapeId="0" xr:uid="{A4DECAA1-284C-48D2-840E-6BB7B792CA1C}">
      <text>
        <r>
          <rPr>
            <b/>
            <sz val="9"/>
            <color indexed="81"/>
            <rFont val="Segoe UI"/>
            <family val="2"/>
          </rPr>
          <t>Walleci Lira:</t>
        </r>
        <r>
          <rPr>
            <sz val="9"/>
            <color indexed="81"/>
            <rFont val="Segoe UI"/>
            <family val="2"/>
          </rPr>
          <t xml:space="preserve">
Custo das passagens</t>
        </r>
      </text>
    </comment>
    <comment ref="AV1" authorId="0" shapeId="0" xr:uid="{98942D97-E8C5-4837-A091-70B268215EEE}">
      <text>
        <r>
          <rPr>
            <b/>
            <sz val="9"/>
            <color indexed="81"/>
            <rFont val="Segoe UI"/>
            <family val="2"/>
          </rPr>
          <t>Walleci Lira:</t>
        </r>
        <r>
          <rPr>
            <sz val="9"/>
            <color indexed="81"/>
            <rFont val="Segoe UI"/>
            <family val="2"/>
          </rPr>
          <t xml:space="preserve">
Custo de outros serviços</t>
        </r>
      </text>
    </comment>
    <comment ref="AW1" authorId="0" shapeId="0" xr:uid="{28504D16-7DD2-480F-8977-1B4BDB50925C}">
      <text>
        <r>
          <rPr>
            <b/>
            <sz val="9"/>
            <color indexed="81"/>
            <rFont val="Segoe UI"/>
            <family val="2"/>
          </rPr>
          <t>Walleci Lira:</t>
        </r>
        <r>
          <rPr>
            <sz val="9"/>
            <color indexed="81"/>
            <rFont val="Segoe UI"/>
            <family val="2"/>
          </rPr>
          <t xml:space="preserve">
Custo médio por viagem</t>
        </r>
      </text>
    </comment>
    <comment ref="AX1" authorId="0" shapeId="0" xr:uid="{C456E76C-75C2-4794-A3BF-8397218E0CFB}">
      <text>
        <r>
          <rPr>
            <b/>
            <sz val="9"/>
            <color indexed="81"/>
            <rFont val="Segoe UI"/>
            <family val="2"/>
          </rPr>
          <t>Walleci Lira:</t>
        </r>
        <r>
          <rPr>
            <sz val="9"/>
            <color indexed="81"/>
            <rFont val="Segoe UI"/>
            <family val="2"/>
          </rPr>
          <t xml:space="preserve">
Taxa de viagens evitáveis (0 ou 1 dia)</t>
        </r>
      </text>
    </comment>
    <comment ref="AY1" authorId="0" shapeId="0" xr:uid="{9BB70D3F-8C46-4C8C-9A07-24A47AE69F06}">
      <text>
        <r>
          <rPr>
            <b/>
            <sz val="9"/>
            <color indexed="81"/>
            <rFont val="Segoe UI"/>
            <family val="2"/>
          </rPr>
          <t>Walleci Lira:</t>
        </r>
        <r>
          <rPr>
            <sz val="9"/>
            <color indexed="81"/>
            <rFont val="Segoe UI"/>
            <family val="2"/>
          </rPr>
          <t xml:space="preserve">
Taxa de viagens urgentes não justificadas</t>
        </r>
      </text>
    </comment>
    <comment ref="AZ1" authorId="1" shapeId="0" xr:uid="{4181D1B7-BD1B-4C09-9B5A-237922279D9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Porcentagem de viagens por servidor:
Viagens aéreas realizadas por servidores em função administrativa, em relação ao total de voos </t>
      </text>
    </comment>
    <comment ref="BA1" authorId="2" shapeId="0" xr:uid="{A89A0B59-4CAB-4703-A7E8-029238CE7EF2}">
      <text>
        <t>[Comentário encadeado]
Sua versão do Excel permite que você leia este comentário encadeado, no entanto, as edições serão removidas se o arquivo for aberto em uma versão mais recente do Excel. Saiba mais: https://go.microsoft.com/fwlink/?linkid=870924
Comentário:
    Porcentagem de viagens por professor:
Viagens aéreas realizadas por servidores em função acadêmica, em relação ao total de voos</t>
      </text>
    </comment>
    <comment ref="BB1" authorId="3" shapeId="0" xr:uid="{023C203D-6AD1-45D5-B726-1E546BD36B29}">
      <text>
        <t>[Comentário encadeado]
Sua versão do Excel permite que você leia este comentário encadeado, no entanto, as edições serão removidas se o arquivo for aberto em uma versão mais recente do Excel. Saiba mais: https://go.microsoft.com/fwlink/?linkid=870924
Comentário:
    Porcentagem de viagens por estudante:
Viagens aéreas realizadas por estudantes, em relação ao total de voos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Walleci Lira</author>
  </authors>
  <commentList>
    <comment ref="C1" authorId="0" shapeId="0" xr:uid="{D654BBF5-E9CF-441B-94AF-8AED89219D43}">
      <text>
        <r>
          <rPr>
            <b/>
            <sz val="9"/>
            <color indexed="81"/>
            <rFont val="Segoe UI"/>
            <family val="2"/>
          </rPr>
          <t>Walleci Lira:</t>
        </r>
        <r>
          <rPr>
            <sz val="9"/>
            <color indexed="81"/>
            <rFont val="Segoe UI"/>
            <family val="2"/>
          </rPr>
          <t xml:space="preserve">
0=Não atende ao Critério
0,5 atende parcialmente ao critério
1 = Atende ao critério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Walleci Lira</author>
  </authors>
  <commentList>
    <comment ref="K2" authorId="0" shapeId="0" xr:uid="{E0B45757-58C6-45EE-A192-92B2B46D94D8}">
      <text>
        <r>
          <rPr>
            <b/>
            <sz val="9"/>
            <color indexed="81"/>
            <rFont val="Segoe UI"/>
            <family val="2"/>
          </rPr>
          <t>Walleci Lira:</t>
        </r>
        <r>
          <rPr>
            <sz val="9"/>
            <color indexed="81"/>
            <rFont val="Segoe UI"/>
            <family val="2"/>
          </rPr>
          <t xml:space="preserve">
Emissões</t>
        </r>
      </text>
    </comment>
    <comment ref="L2" authorId="0" shapeId="0" xr:uid="{1C155CAD-3E0D-4617-9519-67A0D612198B}">
      <text>
        <r>
          <rPr>
            <b/>
            <sz val="9"/>
            <color indexed="81"/>
            <rFont val="Segoe UI"/>
            <family val="2"/>
          </rPr>
          <t>Walleci Lira:</t>
        </r>
        <r>
          <rPr>
            <sz val="9"/>
            <color indexed="81"/>
            <rFont val="Segoe UI"/>
            <family val="2"/>
          </rPr>
          <t xml:space="preserve">
Deslocamento</t>
        </r>
      </text>
    </comment>
    <comment ref="M2" authorId="0" shapeId="0" xr:uid="{2C9FF4DF-89F0-4C67-8646-01656335BE5C}">
      <text>
        <r>
          <rPr>
            <b/>
            <sz val="9"/>
            <color indexed="81"/>
            <rFont val="Segoe UI"/>
            <family val="2"/>
          </rPr>
          <t>Walleci Lira:</t>
        </r>
        <r>
          <rPr>
            <sz val="9"/>
            <color indexed="81"/>
            <rFont val="Segoe UI"/>
            <family val="2"/>
          </rPr>
          <t xml:space="preserve">
Custos</t>
        </r>
      </text>
    </comment>
    <comment ref="N2" authorId="0" shapeId="0" xr:uid="{9556BB3D-FD97-46ED-86D5-A5F57629C0A9}">
      <text>
        <r>
          <rPr>
            <b/>
            <sz val="9"/>
            <color indexed="81"/>
            <rFont val="Segoe UI"/>
            <family val="2"/>
          </rPr>
          <t>Walleci Lira:</t>
        </r>
        <r>
          <rPr>
            <sz val="9"/>
            <color indexed="81"/>
            <rFont val="Segoe UI"/>
            <family val="2"/>
          </rPr>
          <t xml:space="preserve">
Incentivo à hipermobilidade acadêmica</t>
        </r>
      </text>
    </comment>
    <comment ref="O2" authorId="0" shapeId="0" xr:uid="{150CB588-36BE-4672-B6B0-35493B3E5199}">
      <text>
        <r>
          <rPr>
            <b/>
            <sz val="9"/>
            <color indexed="81"/>
            <rFont val="Segoe UI"/>
            <family val="2"/>
          </rPr>
          <t>Walleci Lira:</t>
        </r>
        <r>
          <rPr>
            <sz val="9"/>
            <color indexed="81"/>
            <rFont val="Segoe UI"/>
            <family val="2"/>
          </rPr>
          <t xml:space="preserve">
Viagens por segmento</t>
        </r>
      </text>
    </comment>
    <comment ref="P2" authorId="0" shapeId="0" xr:uid="{98ED6418-E20C-4B8A-9C33-A265ABA39535}">
      <text>
        <r>
          <rPr>
            <b/>
            <sz val="9"/>
            <color indexed="81"/>
            <rFont val="Segoe UI"/>
            <family val="2"/>
          </rPr>
          <t>Walleci Lira:</t>
        </r>
        <r>
          <rPr>
            <sz val="9"/>
            <color indexed="81"/>
            <rFont val="Segoe UI"/>
            <family val="2"/>
          </rPr>
          <t xml:space="preserve">
Restrições</t>
        </r>
      </text>
    </comment>
    <comment ref="Q2" authorId="0" shapeId="0" xr:uid="{F05DBAD7-E0AB-4A1C-AA02-789EF85F584A}">
      <text>
        <r>
          <rPr>
            <b/>
            <sz val="9"/>
            <color indexed="81"/>
            <rFont val="Segoe UI"/>
            <family val="2"/>
          </rPr>
          <t>Walleci Lira:</t>
        </r>
        <r>
          <rPr>
            <sz val="9"/>
            <color indexed="81"/>
            <rFont val="Segoe UI"/>
            <family val="2"/>
          </rPr>
          <t xml:space="preserve">
Incentivos</t>
        </r>
      </text>
    </comment>
    <comment ref="R2" authorId="0" shapeId="0" xr:uid="{9A294647-38E9-48B4-9960-CF0539DDE16B}">
      <text>
        <r>
          <rPr>
            <b/>
            <sz val="9"/>
            <color indexed="81"/>
            <rFont val="Segoe UI"/>
            <family val="2"/>
          </rPr>
          <t>Walleci Lira:</t>
        </r>
        <r>
          <rPr>
            <sz val="9"/>
            <color indexed="81"/>
            <rFont val="Segoe UI"/>
            <family val="2"/>
          </rPr>
          <t xml:space="preserve">
Mudança organizacional</t>
        </r>
      </text>
    </comment>
    <comment ref="A3" authorId="0" shapeId="0" xr:uid="{8E12EA91-7184-4611-9EA0-75476ACAAE74}">
      <text>
        <r>
          <rPr>
            <b/>
            <sz val="9"/>
            <color indexed="81"/>
            <rFont val="Segoe UI"/>
            <family val="2"/>
          </rPr>
          <t>Walleci Lira:</t>
        </r>
        <r>
          <rPr>
            <sz val="9"/>
            <color indexed="81"/>
            <rFont val="Segoe UI"/>
            <family val="2"/>
          </rPr>
          <t xml:space="preserve">
Total de emissões</t>
        </r>
      </text>
    </comment>
    <comment ref="A4" authorId="0" shapeId="0" xr:uid="{4FAEF8D5-3B33-489A-91DE-7B233692AC88}">
      <text>
        <r>
          <rPr>
            <b/>
            <sz val="9"/>
            <color indexed="81"/>
            <rFont val="Segoe UI"/>
            <family val="2"/>
          </rPr>
          <t>Walleci Lira:</t>
        </r>
        <r>
          <rPr>
            <sz val="9"/>
            <color indexed="81"/>
            <rFont val="Segoe UI"/>
            <family val="2"/>
          </rPr>
          <t xml:space="preserve">
Emissão média por viagem</t>
        </r>
      </text>
    </comment>
    <comment ref="A5" authorId="0" shapeId="0" xr:uid="{AC9FCC06-21EF-4F3B-B975-445F1A1B940A}">
      <text>
        <r>
          <rPr>
            <b/>
            <sz val="9"/>
            <color indexed="81"/>
            <rFont val="Segoe UI"/>
            <family val="2"/>
          </rPr>
          <t>Walleci Lira:</t>
        </r>
        <r>
          <rPr>
            <sz val="9"/>
            <color indexed="81"/>
            <rFont val="Segoe UI"/>
            <family val="2"/>
          </rPr>
          <t xml:space="preserve">
Distância Total percorrida</t>
        </r>
      </text>
    </comment>
    <comment ref="A6" authorId="0" shapeId="0" xr:uid="{1368AB3A-E888-4A59-BF09-AE5973975644}">
      <text>
        <r>
          <rPr>
            <b/>
            <sz val="9"/>
            <color indexed="81"/>
            <rFont val="Segoe UI"/>
            <family val="2"/>
          </rPr>
          <t>Walleci Lira:</t>
        </r>
        <r>
          <rPr>
            <sz val="9"/>
            <color indexed="81"/>
            <rFont val="Segoe UI"/>
            <family val="2"/>
          </rPr>
          <t xml:space="preserve">
Distância média por viagem</t>
        </r>
      </text>
    </comment>
    <comment ref="A7" authorId="0" shapeId="0" xr:uid="{E03D5B81-0D40-4099-BA04-1AE7A293B94A}">
      <text>
        <r>
          <rPr>
            <b/>
            <sz val="9"/>
            <color indexed="81"/>
            <rFont val="Segoe UI"/>
            <family val="2"/>
          </rPr>
          <t>Walleci Lira:</t>
        </r>
        <r>
          <rPr>
            <sz val="9"/>
            <color indexed="81"/>
            <rFont val="Segoe UI"/>
            <family val="2"/>
          </rPr>
          <t xml:space="preserve">
Número de Viagens</t>
        </r>
      </text>
    </comment>
    <comment ref="A8" authorId="0" shapeId="0" xr:uid="{A08B3069-CFD8-4CC0-B29A-6572633B378A}">
      <text>
        <r>
          <rPr>
            <b/>
            <sz val="9"/>
            <color indexed="81"/>
            <rFont val="Segoe UI"/>
            <family val="2"/>
          </rPr>
          <t>Walleci Lira:</t>
        </r>
        <r>
          <rPr>
            <sz val="9"/>
            <color indexed="81"/>
            <rFont val="Segoe UI"/>
            <family val="2"/>
          </rPr>
          <t xml:space="preserve">
Taxa de voos com escala</t>
        </r>
      </text>
    </comment>
    <comment ref="A9" authorId="0" shapeId="0" xr:uid="{A3AF1F74-3D60-4789-AD46-8FD3D8955958}">
      <text>
        <r>
          <rPr>
            <b/>
            <sz val="9"/>
            <color indexed="81"/>
            <rFont val="Segoe UI"/>
            <family val="2"/>
          </rPr>
          <t>Walleci Lira:</t>
        </r>
        <r>
          <rPr>
            <sz val="9"/>
            <color indexed="81"/>
            <rFont val="Segoe UI"/>
            <family val="2"/>
          </rPr>
          <t xml:space="preserve">
Taxa de viagens em classe econômica</t>
        </r>
      </text>
    </comment>
    <comment ref="A10" authorId="0" shapeId="0" xr:uid="{F09C641F-767F-4CB0-93FC-D3F9C4642F96}">
      <text>
        <r>
          <rPr>
            <b/>
            <sz val="9"/>
            <color indexed="81"/>
            <rFont val="Segoe UI"/>
            <family val="2"/>
          </rPr>
          <t>Walleci Lira:</t>
        </r>
        <r>
          <rPr>
            <sz val="9"/>
            <color indexed="81"/>
            <rFont val="Segoe UI"/>
            <family val="2"/>
          </rPr>
          <t xml:space="preserve">
Custo das passagens</t>
        </r>
      </text>
    </comment>
    <comment ref="A11" authorId="0" shapeId="0" xr:uid="{266B7A15-8E44-4E32-9115-0BB0B6D5B358}">
      <text>
        <r>
          <rPr>
            <b/>
            <sz val="9"/>
            <color indexed="81"/>
            <rFont val="Segoe UI"/>
            <family val="2"/>
          </rPr>
          <t>Walleci Lira:</t>
        </r>
        <r>
          <rPr>
            <sz val="9"/>
            <color indexed="81"/>
            <rFont val="Segoe UI"/>
            <family val="2"/>
          </rPr>
          <t xml:space="preserve">
Custo de outros serviços</t>
        </r>
      </text>
    </comment>
    <comment ref="A12" authorId="0" shapeId="0" xr:uid="{C3824BA5-86C6-4B4A-AE24-DE1FC0CC5FE7}">
      <text>
        <r>
          <rPr>
            <b/>
            <sz val="9"/>
            <color indexed="81"/>
            <rFont val="Segoe UI"/>
            <family val="2"/>
          </rPr>
          <t>Walleci Lira:</t>
        </r>
        <r>
          <rPr>
            <sz val="9"/>
            <color indexed="81"/>
            <rFont val="Segoe UI"/>
            <family val="2"/>
          </rPr>
          <t xml:space="preserve">
Custo médio por viagem</t>
        </r>
      </text>
    </comment>
    <comment ref="A13" authorId="0" shapeId="0" xr:uid="{25D13A0B-32DA-44E4-A8EA-17126136A0C9}">
      <text>
        <r>
          <rPr>
            <b/>
            <sz val="9"/>
            <color indexed="81"/>
            <rFont val="Segoe UI"/>
            <family val="2"/>
          </rPr>
          <t>Walleci Lira:</t>
        </r>
        <r>
          <rPr>
            <sz val="9"/>
            <color indexed="81"/>
            <rFont val="Segoe UI"/>
            <family val="2"/>
          </rPr>
          <t xml:space="preserve">
Taxa de viagens evitáveis (0 ou 1 dia)</t>
        </r>
      </text>
    </comment>
    <comment ref="A14" authorId="0" shapeId="0" xr:uid="{D9F412EF-DCB5-4B46-AE53-C47876457C64}">
      <text>
        <r>
          <rPr>
            <b/>
            <sz val="9"/>
            <color indexed="81"/>
            <rFont val="Segoe UI"/>
            <family val="2"/>
          </rPr>
          <t>Walleci Lira:</t>
        </r>
        <r>
          <rPr>
            <sz val="9"/>
            <color indexed="81"/>
            <rFont val="Segoe UI"/>
            <family val="2"/>
          </rPr>
          <t xml:space="preserve">
Taxa de viagens urgentes não justificadas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tc={3792A6BB-8099-4DA3-901B-2BE932D9C9C1}</author>
  </authors>
  <commentList>
    <comment ref="J3" authorId="0" shapeId="0" xr:uid="{3792A6BB-8099-4DA3-901B-2BE932D9C9C1}">
      <text>
        <t>[Comentário encadeado]
Sua versão do Excel permite que você leia este comentário encadeado, no entanto, as edições serão removidas se o arquivo for aberto em uma versão mais recente do Excel. Saiba mais: https://go.microsoft.com/fwlink/?linkid=870924
Comentário:
    Destinos mais longes no Brasil -AC, mas também é range para Dakar, no continente africano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<sst xmlns="http://schemas.openxmlformats.org/spreadsheetml/2006/main" count="13955" uniqueCount="1854">
  <si>
    <t>Classe</t>
  </si>
  <si>
    <t>Custo da passagem</t>
  </si>
  <si>
    <t>Outros custos</t>
  </si>
  <si>
    <t>dsh, dmh ou dlh</t>
  </si>
  <si>
    <t>ED1.1</t>
  </si>
  <si>
    <t>ED2.2</t>
  </si>
  <si>
    <t>ED1.2</t>
  </si>
  <si>
    <t>ED3.1</t>
  </si>
  <si>
    <t>ED3.2</t>
  </si>
  <si>
    <t xml:space="preserve">Vínculo Institucional </t>
  </si>
  <si>
    <t>Econômica</t>
  </si>
  <si>
    <t>Econômica Plus</t>
  </si>
  <si>
    <t>Executiva</t>
  </si>
  <si>
    <t>Primeira</t>
  </si>
  <si>
    <t>(Wynes et al, 2019)</t>
  </si>
  <si>
    <t>di</t>
  </si>
  <si>
    <t>ds</t>
  </si>
  <si>
    <t>Curta Distância</t>
  </si>
  <si>
    <t>Longa Distância</t>
  </si>
  <si>
    <t>Long Haul</t>
  </si>
  <si>
    <t>Short Haul</t>
  </si>
  <si>
    <t>Domestic haul</t>
  </si>
  <si>
    <t>(DESNZ, 2023)</t>
  </si>
  <si>
    <t>Voo com Escala</t>
  </si>
  <si>
    <t>DF1.1</t>
  </si>
  <si>
    <t>DF1.2</t>
  </si>
  <si>
    <t>DF1.3</t>
  </si>
  <si>
    <t>IB1.1</t>
  </si>
  <si>
    <t>IB1.2</t>
  </si>
  <si>
    <t>IB1.3</t>
  </si>
  <si>
    <t>IB2.1</t>
  </si>
  <si>
    <t>IB2.2</t>
  </si>
  <si>
    <t>IB2.3</t>
  </si>
  <si>
    <t>IB3.1</t>
  </si>
  <si>
    <t>IB</t>
  </si>
  <si>
    <t>IB3.2</t>
  </si>
  <si>
    <t>IB3.3</t>
  </si>
  <si>
    <t>Motivo da Viagem</t>
  </si>
  <si>
    <t>DF2.1</t>
  </si>
  <si>
    <t>ED</t>
  </si>
  <si>
    <t>DF</t>
  </si>
  <si>
    <t>I</t>
  </si>
  <si>
    <t>p1</t>
  </si>
  <si>
    <t>p2</t>
  </si>
  <si>
    <t>p3</t>
  </si>
  <si>
    <t>Pesos GF</t>
  </si>
  <si>
    <t>Rótulos de Linha</t>
  </si>
  <si>
    <t>Total Geral</t>
  </si>
  <si>
    <t>Emissões, Deslocamento e Custo</t>
  </si>
  <si>
    <t>Motivações para o voo</t>
  </si>
  <si>
    <t>Barreiras Institucionais</t>
  </si>
  <si>
    <t>ED2.1</t>
  </si>
  <si>
    <t>Período</t>
  </si>
  <si>
    <t>IB - Classificação</t>
  </si>
  <si>
    <t>Ignoradora de viagens</t>
  </si>
  <si>
    <t>Reconhecedora, sem intervenção</t>
  </si>
  <si>
    <t>Substituidora de viagens aéreas</t>
  </si>
  <si>
    <t>IB 3.1</t>
  </si>
  <si>
    <t>Redutora de viagens aéreas</t>
  </si>
  <si>
    <t xml:space="preserve">IB2.1; IB2.2; IB2.3; IB3.2 </t>
  </si>
  <si>
    <t>Perfil da IES</t>
  </si>
  <si>
    <t>Emissão média por viagem</t>
  </si>
  <si>
    <t>tx de viagens com escala</t>
  </si>
  <si>
    <t>Soma de Custo da passagem</t>
  </si>
  <si>
    <t>Soma de Outros custos</t>
  </si>
  <si>
    <t>Ignoradora de viagens aéreas</t>
  </si>
  <si>
    <t>*Os fatores já incluem RF e SF</t>
  </si>
  <si>
    <t>EF</t>
  </si>
  <si>
    <t>ED2.4</t>
  </si>
  <si>
    <t>ED2.3</t>
  </si>
  <si>
    <t>Tb</t>
  </si>
  <si>
    <t>ED1</t>
  </si>
  <si>
    <t>ED2</t>
  </si>
  <si>
    <t>ED3</t>
  </si>
  <si>
    <t>Indicador</t>
  </si>
  <si>
    <t>Descrição</t>
  </si>
  <si>
    <t>Documentação Relacionada</t>
  </si>
  <si>
    <t>Contabilização do voo como parte do trabalho</t>
  </si>
  <si>
    <t>Intercâmbio sem deslocamento aéreo</t>
  </si>
  <si>
    <t>Descrição do motivo do voo</t>
  </si>
  <si>
    <t>Uso de classe econômica</t>
  </si>
  <si>
    <t>Gerenciamento, priorização e monitoramento de voos</t>
  </si>
  <si>
    <t>Programas de mitigação de emissões aéreas</t>
  </si>
  <si>
    <t>Hibridização de Eventos e Conferências</t>
  </si>
  <si>
    <t>Acesso a alternativas ao voo</t>
  </si>
  <si>
    <t>Incentivo a participações remotas</t>
  </si>
  <si>
    <t>Inventário de viagens aéreas</t>
  </si>
  <si>
    <t>Campanhas de conscientização</t>
  </si>
  <si>
    <t>Viagens aéreas como critério de seleção</t>
  </si>
  <si>
    <t>Relatório público de emissões</t>
  </si>
  <si>
    <t>IB3.4</t>
  </si>
  <si>
    <t>ED1.1.1</t>
  </si>
  <si>
    <t>ED1.1.2</t>
  </si>
  <si>
    <t>ED1.1.3</t>
  </si>
  <si>
    <t>DF1</t>
  </si>
  <si>
    <t>DF2</t>
  </si>
  <si>
    <t>IB1</t>
  </si>
  <si>
    <t>IB2</t>
  </si>
  <si>
    <t>IB3</t>
  </si>
  <si>
    <t>IB1.1; IB1.2; IB1.3; IB3.3; IB3.4</t>
  </si>
  <si>
    <t>Busca substituir viagens aéreas</t>
  </si>
  <si>
    <t>Não busca substituir viagens aéreas</t>
  </si>
  <si>
    <t>Não busca reduzir viagens aéreas</t>
  </si>
  <si>
    <t>Não faz o levantamento de viagens aéreas</t>
  </si>
  <si>
    <t>Busca reduzir viagens aéreas</t>
  </si>
  <si>
    <t>Faz o levantamento de viagens aéreas</t>
  </si>
  <si>
    <t>Situação</t>
  </si>
  <si>
    <t>João Pessoa</t>
  </si>
  <si>
    <t>Foz do Iguaçu</t>
  </si>
  <si>
    <t>Aéreo</t>
  </si>
  <si>
    <t>Brasília</t>
  </si>
  <si>
    <t>EDVALDO MESQUITA BELTRAO FILHO</t>
  </si>
  <si>
    <t>Recife</t>
  </si>
  <si>
    <t>CARLOS OCTAVIANO DE MEDEIROS MANGUEIRA</t>
  </si>
  <si>
    <t>Belo Horizonte</t>
  </si>
  <si>
    <t>Salvador</t>
  </si>
  <si>
    <t>Rio de Janeiro</t>
  </si>
  <si>
    <t>São Paulo</t>
  </si>
  <si>
    <t>Curitiba</t>
  </si>
  <si>
    <t>Porto Alegre</t>
  </si>
  <si>
    <t>Manaus</t>
  </si>
  <si>
    <t>Fortaleza</t>
  </si>
  <si>
    <t>Florianópolis</t>
  </si>
  <si>
    <t>Goiânia</t>
  </si>
  <si>
    <t>Vitória</t>
  </si>
  <si>
    <t>MARIA SORAYA PEREIRA FRANCO ADRIANO</t>
  </si>
  <si>
    <t>Campinas</t>
  </si>
  <si>
    <t>Campo Grande</t>
  </si>
  <si>
    <t>São Luís</t>
  </si>
  <si>
    <t>Guarulhos</t>
  </si>
  <si>
    <t>Ribeirão Preto</t>
  </si>
  <si>
    <t>NEIL DAVID WITTEN</t>
  </si>
  <si>
    <t>VALDINEY VELOSO GOUVEIA</t>
  </si>
  <si>
    <t>LIANA FILGUEIRA ALBUQUERQUE</t>
  </si>
  <si>
    <t>SUELLEN MARY MARINHO DOS SANTOS ANDRADE</t>
  </si>
  <si>
    <t>Lisboa</t>
  </si>
  <si>
    <t>BERLA MOREIRA DE MORAES</t>
  </si>
  <si>
    <t>EMILIA CRISTINA FERREIRA DE BARROS</t>
  </si>
  <si>
    <t>PAULO DE TARSO COSTA HENRIQUES</t>
  </si>
  <si>
    <t>000240/23</t>
  </si>
  <si>
    <t>THIAGO SANTOS DA SILVA</t>
  </si>
  <si>
    <t>ANDRE GUSTAVO CARVALHO MACHADO</t>
  </si>
  <si>
    <t>000329/23</t>
  </si>
  <si>
    <t>KARLA KATIUSCIA NOBREGA DE ALMEIDA</t>
  </si>
  <si>
    <t>000348/23</t>
  </si>
  <si>
    <t>EDSON FERREIRA DE ARAUJO</t>
  </si>
  <si>
    <t>Maringá</t>
  </si>
  <si>
    <t>000393/23</t>
  </si>
  <si>
    <t>PRISCILLA GONTIJO LEITE</t>
  </si>
  <si>
    <t>PALOMA RODRIGUES DUARTE DA NOBREGA</t>
  </si>
  <si>
    <t>000407/23</t>
  </si>
  <si>
    <t>MARCIA CRISTINA SILVA PAIXAO</t>
  </si>
  <si>
    <t>Piracicaba</t>
  </si>
  <si>
    <t>000422/23</t>
  </si>
  <si>
    <t>LUIZ GUSTAVO AZEVEDO CARVALHO PIMENTEL</t>
  </si>
  <si>
    <t>000432/23</t>
  </si>
  <si>
    <t>PRISCILA OLIVEIRA COSTA SILVA</t>
  </si>
  <si>
    <t>000435/23</t>
  </si>
  <si>
    <t>000450/23</t>
  </si>
  <si>
    <t>ANGELA DE OLIVEIRA CARNEIRO</t>
  </si>
  <si>
    <t>Petrolina</t>
  </si>
  <si>
    <t>000452/23</t>
  </si>
  <si>
    <t>MARIA FATIMA DE SOUSA</t>
  </si>
  <si>
    <t>000457/23</t>
  </si>
  <si>
    <t>ROBERTA MENESES OLIVEIRA</t>
  </si>
  <si>
    <t>000466/23</t>
  </si>
  <si>
    <t>000472/23</t>
  </si>
  <si>
    <t>CARLOS ALBERTO OLIVEIRA BONIFACIO JUNIOR</t>
  </si>
  <si>
    <t>Distância média por viagem</t>
  </si>
  <si>
    <t xml:space="preserve"> </t>
  </si>
  <si>
    <t>Total de distância percorrida</t>
  </si>
  <si>
    <t>Total de emissões (KgCO2e)</t>
  </si>
  <si>
    <t>Total de viagens com escala</t>
  </si>
  <si>
    <t>Custo total com Passagens</t>
  </si>
  <si>
    <t>Total de Viagens (econômica)</t>
  </si>
  <si>
    <t>Taxa de viagens Econômica</t>
  </si>
  <si>
    <t>Análise de Emissões</t>
  </si>
  <si>
    <t>Análise do Deslocamento</t>
  </si>
  <si>
    <t>Análise dos Custos</t>
  </si>
  <si>
    <t>Incentivo à hipermobilidade</t>
  </si>
  <si>
    <t>Propósitos do voo</t>
  </si>
  <si>
    <t>Restrições</t>
  </si>
  <si>
    <t>Incentivo</t>
  </si>
  <si>
    <t>Mudança Organizacional</t>
  </si>
  <si>
    <t>Distância (km)</t>
  </si>
  <si>
    <t>Instrução Normativa Nº 01, de janeiro de 2020</t>
  </si>
  <si>
    <r>
      <t>Art. 2º Todas as viagens, no interesse da Administração, no âmbito da UFPB, d</t>
    </r>
    <r>
      <rPr>
        <b/>
        <i/>
        <sz val="11"/>
        <color theme="1"/>
        <rFont val="Calibri"/>
        <family val="2"/>
        <scheme val="minor"/>
      </rPr>
      <t>everão ser registradas no Sistema de Concessão de Diárias e Passagens - SCDP</t>
    </r>
    <r>
      <rPr>
        <sz val="11"/>
        <color theme="1"/>
        <rFont val="Calibri"/>
        <family val="2"/>
        <scheme val="minor"/>
      </rPr>
      <t>, devendo ser observado o Manual do Usuário do Sistema, desenvolvido pelo Ministério da Economia e disponível na página principal de Acesso ao SCDP.</t>
    </r>
  </si>
  <si>
    <r>
      <t xml:space="preserve">Art. 3º Para fins desta Portaria, consideram-se: (...) II - Proposto: aquele que realizará </t>
    </r>
    <r>
      <rPr>
        <b/>
        <i/>
        <sz val="11"/>
        <color theme="1"/>
        <rFont val="Calibri"/>
        <family val="2"/>
        <scheme val="minor"/>
      </rPr>
      <t>o afastamento a serviço, nacional ou internacional, no interesse da Administração Pública,</t>
    </r>
    <r>
      <rPr>
        <sz val="11"/>
        <color theme="1"/>
        <rFont val="Calibri"/>
        <family val="2"/>
        <scheme val="minor"/>
      </rPr>
      <t xml:space="preserve"> o qual se responsabiliza pela fidelidade das informações fornecidas; (...)</t>
    </r>
  </si>
  <si>
    <t>Score</t>
  </si>
  <si>
    <t>Art. 15º O Solicitante de Viagem, ao cadastrar a PCDP no SCDP, deve incluir os dados
exigidos e anexar os seguintes documentos:
I – Formulário de requisição de diárias e passagens obrigatório devidamente preenchido,
conforme modelo constante no endereço eletrônico da Pró-Reitoria de Administração
(PRA);
II - convite;
III - programação da missão;
IV - documentação que comprove a participação em atividades que exijam a realização
de trechos com embarque e desembarque em locais distintos (quando houver);</t>
  </si>
  <si>
    <t>Art. 19º As solicitações de deslocamentos que se iniciarem em sextas-feiras, bem como as que incluam sábados, domingos e feriados deverão ser expressamente justificadas, realizando-se com estrita finalidade pública. Parágrafo único. É vedada a solicitação de viagem em data não condizente com a participação do servidor no evento.</t>
  </si>
  <si>
    <t>Transcrição</t>
  </si>
  <si>
    <t>Considerações sobre a pontuação dada</t>
  </si>
  <si>
    <r>
      <t xml:space="preserve">Art. 21º(...) I - </t>
    </r>
    <r>
      <rPr>
        <b/>
        <i/>
        <sz val="11"/>
        <color theme="1"/>
        <rFont val="Calibri"/>
        <family val="2"/>
        <scheme val="minor"/>
      </rPr>
      <t>a escolha do voo deve recair prioritariamente em percursos de menor duração, evitando-se, sempre que possível, trechos com escalas e conexões</t>
    </r>
    <r>
      <rPr>
        <sz val="11"/>
        <color theme="1"/>
        <rFont val="Calibri"/>
        <family val="2"/>
        <scheme val="minor"/>
      </rPr>
      <t>;</t>
    </r>
  </si>
  <si>
    <r>
      <t>V - A escolha da tarifa deve privilegiar o menor preço, identificado entre os voos disponíveis na data de realização da pesquisa de passagens,</t>
    </r>
    <r>
      <rPr>
        <b/>
        <i/>
        <sz val="11"/>
        <color theme="1"/>
        <rFont val="Calibri"/>
        <family val="2"/>
        <scheme val="minor"/>
      </rPr>
      <t xml:space="preserve"> prevalecendo, sempre que possível, a tarifa em classe econômica</t>
    </r>
  </si>
  <si>
    <t>Art. 21º(...)  Parágrafo único. É vedada a emissão de bilhete em data não condizente com a participação do servidor no evento.</t>
  </si>
  <si>
    <t>Art. 3º Para fins desta Portaria, consideram-se: I- Proposta de Concessão de Diárias e Passagens cadastrada - PCDP: proposta cadastrada no SCDP, em que deverão constar os dados do proposto, as informações do deslocamento, as justificativas da missão, os documentos comprobatórios da demanda e os dados financeiros;</t>
  </si>
  <si>
    <t>Art. 38º A participação de servidores em feiras, fóruns, seminários, congressos, simpósios, grupos de trabalho e outros eventos será de, no máximo, dois representantes para eventos no país e um representante para eventos no exterior, por unidade ou entidade vinculada.</t>
  </si>
  <si>
    <t>PROFESSOR DO MAGISTERIO SUPERIOR</t>
  </si>
  <si>
    <t>CD-0002</t>
  </si>
  <si>
    <t>Cargo Comissionado de Direção</t>
  </si>
  <si>
    <t>Não</t>
  </si>
  <si>
    <t>Realizada</t>
  </si>
  <si>
    <t>NÃO</t>
  </si>
  <si>
    <t>Sem informação</t>
  </si>
  <si>
    <t>Sim</t>
  </si>
  <si>
    <t>***.323.024-**</t>
  </si>
  <si>
    <t>-1</t>
  </si>
  <si>
    <t>***.051.554-**</t>
  </si>
  <si>
    <t>CD-0001</t>
  </si>
  <si>
    <t>SIM</t>
  </si>
  <si>
    <t>FG-0001</t>
  </si>
  <si>
    <t>***.235.814-**</t>
  </si>
  <si>
    <t>***.854.654-**</t>
  </si>
  <si>
    <t>PROFESSOR ENS BASICO TECN TECNOLOGICO</t>
  </si>
  <si>
    <t>CD-0003</t>
  </si>
  <si>
    <t>Conforme justificativa anexa.</t>
  </si>
  <si>
    <t>FG-0003</t>
  </si>
  <si>
    <t/>
  </si>
  <si>
    <t>***.247.744-**</t>
  </si>
  <si>
    <t>PROCURADOR FEDERAL</t>
  </si>
  <si>
    <t>CD-0004</t>
  </si>
  <si>
    <t>***.108.354-**</t>
  </si>
  <si>
    <t>FG-0002</t>
  </si>
  <si>
    <t>***.567.773-**</t>
  </si>
  <si>
    <t>***.705.284-**</t>
  </si>
  <si>
    <t>Conforme justificativa em anexo.</t>
  </si>
  <si>
    <t>***.147.624-**</t>
  </si>
  <si>
    <t>***.868.157-**</t>
  </si>
  <si>
    <t>Ensaiar e reger a Orquestra Sinfônica da Universidade Federal da Paraíba - OSUFPB - para concerto alusivo aos 10 anos de sua existência.</t>
  </si>
  <si>
    <t>justificativa em anexo.</t>
  </si>
  <si>
    <t>PROFESSOR MAGISTERIO SUPERIOR-SUBSTITUTO</t>
  </si>
  <si>
    <t>MEDICO VETERINARIO</t>
  </si>
  <si>
    <t>FUC-0001</t>
  </si>
  <si>
    <t>ASSISTENTE EM ADMINISTRAçãO</t>
  </si>
  <si>
    <t>***.363.465-**</t>
  </si>
  <si>
    <t>***.687.994-**</t>
  </si>
  <si>
    <t>Apresentação de 02 artigos científicos de minha co-autoria no 23° USP INTERNATIONAL CONFERENCE ON ACCOUNTING E 20° CONGRESSO USP DE INICIAÇÃO CIENTÍFICA EM CONTABILIDADE - PRESENCIAL</t>
  </si>
  <si>
    <t>***.778.616-**</t>
  </si>
  <si>
    <t>Participação da Plenária de Coordenadores do ProfHistória que reúne duas vezes por ano. Esta será a primeira plenária que tem como finalidade de debater e deliberar sobre temas e questões pertinentes ao ProfHistória, propostos pela Comissão Acadêmica Nacional e ou pelas Comissões Acadêmicas Locais. Participação do 32º Simpósio Nacional de História da ANPUH com a comunicação 'Ensino de História Antiga e gamificação para a aprendizagem das formas de governo'.</t>
  </si>
  <si>
    <t>***.795.756-**</t>
  </si>
  <si>
    <t>Participar como um dos convidados especiais do PPGM/UFPB para participar do 6º Festival Internacional de Música de Câmara PPGM/UFPB, no período de 09 a 19/08/2023, em João Pessoa/PB</t>
  </si>
  <si>
    <t>***.834.974-**</t>
  </si>
  <si>
    <t>PROPOSTO APRESENTARÁ TRABALHO NO 20º CONGRESSO USP DE INICIAÇÃO CIENTÍFICA EM CONTABILIDADE, QUE OCORRERÁ EM SÃO PAULO, ENTRE 26 E 28 DE JULHO DE 2023.</t>
  </si>
  <si>
    <t>***.000.000-**</t>
  </si>
  <si>
    <t>Participação no 6º Festival Internacional de Música de Câmara PPGM-UFPB, em João Pessoa/PB, de 11 a 19/08/2023.</t>
  </si>
  <si>
    <t>***.961.302-**</t>
  </si>
  <si>
    <t>Participação do Congresso Nacional da SOBER - Sociedade Brasileira de Economia, Administração e Sociologia Rural como apresentadora de trabalhos, caso o primeiro autor não possa comparecer ao evento. ? Participação do evento como um todo na condição de congressista. Participação da Assembleia Geral da SOBER como componente do seu Conselho Fiscal.</t>
  </si>
  <si>
    <t>***.270.137-**</t>
  </si>
  <si>
    <t>AUDITOR</t>
  </si>
  <si>
    <t>***.464.914-**</t>
  </si>
  <si>
    <t>O PROPOSTO IRÁ PARTICIPAR DO 22° CONGRESSO DA FUNDAÇÃO OTORRINOLARINGOLOGIA, QUE OCORRERÁ NO CENTRO DE CONVENÇÕES FREI CANECA (SÃO PAULO/SP), NOS DIAS 24 A 26 DE AGOSTO DE 2023.</t>
  </si>
  <si>
    <t>***.518.375-**</t>
  </si>
  <si>
    <t>O PROPOSTO IRÁ PARTICIPAR COMO MEMBRO DE BANCA DE CONCURSO PÚBLICO DO DEPARTAMENTO DE ENFERMAGEM CLÍNICA</t>
  </si>
  <si>
    <t>000546/23</t>
  </si>
  <si>
    <t>***.219.784-**</t>
  </si>
  <si>
    <t>WENNER GLAUCIO LOPES LUCENA</t>
  </si>
  <si>
    <t>Participação com aprovação de artigo científico no USP Internacional Conference in Accounting da Universidade de São Paulo - USP que será realizado nos dias 26 a 28 de julho de 2023.</t>
  </si>
  <si>
    <t>000532/23</t>
  </si>
  <si>
    <t>***.103.474-**</t>
  </si>
  <si>
    <t>HIDELBRANDO JOSE FARKAT DIOGENES</t>
  </si>
  <si>
    <t>Trata-se da participação em evento científico internacional, a fim de divulgar resultados parciais do doutoramento de Lays Costa, aluna do PPGECAM sob orientação do Prof. Hidelbrando José Farkat Diógenes.</t>
  </si>
  <si>
    <t>Santiago</t>
  </si>
  <si>
    <t>A viagem só pode ser cadastrada nesta data devido ao recurso do PROAP destinado ao pagamento da despesa só foi liberado dia 05/07 e estávamos aguardando, também, a realização do empenho específico.</t>
  </si>
  <si>
    <t>***.187.354-**</t>
  </si>
  <si>
    <t>***.105.073-**</t>
  </si>
  <si>
    <t>Participar do 20º Prêmio Destaque na Iniciação Científica e Tecnológica - PICT, em Curitiba/PR, no dia 24/07/2023 e da CXCIV Reunião Ordinária do Conselho Pleno da Andifes, a ser realizada na UFPR, em Curitiba/PR, nos dias 27 e 28 de julho de 2023.</t>
  </si>
  <si>
    <t>Em função da alteração da data de reunião pelo MEC no dia 13/07/2023, conforme justificativa anexa.</t>
  </si>
  <si>
    <t>***.888.244-**</t>
  </si>
  <si>
    <t>PROPOSTO APRESENTARÁ TRABALHO NO 25º FONEPE, QUE OCORRERÁ EM DOURADOS (MS), ENTRE OS DIAS 14,15 E 16 DE JULHO.</t>
  </si>
  <si>
    <t>Tendo em vista problemas na emissão da passagem terrestre, a viagem entrou em período de urgência.</t>
  </si>
  <si>
    <t>000477/23</t>
  </si>
  <si>
    <t>***.840.844-**</t>
  </si>
  <si>
    <t>HEMILIO FERNANDES CAMPOS COELHO</t>
  </si>
  <si>
    <t>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t>
  </si>
  <si>
    <t>Londrina</t>
  </si>
  <si>
    <t>000480/23</t>
  </si>
  <si>
    <t>***.447.734-**</t>
  </si>
  <si>
    <t>ANA HERMINIA ANDRADE E SILVA</t>
  </si>
  <si>
    <t>000484/23</t>
  </si>
  <si>
    <t>***.028.207-**</t>
  </si>
  <si>
    <t>MARCELO FERNANDES</t>
  </si>
  <si>
    <t>Ministrar um mini-curso e seminário acadêmico no PPGE/CCSA, nos dias 06 e 07 de julho de 2023.</t>
  </si>
  <si>
    <t>Aguardava-se a liberação dos recurso do PROAP, por essa razão, não foi solicitado antes.</t>
  </si>
  <si>
    <t>000491/23</t>
  </si>
  <si>
    <t>***.514.605-**</t>
  </si>
  <si>
    <t>ILKA DIAS BICHARA</t>
  </si>
  <si>
    <t>Participar como membro efetivo em banca examinadora de Concurso Público na área de Psicologia do Desenvolvimento Infantil, Edital nº 57/2022/UFPB.</t>
  </si>
  <si>
    <t>000481/23-3C</t>
  </si>
  <si>
    <t>Participar do I ENCONTRO NACIONAL DE CULTURA &amp; ARTE NAS UNIVERSIDADES FEDERAIS BRASILEIRAS, em Salvador/BA, no período de 03 a 05/07/2023</t>
  </si>
  <si>
    <t>0 convite para participar do evento chegou fora do prazo, conforme justificativa no formulário de solicitação</t>
  </si>
  <si>
    <t>000507/23</t>
  </si>
  <si>
    <t>***.042.567-**</t>
  </si>
  <si>
    <t>VERA MARIA RAMOS DE VASCONCELLOS</t>
  </si>
  <si>
    <t>000488/23</t>
  </si>
  <si>
    <t>***.260.334-**</t>
  </si>
  <si>
    <t>EVERLANE SUANE DE ARAUJO DA SILVA</t>
  </si>
  <si>
    <t>Participação e apresentação em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t>
  </si>
  <si>
    <t>000545/23</t>
  </si>
  <si>
    <t>***.591.764-**</t>
  </si>
  <si>
    <t>ROBERIO DANTAS DE FRANCA</t>
  </si>
  <si>
    <t>Participação no evento USP Internacional Conference in Accounting da Universidade de São Paulo - USP que será realizado nos dias 26 a 28 de julho de 2023, em São Paulo-SP.</t>
  </si>
  <si>
    <t>000544/23</t>
  </si>
  <si>
    <t>***.079.524-**</t>
  </si>
  <si>
    <t>DIMAS BARRETO DE QUEIROZ</t>
  </si>
  <si>
    <t>000599/23</t>
  </si>
  <si>
    <t>Participação com aprovação de artigo científico no XLVII Encontro da ANPAD - EnANPAD 2023 que será realizado nos dias 26 a 28 de setembro de 2023</t>
  </si>
  <si>
    <t>000565/23</t>
  </si>
  <si>
    <t>Participação da reunião de coordenadores de programas de pós-graduação das Regiões Norte, Nordeste e Centro-Oeste da área de Administração Pública e de Empresas, Ciências Contábeis e Turismo (área 27).</t>
  </si>
  <si>
    <t>000567/23</t>
  </si>
  <si>
    <t>Participação da reunião de coordenadores de programas de pós-graduação da área de Administração Pública e de Empresas, Ciências Contábeis e Turismo (área 27). O Seminário consiste em reunião dos coordenadores de área para fins de discutir e planejar, em conjunto, as metas e diretrizes da área para fins de avaliação. Além disso, esta será uma oportunidade para compartilhamento de experiências e análise do desempenho dos programas nos dois primeiros anos do quadriênio.</t>
  </si>
  <si>
    <t>000508/23</t>
  </si>
  <si>
    <t>***.731.370-**</t>
  </si>
  <si>
    <t>SERGIO BOTTON BARCELLOS</t>
  </si>
  <si>
    <t>Participação no 21º Congresso Brasileiro de Sociologia para mediação de um Comitê de Pesquisa e apresentação de um trabalho em GT. Ao mesmo tempo irei representando o PPGS-UFOB como coordenador na Plenária de Programas da área de Sociologia.</t>
  </si>
  <si>
    <t>Belém</t>
  </si>
  <si>
    <t>Recurso PROAP não foi disponibilizado com antecedência.</t>
  </si>
  <si>
    <t>000509/23</t>
  </si>
  <si>
    <t>***.585.343-**</t>
  </si>
  <si>
    <t>TERESA CRISTINA FURTADO MATOS</t>
  </si>
  <si>
    <t>Participação no 21º Congresso Brasileiro de Sociologia, com apresentação de trabalho no GT 10 do evento.</t>
  </si>
  <si>
    <t>PROAP não foi liberado anteriormente.</t>
  </si>
  <si>
    <t>000529/23</t>
  </si>
  <si>
    <t>***.374.464-**</t>
  </si>
  <si>
    <t>YURI WANDERLEY CAVALCANTI</t>
  </si>
  <si>
    <t>Apresentar trabalho na 40ª Reunião Anual da SBPqO e participar da Reunião de Coordenadores de Programas de Pós-Graduação em Odontologia</t>
  </si>
  <si>
    <t>000530/23</t>
  </si>
  <si>
    <t>***.221.594-**</t>
  </si>
  <si>
    <t>LEOPOLDINA DE FATIMA DANTAS DE ALMEIDA CAVALCANTI</t>
  </si>
  <si>
    <t>Participar da 40ª reunião anual da Sociedade Brasileira de Pesquisa Odontológica, na qual apresentará trabalhos e dará suporte aos alunos de pós-graduação que também tiveram seus resumos aprovados.</t>
  </si>
  <si>
    <t>000531/23</t>
  </si>
  <si>
    <t>Participar de seminário de meio termo da área de Odontologia da CAPES</t>
  </si>
  <si>
    <t>000592/23</t>
  </si>
  <si>
    <t>***.508.956-**</t>
  </si>
  <si>
    <t>VITOR SOMMAVILLA DE SOUZA BARROS</t>
  </si>
  <si>
    <t>Participar como palestrante do evento 13th Principia International Symposium, em Florianópolis/SC.</t>
  </si>
  <si>
    <t>000542/23</t>
  </si>
  <si>
    <t>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t>
  </si>
  <si>
    <t>000541/23</t>
  </si>
  <si>
    <t>***.932.194-**</t>
  </si>
  <si>
    <t>ANA CAROLINA KRUTA DE ARAUJO BISPO</t>
  </si>
  <si>
    <t>A PROFESSORA SUBMETEMEU ARTIGOS QUE FORAM APROVADOS PARA APRESENTAÇÃO NO EVENTO ENANPAD 2023. ESTE É UM EVENTO CIENTÍFICO NACIONAL, RELEVANTE PARA A ÁREA DE AVALIAÇÃO DO PROGRAMA, NA QUAL A PARTICIPAÇÃO REPRESENTA OPORTUNIDADE RELEVANTE DE INTERAÇÃO ACADÊMICA PARA DISCENTES E DOCENTES.</t>
  </si>
  <si>
    <t>000543/23</t>
  </si>
  <si>
    <t>***.338.008-**</t>
  </si>
  <si>
    <t>RAFAEL AIELLO BOMFIM</t>
  </si>
  <si>
    <t>Docente ministrará curso acerca de Ciência da Implementação. Além disso, participará de atividades do programa de pós-graduação em Odontologia (disciplinas de Seminários em Saúde Bucal Coletiva, e Seminários Avançados em Saúde Bucal Coletiva). Ministrará palestra em evento a ser realizado no dia 01/12.</t>
  </si>
  <si>
    <t>000563/23</t>
  </si>
  <si>
    <t>***.842.844-**</t>
  </si>
  <si>
    <t>ANIELSON BARBOSA DA SILVA</t>
  </si>
  <si>
    <t>O PROFESSOR SUBMETEU ARTIGOS QUE FORAM APROVADOS PARA APRESENTAÇÃO NO EVENTO ENANPAD 2023. ESTE É UM EVENTO CIENTÍFICO NACIONAL, RELEVANTE PARA A ÁREA DE AVALIAÇÃO DO PROGRAMA, NA QUAL A PARTICIPAÇÃO REPRESENTA OPORTUNIDADE RELEVANTE DE INTERAÇÃO ACADÊMICA PARA DISCENTES E DOCENTES.</t>
  </si>
  <si>
    <t>000547/23</t>
  </si>
  <si>
    <t>***.265.564-**</t>
  </si>
  <si>
    <t>CASSIO NUNES DOS ANJOS</t>
  </si>
  <si>
    <t>O proposto apresentará o artigo 'Oil proce forecast: a comparison between ARIMA, LSTM and ARI-MA-LSTM models' no XXIII Encontro Brasileiro de Finanças(EBFIN), que ocorrerá na cidade de São Paulo e também apresentará artigo na XX Escola de Séries Temporais e Econometria (ESTE), na cidade de Florianópolis-SC.</t>
  </si>
  <si>
    <t>O pedido de viagem se deu no prazo correto, mas as intercorrências que têm atrasado o processamento da PCDP.</t>
  </si>
  <si>
    <t>000561/23</t>
  </si>
  <si>
    <t>***.427.978-**</t>
  </si>
  <si>
    <t>MARCELO DE SOUZA BISPO</t>
  </si>
  <si>
    <t>O Coordenador irá participar de uma reunião convidado pela Capes juntamente com todos os coordenadores de pós-graduação das Regiões Norte, Nordeste e Centro-Oeste da área de Administração Pública e de Empresas, Ciências Contábeis e Turismo (área 27).</t>
  </si>
  <si>
    <t>000562/23</t>
  </si>
  <si>
    <t>***.493.144-**</t>
  </si>
  <si>
    <t>DIANA LUCIA TEIXEIRA DE CARVALHO</t>
  </si>
  <si>
    <t>Trata-se de evento científico nacional, importante para a área de avaliação do Programa, na qual a participação representa oportunidade relevante de interação acadêmica. Por essa razão solicito passagens/diárias para que a Professora participe e apresente os resultados de suas pesquisas.</t>
  </si>
  <si>
    <t>000569/23</t>
  </si>
  <si>
    <t>***.530.354-**</t>
  </si>
  <si>
    <t>LUCIANA CORDEIRO DO NASCIMENTO</t>
  </si>
  <si>
    <t>REUNIÃO DE MEIO TERMO DE COORDENADORES DE PÓS-GRADUAÇÃO DA GRANDE ÁREA DE CIÊNCIAS AGRARIAS I NA CAPES - BRASÍLIA-DF.</t>
  </si>
  <si>
    <t>001029/23</t>
  </si>
  <si>
    <t>***.076.830-**</t>
  </si>
  <si>
    <t>JULIELE MARIA SIEVERS</t>
  </si>
  <si>
    <t>Participar como palestrante convidada do I Encontro de Filosofia e Normatividades Práticas.</t>
  </si>
  <si>
    <t>Maceió</t>
  </si>
  <si>
    <t>000564/23</t>
  </si>
  <si>
    <t>***.066.024-**</t>
  </si>
  <si>
    <t>JOSE JORGE LIMA DIAS JUNIOR</t>
  </si>
  <si>
    <t>000604/23</t>
  </si>
  <si>
    <t>***.500.494-**</t>
  </si>
  <si>
    <t>SAVIO ROBERTO FONSECA DE FREITAS</t>
  </si>
  <si>
    <t>Participação, com apresentação de trabalho, no Congresso AFROLIC, na UFES, de 28/11 a 30/11/2023.</t>
  </si>
  <si>
    <t>000583/23</t>
  </si>
  <si>
    <t>***.953.498-**</t>
  </si>
  <si>
    <t>THIAGO LIMA DA SILVA</t>
  </si>
  <si>
    <t>O servidor irá participar do evento com Líder de Tema e apresentador de artigo. Trata-se de evento científico nacional, importante para a área de avaliação do Programa, na qual a participação representa oportunidade relevante de interação acadêmica. Por essa razão solicito passagens para que o Professor participe e apresente os resultados de suas pesquisas.</t>
  </si>
  <si>
    <t>000588/23</t>
  </si>
  <si>
    <t>Trata-se de participação para a reunião de coordenadores de programas de pós-graduação das Regiões Norte, Nordeste e Centro-Oeste da área de Administração Pública e de Empresas, Ciências Contábeis e Turismo (área 27), que acontecerá no dia 07 de agosto de 2023, das 9h00 às 18h00, em Salvador/BA, na Escola de Administração da Universidade Federal da Bahia (EAUFBA).</t>
  </si>
  <si>
    <t>000625/23</t>
  </si>
  <si>
    <t>***.837.834-**</t>
  </si>
  <si>
    <t>RENATA DA SILVA LEITE</t>
  </si>
  <si>
    <t>FARMACEUTICO</t>
  </si>
  <si>
    <t>O Congresso está relacionado com área de tecnologia e produção de medicamentos, sendo importante a participação da Diretoria de Pesquisas Tecnológicas do IPeFarM no referido evento, além disso, o IPeFarM faz parte da Associação dos Laboratórios Farmacêuticos Oficiais do Brasil (ALFOB) que está promovendo o I Congresso dos Laboratórios Farmacêuticos Oficiais do Brasil.</t>
  </si>
  <si>
    <t>000600/23</t>
  </si>
  <si>
    <t>***.215.814-**</t>
  </si>
  <si>
    <t>HELEN SILVA GONCALVES</t>
  </si>
  <si>
    <t>EnANPAD 2023 - Apresentação de um artigo científico e participação em evento científico.</t>
  </si>
  <si>
    <t>000601/23</t>
  </si>
  <si>
    <t>***.096.714-**</t>
  </si>
  <si>
    <t>FRANCISCO HUMBERTO XAVIER JUNIOR</t>
  </si>
  <si>
    <t>Recebimento do prêmio da 20ª edição do Destaque na Iniciação Científica e Tecnológica entregue pelo presidente do Conselho Nacional de Desenvolvimento Científico e Tecnológico (CNPq), o qual foi concedido a premiação na categoria Iniciação Tecnológica na área das Ciências da Vida para a aluna Ana Flávia Chaves Uchôa, sob minha orientação (anexo I), e será entregue na 75ª Reunião Anual da Sociedade Brasileira para o Progresso da Ciência (SBPC) entre os dias 23 a 29 de julho na Universidade Federal do Paraná (UFPR), em Curitiba</t>
  </si>
  <si>
    <t>Formulário em anexo</t>
  </si>
  <si>
    <t>000603/23</t>
  </si>
  <si>
    <t>***.417.494-**</t>
  </si>
  <si>
    <t>FLAVIO PEREIRA DE OLIVEIRA</t>
  </si>
  <si>
    <t>Seminário de Meio Termo, organizado pela Coordenação de Aperfeiçoamento de Pessoal de Nível Superior - CAPES, para Coordenadores de Pós-Graduação de Ciências Agrárias I</t>
  </si>
  <si>
    <t>000629/23</t>
  </si>
  <si>
    <t>***.334.884-**</t>
  </si>
  <si>
    <t>CONCEICAO CRISTINA PEREIRA DA SILVA</t>
  </si>
  <si>
    <t>PEDAGOGO-AREA</t>
  </si>
  <si>
    <t>Convite para as Oficinas de Formação na Metodologia Acesso, Permanência e Êxito do Programa Mulheres Mil.</t>
  </si>
  <si>
    <t>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t>
  </si>
  <si>
    <t>000647/23</t>
  </si>
  <si>
    <t>***.472.784-**</t>
  </si>
  <si>
    <t>EVANDRO LEITE DE SOUZA</t>
  </si>
  <si>
    <t>Participação no 32º Congresso Brasileiro de Microbiologia a ser realizado na cidade Foz do Iguaçu (Paraná) no período de 18 a 22/10/2023 na qualidade de palestrante.</t>
  </si>
  <si>
    <t>000654/23</t>
  </si>
  <si>
    <t>***.978.257-**</t>
  </si>
  <si>
    <t>LUIZ MOREIRA COELHO JUNIOR</t>
  </si>
  <si>
    <t>Participação no Seminário de Meio Termo dos programas de Pós-graduação da área de ENGENHARIAS III da CAPES, no período de 09 e 10 de outubro de 2022, na cidade de Brasília.</t>
  </si>
  <si>
    <t>000663/23</t>
  </si>
  <si>
    <t>***.907.210-**</t>
  </si>
  <si>
    <t>DANIELA MARIA SEGABINAZI</t>
  </si>
  <si>
    <t>Participar do VII Congresso Internacional de Literatura Infantil e Juvenil e organização do evento.</t>
  </si>
  <si>
    <t>000627/23</t>
  </si>
  <si>
    <t>***.919.154-**</t>
  </si>
  <si>
    <t>SANDRA CRISTINA MORAES DE SOUZA</t>
  </si>
  <si>
    <t>Participar de Oficina na formação na Metodologia Acesso, Permanência e Êxito no Programa Mulheres Mil no período de 24 a 28 de julho de 2023 em Brasília-DF.</t>
  </si>
  <si>
    <t>De acordo com a justificativa anexa.</t>
  </si>
  <si>
    <t>000630/23</t>
  </si>
  <si>
    <t>***.744.854-**</t>
  </si>
  <si>
    <t>IRIS BRAZ DA SILVA ARAUJO</t>
  </si>
  <si>
    <t>000667/23</t>
  </si>
  <si>
    <t>***.720.987-**</t>
  </si>
  <si>
    <t>NELSON MACULAN FILHO</t>
  </si>
  <si>
    <t>Reunião de pesquisa com o grupo de pesquisa em Otimização do PPGI, no período de 7 a 8 de agosto, dando continuidades às pesquisas em Programação Geométrica na sua parceria com o Professor Roberto Quirino</t>
  </si>
  <si>
    <t>Foi necessário solicitar o empenho de diárias, o que se deu na data de 24/07/2023.</t>
  </si>
  <si>
    <t>000646/23</t>
  </si>
  <si>
    <t>***.732.124-**</t>
  </si>
  <si>
    <t>JOSE LUIZ DE BRITO ALVES</t>
  </si>
  <si>
    <t>Participar do Seminário de Meio Termo na CAPES é de fundamental importância para que possa acompanhar o andamento do programa que coordena e traçar planejamento estratégico alinhado com o desempenho que será apresentado pela coordenação de área.</t>
  </si>
  <si>
    <t>000722/23</t>
  </si>
  <si>
    <t>***.743.654-**</t>
  </si>
  <si>
    <t>SINARA PEREIRA FRAGOSO</t>
  </si>
  <si>
    <t>ENGENHEIRO-AREA</t>
  </si>
  <si>
    <t>Participação no Simpósio Latino Americano de Ciência de Alimentos e Nutrição 15 SLACAN, como Servidora do quadro Técnico do Departamento de Engenharia de Alimento, e Apresentação de Trabalhos Científicos a ser apresentado de forma oral e em Banner, trabalhos estes desenvolvidos no curso de Engenharia de Alimentos desse departamento.</t>
  </si>
  <si>
    <t>000696/23</t>
  </si>
  <si>
    <t>***.374.698-**</t>
  </si>
  <si>
    <t>REGINA STELA CORREA VIEIRA</t>
  </si>
  <si>
    <t>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t>
  </si>
  <si>
    <t>000660/23</t>
  </si>
  <si>
    <t>Participar da Cerimônia de Transmissão de Cargos de Reitor e Vice-Reitora da Universidade Federal do Rio de Janeiro, no Rio de Janeiro/RJ, no dia 04/08/2023.</t>
  </si>
  <si>
    <t>Em razão da agenda da Reitoria, somente na data de 20/07/2023, proposto confirmou a ida, conforme justificativa no item 7 do Formulário de Solicitação.</t>
  </si>
  <si>
    <t>000651/23</t>
  </si>
  <si>
    <t>***.472.650-**</t>
  </si>
  <si>
    <t>VANESSA NEVES RIAMBAU PINHEIRO</t>
  </si>
  <si>
    <t>Participar da IV Congresso Internacional da AFROLIC.</t>
  </si>
  <si>
    <t>000763/23</t>
  </si>
  <si>
    <t>***.054.968-**</t>
  </si>
  <si>
    <t>HELOISA BRITO DE ALBUQUERQUE COSTA</t>
  </si>
  <si>
    <t>Participar de reunião em 16/09, da APFPB (Associação do Professores de Francês da Paraíba) e como palestrante convidada da II Jornada de Estudos LEA a se realizar nos dias 18 e 19 de setembro de 2023.</t>
  </si>
  <si>
    <t>000677/23</t>
  </si>
  <si>
    <t>***.134.274-**</t>
  </si>
  <si>
    <t>FABRINA TAYANE GUEDES FARIAS</t>
  </si>
  <si>
    <t>PROPOSTO IRÁ PARTICIPAR DA II CONFERÊNCIA INTERNACIONAL DA CANNABIS MEDICINAL, NO CENTRO DE CONVENÇÕES FREI CANECA, NA CIDADE DE SÃO PAULO, NO PERÍODO DE 4 A 5 DE AGOSTO DO CORRENTE ANO, ONDE IRÁ APRESENTAR TRABALHO COMO ATIVIDADE ACADÊMICA DO SEU CURSO NA UFPB.</t>
  </si>
  <si>
    <t>O PROPOSTO APENAS CONSEGUIU A CARTA DE ACEITE DO EVENTO JÁ DENTRO DO PERÍODO DE VIAGEM URGENTE.</t>
  </si>
  <si>
    <t>000665/23</t>
  </si>
  <si>
    <t>Trata-se da participação no Seminário de Meio Termo da CAPES, representando o PPGECAM.</t>
  </si>
  <si>
    <t>000676/23</t>
  </si>
  <si>
    <t>***.349.934-**</t>
  </si>
  <si>
    <t>JOAO AURILIO CARDOSO DE MORAES</t>
  </si>
  <si>
    <t>000683/23</t>
  </si>
  <si>
    <t>***.597.068-**</t>
  </si>
  <si>
    <t>SERGIO ROBERTO SILVEIRA</t>
  </si>
  <si>
    <t>Participar como Palestrante no II CONGRESSO DE INCLUSÃO E ACESSBILIDADE DA UFPB a ser realizado nos dias 20, 21 e 22 de setembro de 2023, em João Pessoa/PB.</t>
  </si>
  <si>
    <t>000679/23</t>
  </si>
  <si>
    <t>***.434.124-**</t>
  </si>
  <si>
    <t>ANDREA FARIAS DE ALMEIDA</t>
  </si>
  <si>
    <t>Participação no Seminário de Meio Termo da CAPES da área de Engenharias II como coordenadora do Programa de Pós-Graduação em Engenharia Química da UFPB.</t>
  </si>
  <si>
    <t>000769/23</t>
  </si>
  <si>
    <t>***.959.914-**</t>
  </si>
  <si>
    <t>FABIO ANDERSON PEREIRA DA SILVA</t>
  </si>
  <si>
    <t>Participação como representante do PPGTA na reunião de meio termo da Coordenação de Aperfeiçoamento de Pessoal de Nível Superior (CAPES).</t>
  </si>
  <si>
    <t>000690/23</t>
  </si>
  <si>
    <t>Participar do Congresso Brasileiro de Auditoria e Controle Interno COBACI/2023, que será realizado em Maceió/AL, no período de 09 a 11/08/2023</t>
  </si>
  <si>
    <t>Viagem Urgente para participação de evento de capacitação. Por questões administrativas o Processo teve seu trâmite prejudicado, mas o pedido foi realizado com 20 dias, conforme justificativa no formulário de solicitação</t>
  </si>
  <si>
    <t>000698/23</t>
  </si>
  <si>
    <t>***.014.904-**</t>
  </si>
  <si>
    <t>FRANCISCO DE ASSIS DA COSTA</t>
  </si>
  <si>
    <t>Trata-se de Afastamento de Curtíssima Duração no período de 21 a 23 de agosto de 2023, para estância acadêmica no Laboratório Urbano da Faculdade de Arquitetura e Urbanismo da Universidade Federal da Bahia - UFBA. O objetivo da estância é o fortalecimento da presença do PPGAU UFPB na rede nacional de programas de pós-graduação mais bem qualificados e disseminar a produção interna do programa. Será feito o lançamento do livro autoral do proponente, titulado Distanciamento como forma de aproximação. Realização de reuniões de trabalho para a troca de informações e experiências visando recolher subsídios para uma proposta de atividade comum de pesquisa. Participação na Mesa Redonda Ensaios de epistemologia urbana em Walter Benjamin. Participação em Banca de Avaliação de Mestrado.</t>
  </si>
  <si>
    <t>000719/23</t>
  </si>
  <si>
    <t>***.680.354-**</t>
  </si>
  <si>
    <t>SUELY AMORIM DE ARAUJO</t>
  </si>
  <si>
    <t>O proposto vira participar como membro de banca do concurso do departamento de enfermagem clínicas.</t>
  </si>
  <si>
    <t>Uberlândia</t>
  </si>
  <si>
    <t>000759/23</t>
  </si>
  <si>
    <t>***.585.554-**</t>
  </si>
  <si>
    <t>ADRIANO ROLIM DA PAZ</t>
  </si>
  <si>
    <t>Participação no período de 20 a 24 de novembro de 2023 do XXV Simpósio Brasileiro de Recursos Hídricos, a ser realizado em Aracaju (SE), com dois artigos científicos completos aprovados para apresentação e publicação nos anais.</t>
  </si>
  <si>
    <t>Aracaju</t>
  </si>
  <si>
    <t>000781/23</t>
  </si>
  <si>
    <t>***.045.794-**</t>
  </si>
  <si>
    <t>CELSO AUGUSTO GUIMARAES SANTOS</t>
  </si>
  <si>
    <t>Participação no XXV Simpósio Brasileiro de Recursos Hídricos para apresentação de artigos.</t>
  </si>
  <si>
    <t>000717/23</t>
  </si>
  <si>
    <t>***.153.860-**</t>
  </si>
  <si>
    <t>ISMAEL IVAN ROCKENBACH</t>
  </si>
  <si>
    <t>Participar do Seminário Nacional de Educação a Distância - UNIREDE 2023 à convite da Capes que terá evento realizado em conjunto: O Forum Nacional da UAB, conforme convites e cronograma em anexo.</t>
  </si>
  <si>
    <t>000859/23</t>
  </si>
  <si>
    <t>***.551.204-**</t>
  </si>
  <si>
    <t>MARIA JOSE NUNES GADELHA</t>
  </si>
  <si>
    <t>A solicitação das diárias e passagens refere-se à participação da docente colaboradora do programa na XIII Reunião Anual do Instituto Brasileiro de Neuropsicologia (IBNeC), principal evento brasileiro para divulgação do conhecimento científico, reunindo diversos cientistas da área de Neurociências e Neuropsicologia do país. Possui relação direta com as atividades de ensino e pesquisa que a requerente vem desenvolvendo como colaboradora no Programa de Pós-graduação em Neurociência Cognitiva e Comportamento (PPGNeC/UFPB).</t>
  </si>
  <si>
    <t>Natal</t>
  </si>
  <si>
    <t>000730/23</t>
  </si>
  <si>
    <t>***.474.766-**</t>
  </si>
  <si>
    <t>EDNA GUSMAO DE GOES BRENNAND</t>
  </si>
  <si>
    <t>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t>
  </si>
  <si>
    <t>Vitória da Conquista</t>
  </si>
  <si>
    <t>Não há solicitação de urgência.</t>
  </si>
  <si>
    <t>000731/23</t>
  </si>
  <si>
    <t>***.080.908-**</t>
  </si>
  <si>
    <t>JORGE FERNANDO HERMIDA AVEIRO</t>
  </si>
  <si>
    <t>Não há urgência.</t>
  </si>
  <si>
    <t>000742/23</t>
  </si>
  <si>
    <t>Participação na 2ª Reunião Ordinária Presencial do Conselho Nacional dos Dirigentes das Escolas de Educação Básica das Instituições Federais de Ensino Superior (CONDICAp), no Rio de Janeiro/RJ, nos dias 16, 17 e 18 de agosto de 2023.</t>
  </si>
  <si>
    <t>A confirmação do orçamento para viagem foi confirmada pela Superintendência do Ensino Básico, Técnico e Tecnológico no dia 01 de agosto de 2023, após negativa do Centro de Educação e da Reitoria (conforme contra no processo), em virtude da falta de orçamento dos referidos setores, conforme justificativa no item 7 do formulário de solicitação.</t>
  </si>
  <si>
    <t>000732/23</t>
  </si>
  <si>
    <t>***.293.200-**</t>
  </si>
  <si>
    <t>CRISTIANO BONNEAU</t>
  </si>
  <si>
    <t>Participar como representante do PPGF do Seminário de Meio Termo da CAPES na área de Filosofia.</t>
  </si>
  <si>
    <t>000744/23</t>
  </si>
  <si>
    <t>Participação na reunião extraordinária do Conselho Nacional de Dirigentes das Escolas Técnicas Vinculadas às Universidades Federais CONDETUF em Brasília DF. O proposto é o Diretor do Colégio Agrícola Vidal de Negreiros que é uma escola vinculada e faz parte da Comissão Gestora do Condetuf, conselho que rege as escolas vinculadas às universidades federais.</t>
  </si>
  <si>
    <t>A convocação do CONDETUF para a participação do proposto para o evento só foi emitida no dia 03/08/2023, menos de 20 dias para o acontecimento do evento. Por isso a necessidade de fazer a solicitação de diárias e passagens fora do prazo legal.</t>
  </si>
  <si>
    <t>000764/23</t>
  </si>
  <si>
    <t>***.373.000-**</t>
  </si>
  <si>
    <t>LIANE SCHNEIDER</t>
  </si>
  <si>
    <t>Participar do 37º ENANPOLL, com o trabalho aceite 'Colonialidade e resistência em narrativas contemporâneas das Américas: retas de chegada'.</t>
  </si>
  <si>
    <t>000741/23</t>
  </si>
  <si>
    <t>JUAN MOISES MAURICIO VILLANUEVA</t>
  </si>
  <si>
    <t>Participar do Seminário de Avaliação de Meio Termo dos Programas de Pós-Graduação da área de Engenharias IV, que ocorrerá nos dias 23 e 24 de outubro de 2023, na cidade de Brasília-DF.</t>
  </si>
  <si>
    <t>000743/23</t>
  </si>
  <si>
    <t>***.292.904-**</t>
  </si>
  <si>
    <t>ANDREIA GRAZIELA LACERDA DE ANDRADE GADELHA</t>
  </si>
  <si>
    <t>Participar de Reunião Técnica da Procuradoria Geral Federal, nos dias 26 a 28 de setembro de 2023, em Foz do Iguaçu</t>
  </si>
  <si>
    <t>000772/23-1C</t>
  </si>
  <si>
    <t>ANA PAULA RODRIGUES CAVALCANTI</t>
  </si>
  <si>
    <t>Participação na organização do congresso, evento internacional promovido pela associação representante da área 44 na Capes, à qual está vinculado o PPGCR-UFPB</t>
  </si>
  <si>
    <t>A própria Cia. aérea Gol cancelou o voo bilhetado para retorno da Missão, acomodando-me no voo mais próximo possível - o 424 da Azul, que partiu às 23:05 do dia 22, chegando às 03:00 hs do dia 23 de setembro, conforme cartões de embarque anexos. Nota: O sistema só aceitou o data-hora do dia 23 de setembro para processar esta remarcação, então está constando 00:01 do dia 23 como horário de partida Campinas - João Pessoa.</t>
  </si>
  <si>
    <t>000845/23-1C</t>
  </si>
  <si>
    <t>***.043.069-**</t>
  </si>
  <si>
    <t>LUSIVAL ANTONIO BARCELLOS</t>
  </si>
  <si>
    <t>Coordenar o Grupo de Trabalho (GT) intitulado 'Religião e Educação', durante o IX Congresso da ANPTECRE (Associação Nacional de Pós-Graduação e Pesquisa em Teologia e Ciências da Religião), bem como participar das demais atividades deste importante Congresso de nossa área</t>
  </si>
  <si>
    <t>A própria cia aérea Gol teve o voo cancelado após o check-in - conforme pode ser comprovado nos anexos - e fez acomodação no voo mais próximo possível para retornar a João Pessoa, cumprida a Missão - no caso o voo 424 da Azul, que chegou às 03:00 hs do dia 23 de setembro. O sistema só aceitou o data-hora a partir do dia 23 de setembro (por isto consta 00:01 como horário de partida), e a chegada em João Pessoa deu-se efetivamente no próprio dia 23.</t>
  </si>
  <si>
    <t>000852/23</t>
  </si>
  <si>
    <t>***.662.224-**</t>
  </si>
  <si>
    <t>RITA CRISTIANA BARBOSA</t>
  </si>
  <si>
    <t>Ao propor o simpósio temático intitulado: Homossexualidade e Igreja, no XI Congresso Internacional de Diversidade Sexual, Étnico racial e de Gênero, abriu-se uma oportunidade ímpar e muito pertinente para conhecer e debater sobre interlocuções com o assunto gênero e religião, por meio de pesquisas realizadas no Brasil e em outros países, uma vez em que pesquiso e oriento tais temáticas, além de lecionar a disciplina: Gênero, sexualidade e religião na graduação e pós-graduação em Ciências das Religiões, da UFPB e ser líder do Grupo de Pesquisa sobre Educação, Religiões, Mulheres e Tecnologias Digitais - TECLA. Sou responsável pela Coordenação de Simpósio Temático e com apresentação de trabalho</t>
  </si>
  <si>
    <t>000860/23</t>
  </si>
  <si>
    <t>SERGIO VITAL DA SILVA JUNIOR</t>
  </si>
  <si>
    <t>Participação no evento nacional mais importante da área de enfermagem: 74º Congresso Brasileiro de Enfermagem e apresentação de trabalho científico oriundo de pesquisa de doutorado.</t>
  </si>
  <si>
    <t>000766/23</t>
  </si>
  <si>
    <t>***.853.306-**</t>
  </si>
  <si>
    <t>ROBERTO CARLOS DE ASSIS</t>
  </si>
  <si>
    <t>Participar do 37º ENANPOLL - Encontro Nacional da Associação Nacional de Pós-Graduação e Pesquisa em Letras e Linguística.</t>
  </si>
  <si>
    <t>Niterói</t>
  </si>
  <si>
    <t>000992/23</t>
  </si>
  <si>
    <t>***.509.093-**</t>
  </si>
  <si>
    <t>JULIO SANTOS REBOUCAS</t>
  </si>
  <si>
    <t>Participação no Seminário de Acompanhamento do Programa Capes-PrInt - 2023, nas dependências da CAPES em Brasília-DF, nos dias 18 e 19 de setembro de 2023, das 09h00 às 18h00, como um dos representantes da UFPB, com o objetivo de acompanhar a execução do Projeto Institucional Capes-PrInt-UFPB nos anos de 2022 e 2023 e planejar as ações para o último ano do Programa.</t>
  </si>
  <si>
    <t>000779/23</t>
  </si>
  <si>
    <t>***.676.784-**</t>
  </si>
  <si>
    <t>LETICIA MELO MOREIRA</t>
  </si>
  <si>
    <t>Participação em banca do concurso público Edital nº 30 de 03 de Maio de 2023 do Centro Profissional e Tecnológico da Universidade Federal da Paraíba.</t>
  </si>
  <si>
    <t>000778/23</t>
  </si>
  <si>
    <t>***.119.154-**</t>
  </si>
  <si>
    <t>MARCELA DE OLIVEIRA FEITOSA</t>
  </si>
  <si>
    <t>Participação em banca do concurso público do Edital nº 30 de 03 de Maio de 2023 do Centro Profissional e Tecnológico da Universidade Federal da Paraíba.</t>
  </si>
  <si>
    <t>Imperatriz</t>
  </si>
  <si>
    <t>000780/23</t>
  </si>
  <si>
    <t>***.396.743-**</t>
  </si>
  <si>
    <t>FRANCISCO RICARDO MIRANDA PINTO</t>
  </si>
  <si>
    <t>Compor Banca de Concurso EDITAL Nº 30, 03 DE MAIO DE 2023 CONCURSO PÚBLICO DE PROVAS E TÍTULOS PARA PROFESSOR DO ENSINO BÁSICO, TÉCNICO E TECNOLÓGICO - EBTCPT-ETS-UFPB.</t>
  </si>
  <si>
    <t>000830/23</t>
  </si>
  <si>
    <t>***.460.996-**</t>
  </si>
  <si>
    <t>MATEUS DE SOUSA VAN STRALEN</t>
  </si>
  <si>
    <t>Participar em Banca Examinadora referente ao Concurso Público de Provas e Títulos para provimento de cargos de Professor do Magistério Superior para o Departamento de Arquitetura e Urbanismo - DAU/CT, regido pelo EDITAL Nº 61 de 06 de julho de 2023, publicado no DOU em 07/07/2023 - Edição: 128 | Seção: 3, Página: 77, regime de trabalho Dedicação Exclusiva, na Área de Projeto e Representação Gráfica.</t>
  </si>
  <si>
    <t>Devido a necessidade de aguardar o período de inscrição determinado no cronograma do concurso para que a Banca Examinadora seja confirmada sem que não tenha membros com impedimentos de acordo com a Resolução 74/2013 - CONSEPE.</t>
  </si>
  <si>
    <t>000809/23</t>
  </si>
  <si>
    <t>***.539.044-**</t>
  </si>
  <si>
    <t>JOSE BEZERRA HONORIO</t>
  </si>
  <si>
    <t>ADMINISTRADOR</t>
  </si>
  <si>
    <t>Participação de Missão Empresarial e do Evento Startup Summit em Florianópolis SC. Na oportunidade será realizada visita técnica em ambientes de inovação e empreendedorismo de SC, além de participação no evento, que contará com mais de 200 palestrantes e são esperadas 10.000 pessoas para um encontro entre startups, investidores e grandes nomes do ecossistema.</t>
  </si>
  <si>
    <t>Agência Inova UFPB atua na área de proteção intelectual, transferência tecnológica e incubação de empresas de base tecnológica. Neste sentido, é relevante ao setor estar presente nos eventos da área de inovação e empreendedorismo, visando a formação de conexão e sinergia com o setor produtivo, para obter parcerias, apoios ao processo de incubação etc. Além disto, justifica-se que serão realizadas visitas técnicas em parques e instituições de inovação de Santa Catarina, o que trará informações relevantes para estruturação do futuro Centro de Inovação da INOVA UFPB com verba aprovada junto a FINEP, bem como se fez necessário se adequar as datas e agendas do órgão promotor da ação, qual seja, o SebraePB.</t>
  </si>
  <si>
    <t>000767/23</t>
  </si>
  <si>
    <t>***.097.458-**</t>
  </si>
  <si>
    <t>MIQUELI MICHETTI</t>
  </si>
  <si>
    <t>Apresentação de trabalho em mesa-redonda no 47º Encontro Anual da Anpocs; Representação do PPGS- UFPB como coordenadora; Reunião de pesquisa do Projeto Temático FAPESP 2018/20074-2, sediado na Unicamp.</t>
  </si>
  <si>
    <t>000945/23</t>
  </si>
  <si>
    <t>***.836.117-**</t>
  </si>
  <si>
    <t>PAULO CESAR ZAMBRONI DE SOUZA</t>
  </si>
  <si>
    <t>Participar e apresentar trabalhos no VII Congresso Brasileiro de Psicodinâmica do Trabalho e I Congresso Brasileiro de Trabalho, Subjetividade e Práticas Clínicas.</t>
  </si>
  <si>
    <t>000770/23</t>
  </si>
  <si>
    <t>Participação em Audiência Pública, na Câmara dos Deputados, no dia 23/08/2023, e na 162ª Reunião Extraordinária do Conselho Pleno da Andifes, no dia 24/08/2023, em Brasília/DF.</t>
  </si>
  <si>
    <t>Proposto estava com pendência de prestação contas no SCDP, que foi resolvida nesta data (09/08/2023), conforme item 7 do Formulário de Solicitação.</t>
  </si>
  <si>
    <t>000768/23</t>
  </si>
  <si>
    <t>Participar de reunião na DIFES/SESU/MEC, no dia 17/08/2023, para tratar de assuntos referentes ao Centro de Convenções da UFPB, aquisição da linha de transmissão da subestação 69 e código de vaga e funções gratificadas, como também participar do Encontro de Coordenadores de Instituições Federais de Ensino Superior Parceiras da Secretaria Nacional de Paradesporto - SNPAR, nos dias 16 e 17/08/2023, em Brasília/DF</t>
  </si>
  <si>
    <t>Estava com pendência de prestação contas no SCDP, que foi resolvida nesta data, conforme justificativa no formulário de solicitação</t>
  </si>
  <si>
    <t>000783/23</t>
  </si>
  <si>
    <t>***.231.629-**</t>
  </si>
  <si>
    <t>PATRICIA VALDERRAMA</t>
  </si>
  <si>
    <t>Ministrar curso e palestra no Workshop de Quimiometria</t>
  </si>
  <si>
    <t>000812/23</t>
  </si>
  <si>
    <t>***.729.954-**</t>
  </si>
  <si>
    <t>ANA CRISTINA MARINHO LUCIO</t>
  </si>
  <si>
    <t>Participar do ENAMPOLL e reuniões Nos dias 06 e 07 de outubro terei reuniões com professores do Grupo de Estudos Feministas e Interseccionais (GEFIS - UERJ/CNPq), Maximiliano Torres e Viviane da Silva Vasconcelos.</t>
  </si>
  <si>
    <t>000789/23</t>
  </si>
  <si>
    <t>***.212.634-**</t>
  </si>
  <si>
    <t>JULIO RIQUE NETO</t>
  </si>
  <si>
    <t>Participar do Seminário de Meio Termo da CAPES</t>
  </si>
  <si>
    <t>000820/23</t>
  </si>
  <si>
    <t>***.734.353-**</t>
  </si>
  <si>
    <t>FELIX ALVES DA SILVA JUNIOR</t>
  </si>
  <si>
    <t>Participar da banca examinadora de concurso público, regido pelo EDITAL No 61, DE 6 DE JULHO DE 2023 CONCURSO PÚBLICO DE PROVAS E TÍTULOS - PARA PROFESSOR DO MAGISTÉRIO SUPERIOR, do Departamento de Arquitetura e Urbanismo - DAU/CT/UFPB, publicado no DOU em 07/07/2023 - Edição: 128 | Seção: 3, Página: 77, regime de trabalho Dedicação Exclusiva, na Área de Projeto e Representação Gráfica.</t>
  </si>
  <si>
    <t>000801/23</t>
  </si>
  <si>
    <t>***.634.079-**</t>
  </si>
  <si>
    <t>VIVIANE DA COSTA FREITAG</t>
  </si>
  <si>
    <t>Participação no 13º Congresso UFSC de Controladoria e Finanças para apresentação de artigo 'Influência dos Fatores Institucionais na Escolha das Técnicas de Depreciação: um estudo em Escritórios de Serviços Contábeis'</t>
  </si>
  <si>
    <t>000854/23</t>
  </si>
  <si>
    <t>Reunião extraordinária de articulação e fortalecimento das Escolas Técnicas Vinculadas às Universidades Federais (ETVs) junto à Secretaria de Educação Profissional e Tecnológica (Setec) e Secretaria de Educação Superior (Sesu).</t>
  </si>
  <si>
    <t>000800/23</t>
  </si>
  <si>
    <t>***.106.974-**</t>
  </si>
  <si>
    <t>TALIANA KENIA ALENCAR BEZERRA</t>
  </si>
  <si>
    <t>Participação da Reunião de Meio termo na Capes é exigência devido ao cargo ocupado de Coordenadora do Programa de Pós-graduação em Ciência e Tecnologia de Alimentos</t>
  </si>
  <si>
    <t>000821/23</t>
  </si>
  <si>
    <t>***.574.646-**</t>
  </si>
  <si>
    <t>HENRIQUE ZEFERINO DE MENEZES</t>
  </si>
  <si>
    <t>Participação no Seminário de meio termo de avaliação quadrienal da CAPES, no qual são apresentados os resultados preliminares da avaliação quadrienal dos PPGs (presença obrigatória)</t>
  </si>
  <si>
    <t>000803/23</t>
  </si>
  <si>
    <t>Participação, como representante do PPGS-UFPB, do Seminário de Meio-Termo da área de Sociologia da Avaliação Quadrienal da Capes, em Brasília. Trata-se do evento oficial nacional da Capes, em que todos os coordenadores dos PPGs do país se encontram para discutir e definir os critérios da Avaliação Quadrienal Capes.</t>
  </si>
  <si>
    <t>000807/23</t>
  </si>
  <si>
    <t>CARLOS VITAL DOS SANTOS JUNIOR</t>
  </si>
  <si>
    <t>Participação no XXII Simpósio Brasileiro de Química Teórica</t>
  </si>
  <si>
    <t>001038/23</t>
  </si>
  <si>
    <t>***.133.404-**</t>
  </si>
  <si>
    <t>CARMEN WALENTINA AMORIM GAUDENCIO BEZERRA</t>
  </si>
  <si>
    <t>Participar do Seminário de Meio Termo dos programas de pós-graduação da área de PSICOLOGIA, será realizado na CAPES, Brasília-DF, nos dias 16 e 17 de novembro de 2023, das 09:00 às 18:00 horas.</t>
  </si>
  <si>
    <t>000810/23</t>
  </si>
  <si>
    <t>***.171.884-**</t>
  </si>
  <si>
    <t>KELLY CRISTIANE GOMES DA SILVA</t>
  </si>
  <si>
    <t>Participação da Diretora Presidente da INOVA/UFPB em Missão Empresarial para visitas técnicas ao Ecossistema de Inovação e ambientes de empreendedorismo em Florianópolis em função implantação do Conglomerado de Empreendimentos Inovadores e Tecnologias Aplicadas (CEITec) da UFPB, bem como participação no Evento Startup Summit a ser realizado em Santa Catarina no Centro de Convenções da cidade de Florianópolis, que contará com mais de 200 palestrantes atuantes com startups, além de investidores e grandes nomes do ecossistema. Tal participação se faz necessária para viabilizar o planejamento de atuação da INOVA/UFPB para os anos de 2024-2028 do PDI da UFPB, em especial no tocante a Incubação, operacionalização do CEITec e prospecção de projetos para a universidade.</t>
  </si>
  <si>
    <t>Em função da adequação da agenda a missão empresarial proporcionada pelo Sebrae PB que proporcionará acesso aos ambientes de inovação do município.</t>
  </si>
  <si>
    <t>000826/23</t>
  </si>
  <si>
    <t>***.573.371-**</t>
  </si>
  <si>
    <t>PEDRO PAULO CHAVES DE SOUZA</t>
  </si>
  <si>
    <t>PROFESSOR TIT-LIVRE MAGIST SUPERIOR</t>
  </si>
  <si>
    <t>Professor ministrará curso sobre análise de transcriptoma de doenças bucais, a partir de bancos de dados genéticos. Além disso, participará de oficinas acerca de aconselhamento genético e doenças bucais. Participará de seminários de qualificação de projetos de pesquisa do programa de pós-graduação em odontologia. Ministrará palestra na Mostra de Iniciação Científica em Odontologia.</t>
  </si>
  <si>
    <t>Viagem realizada</t>
  </si>
  <si>
    <t>000848/23</t>
  </si>
  <si>
    <t>***.510.704-**</t>
  </si>
  <si>
    <t>MARINALVA DE SOUSA CONSERVA</t>
  </si>
  <si>
    <t>PARTICIPAÇÃO NA XI JORNADA INTERNACIONAL DE POLÍTICAS PÚBLICAS (XI JOINPP) 'REIFICAÇÃO CAPITALISTA E EMANCIPAÇÃO HUMANA COMO NECESSIDADEHISTÓRICA:formação da consciência de classe na luta de hegemonias' - Cem anos de História e consciência de classe de Lukács. COM TRES 3 TRABALHOS APROVADOS: 1.APRESENTARTRABALHO: 'CONTIRBUIÇÕES DA GEOTECNOLOGIA DE INOVAÇÃO PARA AGESTÃODA PROTEÇÃO SOCIAL AMPLIADA', NA MESA TEMÁTICA: '(DES)PROTEÇÃO SOCIAL NO BRASIL RECENTE: configurações e desafiosimpostos para a Política de Assistência Social'. 2. Lançamento do Livro:TÍTULO DO LIVRO: OBSERVATÓRIO DE INDICADORES DE PROTEÇÃO SOCIALAMPLIADA: INTERFACES COM A GESTÃO DO SUAS E DO SUAS. E-book: http://plone.ufpb.br/editoraccta/contents/titulos/saude/observatorio-de-indicadoresdeprotecao- social-ampliada-interfaces-com-a-gestao-do-sus-e-do-suas. 3. DESIGUALDADE REGIONAL E SAÚDE: algumas considerações sobre a questão regional no Brasil e sua relação com o acesso a saúde.</t>
  </si>
  <si>
    <t>000847/23</t>
  </si>
  <si>
    <t>***.111.658-**</t>
  </si>
  <si>
    <t>MARINILSON BARBOSA DA SILVA</t>
  </si>
  <si>
    <t>Participação/convocação da reunião da assembleia ordinária da associação como coordenador do PPGCR/UFPB e participação/atuação como membro da Comissão Organizadora do IX Congresso da ANPTECRE (Associação Nacional de Programas de Pós-Graduação em Teologia e Ciências das Religiões), a ser realizado na Pontifícia Universidade Católica de Campinas, no período de 18 a 21 de setembro de 2023.</t>
  </si>
  <si>
    <t>000850/23</t>
  </si>
  <si>
    <t>Participação no Seminário de Meio Termo dos programas de pós-graduação da área de CIÊNCIAS DA RELIGIÃO E TEOLOGIA. O Seminário consiste em uma reunião dos coordenadores de área com coordenadores ou representantes dos programas de pós-graduação em funcionamento para fins de discutir e planejar, em conjunto, as metas e diretrizes da área para fins de avaliação. Além disso, esta será uma oportunidade para compartilhamento de experiências e análise do desempenho dos programas nos dois primeiros anos do quadriênio.</t>
  </si>
  <si>
    <t>000822/23</t>
  </si>
  <si>
    <t>***.955.884-**</t>
  </si>
  <si>
    <t>IGUATEMI EDUARDO DA FONSECA</t>
  </si>
  <si>
    <t>Apresentação de trabalho em evento científico (XXIII Simpósio Brasileiro de Segurança da Informação e de Sistemas Computacionais 2023 - https://sbseg2023.ufjf.br/)</t>
  </si>
  <si>
    <t>Juiz de Fora</t>
  </si>
  <si>
    <t>000849/23</t>
  </si>
  <si>
    <t>LUIZ EDUARDO GOMES DA CRUZ</t>
  </si>
  <si>
    <t>O referido discente participará do XXII Sipósio Brasileiro de Químic Teórica</t>
  </si>
  <si>
    <t>000851/23</t>
  </si>
  <si>
    <t>***.368.264-**</t>
  </si>
  <si>
    <t>LUCIANA ELEONORA DE FREITAS CALADO DEPLAGNE</t>
  </si>
  <si>
    <t>Participar do XV ENCONTRO INTERNACIONAL DE ESTUDOS MEDIEVAIS com apresentação de trabalho e como coordenadora de sessão.</t>
  </si>
  <si>
    <t>000857/23</t>
  </si>
  <si>
    <t>***.426.884-**</t>
  </si>
  <si>
    <t>ANA CRISTINA DE OLIVEIRA E SILVA</t>
  </si>
  <si>
    <t>participação do congresso: INFECTO 2023 COM APRESENTAÇÃO DE TRABALHOS</t>
  </si>
  <si>
    <t>000869/23</t>
  </si>
  <si>
    <t>VICENTE CARNEIRO DE SOUSA</t>
  </si>
  <si>
    <t>PROPOSTO VAI PARTICIPAR DE APRESENTAÇÃO DE ARTIGO NO EVENTO V ENCONTRO BRASILEIRO DE ESTUDOS PARA A PAZ (EBEP) NA CIDADE DE FOZ DO IGUAÇU-PR.</t>
  </si>
  <si>
    <t>000875/23</t>
  </si>
  <si>
    <t>***.066.504-**</t>
  </si>
  <si>
    <t>JULIANA KESSIA BARBOSA SOARES MOREIRA</t>
  </si>
  <si>
    <t>A docente do quadro permanente do PPGCTA - UFPB irá apresentar trabalhos realizados com mestrandos e doutorandos do Programa</t>
  </si>
  <si>
    <t>000866/23</t>
  </si>
  <si>
    <t>***.847.738-**</t>
  </si>
  <si>
    <t>CATERINE SOFFIATI CABRAL</t>
  </si>
  <si>
    <t>Viagem para o 10° Encontro das Redes Rurais, que será realizado em São Carlos, no interior de São Paulo.</t>
  </si>
  <si>
    <t>Gestão dos recursos do PROAP no PPGS. Não foi possível encaminhar o pedido anteriormente. Tambpem foi necessário corrigir a PCDP, cancelando a anterior.</t>
  </si>
  <si>
    <t>000868/23</t>
  </si>
  <si>
    <t>THAYNNARA PEREIRA MELO</t>
  </si>
  <si>
    <t>Proposto irá participar do Encontro Nacional de Ensino e Pesquisa do Campo de Públicas (ENEPCP 2023), realizando apresentação de trabalho oriundo do projeto de extensão Laboratório de Inovação em Contratos Públicos, vinculado ao Departamento de Gestão Pública.</t>
  </si>
  <si>
    <t>DEVIDO AO VOLUME DE DEMANDAS DO SETOR, NÃO FOI POSSÍVEL REALIZAR O CADASTRAMENTO DESSA VIAGEM NO PRAZO HABITUAL.</t>
  </si>
  <si>
    <t>000874/23</t>
  </si>
  <si>
    <t>ANNIELY RODRIGUES SOARES</t>
  </si>
  <si>
    <t>Participação em Congresso Nacional e apresentação de trabalho em área relacionada a tese de doutorado.</t>
  </si>
  <si>
    <t>000870/23</t>
  </si>
  <si>
    <t>Representar a UFPB no VII Fórum Permanente de Museus Universitário, em formato presencial, nos dias 28 de agosto a 01 de setembro de 2023, na cidade de Rio de Janeiro - RJ, no Instituto Benjamim Constant, tema: 30 anos depois... para que(m) ainda serve(m) os museus e coleções universitárias?</t>
  </si>
  <si>
    <t>Embora o convite tenha sido enviado, no ato da inscrição as vagas estavam esgotadas, houve hoje, dia 18/08/2023 nova abertura de vagas e com a inscrição aprovada, estamos submetendo para pedido de emissão de passagem e diárias.</t>
  </si>
  <si>
    <t>000926/23</t>
  </si>
  <si>
    <t>***.370.124-**</t>
  </si>
  <si>
    <t>RICHARDE MARQUES DA SILVA</t>
  </si>
  <si>
    <t>Apresentar e Participar do XXV Simpósio Brasileiro de Recursos Hídricos na cidade de Aracaju/Se.</t>
  </si>
  <si>
    <t>000880/23</t>
  </si>
  <si>
    <t>ANDERSON CARLOS DE OLIVEIRA</t>
  </si>
  <si>
    <t>PROF ENS BAS TEC TECNOLOGICO-SUBSTITUTO</t>
  </si>
  <si>
    <t>Participação e apresentação de trabalho acadêmico-científico no 38º Congresso Brasileiro de Manutenção e Gestão de Ativos, que ocorrerá em Curitiba-PR, no período de 26 a 28 de setembro de 2023.</t>
  </si>
  <si>
    <t>000902/23</t>
  </si>
  <si>
    <t>***.431.334-**</t>
  </si>
  <si>
    <t>RAFAELLA QUEIROGA SOUTO</t>
  </si>
  <si>
    <t>participação no 74º Congresso Brasileiro de Enfermagem</t>
  </si>
  <si>
    <t>000994/23</t>
  </si>
  <si>
    <t>***.773.040-**</t>
  </si>
  <si>
    <t>FABIANA DE CARVALHO FIM</t>
  </si>
  <si>
    <t>Serão realizadas duas missões: a primeira será para uma visita técnica a um laboratório na Universidade Federal do Rio Grande do Sul, em Porto Alegre, pois a Professora solicitante foi contemplada com um projeto CNPq cujo objeto de estudo também está sendo desenvolvido na referida universidade e irá estabelecer um convênio de trabalho. A segunda missão será a participação e apresentação de dois trabalhos envolvendo alunos do PPCEM e da graduação em Eng. de Materiais em congresso nacional na Cidade de Joinville, em Santa Catariana.</t>
  </si>
  <si>
    <t>001181/23</t>
  </si>
  <si>
    <t>***.524.714-**</t>
  </si>
  <si>
    <t>MELYSSA KELLYANE CAVALCANTI GALDINO</t>
  </si>
  <si>
    <t>Participação da coordenadora do Programa de Pós-graduação em Neurociência Cognitiva e Comportamento, Melyssa Kellyane Cavalcanti Galdino, no Seminário de Meio Termo dos programas de pós-graduação da área de PSICOLOGIA, realizado na CAPES, Brasília-DF, nos dias 16 e 17 de novembro de 2023, das 09h às 18h horas.</t>
  </si>
  <si>
    <t>000970/23</t>
  </si>
  <si>
    <t>Participação em Banca do concurso público edital nº 30 de 03/05/2023 do Centro Profissional e Tecnológico-Escola Técnica de Saúde da Universidade Federal da UFPB.</t>
  </si>
  <si>
    <t>000885/23</t>
  </si>
  <si>
    <t>***.781.114-**</t>
  </si>
  <si>
    <t>CRISTIANO DAS NEVES ALMEIDA</t>
  </si>
  <si>
    <t>Participação no XXV Simpósio Brasileiro de Recursos Hídricos</t>
  </si>
  <si>
    <t>001001/23</t>
  </si>
  <si>
    <t>Participar da 3ª Reunião Ordinária do Fórum Nacional de Pró-Reitores de Planejamento e Administração das Instituições Federais de Ensino Superior - FORPLAD - 2023 a ser realizada pela Universidade Federal do Sul da Bahia (UFSB) na qualidade Pró-reitor de Planejamento e Desenvolvimento da UFPB.</t>
  </si>
  <si>
    <t>Ilhéus</t>
  </si>
  <si>
    <t>000894/23</t>
  </si>
  <si>
    <t>***.263.774-**</t>
  </si>
  <si>
    <t>CARLA ALEXANDRA DA SILVA MOITA MINERVINO</t>
  </si>
  <si>
    <t>Participação da vice-coordenadora do Programa de Pós-graduação em Neurociência Cognitiva e Comportamento, Dra. Carla Alexandra da Silva Moita Minervino, no VIII Seminário Novos Horizontes: Políticas científicas e ações afirmativas: fundamentos e diretrizes para o futuro da pós-graduação em Psicologia.</t>
  </si>
  <si>
    <t>000910/23</t>
  </si>
  <si>
    <t>MARIA BETANIA DA ROCHA DE OLIVEIRA</t>
  </si>
  <si>
    <t>PARTICIPAR COMO MEMBRA TITULAR DE BANCA EXAMINADORA DE CONCURSO PÚBLICO DE PROVAS E TÍTULOS PARA PROFESSOR DO MAGISTÉRIO SUPERIOR NA ÁREA DE LITERATURAS COMPARADAS DE LÍNGUA PORTUGUESA E ENSINO - EDITAL 61/2023</t>
  </si>
  <si>
    <t>Houve dificuldade na montagem da banca do concurso, gerando atraso na montagem do processo dentro do prazo legal. Segue anexo autorização superior.</t>
  </si>
  <si>
    <t>000901/23</t>
  </si>
  <si>
    <t>***.933.514-**</t>
  </si>
  <si>
    <t>JORGE GABRIEL GOMES DE SOUZA RAMOS</t>
  </si>
  <si>
    <t>Apresentação dos números do Programa de Pós-Graduação em Física/CCEN/UFPB no Seminário de Meio Termo da CAPES da área de Astronomia/ Física. Evento obrigatório para coordenadores de PPGs.</t>
  </si>
  <si>
    <t>000922/23</t>
  </si>
  <si>
    <t>BRUNNA HELLEN SARAIVA COSTA</t>
  </si>
  <si>
    <t>Participação e apresentação de trabalho no evento IV Congresso Paulista de Cuidados Paliativos e III Congresso Paulista de cuidados Paliativos</t>
  </si>
  <si>
    <t>000923/23</t>
  </si>
  <si>
    <t>THAINA KAROLINE COSTA DIAS</t>
  </si>
  <si>
    <t>Participação e apresentação de trabalho no evento IV Congresso Paulista de Cuidados Paliativos e III Congresso Paulista de cuidados paliativos</t>
  </si>
  <si>
    <t>000960/23</t>
  </si>
  <si>
    <t>***.919.094-**</t>
  </si>
  <si>
    <t>VALBER SOARES DE FRANCA</t>
  </si>
  <si>
    <t>AUX EM ADMINISTRACAO</t>
  </si>
  <si>
    <t>O proposto é servidor da Coordenação de Orçamento da UFPB e participará da 4ª Semana Nacional sobre a Nova Lei de Licitações e Contratos, onde receberá conhecimentos de atualização diretamente relacionados a sua atuação, pois a coordenação é responsável por atestar a disponibilidade orçamentária e seu alinhamento com o arcabouço legal, além de acompanhar a execução dos recursos da instituição.</t>
  </si>
  <si>
    <t>Caxias do Sul</t>
  </si>
  <si>
    <t>000905/23</t>
  </si>
  <si>
    <t>FRANCIELLE CRISTINE PEREIRA GONCALVES</t>
  </si>
  <si>
    <t>Participação e apresentação de trabalho acadêmico-científico no XXI Encontro da SPBmat, que ocorrerá em Maceió-AL, no período de 01 a 05 de outubro de 2023.</t>
  </si>
  <si>
    <t>000916/23</t>
  </si>
  <si>
    <t>***.442.364-**</t>
  </si>
  <si>
    <t>ANA RAQUEL ROSAS TORRES</t>
  </si>
  <si>
    <t>Participar no VII Seminário Novos Horizontes, conforme carta em anexo.</t>
  </si>
  <si>
    <t>000921/23</t>
  </si>
  <si>
    <t>***.375.463-**</t>
  </si>
  <si>
    <t>CRISTIANA BRASIL DE ALMEIDA REBOUCAS</t>
  </si>
  <si>
    <t>O proposto virá participar como membro de banca de concurso público do departamento de enfermagem clínicas, no período de 10/09/2023 a 21/09/2023.</t>
  </si>
  <si>
    <t>Em anexo.</t>
  </si>
  <si>
    <t>000967/23</t>
  </si>
  <si>
    <t>***.472.494-**</t>
  </si>
  <si>
    <t>THIERRY MARCELINO PASSERAT DE SILANS</t>
  </si>
  <si>
    <t>Apresentação como palestrante convidado no XV Workshop em Física Molecular e Espectroscopia, a ser realizado entre os dias 17 e 20 de outubro no Instituto de Física, USP, São Paulo. Nesta palestra serão apresentados resultados de pesquisas realizadas no âmbito da UFPB em projetos vinculados no Programa de Pós-Graduação em Física, com participação de estudantes do programa. Participação em evento tradicional das áreas de Física Atômica e Molecular e de Ótica com vinte anos de história, com participação de palestrantes de renome tanto nacionais quanto internacionais. Divulgação de resultados de pesquisa realizadas no âmbito da UFPB em projetos vinculados no Programa de Pós-Graduação em Física, com participação de estudantes do programa. A apresentação da pesquisa realizada na UFPB no âmbito deste Workshop tradicional da área abre possibilidade de estabelecimento de novas colaborações.</t>
  </si>
  <si>
    <t>000925/23</t>
  </si>
  <si>
    <t>***.493.284-**</t>
  </si>
  <si>
    <t>ALISSON VASCONCELOS DE BRITO</t>
  </si>
  <si>
    <t>Participação do professor Alisson Vasconcelos de Brito, representante do PPGI, no seminário de meio termo da CAPES.</t>
  </si>
  <si>
    <t>000927/23</t>
  </si>
  <si>
    <t>***.240.794-**</t>
  </si>
  <si>
    <t>NICOLLE SALES DA COSTA</t>
  </si>
  <si>
    <t>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t>
  </si>
  <si>
    <t>000928/23</t>
  </si>
  <si>
    <t>***.107.174-**</t>
  </si>
  <si>
    <t>NATUCIA SANTOS DA SILVA</t>
  </si>
  <si>
    <t>000942/23</t>
  </si>
  <si>
    <t>***.652.838-**</t>
  </si>
  <si>
    <t>SURYA AARONOVICH POMBO DE BARROS</t>
  </si>
  <si>
    <t>Participar do Seminário de Meio Termo dos programas de pós-graduação da área de HISTÓRIA - CAPES.</t>
  </si>
  <si>
    <t>001087/23</t>
  </si>
  <si>
    <t>***.744.234-**</t>
  </si>
  <si>
    <t>CHARLITON JOSE DOS SANTOS MACHADO</t>
  </si>
  <si>
    <t>Participar e apresentar trabalho na 41ª Reunião Nacional da ANPEd. Trata-se do evento científico mais relevante na área da pesquisa em educação no Brasil e visa a socialização de conhecimentos multidisciplinares com estudiosos nacionais e internacionais. O citado evento será fundamental para impulsionar o desenvolvimento da pós-graduação, em particular no Norte/Nordeste. Portanto, faz-se necessário o apoio do programa na participação dos seus pesquisadores.</t>
  </si>
  <si>
    <t>000957/23-1C</t>
  </si>
  <si>
    <t>***.171.798-**</t>
  </si>
  <si>
    <t>MARCO VALERIO CLASSE COLONNELLI</t>
  </si>
  <si>
    <t>Apresentação de comunicação oral em evento nacional de Estudos Clássicos. Produção para a área de Letras Clássicas do PPGL.</t>
  </si>
  <si>
    <t>001188/23</t>
  </si>
  <si>
    <t>***.296.864-**</t>
  </si>
  <si>
    <t>JOSE LEONARDO ROLIM DE LIMA SEVERO</t>
  </si>
  <si>
    <t>Participação, na condição de vice-coordenador do GT 4 (Didática), da 41º Reunião Anual da ANPED, a ocorrer em Manaus-AM, dos dias 22 a 27 de outubro de 2023. A participação é estratégica para construção e fortalecimento de redes interinstitucionais que promovem articulações para fortalecer e visibilizar a agenda acadêmica do PPGE-UFPB.</t>
  </si>
  <si>
    <t>000952/23</t>
  </si>
  <si>
    <t>Participação no evento: Seminário de Combate à Desinformação e Defesa da Democracia, a se realizar nos dias 14/09/2023 e 15/09/2023, em Brasília/DF.</t>
  </si>
  <si>
    <t>Conforme a data de encaminhamento do e-mail (29/08/2023), anexo ao formulário de solicitação de diárias e passagens, apenas neste dia a Procuradoria Geral Federal informou da data de realização do evento, razão pela qual a solicitação foi feita em prazo inferior a 20 (vinte) dias, conforme justificativa no item 7 do Formulário de Solicitação.</t>
  </si>
  <si>
    <t>000961/23</t>
  </si>
  <si>
    <t>***.789.374-**</t>
  </si>
  <si>
    <t>ANIERES BARBOSA DA SILVA</t>
  </si>
  <si>
    <t>Participar das atividades do Encontro Nacional de Pós-Graduação e Pesquisa em Geografia - ENANPEGE e dos fóruns de coordenadores de PPGGs (Capes e Anpege).</t>
  </si>
  <si>
    <t>Palmas</t>
  </si>
  <si>
    <t>001161/23</t>
  </si>
  <si>
    <t>***.572.478-**</t>
  </si>
  <si>
    <t>MUNIQUE MASSARO</t>
  </si>
  <si>
    <t>Apresentação de Comunicação Oral no 10º Congresso Brasileiro de Educação Especial, no município de São Carlos - SP.</t>
  </si>
  <si>
    <t>001045/23</t>
  </si>
  <si>
    <t>***.023.839-**</t>
  </si>
  <si>
    <t>SOLANGE MARIA LEDER</t>
  </si>
  <si>
    <t>Missão técnica no período de 11 a 22 de dezembro a ser realizada na Universidade Tecnológica Federal do Paraná (UTFPR), na Universidade Federal do Paraná (UFPR), ambas em Curitiba/PR e na Universidade Federal de Santa Catarina (UFSC), em Florianópolis/SC.</t>
  </si>
  <si>
    <t>000969/23</t>
  </si>
  <si>
    <t>***.428.444-**</t>
  </si>
  <si>
    <t>FABIOLA DE SOUSA BRAZ AQUINO</t>
  </si>
  <si>
    <t>Participação e exposição de trabalho (Sessão coordenada e painéis) na 53ª. Reunião Anual da Sociedade Brasileira de Psicologia (25-27/10/2023)</t>
  </si>
  <si>
    <t>000971/23</t>
  </si>
  <si>
    <t>Participação e apresentação de trabalho acadêmico-científico no 27º Congresso Internacional de Engenharia Mecânica (COBEM 2023), a realizar-se no período de 04 a 08 de dezembro de 2023, em Florianópolis - SC.</t>
  </si>
  <si>
    <t>000972/23</t>
  </si>
  <si>
    <t>JOSE LUCIANO BATISTA MOREIRA</t>
  </si>
  <si>
    <t>001011/23</t>
  </si>
  <si>
    <t>KALINE VENTURA BATISTA</t>
  </si>
  <si>
    <t>000987/23</t>
  </si>
  <si>
    <t>***.025.844-**</t>
  </si>
  <si>
    <t>MARIA DE LOURDES DE FARIAS PONTES</t>
  </si>
  <si>
    <t>Participação na Reunião de coordenadores de Programas de Pós-Graduação da Área de Enfermagem no CBEn (no dia 11/11) e do 74º Congresso Brasileiro de Enfermagem (74º CBEn), que inicia no dia 12/11</t>
  </si>
  <si>
    <t>001044/23</t>
  </si>
  <si>
    <t>***.366.309-**</t>
  </si>
  <si>
    <t>ANTONIO MANOEL ELIBIO JUNIOR</t>
  </si>
  <si>
    <t>Participação no evento 'IV Simpósio Internacional de Inovação em Educação Superior e IX Seminário Inovações Curriculares' (IV SIIES e IX Inovações), organizado pela Câmara de Tecnologias Educacionais e Educação à Distância (CEaD) da Associação Brasileira de Reitoras e Reitores das Universidades Estaduais e Municipais (ABRUEM) e pela Universidade Estadual de Campinas (Unicamp), entre os dias 20 a 23 de setembro de 2023, na cidade de Campinas, São Paulo</t>
  </si>
  <si>
    <t>Solicitação aguardando reforço de empenho em razão da alta nos valores de passagens aéreas e que só foi finalizada em 15/09/2023. Processo 23074.070494/2020-66</t>
  </si>
  <si>
    <t>001012/23</t>
  </si>
  <si>
    <t>Participar como palestrante do WORKSHOP EM ANÁLISE DE SOBREVIVÊNCIA E APLICAÇÕES que será realizado na XVIII ESCOLA DE MODELOS DE REGRESSÃO e ocorrerá nos dias 21 a 24/11/2023 em BELÉM-PA, no Centro Cultural e Turístico Tancredo Neves (CENTUR).</t>
  </si>
  <si>
    <t>000988/23</t>
  </si>
  <si>
    <t>***.779.593-**</t>
  </si>
  <si>
    <t>JACIRA DOS SANTOS OLIVEIRA</t>
  </si>
  <si>
    <t>Participação enquanto coordenadora da Reunião de coordenadores de Programas de Pós-Graduação da Área de Enfermagem no CBEn (no dia 11/11) e do 74º Congresso Brasileiro de Enfermagem (74º CBEn), que inicia no dia 12/11</t>
  </si>
  <si>
    <t>000982/23</t>
  </si>
  <si>
    <t>001000/23</t>
  </si>
  <si>
    <t>***.453.194-**</t>
  </si>
  <si>
    <t>THAIS AUGUSTA CUNHA DE OLIVEIRA MAXIMO</t>
  </si>
  <si>
    <t>- Participação em reunião do grupo de trabalho da ANPEPP (24/10) - Apresentação de trabalhos (mesa redonda e apresentação oral) no VII Congresso Brasileiro de Psicodinâmica e Clínica do Trabalho (Evento 25 a 27/10)</t>
  </si>
  <si>
    <t>000978/23</t>
  </si>
  <si>
    <t>001010/23</t>
  </si>
  <si>
    <t>GUSTAVO CESAR PAMPLONA DE SOUSA</t>
  </si>
  <si>
    <t>000974/23</t>
  </si>
  <si>
    <t>FELIPE KAEZER DOS SANTOS</t>
  </si>
  <si>
    <t>O proposto irá participar como membro da banca examinadora para o concurso para docente área fundamentos de enfermagem (UFPB/CCS/DENC)</t>
  </si>
  <si>
    <t>000996/23</t>
  </si>
  <si>
    <t>***.971.244-**</t>
  </si>
  <si>
    <t>GUSTAVO HENRIQUE DE ARAUJO FREIRE</t>
  </si>
  <si>
    <t>Ministrar disciplina regular, Políticas de Informação, no programa de Pós-Graduação em Ciência da Informação no período de 11/12/23 a 16/12/23</t>
  </si>
  <si>
    <t>000991/23</t>
  </si>
  <si>
    <t>ANDERSON QUEIROZ DE CASTRO GOMES</t>
  </si>
  <si>
    <t>Participação em Seminário do Capes PRINT</t>
  </si>
  <si>
    <t>000980/23</t>
  </si>
  <si>
    <t>***.145.044-**</t>
  </si>
  <si>
    <t>HUGO BELARMINO DE MORAIS</t>
  </si>
  <si>
    <t>Participação no III Encontro do Observatório de Protocolos Autônomos e VII Seminário de Pesquisa: 'Protocolos Autônomos e Jusdiversidade', que será realizado no Centro de Formação Vicente Canãs (Chácara do Cimi), localizado em Luziânia, região metropolitana de Brasília-DF, entre os dias 14 a 17 de setembro de 2023. O evento é organizado pelo Projeto 'Observatório de Protocolos Comunitários de Consulta e Consentimento Livre, Prévio e Informado: direitos territoriais, autodeterminação e jusdiversidade' (coordenado pela UFGD e PUCPR e com apoio do CNPq. O convite pessoal para participação do docente no referido Encontro e Seminário se deu no último dia 25 de agosto, quando da participação do docente num encontro em Belo Horizonte, promovido pelo Instituto de Pesquisa em Direitos e Movimentos Sociais (IPDMS). A respectiva carta-convite foi encaminhada para o e-mail do docente no dia 31 de agosto, motivo pelo qual justificamos previamente o caráter de urgência.</t>
  </si>
  <si>
    <t>O docente foi convidado presencialmente para participar do evento no último dia 25 de agosto mas somente no dia 31 de agosto recebeu, por e-mail (com cópia para o e-mail do Programa, também em anexo), a sua carta-convite para o evento. Por tais motivos justificamos a solicitação no presente momento, em caráter de urgência.</t>
  </si>
  <si>
    <t>000995/23</t>
  </si>
  <si>
    <t>***.236.673-**</t>
  </si>
  <si>
    <t>VIRGINIA BENTES PINTO</t>
  </si>
  <si>
    <t>Ministrar disciplina regular condensada,Tópicos Especiais - Representação da Informação e terminologia, do semestre letivo 2023.2 do PPGCI-UFPB, no período de 04/12/2023 a 09/12/2023</t>
  </si>
  <si>
    <t>000983/23</t>
  </si>
  <si>
    <t>Representar a UFPB no Seminário COEX/ANDIFES, em formato presencial, nos dias 18 e 19 de abril de 2023, na cidade do Brasília, na sede da Andifes.</t>
  </si>
  <si>
    <t>Só foi possível confirmar a participação do proposto no evento nesta data, tendo em vista que como ocupa o cargo de pró-reitor possui compromissos e outros convites com datas conflitantes, o que poderia ser um empecilho para participação no evento.</t>
  </si>
  <si>
    <t>000984/23</t>
  </si>
  <si>
    <t>***.959.784-**</t>
  </si>
  <si>
    <t>RICARDO ALMEIDA DE MELO</t>
  </si>
  <si>
    <t>Participação e apresentação de trabalhos no 51º Congresso Brasileiro de Educação em Engenharia (COBENGE 2023)</t>
  </si>
  <si>
    <t>O professor solicitou as diárias e passagens no prazo correto, entretanto, a coordenação estava aguardando a execução na ordem em que os pedidos de uso do PROAP chegaram até nós para poder realizar este pedido. Por este motivo, solicitamos o atendimento a esta demanda.</t>
  </si>
  <si>
    <t>000999/23</t>
  </si>
  <si>
    <t>***.094.332-**</t>
  </si>
  <si>
    <t>SONIA MARIA DA SILVA ARAUJO</t>
  </si>
  <si>
    <t>PROFESSOR MAGISTERIO SUPERIOR-VISITANTE</t>
  </si>
  <si>
    <t>Participação na banca de doutorado de Arthur Rodrigues de Lima.</t>
  </si>
  <si>
    <t>Tramitação da PCDP efetuada em atraso por razão de pendências no cadastro da proposta.</t>
  </si>
  <si>
    <t>000985/23</t>
  </si>
  <si>
    <t>***.309.989-**</t>
  </si>
  <si>
    <t>ANGELITA MARIA VANDER BROOCK SCHULTZ</t>
  </si>
  <si>
    <t>Participar de Banca examinadora do concurso público aberto pelo edital 61/2023 UFPB, na área de Educação Musical Infantil do Departamento de Educação Musical.</t>
  </si>
  <si>
    <t>justificativa no formulário de solicitação.</t>
  </si>
  <si>
    <t>001171/23</t>
  </si>
  <si>
    <t>***.365.204-**</t>
  </si>
  <si>
    <t>MARSILVIO GONCALVES PEREIRA</t>
  </si>
  <si>
    <t>Participação no XIV Encontro Nacional de Pesquisa em Educação em Ciências (ENPEC) com apresentação de dois trabalhos/artigos de pesquisa.</t>
  </si>
  <si>
    <t>Tramitação da portaria de afastamento durou mais do que o planejado.</t>
  </si>
  <si>
    <t>000998/23</t>
  </si>
  <si>
    <t>Participar no dia 11/09/2023 de Conferência Educacional Huawei ICT Academy Brasil, no dia 12/09/2023 agenda com Deputado, nos dias 13 e 14/09/2023 participar da CXCV reunião ordinária do Conselho Pleno da ANDIFES, em Brasília/DF</t>
  </si>
  <si>
    <t>Confirmação da reunião da ANDIFES, apenas nesta data (05/09/2023), conforme justificativa no formulário de solicitação</t>
  </si>
  <si>
    <t>001021/23</t>
  </si>
  <si>
    <t>***.044.237-**</t>
  </si>
  <si>
    <t>ANGELA MARIA GARCIA</t>
  </si>
  <si>
    <t>Participar como membro em banca examinadora de concurso público na área de Teoria Antropológica, Edital 61/2023.</t>
  </si>
  <si>
    <t>Porto Seguro</t>
  </si>
  <si>
    <t>001144/23</t>
  </si>
  <si>
    <t>***.953.714-**</t>
  </si>
  <si>
    <t>GERMANA COSTA ROCHA</t>
  </si>
  <si>
    <t>Participação como coordenadora do Curso de Pós-graduação em Arquitetura e Urbanismo do Centro de Tecnologia (PPGAU/UFPB) no Seminário de Meio de Termo, evento importante para avaliação do programa. Além disso, atendendo à convites (em anexo), realizar visitas técnicas importantes às pesquisas em desenvolvimento, e à consolidação de parcerias em outras instituições, ampliando as atividades já realizadas e possibilitando a formação de novas cooperações técnicas e científicas.</t>
  </si>
  <si>
    <t>001032/23</t>
  </si>
  <si>
    <t>JULIO CESAR DA SILVA</t>
  </si>
  <si>
    <t>Participação e apresentação de trabalho acadêmico-científico no Simpósio Brasileiro de Automação Inteligente, SBAI 2023, que ocorrerá em Manaus/AM, no período de 15 a 18 de outubro de 2023.</t>
  </si>
  <si>
    <t>001107/23</t>
  </si>
  <si>
    <t>O professor irá representar o Programa de Pós-Graduação em Administração no Seminário de Meio Termo realizado pela CAPES. O Seminário consiste em uma reunião dos coordenadores de área com coordenadores(as) ou representantes dos programas de pós-graduação stricto sensu em funcionamento para fins de discutir e planejar, em conjunto, as metas e diretrizes da área para fins de avaliação. Além disso, esta será uma oportunidade para compartilhamento de experiências e análise do desempenho dos programas nos dois primeiros anos do quadriênio.</t>
  </si>
  <si>
    <t>001013/23</t>
  </si>
  <si>
    <t>***.898.937-**</t>
  </si>
  <si>
    <t>SIDNEI CLEMENTE PERES</t>
  </si>
  <si>
    <t>Integrar a comissão de seleção do Concurso Público para Professor do Magistério na área de Teoria Antropológica.</t>
  </si>
  <si>
    <t>001030/23</t>
  </si>
  <si>
    <t>***.231.197-**</t>
  </si>
  <si>
    <t>NELSON GOMES DE SANT ANA E SILVA JUNIOR</t>
  </si>
  <si>
    <t>Participação no XXII Encontro Nacional da Associação Brasileira de Psicologia Social (ABRAPSO), associação a qual sou associado, para apresentação de comunicação oral  intitulado 'Psicologia, Sistema de Justiça Criminal e Direitos Humanos: Diálogos pela Democracia'. O trabalho a ser apresentado está vinculado a linha de pesquisa a qual sou vinculado no Programa de Pós-graduação em Direitos Humanos, Cidadania e Políticas Públicas, assim como ao projeto de pesquisa em andamento sobre Tráfico de Drogas e Homicídios de Mulheres na Paraíba, aprovado pela FAPESQ/PB, pelo Departamento de Ciências Jurídicas e junto ao Programa de Bolsas de Iniciação Científica (PIBIC?UFPB )</t>
  </si>
  <si>
    <t>001016/23</t>
  </si>
  <si>
    <t>Participar no III Simpósio de Psicologia Social na condição de palestrante.</t>
  </si>
  <si>
    <t>001027/23</t>
  </si>
  <si>
    <t>Participação com aprovação de artigo científico no XVII Congresso ANPCONT que será realizado nos dias 29 de novembro a 02 de dezembro de 2023. Além de participar da reunião anual dos coordenadores de Pós-graduação.</t>
  </si>
  <si>
    <t>001067/23</t>
  </si>
  <si>
    <t>A docente atua como vice-coordenadora do Programa de Pós-Graduação em Gestão Pública e Cooperação Internacional (PGPCI) e atuará como representante do Programa na reunião de meio termo da área de Administração Pública e de Empresas, Ciências Contábeis e Turismo, nos dias 30 e 31/10/2023.</t>
  </si>
  <si>
    <t>001057/23</t>
  </si>
  <si>
    <t>***.441.444-**</t>
  </si>
  <si>
    <t>EDVALDO CARVALHO ALVES</t>
  </si>
  <si>
    <t>PARTICIPAR COMO COORDENADOR DE PPG DA REUNIÃO ANUAL DOS COORDENADORES DE ÁREA DA CIÊNCIA DA INFORMACÃO E APRESENTAR TRABALHO NO XXIII ENCONTRO NACIONAL DE PESQUISA EM CIÊNCIA DA INFORMAÇÃO (ENANCIB).</t>
  </si>
  <si>
    <t>001036/23</t>
  </si>
  <si>
    <t>Participar da reunião e das atividades do Seminário de Meio Termo, promovido pela Capes, destinado aos coordenadores de Programas de pós graduação em geografia no Brasil, que será realizado em Brasília nos dias 16 a 17 de novembro de 2023.</t>
  </si>
  <si>
    <t>001118/23</t>
  </si>
  <si>
    <t>Apresentação de trabalhos no XLI Simpósio Brasileiro de Telecomunicações e Processamento de Sinais - 2023</t>
  </si>
  <si>
    <t>001039/23</t>
  </si>
  <si>
    <t>ANA PAULA DASSIE LEITE</t>
  </si>
  <si>
    <t>O proposto participará na Banca Examinadora do Concurso Público de Provas e Títulos para o cargo de Professor do Magistério Superior, Área de 'Voz', do Departamento de Fonoaudiologia/CCS/UFPB.</t>
  </si>
  <si>
    <t>Devido as questões orçamentárias do Centro de Ciências da saúde onde os empenhos de hospedagem e passagem tiveram que ser reforçados, a solicitação da passagem só pode ser realizada na presente data.</t>
  </si>
  <si>
    <t>001066/23</t>
  </si>
  <si>
    <t>***.520.944-**</t>
  </si>
  <si>
    <t>DANIEL ARAUJO DE MACEDO</t>
  </si>
  <si>
    <t>O Coordenador do PPCEM participará do Seminário de Meio Termo da CAPES</t>
  </si>
  <si>
    <t>001075/23</t>
  </si>
  <si>
    <t>***.443.314-**</t>
  </si>
  <si>
    <t>JOSEDILTON ALVES DINIZ</t>
  </si>
  <si>
    <t>Participação com aprovação de artigo científico no XVII Congresso ANPCONT que será realizado nos dias 29 de novembro a 02 de dezembro de 2023.</t>
  </si>
  <si>
    <t>001037/23</t>
  </si>
  <si>
    <t>***.938.087-**</t>
  </si>
  <si>
    <t>RENATA MONTEIRO GARCIA</t>
  </si>
  <si>
    <t>Apresentação de trabalho acadêmico oriundo de projeto de pesquisa, desenvolvido no âmbito da UFPB, no 22º Encontro Nacional da Associação Brasileira de Psicologia Social (ENABRAPSO). O referido trabalho configura-se como comunicação oral em Grupo de Discussão e intitula-se como 'Mulheres no Tribunal: análises dos pedidos de prisão domiciliar na Justiça Paraibana'. A temática proposta inclui debates no campo das políticas públicas e dos direitos humanos e, mais especificamente, aos temas da Linha de Pesquisa a que pertence esta solicitante.</t>
  </si>
  <si>
    <t>001131/23</t>
  </si>
  <si>
    <t>***.350.864-**</t>
  </si>
  <si>
    <t>WASLON TERLLIZZIE ARAUJO LOPES</t>
  </si>
  <si>
    <t>Apresentação de 3 artigos na XIII Conferência Nacional em Comunicações, Redes e Segurança da Informação (Encom 2023), a ser realizado de 27 a 29 de outubro de 2023 em Belém, PA.</t>
  </si>
  <si>
    <t>001108/23</t>
  </si>
  <si>
    <t>***.645.134-**</t>
  </si>
  <si>
    <t>BELISIA LUCIA MOREIRA TOSCANO DINIZ</t>
  </si>
  <si>
    <t>Seminário de Meio Termo da Capes da Área de Ciências Agrárias I, ofertado aos Programas de PósGraduação no País.</t>
  </si>
  <si>
    <t>Evento marcado para essa data.</t>
  </si>
  <si>
    <t>001063/23</t>
  </si>
  <si>
    <t>***.904.834-**</t>
  </si>
  <si>
    <t>IAN PORTO GURGEL DO AMARAL</t>
  </si>
  <si>
    <t>Viagem para participação no Seminário de Meio Termo dos programas de pós-graduação da área de Biotecnologia, a ser realizado na sede da CAPES, em Brasília-DF.</t>
  </si>
  <si>
    <t>001048/23</t>
  </si>
  <si>
    <t>Participação no Seminário de Meio Termo 2023 da CAPES/MEC na condição de vice-coordenador do Programa de Pós-Graduação em Direitos Humanos, Cidadania e Políticas Públicas da UFPB.</t>
  </si>
  <si>
    <t>001050/23</t>
  </si>
  <si>
    <t>***.605.754-**</t>
  </si>
  <si>
    <t>EDSON HILAN GOMES DE LUCENA</t>
  </si>
  <si>
    <t>Participar do Lançamento do Aplicativo TeleEstomato-Amapá e capacitação de profissionais da odontologia hospitalar</t>
  </si>
  <si>
    <t>Macapá</t>
  </si>
  <si>
    <t>Recebimento de carta convite em prazo inferior ao recomendado para cadastro de viagem no sistema SCDP. Carta convite assinada em 08/09 e recebida em 11/09.</t>
  </si>
  <si>
    <t>001056/23</t>
  </si>
  <si>
    <t>LYRIEL KATLEY ALVES COSTA</t>
  </si>
  <si>
    <t>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t>
  </si>
  <si>
    <t>Barcelona</t>
  </si>
  <si>
    <t>001054/23</t>
  </si>
  <si>
    <t>***.031.021-**</t>
  </si>
  <si>
    <t>WAGNER JUNQUEIRA DE ARAUJO</t>
  </si>
  <si>
    <t>Participar com apresentação de trabalhos no XXIII ENANCIB, Encontro Nacional de Pesquisa em Ciência da Informação, que será realizado no período de 06/11/23 a 11/11/23 na cidade de Aracajú-SE</t>
  </si>
  <si>
    <t>001085/23</t>
  </si>
  <si>
    <t>MURILLO AUGUSTO CIPRIANO AZEVEDO</t>
  </si>
  <si>
    <t>001059/23</t>
  </si>
  <si>
    <t>CAROLINE RIBEIRO ALVES</t>
  </si>
  <si>
    <t>001060/23</t>
  </si>
  <si>
    <t>MATEUS ALVES LEITE</t>
  </si>
  <si>
    <t>001061/23</t>
  </si>
  <si>
    <t>CAIO ARAUJO LIMA</t>
  </si>
  <si>
    <t>001084/23</t>
  </si>
  <si>
    <t>GABRIEL MAURICIO DE MOURA E SOUZA</t>
  </si>
  <si>
    <t>001072/23</t>
  </si>
  <si>
    <t>LIVIAN ISABEL DE MEDEIROS CARVALHO</t>
  </si>
  <si>
    <t>Participar do lançamento do aplicativo TeleEstomato Amapá e realizar treinamento de dentistas da odontologia hospitalar</t>
  </si>
  <si>
    <t>Carta convite enviada apenas em 11/09/23</t>
  </si>
  <si>
    <t>001267/23</t>
  </si>
  <si>
    <t>Reunião ordinária do Fórum Nacional de Coordenadores de Programas de Pós-Graduação em Educação (FORPREd) organizado pela CAPES em Educação em Brasília.</t>
  </si>
  <si>
    <t>001613/23</t>
  </si>
  <si>
    <t>***.313.214-**</t>
  </si>
  <si>
    <t>EMILIA MARIA DA TRINDADE PRESTES</t>
  </si>
  <si>
    <t>Participação no II Simpósio Internacional Jurgen Habermas</t>
  </si>
  <si>
    <t>Foi necessário requisitar novos empenhos para pagamento de diárias e passagens.</t>
  </si>
  <si>
    <t>001073/23</t>
  </si>
  <si>
    <t>HELDER DOMICIANO DANTAS MARTINS</t>
  </si>
  <si>
    <t>Lançamento do aplicativo TeleEstomato Amapá e treinamento de dentistas da odontologia hospitalar</t>
  </si>
  <si>
    <t>carta convite enviada apenas dia 11/09/2023</t>
  </si>
  <si>
    <t>001081/23</t>
  </si>
  <si>
    <t>***.840.565-**</t>
  </si>
  <si>
    <t>EDITE MARIA DA SILVA DE FARIA</t>
  </si>
  <si>
    <t>Participação na Banca de Defesa de Tese de Ronnie Wesley Sinésio Moura e apresentação da Palestra: 'O Legado de Paulo Freire e Cartografia de Saberes na EJA: entre utopias e inéditos viáveis'.</t>
  </si>
  <si>
    <t>001076/23</t>
  </si>
  <si>
    <t>***.061.844-**</t>
  </si>
  <si>
    <t>HENRY IURE DE PAIVA SILVA</t>
  </si>
  <si>
    <t>Participação no 47º Encontro Anual da Associação Nacional de Pós-Graduação e Pesquisa em Ciências Sociais (ANPOCS), entre os dias 25 e 27 de outubro de 2023, a ser realizado na Universidade Estadual de Campinas (UNICAMP), no Campus I, localizado na cidade de Campinas-SP. Além de participar da programação geral do evento, apresentarei trabalho em que figuro como coautor intitulado 'Data Diplomacy e Redes de Cooperação Científica e Tecnológica' aprovado no 'GT47. Política Internacional e Redes de Cooperação Científica e Tecnológica' (vide carta de aceite em anexo), compartilhando resultados parciais de projeto da UFPB e UFPE em parceria com o United Nations Institute for Training and Research - UNITAR-NY, no qual atuo a partir da coordenação do Grupo de Estudos em Segurança Energética - Gesene (vide datadiplomacyproject.com).</t>
  </si>
  <si>
    <t>001126/23</t>
  </si>
  <si>
    <t>***.409.554-**</t>
  </si>
  <si>
    <t>TANIELSON RODRIGUES DA SILVA</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</si>
  <si>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</si>
  <si>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Em detrimento do trâmite do empenho de diárias a colaboradores eventuais (1530652023NE003417), o qual foi apenas liberado no dia 02 de outubro de 2023, justifico a viagem emergencial.</t>
  </si>
  <si>
    <t>001079/23</t>
  </si>
  <si>
    <t>***.259.354-**</t>
  </si>
  <si>
    <t>MARCOS DOS SANTOS LIMA</t>
  </si>
  <si>
    <t>Participação e apresentação de trabalho no Simpósio Latino Americano de Ciência de Alimentos e Nutrição - 15 SLACAN</t>
  </si>
  <si>
    <t>001092/23</t>
  </si>
  <si>
    <t>Participação do Seminário do Meio Termo promovido pela CAPES.</t>
  </si>
  <si>
    <t>001090/23</t>
  </si>
  <si>
    <t>***.908.194-**</t>
  </si>
  <si>
    <t>MARCIA MARIA DE MEDEIROS TRAVASSOS SAEGER</t>
  </si>
  <si>
    <t>Participar na qualidade de vice-coordenador e com apresentação de trabalho do XXIII Encontro Nacional de Pesquisa em Ciência da Informação (ENANCIB), na cidade de Aracajú-SE, no período de 06/11/23 a 10/11/23</t>
  </si>
  <si>
    <t>001163/23</t>
  </si>
  <si>
    <t>***.106.064-**</t>
  </si>
  <si>
    <t>LINCOLN DAVID NERY E SILVA</t>
  </si>
  <si>
    <t>Participação na final brasileira da Maratona de Programação da SBC, após classificação na etapa regional.</t>
  </si>
  <si>
    <t>Chapecó</t>
  </si>
  <si>
    <t>001101/23</t>
  </si>
  <si>
    <t>***.391.628-**</t>
  </si>
  <si>
    <t>JULIO AFONSO SA DE PINHO NETO</t>
  </si>
  <si>
    <t>Participar com apresentação de trabalho do XXIII Encontro Nacional de Pesquisa em Ciência da Informação (ENANCIB) na cidade de Aracajú-SE, no período de 06/11/23 a 10/11/23.</t>
  </si>
  <si>
    <t>001091/23</t>
  </si>
  <si>
    <t>A interessada é docente permanente no Programa de Pós-Graduação em Arquitetura e Urbanismo, do Centro de Tecnologia da UFPB, tendo aprovado 9 artigos (3 sem correções, 6 com correções que estão em curso). Os artigos aprovados serão apresentados no evento e publicados nos respectivos anais.</t>
  </si>
  <si>
    <t>001109/23</t>
  </si>
  <si>
    <t>***.851.521-**</t>
  </si>
  <si>
    <t>CLAUDIO VAZ TORRES</t>
  </si>
  <si>
    <t>Participação da Jornada de Doutorado 2023 na área de Psicologia Social, como leitor externo dos trabalhos inscritos.</t>
  </si>
  <si>
    <t>A solicitação hoje deve-se a problemas pessoais de outro convidado.</t>
  </si>
  <si>
    <t>001104/23</t>
  </si>
  <si>
    <t>***.284.471-**</t>
  </si>
  <si>
    <t>CLAUDIA REGINA NUNES DOS SANTOS RENAULT</t>
  </si>
  <si>
    <t>ASSISTENTE SOCIAL</t>
  </si>
  <si>
    <t>O proposto participará do X ENEI entre os dias 16 a 20/10/2023 - Cidade de Rio Tinto, como coordenadora de Mesa e palestrante</t>
  </si>
  <si>
    <t>001094/23</t>
  </si>
  <si>
    <t>***.671.067-**</t>
  </si>
  <si>
    <t>JEVUKS MATHEUS DE ARAUJO</t>
  </si>
  <si>
    <t>PARTICIPAÇÃO NA REUNIÃO DE MEIO TERMO DA AVALIAÇÃO QUADRIENAL PROMOVIDA PELA CAPES.</t>
  </si>
  <si>
    <t>001097/23</t>
  </si>
  <si>
    <t>***.344.524-**</t>
  </si>
  <si>
    <t>RENATE MARIA RAMOS WELLEN</t>
  </si>
  <si>
    <t>A pesquisadora/docente irá participar/apresentar trabalhos no 17º CBPol, como também participará de reuniões técnicas visando discussão de metodologias e resultados de projetos aprovados em execução na UFPB, como também formação de novas parcerias. Indubitavelmente trará novos conhecimentos para docentes e discentes da UFPB. (https://cbpol.com.br/)</t>
  </si>
  <si>
    <t>Joinville</t>
  </si>
  <si>
    <t>001299/23</t>
  </si>
  <si>
    <t>MARILIA POKWYJ RIBEIRO DE SOUSA KRAHO</t>
  </si>
  <si>
    <t>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</si>
  <si>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001294/23</t>
  </si>
  <si>
    <t>FERNANDA SORAGGI SILVA</t>
  </si>
  <si>
    <t>Em detrimento do trâmite do empenho de diárias a colaboradores eventuais, o qual foi apenas liberado no dia 02 de outubro de 2023, justifico a viagem emergencial.</t>
  </si>
  <si>
    <t>001102/23</t>
  </si>
  <si>
    <t>DANIELE DE FATIMA DE PAIVA ABREU</t>
  </si>
  <si>
    <t>Proposto irá participar de Evento 'Congresso Internacional e Brasileiro de Neuropsicologia' o qual se vincula diretamente com a sua pesquisa de iniciação científica e com o seu Trabalho de Conclusão de Curso da UFPB.</t>
  </si>
  <si>
    <t>001105/23</t>
  </si>
  <si>
    <t>***.865.394-**</t>
  </si>
  <si>
    <t>MAURO BARBOSA DA SILVA</t>
  </si>
  <si>
    <t>PARTICIPAR DO X FÓRUM DAS CIS, EM PORTO ALEGRE, NO PERÍODO DE 09 A 11/010/2023</t>
  </si>
  <si>
    <t>001114/23</t>
  </si>
  <si>
    <t>***.856.554-**</t>
  </si>
  <si>
    <t>ROSEMBERG FERNANDES DE MENEZES</t>
  </si>
  <si>
    <t>Participação como vice-coordenador do Programa de Pós-Graduação em Biodiversidade (PPGBIO) do Centro Ciências Agrárias (CCA-Campus, II) no Seminário de Meio Termo da CAPES da área de Biodiversidade, a ser realizado em Brasília - DF entre os dia 02 e 03 de outubro de 2023.</t>
  </si>
  <si>
    <t>Conforme Justificativa apresentada pelo proposto: 'A coordenação do programa de pós-graduação em Biodiversidade (PPGBIO) estava aguardando a liberação do recurso para a abertura do processo de solicitação de compra de passagens aéreas e DESPACHO. Nº 613/2023 - CCA-DC, anexados a este processo.</t>
  </si>
  <si>
    <t>001106/23</t>
  </si>
  <si>
    <t>***.429.254-**</t>
  </si>
  <si>
    <t>PEDRO JOSE DE SOUZA BIAS</t>
  </si>
  <si>
    <t>PARTICIPAR DO X FÓRUM DAS CIS, EM PORTO ALEGRE/RS, NO PERÍODO DE 09 A 11 DE OUTUBRO/2023</t>
  </si>
  <si>
    <t>001213/23</t>
  </si>
  <si>
    <t>Apresentação de trabalho na XIII Conferência Nacional em Comunicações, Redes e Segurança da Informação - ENCOM 2023.</t>
  </si>
  <si>
    <t>001110/23</t>
  </si>
  <si>
    <t>***.616.214-**</t>
  </si>
  <si>
    <t>FABRICIO BRAGA SOARES DE CARVALHO</t>
  </si>
  <si>
    <t>Apresentação de artigos científicos aprovados na XIII Conferência Nacional em Comunicações, Redes e Segurança da Informação - ENCOM 2023, que ocorrerá no período de 27 a 29 de outubro/2023, em Belém-PA.</t>
  </si>
  <si>
    <t>001113/23</t>
  </si>
  <si>
    <t>***.663.536-**</t>
  </si>
  <si>
    <t>FLAVIA AFFONSO MAYER</t>
  </si>
  <si>
    <t>Participação no Seminário de Meio Termo dos programas de pós-graduação da área de Comunicação e Informação. O Seminário consiste em uma reunião dos coordenadores de área com coordenadores ou representantes dos programas de pós-graduação em funcionamento para fins de discutir e planejar, em conjunto, as metas e diretrizes da área para fins de avaliação. Sendo um convite direcionado ao coordenador de Programa em funcionamento.</t>
  </si>
  <si>
    <t>001269/23</t>
  </si>
  <si>
    <t>Participação nas reuniões do ForUAB a ser realizado em conjunto com 20º Congresso Brasileiro de Ensino Superior a Distância 9º Congresso Internacional de Educação Superior a Distância - ESUD|CIESUD em Campo Grande de 23 a 27/10/2023.</t>
  </si>
  <si>
    <t>001124/23</t>
  </si>
  <si>
    <t>***.878.431-**</t>
  </si>
  <si>
    <t>CAROLINA COELHO ARAGON</t>
  </si>
  <si>
    <t>realização do trabalho na Terra Indígena (TI) Rio Branco, estado de Rondônia. Este trabalho está vinculado ao projeto de pesquisa aprovado pelo Departamento de Língua Portuguesa e Linguístico da UFPB intitulado 'Educação, Linguística, História e Comunidades Indígenas'. Refere-se ao trabalho interdisciplinar desenvolvido em parceria com professoras da Universidade Federal de Rondônia e da Universidade Federal de Santa Catarina voltado à pesquisa e à formação de professores indígenas.</t>
  </si>
  <si>
    <t>Ji-Paraná</t>
  </si>
  <si>
    <t>001133/23</t>
  </si>
  <si>
    <t>***.919.655-**</t>
  </si>
  <si>
    <t>LUAN SODRE DE SOUZA</t>
  </si>
  <si>
    <t>PARTICIPAÇÃO COMO MEMBRO EXTERNO NA DEFESA DE DOUTORADO DE RENATA SIMÕES PELO PROGRAMA DE PÓS-GRADUAÇÃO EM MÚSICA (PPGM/UFPB)</t>
  </si>
  <si>
    <t>001121/23</t>
  </si>
  <si>
    <t>Participar com apresentação de trabalho do XXIII Encontro Nacional de Pesquisa em Ciência da Informação (ENANCIB) na cidade de Aracajú-SE, no período de 06/11/23 a 10/11/23</t>
  </si>
  <si>
    <t>001135/23</t>
  </si>
  <si>
    <t>***.678.325-**</t>
  </si>
  <si>
    <t>ANGELA ELISABETH LUHNING</t>
  </si>
  <si>
    <t>PARTICIPAÇÃO COMO MEMBRO EXTERNO NA DEFESA DE DOUTORADO DE RENATA SIMOES PELO PROGRAMA DE PÓS-GRADUAÇÃO EM MÚSICA (PPGM/UFPB)</t>
  </si>
  <si>
    <t>001132/23</t>
  </si>
  <si>
    <t>***.672.645-**</t>
  </si>
  <si>
    <t>ANTONIO VIRGILIO BITTENCOURT BASTOS</t>
  </si>
  <si>
    <t>Participar da Jornada do Doutorado em Psicologia - 2023 como palestrante de abertura do evento.</t>
  </si>
  <si>
    <t>O proposto necessitou de tempo para ajuste na agenda e confirmação de sua participação na Jornada.</t>
  </si>
  <si>
    <t>001298/23</t>
  </si>
  <si>
    <t>***.170.872-**</t>
  </si>
  <si>
    <t>ARLINDO ALEMAO GREGORIO</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</si>
  <si>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</si>
  <si>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001304/23</t>
  </si>
  <si>
    <t>INDIANARA RAMIRES MACHADO</t>
  </si>
  <si>
    <t>Proposto convidado para participar do X ENEI POTIGUARA, em Rio Tinto - PB</t>
  </si>
  <si>
    <t>Em detrimento do trâmite de solicitação de empenho para colaboradores eventuais, justifico.</t>
  </si>
  <si>
    <t>001309/23</t>
  </si>
  <si>
    <t>***.086.902-**</t>
  </si>
  <si>
    <t>LUANA DA SILVA CARDOSO</t>
  </si>
  <si>
    <t>Proposto convidado para participar do X ENEI POTIGUARA, em Rio Tinto - PB. Foi uma das organizadoras do IV ENEI/2016 realizado na UFOPA (Universidade Federal do Oeste do Pará), foi a primeira mulher indígena a forma no curso de Antropologia, por isso o Centro Acadêmico de Antropologia em homenagem carrega o nome Luana Kumaruara. Foi Co-fundadora do DAIN (Diretório Acadêmico Indígena/UFOPA) e Co-fundaddora da ABIA (Articulação Brasileira de Indígenas Antropólogos).</t>
  </si>
  <si>
    <t>Em detrimento do trâmite do empenho de solicitação de diárias aos colaboradores eventuais, justifico viagem urgente.</t>
  </si>
  <si>
    <t>001202/23</t>
  </si>
  <si>
    <t>***.831.622-**</t>
  </si>
  <si>
    <t>PIERLANGELA NASCIMENTO DA CUNHA</t>
  </si>
  <si>
    <t>Participação como palestrante no X Encontro Nacional dos Estudantes Indígenas - ENEI e no Fórum sobre Ensino Superior Indígena.</t>
  </si>
  <si>
    <t>Boa Vista</t>
  </si>
  <si>
    <t>001152/23</t>
  </si>
  <si>
    <t>***.250.004-**</t>
  </si>
  <si>
    <t>REJANE MARIA OLIVEIRA DIAS SANTANA DE VASCONCELOS</t>
  </si>
  <si>
    <t>VIGILANTE</t>
  </si>
  <si>
    <t>Participar do XXIX Seminário Nacional de Segurança, que acontecerá em Florianópolis, no período de 25 a 29/09/2023</t>
  </si>
  <si>
    <t>Por força de acidentes climáticos que atingiram a Região Sul do país, realização do evento só foi confirmada recentemente, conforme justificativa no formulário de solicitação e autorizada pelo dirigente máximo da instituição (Autorização anexa).</t>
  </si>
  <si>
    <t>001145/23</t>
  </si>
  <si>
    <t>LARISSA DA COSTA BANDEIRA HONORIO</t>
  </si>
  <si>
    <t>PROPOSTO IRÁ APRESENTAR TRABALHOS EM EVENTO NACIONAL NA CIDADE DE BELO HORIZONTE, COMO COMPLEMENTO AO SEU CURSO DE GRADUAÇÃO NA UFPB.</t>
  </si>
  <si>
    <t>DEVIDO A ALTA DEMANDA DE SOLICITAÇÕES DE PASSAGENS NO SETOR, SÓ CONSEGUIMOS SOLICITAR ESSA EMISSÃO NESSE PERÍODO.</t>
  </si>
  <si>
    <t>001149/23</t>
  </si>
  <si>
    <t>***.013.884-**</t>
  </si>
  <si>
    <t>DEBORAH HELENA BATISTA LEITE</t>
  </si>
  <si>
    <t>Participação e Apresentação de trabalho em evento científico da área da enfermagem</t>
  </si>
  <si>
    <t>001166/23</t>
  </si>
  <si>
    <t>TAYLOR KLAUS CANTALICE NOBREGA</t>
  </si>
  <si>
    <t>Participação do time 'Luerson e os Meros Mortais', composto por 3 alunos da graduação e um Professor como Coach na final brasileira da Maratona de Programação da SBC, após classificação na etapa regional.</t>
  </si>
  <si>
    <t>001153/23</t>
  </si>
  <si>
    <t>***.983.164-**</t>
  </si>
  <si>
    <t>CEZARIO EDUARDO DOS SANTOS</t>
  </si>
  <si>
    <t>001306/23</t>
  </si>
  <si>
    <t>THAIRA ANTONIA PRIPRA</t>
  </si>
  <si>
    <t>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</si>
  <si>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Em detrimento do trâmite de solicitação de empenho para colaboradores eventuais, justifico a viagem.</t>
  </si>
  <si>
    <t>001295/23</t>
  </si>
  <si>
    <t>***.809.068-**</t>
  </si>
  <si>
    <t>ALVARO LUIZ TRAVASSOS DE AZEVEDO GONZAGA</t>
  </si>
  <si>
    <t>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</si>
  <si>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001164/23</t>
  </si>
  <si>
    <t>LUERSON DE ALBUQUERQUE SILVA FILHO</t>
  </si>
  <si>
    <t>001165/23</t>
  </si>
  <si>
    <t>LUIZ HENRIQUE QUEIROZ DE ALBUQUERQUE SILVA</t>
  </si>
  <si>
    <t>001312/23</t>
  </si>
  <si>
    <t>***.195.512-**</t>
  </si>
  <si>
    <t>BRAULINA AURORA</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</si>
  <si>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</si>
  <si>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001160/23</t>
  </si>
  <si>
    <t>Apresentação de dois artigos XXVI no Seminário de Administração - SEMEAD 2023.</t>
  </si>
  <si>
    <t>001199/23</t>
  </si>
  <si>
    <t>***.771.344-**</t>
  </si>
  <si>
    <t>ALZIRA KARLA ARAUJO DA SILVA</t>
  </si>
  <si>
    <t>Participar com apresentação de trabalho do XXIII Encontro Nacional de Pesquisa em Ciência da Informa na cidade de Aracaju-SE, no período de 06/11/23 a 10/11/23</t>
  </si>
  <si>
    <t>001211/23</t>
  </si>
  <si>
    <t>***.953.478-**</t>
  </si>
  <si>
    <t>MARILDA APARECIDA DE MENEZES</t>
  </si>
  <si>
    <t>Curso de História Oral: metodologia, memórias, narrativas na V Semana Acadêmica, a ser realizada no período de 06 a 10/11/2023, no CCHLA/UFPB.</t>
  </si>
  <si>
    <t>mudança de empenho de diárias por insuficiência de saldo</t>
  </si>
  <si>
    <t>001172/23</t>
  </si>
  <si>
    <t>MARILIA PASSOS APOLIANO GOMES</t>
  </si>
  <si>
    <t>Participação como membro titular em banca de concurso - área Gênero e Teoria Sociológica CCHLA - UFPB - regido pelo Edital nº 61, de 06/07/2023</t>
  </si>
  <si>
    <t>Teresina</t>
  </si>
  <si>
    <t>001168/23</t>
  </si>
  <si>
    <t>***.013.087-**</t>
  </si>
  <si>
    <t>ADELIA MARIA MIGLIEVICH RIBEIRO</t>
  </si>
  <si>
    <t>Convidada para banca de concurso público docente.</t>
  </si>
  <si>
    <t>Corrigido.</t>
  </si>
  <si>
    <t>001284/23</t>
  </si>
  <si>
    <t>RICHELIEU RAMOS DE ANDRADE COSTA</t>
  </si>
  <si>
    <t>Apresentação de artigo no O XXIX Simpósio Brasileiro de Sistemas Multimídia e Web (WebMedia) relacionado ao mestrado em desenvolvimento e a projeto coordenado pelo Forum Brasileiro de TV Digital, em execução na UFPB via RNP</t>
  </si>
  <si>
    <t>001179/23</t>
  </si>
  <si>
    <t>***.050.813-**</t>
  </si>
  <si>
    <t>ANTONIA LUCIA DE SOUZA</t>
  </si>
  <si>
    <t>Participação como Coordenadora do Programa de Pós-Graduação em Química da Universidade Federal da Paraíba no Seminário do Meio Termo da CAPES em Brasília</t>
  </si>
  <si>
    <t>001173/23</t>
  </si>
  <si>
    <t>THALES MARTINS BEZERRA</t>
  </si>
  <si>
    <t>Participação e apresentação de trabalho no Congresso Brasileiro de Eletrônica de Potência - COBEP 2023, que ocorrerá no período de 26 a 29/11/2023, em Florianópolis/SC.</t>
  </si>
  <si>
    <t>As passagens foram emitidas e o proposto já realizou a viagem, no entanto, foi necessário retificar as informações referentes as tarifas e taxas de embarque por não terem sido descritas separadamente para o voo de ida e de volta</t>
  </si>
  <si>
    <t>001174/23</t>
  </si>
  <si>
    <t>***.335.734-**</t>
  </si>
  <si>
    <t>MOISES DANTAS DOS SANTOS</t>
  </si>
  <si>
    <t>Participação do proposto no Seminário Meio Termo da CAPES, na qualidade de Coordenador do PPGEM/UFPB, que ocorrerá nos dias 09 e 10 de outubro de 2023, em Brasília/DF, conforme convite nos termos do Ofício Circular nº 18/2023-DAV/CAPES.</t>
  </si>
  <si>
    <t>001178/23</t>
  </si>
  <si>
    <t>MELISSA KATHLEEN DE OLIVEIRA LIMA</t>
  </si>
  <si>
    <t>PROPOSTO IRÁ PARTICIPAR DE EVENTO ACADÊMICO APRESENTANDO TRABALHOS INERENTES AO SEU CURSO NA UFPB.</t>
  </si>
  <si>
    <t>DEVIDO O AUMENTO DE DEMANDA DO SETOR E A NECESSIDADE DE SOLICITAÇÃO DAS PASSAGENS, FOI REALIZADA SOLICITAÇÃO DENTRO DOS 20 DIAS.</t>
  </si>
  <si>
    <t>001183/23</t>
  </si>
  <si>
    <t>***.802.237-**</t>
  </si>
  <si>
    <t>ERICK ALMEIDA ESMERINO</t>
  </si>
  <si>
    <t>Palestrante do Ciclo de palestras de PPGCTA: Analise Sensorial - Técnicas aplicadas e participação na avaliação dos projetos da disciplina de seminários II .</t>
  </si>
  <si>
    <t>001326/23</t>
  </si>
  <si>
    <t>ZULEICA DA SILVA TIAGO</t>
  </si>
  <si>
    <t>Proposto participará no X ENEI com participação na comissão organizadora científica do ENEI, e na análise dos trabalhos apresentados pelos acadêmicos Indígenas.</t>
  </si>
  <si>
    <t>Em detrimento do trâmite para a criação do empenho para colaboradores eventuais, justifico.</t>
  </si>
  <si>
    <t>001197/23</t>
  </si>
  <si>
    <t>***.238.643-**</t>
  </si>
  <si>
    <t>FATIMA REGINA NUNES DE SOUSA</t>
  </si>
  <si>
    <t>O PROPOSTO VIRÁ PARTICIPAR DE BANCA DE CONCURSO PÚBLICO DE DEPARTAMENTO DE CLÍNICA ODONTOLOGIA SOCIAL.</t>
  </si>
  <si>
    <t>EM ANEXO.</t>
  </si>
  <si>
    <t>001198/23</t>
  </si>
  <si>
    <t>Como Coordenadora da Rede RIEV coordenar em parceria com a Universidade Federal da Santa Catarina -UFSC e a Universidade de València - Espanha o II Simpósio Internacional Jurgen Habermas no período de 20 a 25 de novembro (https://simposiojurgenhabermas.com/) ; proferir a conferência - Inteligência Artificial, Direitos Humanos eEsfera Pública no referido evento.</t>
  </si>
  <si>
    <t>001194/23</t>
  </si>
  <si>
    <t>***.274.509-**</t>
  </si>
  <si>
    <t>TATIANA COLOMBO PIMENTEL</t>
  </si>
  <si>
    <t>Palestrante do Ciclo de palestras de PPGCTA: Analise Sensorial - Técnicas aplicadas e participação na avaliação dos projetos da disciplina de seminários II</t>
  </si>
  <si>
    <t>001189/23</t>
  </si>
  <si>
    <t>***.436.934-**</t>
  </si>
  <si>
    <t>JAQUELINE GUIMARAES SANTOS</t>
  </si>
  <si>
    <t>A participação no XXVI Seminários em Administração (SemeAd) é fundamental, pois é um dos eventos mais importantes na área, sendo um momento de interações com outras(os) pesquisadoras(es), além da possibilidade de buscar parcerias de pesquisas. Ademais, a requerente possui trabalho aprovado para ser apresentado durante o evento.</t>
  </si>
  <si>
    <t>001229/23</t>
  </si>
  <si>
    <t>***.193.774-**</t>
  </si>
  <si>
    <t>ANGELINA DIAS LEAO COSTA</t>
  </si>
  <si>
    <t>Participação no XXIII Congresso da ABERGO</t>
  </si>
  <si>
    <t>001245/23</t>
  </si>
  <si>
    <t>***.836.253-**</t>
  </si>
  <si>
    <t>HELDER BUENOS AIRES DE CARVALHO</t>
  </si>
  <si>
    <t>Participar como avaliador do XXXI ENCONTRO DE INICIAÇÃO CIENTIFICA/ENIC - 2023</t>
  </si>
  <si>
    <t>A entrada da requisição foi no prazo e devido a ajustes entrou no prazo de urgência</t>
  </si>
  <si>
    <t>001246/23</t>
  </si>
  <si>
    <t>***.894.819-**</t>
  </si>
  <si>
    <t>JORGE MAURICIO DAVID</t>
  </si>
  <si>
    <t>Participação como avaliador externo do ENIC - Encontro de Iniciação Científica da UFPB.</t>
  </si>
  <si>
    <t>O servidor esta tentado</t>
  </si>
  <si>
    <t>001655/23</t>
  </si>
  <si>
    <t>***.078.334-**</t>
  </si>
  <si>
    <t>JESSICA DA SILVA GADELHA</t>
  </si>
  <si>
    <t>BIBLIOTECARIO-DOCUMENTALISTA</t>
  </si>
  <si>
    <t>Considerando a importância do evento científico para o aprimoramento profissional, venho, respeitosamente, solicitar a concessão de passagens aéreas ida/volta (João Pessoa/Florianópolis/João Pessoa) e diárias para o XXII SEMINÁRIO NACIONAL DE BIBLIOTECAS UNIVERSITÁRIAS (SNBU), evento específico e extremamente relevante para a área de Biblioteconomia, que acontecerá em FLORIANÓPOLIS - SC, no período de 28 DE NOVEMBRO A 01 DE DEZEMBRO DE 2023, e que tem como tema central 'BIBLIOTECAS E SUSTENTABILIDADE: INOVAÇÃO, CIÊNCIA E SOCIEDADE'.</t>
  </si>
  <si>
    <t>001203/23</t>
  </si>
  <si>
    <t>***.690.974-**</t>
  </si>
  <si>
    <t>MARCIO MEDEIROS SOARES</t>
  </si>
  <si>
    <t>Participação no XXXVII Encontro de Física do Norte e Nordeste, na cidade de Salvador, de 27 a 29 de novembro de 2023, com apresentação oral aprovada para mostrar pesquisa desenvolvida pelo docente no Departamento de Física. A participação do docente nesse tradicional encontro de Física visa divulgar a pesquisa científica desenvolvida pelo docente na UFPB e possibilita a atualização do docente em temas de fronteira da física e o estabelecimento de colaborações com outros professores/pesquisadores das regiões nordeste e norte. Constitui parte fundamental do trabalho acadêmico na Universidade.</t>
  </si>
  <si>
    <t>001205/23</t>
  </si>
  <si>
    <t>***.881.874-**</t>
  </si>
  <si>
    <t>WALLACE PATRICK SANTOS DE FARIAS SOUZA</t>
  </si>
  <si>
    <t>PARTICIPAÇÃO E APRESENTAÇÃO DE TRABALHO NO 51º ENCONTRO NACIONAL DE ECONOMIA DA ANPEC - RIO DE JANEIRO</t>
  </si>
  <si>
    <t>001209/23</t>
  </si>
  <si>
    <t>***.006.730-**</t>
  </si>
  <si>
    <t>ANDRE DE MATTOS MARQUES</t>
  </si>
  <si>
    <t>Apresentação oral do trabalho intitulado 'Does fertility affect growth? Evidence and simulation results from alternative quantile regression estimators' no 51º Encontro Nacional de Economia, no Rio de Janeiro/RJ, no período de 12 a 15 de dezembro de 2023.</t>
  </si>
  <si>
    <t>001208/23</t>
  </si>
  <si>
    <t>***.721.104-**</t>
  </si>
  <si>
    <t>JOSE JAMACY DE ALMEIDA FERREIRA</t>
  </si>
  <si>
    <t>Participação do Seminário de Meio Termo promovido pela área 21 da CAPES e representando o PPGFis/UFPB na qualidade de coordenador do curso</t>
  </si>
  <si>
    <t>001296/23</t>
  </si>
  <si>
    <t>***.230.254-**</t>
  </si>
  <si>
    <t>ANA PAULA FURTADO SOARES PONTES</t>
  </si>
  <si>
    <t>Participar do Seminário do Meio Termo - Área Educação dos programas de pós-graduação da área de EDUCAÇÃO, será realizado na CAPES, Brasília-DF, nos dias 13 e 14 de novembrode2023,das 09:00 às 18:00 horas.</t>
  </si>
  <si>
    <t>001222/23</t>
  </si>
  <si>
    <t>***.142.864-**</t>
  </si>
  <si>
    <t>JOAO ALVES DE LIMA</t>
  </si>
  <si>
    <t>Participação em Congresso Internacional (COBEM 2023), a ser realizado em Florianópolis/SC, de 04 a 08 de dezembro de 2023, com apresentação oral de trabalho científico desenvolvido com aluno do PPGEM/CT/UFPB, sob a orientação do proposto.</t>
  </si>
  <si>
    <t>001225/23</t>
  </si>
  <si>
    <t>***.673.604-**</t>
  </si>
  <si>
    <t>LEANDRO FIRMINO FERNANDES</t>
  </si>
  <si>
    <t>TECNICO DE LABORATORIO AREA</t>
  </si>
  <si>
    <t>Vista técnica ao Colégio Politécnico e o CETISM da Universidade Federal de Santa Maria - UFSM, à convite para conhecer os projetos ações da área de Agricultura de Precisão, Escritório de Projetos, Estágios, Ação de ensino, pesquisa e extensão para o Ensino Profissional.</t>
  </si>
  <si>
    <t>Conforme DESPACHO. Nº 680 / 2023 - CCA-DC,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t>
  </si>
  <si>
    <t>001227/23</t>
  </si>
  <si>
    <t>***.448.864-**</t>
  </si>
  <si>
    <t>CLEBER BRITO DE SOUZA</t>
  </si>
  <si>
    <t>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t>
  </si>
  <si>
    <t>001226/23</t>
  </si>
  <si>
    <t>***.583.405-**</t>
  </si>
  <si>
    <t>ROBSON DA FONSECA NEVES</t>
  </si>
  <si>
    <t>O requerente é co-lider do grupo de pesquisa CNPq: Atenção Integral à Saúde: Saúde, trabalho e funcionalidade, grupo este que está comemorando 18 anos de existência com o qual temos desenvolvido pesquisas ao longo desses anos e extensa produção científica. Estou indo em missão, pois esse evento está relacionado ao planejamento do grupo para o ano de 2024 e mostra de trabalhos e projetos dos 18 anos do grupo.</t>
  </si>
  <si>
    <t>001281/23</t>
  </si>
  <si>
    <t>***.211.068-**</t>
  </si>
  <si>
    <t>OSWALDO MARTINS ESTANISLAU DO AMARAL</t>
  </si>
  <si>
    <t>Trata-se de convite ao professor Dr. Oswaldo Martins E. do Amaral, vinculado ao programa de pós-graduação em Ciência Política da Universidade Estadual de Campinas (Unicamp), para participar de atividades institucionais e acadêmicas junto ao programa de pós-graduação em Ciência Política e Relações Internacionais da Universidade Federal da Paraíba (PPGCPRI). a)Reunião com o Colegiado do Programa de pós-graduação em Ciência Política e Relações Internacionais: dia 23/11 das 9h00 às 11h00 b)Palestra aberta aos discentes e público em geral: dia 23/11 às 15h00 Reunião de trabalho com Grupo de Estudos e Pesquisas em Pensamento Social e Político Brasileiro (ARIADNE), em razão de projeto de pesquisa CNPq 'Democracia, Desenvolvimento e Direitos': dia 24/11 das 9h00 às 12h00.</t>
  </si>
  <si>
    <t>001230/23</t>
  </si>
  <si>
    <t>***.138.224-**</t>
  </si>
  <si>
    <t>FELIPE ROQUE VICENTE</t>
  </si>
  <si>
    <t>Conforme DESPACHO. Nº 681/2023,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t>
  </si>
  <si>
    <t>001231/23</t>
  </si>
  <si>
    <t>***.463.654-**</t>
  </si>
  <si>
    <t>BRUNO FERREIRA MATOS</t>
  </si>
  <si>
    <t>TECNICO EM AGROPECUARIA</t>
  </si>
  <si>
    <t>001236/23</t>
  </si>
  <si>
    <t>001244/23</t>
  </si>
  <si>
    <t>Participação do 'Ciclo de paletras de PPGCTA: Analise Sensorial - Técnicas aplicadas' e da avaliação dos projetos da disciplina de seminários I e II do PPGCTA</t>
  </si>
  <si>
    <t>001234/23</t>
  </si>
  <si>
    <t>***.838.014-**</t>
  </si>
  <si>
    <t>ANTONIO VINICIUS BARROS BARBOSA</t>
  </si>
  <si>
    <t>Aprentação do artigo 'National Policy to Combat Violence Against Women: Evidence from Women's Police Stations no 51º Encontro Nacional de Economia, que acontecerá no Rio de Janeiro (RJ) entre os dias 12 e 15/12/2023.</t>
  </si>
  <si>
    <t>001654/23</t>
  </si>
  <si>
    <t>***.638.174-**</t>
  </si>
  <si>
    <t>ANNA REGINA DA SILVA RIBEIRO</t>
  </si>
  <si>
    <t>Solicita a concessão de passagens aéreas ida/volta (João Pessoa/Florianópolis/João Pessoa) e diárias para participar do evento XXII SEMINÁRIO NACIONAL DE BIBLIOTECAS UNIVERSITÁRIAS (SNBU), que acontecerá em FLORIANÓPOLIS - SC, no período de 27 DE NOVEMBRO A 01 DE DEZEMBRO DE 2023, que tem como tema central 'BIBLIOTECAS E SUSTENTABILIDADE: INOVAÇÃO, CIÊNCIA E SOCIEDADE'.</t>
  </si>
  <si>
    <t>001656/23</t>
  </si>
  <si>
    <t>LUIZA PEREIRA NUNES</t>
  </si>
  <si>
    <t>A servidora atualmente desenvolve a função de diretora da Divisão de Serviços ao Usuário da Biblioteca Central da UFPB. O Seminário Nacional de Bibliotecas Universitárias é um evento que ressalta a importância das bibliotecas universitárias estarem inseridas ativamente nas discussões acerca do desenvolvimento sustentável, promovendo o seu protagonismo ativo, dinâmico e flexível e se engajando continuamente em práticas, serviços e ações norteadas para o desenvolvimento sustentável e a 'não deixar ninguém para trás' - tal como a Agenda 2030 e os seus ODS destacam. Desse modo, o SNBU se apresenta como uma oportunidade de atualização profissional, bem como de adquirir novos conhecimentos e contatos pertinentes aos serviços oferecidos pela Biblioteca Central da UFPB.</t>
  </si>
  <si>
    <t>001401/23</t>
  </si>
  <si>
    <t>ISABEL DA SILVA MORAIS</t>
  </si>
  <si>
    <t>O objetivo da missão é o intercâmbio de alunos do CAVN para a realização de estágio curricular por meio da Escola Profissional Agrícola Fernando Barros Leal em Portugal.</t>
  </si>
  <si>
    <t>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t>
  </si>
  <si>
    <t>001247/23</t>
  </si>
  <si>
    <t>***.246.274-**</t>
  </si>
  <si>
    <t>GUSTAVO BARBOSA DE MESQUITA BATISTA</t>
  </si>
  <si>
    <t>SEMINÁRIO DE AVALIAÇÃO DA CAPES EM BRASÍLIA -DF: debate sobre o instrumento de avaliação aplicável aos Programas de Pós-Graduação em Direito</t>
  </si>
  <si>
    <t>001258/23</t>
  </si>
  <si>
    <t>***.884.159-**</t>
  </si>
  <si>
    <t>MARIANO CASTRO NETO</t>
  </si>
  <si>
    <t>Participar do Fórum Nacional dos Coordenadores dos Programas de Pós-Graduação em Educação (Forpred), a se realizar nos dias 21 e 22 de outubro de 2023, na cidade de Manaus-AM.</t>
  </si>
  <si>
    <t>001277/23</t>
  </si>
  <si>
    <t>***.979.934-**</t>
  </si>
  <si>
    <t>EDILSON TARGINO DE MELO FILHO</t>
  </si>
  <si>
    <t>Participação no Seminário Nacional de Bibliotecas Universitárias.</t>
  </si>
  <si>
    <t>001279/23</t>
  </si>
  <si>
    <t>LUCIANNA SILVESTRE DE CASTRO AZEVEDO</t>
  </si>
  <si>
    <t>001287/23</t>
  </si>
  <si>
    <t>***.506.604-**</t>
  </si>
  <si>
    <t>GEORGE EMMANUEL CAVALCANTI DE MIRANDA</t>
  </si>
  <si>
    <t>Participação no Seminário de Meio Termo da Área de Ciências Ambientais, que acontecerá nos dias 25 e 26 de outubro de 2023, das 09h00 às 18h00, em Brasília/DF, na Capes (Setor Bancário Norte, Quadra 2, Bloco L, Lote 06, Edifício CAPES)</t>
  </si>
  <si>
    <t>001297/23</t>
  </si>
  <si>
    <t>***.531.822-**</t>
  </si>
  <si>
    <t>VALERIO FIEL DA COSTA</t>
  </si>
  <si>
    <t>1 - A participação como coordenador do PPGM/UFPB no Seminário de Meio-Termo da CAPES (Brasília-DF) faz parte de um esforço geral da UFPB de adesão e incremento da pós graduação na nossa universidade. Nosso curso de música, nota 4, é candidato a ampliação da nota e pretendemos realizar todos os esforços para atingir tal objetivo. Assim, é muito importante participar ativamente do Seminário de Meio Termo da CAPES. 2 - A ANPPOM é a principal associação da área de música e o projeto de pesquisa do professor Valério Fiel da Costa teve 5 projetos selecionados, incluindo um projeto individual; do mesmo modo, este docente deve participar, durante o evento, na categoria de Coordenador de pós, do Fórum de coordenadores da área.</t>
  </si>
  <si>
    <t>001303/23</t>
  </si>
  <si>
    <t>***.705.159-**</t>
  </si>
  <si>
    <t>BARBARA GALLELI DIAS</t>
  </si>
  <si>
    <t>Realização a convite para realizar oficina intitulada ATLAS.ti, conforme convite em anexo.</t>
  </si>
  <si>
    <t>001291/23</t>
  </si>
  <si>
    <t>***.408.206-**</t>
  </si>
  <si>
    <t>CARLOS FREDERICO DE BRITO D ANDREA</t>
  </si>
  <si>
    <t>Participação no Seminário 'Perspectivas, ciclo de diálogos temáticos II'. Realizado pelo Programa de Pós-Graduação em Comunicação da Universidade Federal da Paraíba.</t>
  </si>
  <si>
    <t>001292/23</t>
  </si>
  <si>
    <t>Participar nos dias 17 e 18/10/2023 do I Congresso Internacional de Universidades Empreendedoras , no Campus da UFABC, em São Bernardo do Campo/SP, e nos dias 18 e 19/10/2023, participar da 163ª Reunião Extraordinária do Conselho Pleno da ANDIFES, em Brasília/DF</t>
  </si>
  <si>
    <t>Estava aguardando confirmação da data da reunião da ANDIFES, conforme justificativa no formulário de solicitação</t>
  </si>
  <si>
    <t>001305/23</t>
  </si>
  <si>
    <t>***.470.034-**</t>
  </si>
  <si>
    <t>EMANUEL LUIZ PEREIRA DA SILVA</t>
  </si>
  <si>
    <t>Participar como representante da Pós-Graduação em Serviço Social do Seminário de Meio Termo da CAPES.</t>
  </si>
  <si>
    <t>001324/23</t>
  </si>
  <si>
    <t>Participação no Seminário promovido pela CAPES de Meio Termo da CAPES da área de Administração Pública e de Empresas, Ciências Contábeis e Turismo.</t>
  </si>
  <si>
    <t>mudança de empenho por insuficiência de saldo.</t>
  </si>
  <si>
    <t>001332/23</t>
  </si>
  <si>
    <t>***.136.458-**</t>
  </si>
  <si>
    <t>RAFAEL FALEIROS DE PADUA</t>
  </si>
  <si>
    <t>Para a realização de trabalho de campo visando coleta de dados para a redação do relatório de qualificação do orientando, referente a pesquisa URBANIZAÇÃO E PRODUÇÃO DO ESPAÇO CAPITALISTA: REPRODUÇÃO SOCIAL NA PERIFERIA DA CIDADE DE SANTO ANTÔNIO DE JESUS, BA.</t>
  </si>
  <si>
    <t>Conforme documento em anexo, O Professor Rafael Faleiros de Padua, SIAPE 1971043, Professor do Departamento de Geociências e do Programa de Pós-Graduação em Geografia/CCEN/UFPB, está solicitando passagens para a realização de trabalho de campo na cidade de Santo Antônio de Jesus-BA entre os dias 19/10/23 e 22/10/23, portanto o pedido está com menos de 20 dias. Justifica-se a solicitação fora do prazo o acúmulo de atividades na graduação e na pós-graduação que fizeram com que professor tivesse que adiantar a programação do trabalho de campo da pesquisa para os dias discriminados acima, de modo que a viagem prejudicasse o mínimo possível outras atividades acadêmicas do semestre (aulas na pós-graduação e graduação, comissão de seleção do mestrado, orientações de alunos da graduação e pós-graduação, coordenação de projeto de extensão, coordenação de grupo de estudos).</t>
  </si>
  <si>
    <t>001315/23</t>
  </si>
  <si>
    <t>***.668.764-**</t>
  </si>
  <si>
    <t>LUIZ MEDEIROS DE ARAUJO LIMA FILHO</t>
  </si>
  <si>
    <t>Participação na Reunião Nacional de Pró-Reitores de Pesquisa e Pós-Graduação. Discussões e ações estratégicas para os Programas de Pós-Graduação.</t>
  </si>
  <si>
    <t>001328/23</t>
  </si>
  <si>
    <t>***.507.878-**</t>
  </si>
  <si>
    <t>RENATA PAES DE BARROS CAMARA</t>
  </si>
  <si>
    <t>Participação no XVII Congresso da Associação Nacional dos Programas de Pós-Graduação - Anpcont</t>
  </si>
  <si>
    <t>001327/23</t>
  </si>
  <si>
    <t>***.605.854-**</t>
  </si>
  <si>
    <t>ADELAIDE ALVES DIAS</t>
  </si>
  <si>
    <t>Participar da 41a Reunião Anual da Associação Nacional de Pós-Graduação em Educação - ANPEd Foram incluídas cotações de três companhias aéreas com bagagem despachada; todavia, para tal foi necessário escolher um único voo, tanto na ida quanto na volta. A cotação da ECOS inclui todas as opções, para todos os voos, o que não é possível emitindo a cotação na página de cada empresa.</t>
  </si>
  <si>
    <t>A solicitação desta demanda teve que esperar a resoluçõ de demandas anteriores (teve que obedecer a lista de espera)</t>
  </si>
  <si>
    <t>001323/23</t>
  </si>
  <si>
    <t>TIAGO DE AGUIAR RODRIGUES</t>
  </si>
  <si>
    <t>Participar como representante do MPLE de Reunião de Meio Termo da CAPES.</t>
  </si>
  <si>
    <t>001462/23</t>
  </si>
  <si>
    <t>VICTOR DA ROCHA SILVA JUNIOR</t>
  </si>
  <si>
    <t>Realizar pesquisa na linha de estudos História e Regionalidades, do PPGH-UFPB, na tentativa de analisar como se dá a participação de Dom Luís Gonzaga Fernandes, na Teologia da Libertação, em suas produções teóricas e também, em sua experiência pioneira das Comunidades Eclesiais de Base, no Espírito Santo (ES).</t>
  </si>
  <si>
    <t>001325/23</t>
  </si>
  <si>
    <t>***.650.664-**</t>
  </si>
  <si>
    <t>JOSE BRUNO MALAQUIAS</t>
  </si>
  <si>
    <t>Ministrar curso no Workshop 'Métodos Estatísticos Avançados no R'</t>
  </si>
  <si>
    <t>Barreiras</t>
  </si>
  <si>
    <t>001331/23</t>
  </si>
  <si>
    <t>***.664.834-**</t>
  </si>
  <si>
    <t>GEZAILDO SANTOS SILVA</t>
  </si>
  <si>
    <t>O aluno de Doutorado está vinculado a um projeto interinstitucional aprovado pelo CNPq, onde deverá executar ensaios laboratoriais junto a UNICAMP/ITAL, localizados em Campinas, São Paulo, Brasil. Destaca-se que o projeto aprovado tem como proponente a UFPB (proponente).</t>
  </si>
  <si>
    <t>001337/23</t>
  </si>
  <si>
    <t>SAVIO DOUGLAS FERREIRA SANTANA</t>
  </si>
  <si>
    <t>PROPOSTO IRÁ PARTICIPAR DE EVENTO NACIONAL NA CONDIÇÃO DE APRESENTADOR DE TRABALHO ACADÊMICO PARA FINS DA GRADUAÇÃO NA UFPB.</t>
  </si>
  <si>
    <t>001339/23</t>
  </si>
  <si>
    <t>RAQUEL HELENE RAMOS DE MELO</t>
  </si>
  <si>
    <t>001419/23</t>
  </si>
  <si>
    <t>***.791.253-**</t>
  </si>
  <si>
    <t>NATALIA BEZERRA MOTA</t>
  </si>
  <si>
    <t>Participação na cerimônia de abertura do 13° CCNeC (Curso e Conferência em Neurociências Cognitiva e Comportamento) como palestrante com o tema 'Mapeamento mental por ferramentas computacionais de linguagem: contribuições para desenvolvimento e bem-estar mental', no dia 29 de Novembro de 2023, às 19:00h, no auditório do CCJ da Universidade Federal da Paraíba.</t>
  </si>
  <si>
    <t>001351/23</t>
  </si>
  <si>
    <t>***.609.056-**</t>
  </si>
  <si>
    <t>MARIANA COSTA MONTEIRO</t>
  </si>
  <si>
    <t>O proposto virá participar do XX Encontro Nacional do fórum de Coordenadores de Pós Graduação em Alimentação e Nutrição</t>
  </si>
  <si>
    <t>001395/23</t>
  </si>
  <si>
    <t>***.523.899-**</t>
  </si>
  <si>
    <t>ANDRE CARLOS LEHUM</t>
  </si>
  <si>
    <t>Fazer colaboração científica no grupo Teoria Quântica de Campos</t>
  </si>
  <si>
    <t>Conforme justificativa em anexo 'O atraso para o pedido de diárias e passagem se deu em virtude de verificar a disponibilidade da agenda do diretor do Centro para fazer o convite ao proposto'</t>
  </si>
  <si>
    <t>001356/23</t>
  </si>
  <si>
    <t>***.240.820-**</t>
  </si>
  <si>
    <t>ANA PAULA BASSO</t>
  </si>
  <si>
    <t>Participação no XXX CONGRESSO NACIONAL DO CONPEDI FORTALEZA</t>
  </si>
  <si>
    <t>001427/23</t>
  </si>
  <si>
    <t>Atividade de integração institucional, incentivo à pesquisa e apresentação de trabalho no XXVI Simpósio de Filosofia Moderna e Contemporânea da UNIOESTE</t>
  </si>
  <si>
    <t>001417/23</t>
  </si>
  <si>
    <t>***.438.036-**</t>
  </si>
  <si>
    <t>ANDERSON DARC FERREIRA</t>
  </si>
  <si>
    <t>Atividade de integração institucional, incentivo à pesquisa e apresentação de trabalho no XXVI Simpósio de Filosofia Moderna e Contemporânea da UNIOESTE.</t>
  </si>
  <si>
    <t>001357/23</t>
  </si>
  <si>
    <t>***.814.854-**</t>
  </si>
  <si>
    <t>MARIA CREUSA DE ARAUJO BORGES</t>
  </si>
  <si>
    <t>001653/23</t>
  </si>
  <si>
    <t>Reuniões do Projeto 'Diálogos Globales de la Teoría Crítica Actual'/desenvolvido em parceria com o PPGE. Discutir diretrizes de mobilidade acadêmica de estudantes e docentes do PPGE e Universidade de València.</t>
  </si>
  <si>
    <t>Valencia</t>
  </si>
  <si>
    <t>001377/23</t>
  </si>
  <si>
    <t>***.023.795-**</t>
  </si>
  <si>
    <t>ANDRE VINICIUS SANTOS DORIA</t>
  </si>
  <si>
    <t>O docente dará continuidade a um projeto de pesquisa na área de Álgebra Comutativa a convite do prof. Ricardo Burity durante o período de 12 a 25 de novembro de 2023. Ele também participará do Seminários do Programa de Pós Graduação de Matemática proferindo uma palestra intitulada 'Ideais perfeitos linearmente apresentados de codimensão 2 em três variáveis'.</t>
  </si>
  <si>
    <t>001374/23</t>
  </si>
  <si>
    <t>CAMILA GABRIEL LIMA CARNEIRO</t>
  </si>
  <si>
    <t>PROPOSTO IRÁ APRESENTAR PROJETO DE PESQUISA BASEADO NOS ESTUDOS PARA EXTENSÃO DO CURSO DE PSICOLOGIA NA UFPB.</t>
  </si>
  <si>
    <t>001379/23</t>
  </si>
  <si>
    <t>***.515.653-**</t>
  </si>
  <si>
    <t>RONDINELLE MARCOLINO BATISTA</t>
  </si>
  <si>
    <t>O docente dará continuidade a um projeto de pesquisa na área de Análise Geométrica a convite do prof. Manassés Xavier durante o período de 10 a 25 de novembro de 2023. Ele também participará dos Seminários do Programa de Pós Graduação de Matemática proferindo uma palestra intitulada 'Rigidity of free boundary minimal disk in meam convex three-manifolds'.</t>
  </si>
  <si>
    <t>001568/23</t>
  </si>
  <si>
    <t>***.426.028-**</t>
  </si>
  <si>
    <t>ULISSES CARVALHO DA SILVA</t>
  </si>
  <si>
    <t>Visita técnica à Escola Municipal de Música de São Paulo, à Escola de Música do Estado de São Paulo e à Faculdade Santa Marcelina, instituições de ensino musical e com orquestras jovens em São Paulo, objetivando o conhecimento acerca dos resultados obtidos por estas renomadas instituições muito contribuirão para aperfeiçoar o conjunto de atividades desenvolvidas pelo Departamento de Música do CCTA/UFPB, ligado à área de atuação do docente, como: melhoria das condições técnico-musicais de ensino, descortinar novas linhas de pesquisa na área da música e divisar possibilidades de projetos nas atividades de extensão do Departamento.</t>
  </si>
  <si>
    <t>001406/23</t>
  </si>
  <si>
    <t>***.054.512-**</t>
  </si>
  <si>
    <t>ALVA ROSA LANA VIEIRA</t>
  </si>
  <si>
    <t>Fórum 2: Universidade Indígena no Brasil, que será no dia 17 de outubro (terça-feira), das 16 às 18h.</t>
  </si>
  <si>
    <t>Em detrimento do encaminhamento das solicitações de diárias ao CCAE, justifico viagem urgente.</t>
  </si>
  <si>
    <t>001389/23</t>
  </si>
  <si>
    <t>***.351.814-**</t>
  </si>
  <si>
    <t>VANESSA DE AZEVEDO SOARES</t>
  </si>
  <si>
    <t>Proposto irár participar no 73º Congresso Nacional de Botânica - CNBOT na função de apresentador de trabalhos acadêmicos do seu curso na UFPB</t>
  </si>
  <si>
    <t>001388/23</t>
  </si>
  <si>
    <t>PRISCILA SOARES DA SILVA</t>
  </si>
  <si>
    <t>Proposto irár participar no 73º Congresso Nacional de Botânica - CNBOT na função de apresentador de trabalhos acadêmicos do seu curso na UFPB.</t>
  </si>
  <si>
    <t>001390/23</t>
  </si>
  <si>
    <t>***.995.694-**</t>
  </si>
  <si>
    <t>ESTEPHANNI FERNANDA OLIVEIRA DANTAS</t>
  </si>
  <si>
    <t>001387/23</t>
  </si>
  <si>
    <t>***.205.304-**</t>
  </si>
  <si>
    <t>FERNANDO JOAQUIM FERREIRA MAIA</t>
  </si>
  <si>
    <t>001391/23</t>
  </si>
  <si>
    <t>Participar no III Simpósio de Psicologia Social, conforme convite anexo.</t>
  </si>
  <si>
    <t>001447/23</t>
  </si>
  <si>
    <t>***.115.774-**</t>
  </si>
  <si>
    <t>SILVANA CARNEIRO MACIEL</t>
  </si>
  <si>
    <t>36º FOR GRAD - O 36º Fórum de Pró-Reitorias de Graduação (FORGRAD) ocorrerá no ano de 2023 no Instituto Federal de Brasília (IFB), em Brasília. O Fórum trata a respeita todas Políticas de Educação Superior voltadas para os cursos de graduação nas Instituições de Educação Superior (IES). Neste ano, o FORGRAD tem como tema a Política de Avaliação e Regulação da Educação Superior, que será discutida pelas Pró-Reitorias de Graduação.</t>
  </si>
  <si>
    <t>Não se trata de viagem urgente.</t>
  </si>
  <si>
    <t>001403/23</t>
  </si>
  <si>
    <t>MATIAS DA SILVA BRITO</t>
  </si>
  <si>
    <t>001402/23</t>
  </si>
  <si>
    <t>NATALIA OLIVEIRA DA CRUZ</t>
  </si>
  <si>
    <t>001400/23</t>
  </si>
  <si>
    <t>UAN ARAUJO FEITOSA</t>
  </si>
  <si>
    <t>001404/23</t>
  </si>
  <si>
    <t>PRISCILA TAVARES DOS SANTOS</t>
  </si>
  <si>
    <t>Docente nas Oficinas de Autoavaliação e Planejamento Estratégico do Programa de Pós-Graduação em Direitos Humanos, Cidadania e Políticas Públicas da Universidade Federal da Paraíba. A Professora realizará oficina de projetos para reestruturação de linhas de pesquisa e projetos estruturantes junto aos docentes do Programa; além de duas oficinas do Currículo Lattes, sendo uma para docentes e outra para discentes e egressos do Programa.</t>
  </si>
  <si>
    <t>001486/23</t>
  </si>
  <si>
    <t>AMANDA MARILIA DA SILVA SANT ANA</t>
  </si>
  <si>
    <t>Participação e apresentação de resumo oriundo de dissertação de aluno do PPGTA no 15° SIMPÓSIO LATINO AMERICANO DE CIÊNCIA DE ALIMENTOS E NUTRIÇÃO (SLACAN) em Campinas-SP. Realização: 12 a 14 de novembro de 2023.</t>
  </si>
  <si>
    <t>001441/23</t>
  </si>
  <si>
    <t>***.107.470-**</t>
  </si>
  <si>
    <t>FABIANA CARDOSO DE SIQUEIRA</t>
  </si>
  <si>
    <t>- Como docente, participar do 21º Encontro Nacional de Pesquisadores em Jornalismo - SBPJOR - na Universidade de Brasília (UnB) - Brasília (DF) - Novembro de 2023. Apresentar trabalho. - Como vice-diretora do CCTA, Realizar visitas ao Congresso Nacional e Ministérios com a finalidade de buscar recursos para o Centro.</t>
  </si>
  <si>
    <t>001432/23</t>
  </si>
  <si>
    <t>Viagem à Brasília/DF para visitar todos os deputados federais e senadores representantes do estado da Paraíba para tratar de apoio à concessão de Emenda Parlamentar de Bancada e Emenda Individual para o ano de 2024, de 16 a 20 de outubro de 2023.</t>
  </si>
  <si>
    <t>A definição da viagem estava condicionada à agenda dos parlamentares da bancada da paraíba em Brasília, fato que ocorreu nesta semana que antecede a viagem, conforme justificativa no item 7 do Formulário de Solicitação.</t>
  </si>
  <si>
    <t>001433/23</t>
  </si>
  <si>
    <t>001434/23</t>
  </si>
  <si>
    <t>***.652.824-**</t>
  </si>
  <si>
    <t>MARCAL ROSAS FLORENTINO LIMA FILHO</t>
  </si>
  <si>
    <t>001442/23</t>
  </si>
  <si>
    <t>***.833.883-**</t>
  </si>
  <si>
    <t>LUCIDIO DOS ANJOS FORMIGA CABRAL</t>
  </si>
  <si>
    <t>001443/23</t>
  </si>
  <si>
    <t>***.285.068-**</t>
  </si>
  <si>
    <t>RICARDO ROMAO GUERRA</t>
  </si>
  <si>
    <t>001438/23</t>
  </si>
  <si>
    <t>***.822.414-**</t>
  </si>
  <si>
    <t>ANNE AUGUSTA ALENCAR LEITE REINALDO</t>
  </si>
  <si>
    <t>Participação no COLÉGIO BRASILEIRO DE FACULDADES DE DIREITO PÚBLICAS E GRATUITAS.</t>
  </si>
  <si>
    <t>Convite recebido no dia 10/10/2023</t>
  </si>
  <si>
    <t>001444/23</t>
  </si>
  <si>
    <t>***.878.164-**</t>
  </si>
  <si>
    <t>JOSEILME FERNANDES GOUVEIA</t>
  </si>
  <si>
    <t>001445/23</t>
  </si>
  <si>
    <t>Participação no Colégio Brasileiro de Faculdades de Direito Públicas e Gratuitas.</t>
  </si>
  <si>
    <t>O convite do evento foi enviado somente, em 10/10/2023, o que impossibilitou a solicitação em momento anterior.</t>
  </si>
  <si>
    <t>001448/23</t>
  </si>
  <si>
    <t>***.705.344-**</t>
  </si>
  <si>
    <t>JAILSON RIBEIRO DE OLIVEIRA</t>
  </si>
  <si>
    <t>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t>
  </si>
  <si>
    <t>Não há urgência na viagem</t>
  </si>
  <si>
    <t>001449/23</t>
  </si>
  <si>
    <t>ADRIANO DUARTE TAVARES</t>
  </si>
  <si>
    <t>Não há urgência na viagem.</t>
  </si>
  <si>
    <t>001452/23</t>
  </si>
  <si>
    <t>***.556.554-**</t>
  </si>
  <si>
    <t>LEONARDO AUGUSTO FONSECA PASCOAL</t>
  </si>
  <si>
    <t>Participar do Congresso Internacional Porkexpo Latam 2023, como congressista e apresentador de trabalhos</t>
  </si>
  <si>
    <t>Campina Grande</t>
  </si>
  <si>
    <t>001487/23</t>
  </si>
  <si>
    <t>CAMILA SAMPAIO MANGOLIM</t>
  </si>
  <si>
    <t>001470/23</t>
  </si>
  <si>
    <t>***.731.432-**</t>
  </si>
  <si>
    <t>CARLOS BOCKER NETO</t>
  </si>
  <si>
    <t>Participar da reunião de coordenadores do PROFMAT no dia 9/11/2023 e do I Encontro Nacional do Mestrado PROFMAT nos dias 10 e 11/11/2023.</t>
  </si>
  <si>
    <t>Processo enviado indevidamente</t>
  </si>
  <si>
    <t>001482/23</t>
  </si>
  <si>
    <t>***.539.694-**</t>
  </si>
  <si>
    <t>KATIANE DA CUNHA SOUZA</t>
  </si>
  <si>
    <t>Participação e apresentação de trabalho no XXII Seminário Nacional de Bibliotecas Universitárias.</t>
  </si>
  <si>
    <t>001499/23</t>
  </si>
  <si>
    <t>***.024.696-**</t>
  </si>
  <si>
    <t>BRUNO FERREIRA FRASCAROLI</t>
  </si>
  <si>
    <t>Seminário de Meio Termo dos programas de pós-graduação da área de ECONOMIA, será realizado na CAPES, Brasília-DF, nos dias 23 e 24 de outubro de 2023, das 09:00 às 18:00 horas. O proposto é coordenador do Programa de Pós Graduação em Economia do Setor Público.</t>
  </si>
  <si>
    <t>O valor da passagem aumentou durante a tramitação de pedido antes de gerar a PCDP e o saldo do empenho ficou insuficiente para atender a demanda, de modo que foi necessário haver uma complementação do crédito via processo, o que gerou atraso nesta solicitação.</t>
  </si>
  <si>
    <t>001523/23</t>
  </si>
  <si>
    <t>***.869.694-**</t>
  </si>
  <si>
    <t>DANIEL PERICLES SANTOS CANUTO</t>
  </si>
  <si>
    <t>TECNICO EM ARQUIVO</t>
  </si>
  <si>
    <t>Participação de Curso de Cenários de Uso de Sistemas Informatizados no Contexto da Gestão de Documentos do dia 26/11/2023 a 02/12/2023 no Rio de Janeiro/RJ.</t>
  </si>
  <si>
    <t>001491/23</t>
  </si>
  <si>
    <t>LIS MARIA LIMA PONTES DE ALCANTARA</t>
  </si>
  <si>
    <t>PROPOSTO IRÁ PARTICIPAR DE EVENTO TIPO CONGRESSO PARA APRESENTAÇÃO DE TRABALHOS COMO PARTE DE SEUS ESTUDOS PARA FORMAÇÃO EM GRADUAÇÃO NA UNIVERSIDADE.</t>
  </si>
  <si>
    <t>001520/23</t>
  </si>
  <si>
    <t>JENNIFER KAROLYNNE COSTA DE SOUSA</t>
  </si>
  <si>
    <t>001524/23</t>
  </si>
  <si>
    <t>***.220.560-**</t>
  </si>
  <si>
    <t>JAMES BATISTA VIEIRA</t>
  </si>
  <si>
    <t>Docente pede ajuda para participar, como convidado, da reunião dos Laboratório de Inovação, durante a Semana de Inovação 2023 da Enap, em Brasília/DF.</t>
  </si>
  <si>
    <t>001558/23</t>
  </si>
  <si>
    <t>IVANIELE ROCHA DE ANDRADE</t>
  </si>
  <si>
    <t>PROPOSTO IRÁ PARTICIPAR DE CONGRESSO SLACAN APRESENTANDO TRABALHOS DE PESQUISA REFERENTE AO SEU CURSO DE GRADUAÇÃO NA UFPB.</t>
  </si>
  <si>
    <t>001560/23</t>
  </si>
  <si>
    <t>ALYSON JOSE DOS SANTOS FRANCO</t>
  </si>
  <si>
    <t>001561/23</t>
  </si>
  <si>
    <t>MATEUS SABINO DE SOUZA FERREIRA</t>
  </si>
  <si>
    <t>001575/23</t>
  </si>
  <si>
    <t>MATEUS MENDES VIEIRA</t>
  </si>
  <si>
    <t>PROPOSTO IRÁ PARTICIPAR DO CONGRESSO 14º CIFARP 2023 APRESENTANDO TRABALHOS DE PESQUISA REFERENTE AO SEU CURSO DE GRADUAÇÃO NA UFPB.</t>
  </si>
  <si>
    <t>001579/23</t>
  </si>
  <si>
    <t>ANA CATARINA GOMES DE LIMA</t>
  </si>
  <si>
    <t>PROPOSTO IRÁ PARTICIPAR DO EVENTO INTERNACIONAL EUROLECS APRESENTANDO TRABALHOS DE PESQUISA CIENTÍFICA REFERENTE AO SEU CURSO DE GRADUAÇÃO NA UFPB.</t>
  </si>
  <si>
    <t>001564/23</t>
  </si>
  <si>
    <t>LUIZ PAULO FELINTO PEREIRA</t>
  </si>
  <si>
    <t>PROPOSTO IRÁ PARTICIPAR DE CONGRESSO DE ARTE EDUCAÇÃO CONFAEB 2023 APRESENTANDO TRABALHOS DE PESQUISA REFERENTE AO SEU CURSO DE GRADUAÇÃO NA UFPB.</t>
  </si>
  <si>
    <t>001565/23</t>
  </si>
  <si>
    <t>THIAGO DE FONTES RODRIGUES</t>
  </si>
  <si>
    <t>PROPOSTO IRÁ PARTICIPAR DO CONGRESSO DE ARTE EDUCAÇÃO - CONFAEB 2023, APRESENTANDO TRABALHOS DE PESQUISA REFERENTE AO SEU CURSO DE GRADUAÇÃO NA UFPB.</t>
  </si>
  <si>
    <t>001597/23</t>
  </si>
  <si>
    <t>RUBEN DA CRUZ FERREIRA</t>
  </si>
  <si>
    <t>PROPOSTO IRÁ PARTICIPAR DO CONGRESSO BRASILEIRO DE ELETRÔNICA DE POTÊNCIA - COBEP 2023, APRESENTANDO TRABALHOS DE PESQUISA REFERENTE AO SEU CURSO DE GRADUAÇÃO NA UFPB.</t>
  </si>
  <si>
    <t>001536/23</t>
  </si>
  <si>
    <t>Reuniões com técnicos, gerentes e diretores da Finep sobre os convênios da UFPB</t>
  </si>
  <si>
    <t>001556/23</t>
  </si>
  <si>
    <t>***.966.854-**</t>
  </si>
  <si>
    <t>GILIELSON FIGUEREDO DA PAZ</t>
  </si>
  <si>
    <t>TECNICO EM ELETROTECNICA</t>
  </si>
  <si>
    <t>Apresentação de três artigos científicos que foram aprovados no 17º Congresso Brasileiro de Eletrônica de Potência e 8º IEEE SOUTHERN POWER ELETRONICS conferência que ocorrerá entre os dias 26 e 29 de novembro de 2023, na cidade de Florianópolis/SC</t>
  </si>
  <si>
    <t>001571/23</t>
  </si>
  <si>
    <t>***.418.406-**</t>
  </si>
  <si>
    <t>ALICE MARA SERRA</t>
  </si>
  <si>
    <t>Participar do evento A Fenomenologia e seus outros, como apresentadora e debatedora.</t>
  </si>
  <si>
    <t>001592/23</t>
  </si>
  <si>
    <t>GESSIANE CIPRIANO GALDINO DA SILVA</t>
  </si>
  <si>
    <t>Proposto irá atuar no Congresso XXXVII EFNNE, na função de apresentadora de trabalho de iniciação científica e assistir as palestras ofertadas, para seu curso de graduação.</t>
  </si>
  <si>
    <t>001591/23</t>
  </si>
  <si>
    <t>CECILIA MORAIS LIRA</t>
  </si>
  <si>
    <t>Proposto irár participar no XXII Seminário Nacional de Bibliotecas Universitárias SNBU. na função de apresentador de trabalhos acadêmicos do seu curso na UFPB.</t>
  </si>
  <si>
    <t>001569/23</t>
  </si>
  <si>
    <t>O professor irá ministrar a disciplina Administração e Sociedade do curso de doutorado em administração do Projeto de Cooperação Interinstitucional - PCI firmado entre o Programa de Pós-Graduação em Administração e o Instituto Federal de Educação, Ciências e Tecnologia da Bahia - IFBA.</t>
  </si>
  <si>
    <t>A viagem foi solicitada no período correto. Foi preciso fazer uma modificação no valor de recebimento das diárias.</t>
  </si>
  <si>
    <t>001621/23</t>
  </si>
  <si>
    <t>Representar a PROEX no 52° FORPROEX</t>
  </si>
  <si>
    <t>001630/23</t>
  </si>
  <si>
    <t>***.328.654-**</t>
  </si>
  <si>
    <t>JOAO WANDEMBERG GONCALVES MACIEL</t>
  </si>
  <si>
    <t>Apresentação de trabalho científico em conjunto com o orientando DAVID ANTHONNY RIBEIRO GOMES DA SILVA conforme carta de aceite em anexo.</t>
  </si>
  <si>
    <t>Os documentos foram enviados com menos de 20 dias do evento porque estávamos aguardando autorização da CAPES para o uso de recursos do PROFLETRAS com o pagamento de diárias, autorização que só foi dada por aquele órgão no dia 17/10/2023.</t>
  </si>
  <si>
    <t>001649/23</t>
  </si>
  <si>
    <t>***.527.983-**</t>
  </si>
  <si>
    <t>MONICA MAGALHAES CAVALCANTE</t>
  </si>
  <si>
    <t>Ministrar a conferência de abertura no VIII Seminário de Pesquisas do PROFLETRAS.</t>
  </si>
  <si>
    <t>001580/23</t>
  </si>
  <si>
    <t>Participar do XII ENCONTRO NACIONAL DE PROCURADORES EDUCACIONAIS INSTITUCIONAIS-ENPI-IPES, no período de 08 a 10/11/2023, em Salvador/BA</t>
  </si>
  <si>
    <t>Demanda apresentada em 13/10, gerando um gap temporal devido a tramitação interna na IES, conforme justificativa no formulário de solicitação.</t>
  </si>
  <si>
    <t>001930/23</t>
  </si>
  <si>
    <t>***.066.004-**</t>
  </si>
  <si>
    <t>THALES FERREIRA DIONISIO DA SILVA</t>
  </si>
  <si>
    <t>Capacitação do servidor para atuar nas fases da licitação. Curso: Planejamento das Contratações com enfoque na Elaboração do Estudo Técnico Preliminar (ETP) e Termo de Referência (TR)</t>
  </si>
  <si>
    <t>apenas nesta semana recebemos a confirmação de realização do curso.</t>
  </si>
  <si>
    <t>001731/23</t>
  </si>
  <si>
    <t>GISELLY MOURA DE LIMA</t>
  </si>
  <si>
    <t>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t>
  </si>
  <si>
    <t>001585/23</t>
  </si>
  <si>
    <t>***.930.828-**</t>
  </si>
  <si>
    <t>FERNANDA MATRIGANI MERCADO GUTIERRES DE QUEIROZ</t>
  </si>
  <si>
    <t>Essa solicitação de diárias tem como propósito subsidiar no deslocamento de uma ação do curso de extensão intitulado: A FORMAÇÃO CONTINUADA DOS PROFESSORES PARAIBANOS PARA A ATUAÇÃO NUMA PERSPECTIVA INCLUSIVA: fundamentos teóricos e estratégias metodológicas, tendo em vista que o palestrante sairá de seu Estado com a finalidade de proferir palestra intitulada: Alternativas para a construção de uma escola inclusiva e acessível a todos os estudantes.</t>
  </si>
  <si>
    <t>Conforme em anexo, o convite foi enviado no dia 17/10/2023 e consequentemente o aceite do proposto foi fora do prazo estipulado.</t>
  </si>
  <si>
    <t>001929/23</t>
  </si>
  <si>
    <t>***.450.394-**</t>
  </si>
  <si>
    <t>KEISEMBERG RIBEIRO TRAVASSOS</t>
  </si>
  <si>
    <t>Conhecer a nova legislação, entender normas e assimilar aspectos práticos para que possam aplicar e repassar os novos procedimentos aos mais de 60 secretários e coordenadores dos programas de pós graduação da UFPB.</t>
  </si>
  <si>
    <t>Organizadora do evento demorou a confirmar a realização, devido ao número de inscritos.</t>
  </si>
  <si>
    <t>001612/23</t>
  </si>
  <si>
    <t>***.818.974-**</t>
  </si>
  <si>
    <t>JORGE LUIZ MARIANO DA SILVA</t>
  </si>
  <si>
    <t>Participação como apresentador e debatedor de trabalho no 51º Encontro de Economia da ANPEC.</t>
  </si>
  <si>
    <t>001632/23</t>
  </si>
  <si>
    <t>***.290.314-**</t>
  </si>
  <si>
    <t>KATIA SANTIAGO VENTURA LUCENA</t>
  </si>
  <si>
    <t>ARQUIVISTA</t>
  </si>
  <si>
    <t>Proposto irá participar do Encontro Nacional do Fórum Nacional de Pró-Reitores(as) de Assuntos Estudantis - FONAPRACE/ANDIFES, que ocorrerá nos dias 5; 6 e 7 de dezembro de 2023 na sede da ANDIFES - (Setor Comercial Sul, Quadra 1, Bloco K, 8º andar, Edifício Denasa - Brasília/DF.</t>
  </si>
  <si>
    <t>001631/23</t>
  </si>
  <si>
    <t>***.114.604-**</t>
  </si>
  <si>
    <t>IGOR ARAUJO ALVES</t>
  </si>
  <si>
    <t>Proposto irá participar do Encontro Nacional do Fórum Nacional de Pró-Reitores(as) de Assuntos Estudantis - FONAPRACE/ANDIFES, que ocorrerá nos dias 5; 6 e 7 de dezembro de 2023 na sede da ANDIFES - (Setor Comercial Sul, Quadra 1, Bloco K, 8º andar, Edifício Denasa - Brasília/DF).</t>
  </si>
  <si>
    <t>001636/23</t>
  </si>
  <si>
    <t>***.441.914-**</t>
  </si>
  <si>
    <t>DANIELA KARLA MEDEIROS VASCONCELOS</t>
  </si>
  <si>
    <t>NUTRICIONISTA-HABILITACAO</t>
  </si>
  <si>
    <t>001637/23</t>
  </si>
  <si>
    <t>***.583.474-**</t>
  </si>
  <si>
    <t>ANA BERENICE PERES MARTORELLI</t>
  </si>
  <si>
    <t>participação em Reunião presencial do CGRIFES (Conselho de Gestores de Relações Internacionais das IFES), que acontecerá em Brasília-DF, no período de 08 a 09 de novembro de 2023.</t>
  </si>
  <si>
    <t>conforme autorização superior, em anexo</t>
  </si>
  <si>
    <t>001650/23</t>
  </si>
  <si>
    <t>***.279.994-**</t>
  </si>
  <si>
    <t>SURAMA SANTOS ISMAEL DA COSTA</t>
  </si>
  <si>
    <t>Participação da Reunião Técnica sobre os programas de formação inicial e continuada para professores indígenas fomentada pela Secretaria de Educação Continuada, Alfabetização de Jovens e Adultos, Diversidade e Inclusão (Secadi), que ocorrerá em Brasília, nos dias 7, 8 e 9 de novembro de 2023.</t>
  </si>
  <si>
    <t>Em virtude de ajuste internos institucionais no tocante as questões orçamentárias do Centro, justifico o envio tardio.</t>
  </si>
  <si>
    <t>001648/23</t>
  </si>
  <si>
    <t>***.144.514-**</t>
  </si>
  <si>
    <t>ALEXANDRE EDUARDO DE ARAUJO</t>
  </si>
  <si>
    <t>O Congresso Brasileiro de Agroecologia é um importante evento nessa área do conhecimento, com a previsão de 5 mil participantes nesse ano de 2023. Serão realizadas participação em palestras, debates e apresentação de trabalhos técnicos científicos que serão apresentados, conforme comprovantes em anexo.</t>
  </si>
  <si>
    <t>Conforme Justificativa do proposto: Justifica-se a viagem fora do prazo de antecedência para solicitação devido aos trâmites para inscrições, envio de trabalhos e confirmação de aceitação de trabalhos e confirmação de inscrição. Outro fato que fez a solicitação se tornar em caráter de urgência foi a impossibilidade do CCHSA de comprar passagens nacionais por não existir contrato vigente com agências de turismo, ocasionando a necessidade de uma nova abertura de processo pelo CAVN e consequente envio para o CCA como parceiros.' e Autorização formal do Ordenador de Despesas. Anexos a esta PCDP.</t>
  </si>
  <si>
    <t>001658/23</t>
  </si>
  <si>
    <t>Participação em Seminário de Meio Termo, promovido pela CAPES. Serão desenvolvidas ações para o planejamento na condução dos processos avaliativos, envolvendo o Programa de Pós-graduação em Modelos de Decisão e Saúde.</t>
  </si>
  <si>
    <t>A atual gestão da coordenação do PPGMDS tomou posse recentemente, não tendo sido, portanto, ainda autorizado o acesso aos recursos do PROEX, para emissão de diárias e passagens. Em virtude disso, buscou-se uma alternativa de apoio da Instituição, tendo sido a presente solicitação encaminhada, nesta data e em caráter de urgência, com recursos conseguidos com a PRPG, a fim de viabilizar a participação da vicecoordenadora do Programa neste seminário conduzido pela CAPES.</t>
  </si>
  <si>
    <t>001716/23</t>
  </si>
  <si>
    <t>***.423.606-**</t>
  </si>
  <si>
    <t>EDILSON PAES SARAIVA</t>
  </si>
  <si>
    <t>Participar do Seminário de Meio Termo (SMT) da Área de Zootecnia e Recursos Pesqueiros, na CAPES.</t>
  </si>
  <si>
    <t>Conforme justificativa apresentada pelo proposto: Indisponibilidade de recursos do PROAP/PPGZ inviabilizaram a solicitação dentro do prazo previsto. Mediante autorização formal anexada a esta PCDP.</t>
  </si>
  <si>
    <t>001718/23</t>
  </si>
  <si>
    <t>ADRIANA RODRIGUES DA SILVA MARQUES</t>
  </si>
  <si>
    <t>Colaboração científica: Andamento ao projeto de pesquisa 'União Esquemática de duas cônicas no espaço projetivo' com os professores Fernando Antonio Xavier de Souza e Jacqueline Fabiola Rojas Arancibia ambos do Departamento de Matemática UFPB Campus I.</t>
  </si>
  <si>
    <t>001728/23</t>
  </si>
  <si>
    <t>SANTIAGO MACHADO DELLAPE</t>
  </si>
  <si>
    <t>Participar do 18° Fest-Aruanda como Diretor do filme 'Vão das Almas'.</t>
  </si>
  <si>
    <t>001730/23</t>
  </si>
  <si>
    <t>URSULA MARINI RODRIGUES LOPES</t>
  </si>
  <si>
    <t>Participar do 18° Fest-Aruanda como Diretora do filme 'O Presente'.</t>
  </si>
  <si>
    <t>Solicitação de correção a pedido do proposto.</t>
  </si>
  <si>
    <t>001737/23</t>
  </si>
  <si>
    <t>***.175.884-**</t>
  </si>
  <si>
    <t>CARLOS EDUARDO CAVALCANTE</t>
  </si>
  <si>
    <t>O professor irá participar da abertura do curso de Doutorado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Como Presidente da Comissão do Processo Seletivo, Coordenador do PCI UFPB/IFBA e docente permanente do Programa de Pós-Graduação em Administração da UFPB, estar presente na cerimônia de abertura do supracitado curso é requisito indispensável para que a atividade seja realizada.</t>
  </si>
  <si>
    <t>A viagem é necessária devido ao início das aulas do projeto começarem dia 04/12.</t>
  </si>
  <si>
    <t>001744/23</t>
  </si>
  <si>
    <t>Participar da CXCVI Reunião Ordinária do Conselho Pleno da ANDIFES, a ser realizada nos dias 22 e 23 de novembro de 2023, em Brasília/DF</t>
  </si>
  <si>
    <t>Devido demanda/agenda do Gabinete/Reitoria e compromissos do Reitor fora da instituição, a viagem foi definida nesta data, conforme justificativa no formulário de solicitação de passagem e diária</t>
  </si>
  <si>
    <t>001732/23</t>
  </si>
  <si>
    <t>***.629.024-**</t>
  </si>
  <si>
    <t>RENATA AZEVEDO COSTA</t>
  </si>
  <si>
    <t>001740/23</t>
  </si>
  <si>
    <t>LEONA JHOVS JOVIANO DE SOUSA</t>
  </si>
  <si>
    <t>Participar do 18° Fest-Aruanda como Diretora do filme 'Feira da Ladra'.</t>
  </si>
  <si>
    <t>001745/23</t>
  </si>
  <si>
    <t>OTAVIO AZEVEDO GARCIA</t>
  </si>
  <si>
    <t>Participar do 18° Fest-Aruanda como Diretor do filme: O Destino da Senhora Adelaide.</t>
  </si>
  <si>
    <t>001746/23</t>
  </si>
  <si>
    <t>***.843.057-**</t>
  </si>
  <si>
    <t>EMILIO ROBERTO DE SOUZA DOMINGOS</t>
  </si>
  <si>
    <t>Participar do 18° Fest-Aruanda como diretor do 'Black Rio! Black Power!</t>
  </si>
  <si>
    <t>001747/23</t>
  </si>
  <si>
    <t>Participar no dia 21/11/2023 da reunião com a coordenação de orçamento da SESU/MEC, no dia 22/11/2023 reunião da CXCVI Reunião Ordinária do Conselho Pleno da ANDIFES, juntamente com o Senhor Reitor e no dia 23/11/2023 reunião do Seminário Internacional de Educação Profissional, em Brasília/DF</t>
  </si>
  <si>
    <t>Considerando o tempo de recebimento das convocações, não tendo tempo hábil obedecer os prazos previstos de orientação e fim do exercício orçamentário do CPT/ETS/UFPB, conforme justificativa no formulário de solicitação</t>
  </si>
  <si>
    <t>001786/23</t>
  </si>
  <si>
    <t>TASSO LAPA DOURADO</t>
  </si>
  <si>
    <t>Participar do 18 ° Fest Aruanda/2023 como diretor do filme 'Peréio, Eu Te Odeio'!</t>
  </si>
  <si>
    <t>Conforme justificativa do formulário 'Devido ao caráter artístico do evento, as definições / confirmações de presença de filmes, diretores, elencos , etc, só ocorre 20 dias antes de sua realização, o que impede uma antecipação maior e o cumprimento dos prazos vigentes.'</t>
  </si>
  <si>
    <t>001790/23</t>
  </si>
  <si>
    <t>MAYARA MAGALHAES MARTINS</t>
  </si>
  <si>
    <t>Participar do 18° Fest-Aruanda como produtora e pesquisadora do filme 'Memórias da Chuva'.</t>
  </si>
  <si>
    <t>Conforme justificativa do formulário 'Devido ao caráter artístico do evento, as definições / confirmações de presença de filmes, diretores, elencos , etc, só ocorre 20 dias antes de sua realização, o que impede uma antecipação maior e o cumprimento dos prazos vigentes'.</t>
  </si>
  <si>
    <t>001791/23</t>
  </si>
  <si>
    <t>***.517.663-**</t>
  </si>
  <si>
    <t>WOLNEY MATTOS OLIVEIRA</t>
  </si>
  <si>
    <t>Participar do 18° Fest-Aruanda como Diretor do filme 'Memórias da Chuva'.</t>
  </si>
  <si>
    <t>Conforme justificativa em formulário 'Devido ao caráter artístico do evento, as definições / confirmações de presença de filmes, diretores, elencos , etc, só ocorre 20 dias antes de sua realização, o que impede uma antecipação maior e o cumprimento dos prazos vigentes'.</t>
  </si>
  <si>
    <t>001800/23</t>
  </si>
  <si>
    <t>***.427.207-**</t>
  </si>
  <si>
    <t>RODRIGO FERNANDES DA FONSECA</t>
  </si>
  <si>
    <t>Participar do 18° Fest-Aruanda fazendo cobertura jornalistica para o Blog de Cinema do Jornal Estado de SP. E como membro do Comitê de Seleção de curtas.</t>
  </si>
  <si>
    <t>Processo chegou no SIPAC em tempo hábil, o cadastro no SCDP atrasou por conta da grande quantidade de processos.</t>
  </si>
  <si>
    <t>001803/23</t>
  </si>
  <si>
    <t>PEDRO SOFFER SERRANO</t>
  </si>
  <si>
    <t>Participar do 18° Fest-Aruanda como Diretor do filme 'Saudosa Maloca'.</t>
  </si>
  <si>
    <t>Conforme justificativa do formulário, 'Devido ao caráter artístico do evento, as definições / confirmações de presença de filmes, diretores, elencos ,etc, só ocorre 20 dias antes de sua realização, o que impede uma antecipação maior e o cumprimento dos prazos vigentes.'</t>
  </si>
  <si>
    <t>001806/23</t>
  </si>
  <si>
    <t>***.674.814-**</t>
  </si>
  <si>
    <t>VALGUI DA SILVA BARBOSA</t>
  </si>
  <si>
    <t>Capacitação na gestão de materiais e de almoxarifado promovido pela Consultre visando o Planejamento e organização de almoxarifado com enfoque no controle de estoque, do almoxarifado físico e das compras, incluindo inventário, controle, prestação de contas e a estratégia de ressuprimento</t>
  </si>
  <si>
    <t>Processo urgente devido a falta de recurso que só definido e autorizado a viagem próximo a viagem. Processo: 23074.101562/2023-77</t>
  </si>
  <si>
    <t>001813/23</t>
  </si>
  <si>
    <t>***.690.887-**</t>
  </si>
  <si>
    <t>AILTON FRANCO JUNIOR</t>
  </si>
  <si>
    <t>Participar do 18º Fest-Aruanda como Produtor do Filme 'Othelo, o Grande'.</t>
  </si>
  <si>
    <t>Processo chegou em tempo hábil, o atraso do cadastro no SCDP é devido ao grande volume de processos no setor.</t>
  </si>
  <si>
    <t>001808/23</t>
  </si>
  <si>
    <t>***.284.574-**</t>
  </si>
  <si>
    <t>JOAS ALBUQUERQUE SILVA</t>
  </si>
  <si>
    <t>Encontra-se motivado pela necessidade de capacitação do servidor nas atividades relacionadas a função exercida há dois anos pelo servidor na atuação como Gestor Financeiro da UASG 153066.</t>
  </si>
  <si>
    <t>DESPACHO. Nº 240 / 2023 - SOF - CACC (11.00.46.62) Nº do Protocolo: NÃO PROTOCOLADO João Pessoa-PB, 24 de Novembro de 2023 DESPACHO Ao Gabinete da Superintendência de Orçamento e Finanças - SOF/UFPB Prezada Superintendente/ Ordenadora Encaminho o presente processo com os devidos documentos inseridos para solicitação de diárias e passagens para participação em curso externo presencial a ser realizado de 04 a 08 de Dezembro de 2023 na cidade de Brasília/DF. Reforço que o pedido fora devidamente justificado em relação ao prazo e demais possibilidades. Certo de contar com a presteza no atendimento, fico pronto para demais esclarecimentos. At.te.: (Assinado digitalmente em 24/11/2023 11:53 ) JOAS ALBUQUERQUE SILVA Matrícula: 3054724 Processo Associado: 23074.117668/2023-66</t>
  </si>
  <si>
    <t>001811/23</t>
  </si>
  <si>
    <t>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t>
  </si>
  <si>
    <t>Recebemos a confirmação da AGEVISA na data de hoje (20/11/2023).</t>
  </si>
  <si>
    <t>001812/23</t>
  </si>
  <si>
    <t>001815/23</t>
  </si>
  <si>
    <t>Justificativa do proposto, conforme documentação anexada a esta PCDP: 'Recebemos a confirmação da AGEVISA na data de hoje (20/11/2023).'</t>
  </si>
  <si>
    <t>001814/23</t>
  </si>
  <si>
    <t>001816/23</t>
  </si>
  <si>
    <t>***.774.244-**</t>
  </si>
  <si>
    <t>LUIZ EDUARDO CORDEIRO DE OLIVEIRA</t>
  </si>
  <si>
    <t>001821/23</t>
  </si>
  <si>
    <t>BIANCA JOY PORTE</t>
  </si>
  <si>
    <t>Participar do 18° Fest-Aruanda como atriz do Filme Citrotroxic</t>
  </si>
  <si>
    <t>O atraso do cadastro houve com contra da grande quantidade de processos no setor.</t>
  </si>
  <si>
    <t>001823/23</t>
  </si>
  <si>
    <t>***.612.717-**</t>
  </si>
  <si>
    <t>MARCUS VINICIUS ALVES FAUSTINO</t>
  </si>
  <si>
    <t>Participar do 18° Fest-Aruanda como diretor do filme ANA</t>
  </si>
  <si>
    <t>O atraso no cadastro da PDCP se deu pelo grande volume de processos no setor.</t>
  </si>
  <si>
    <t>001828/23</t>
  </si>
  <si>
    <t>JULIANA CAMACHO AGUIAR</t>
  </si>
  <si>
    <t>Participar do 18° Fest-Aruanda fazendo cobertura jornalística para o Guia do Cinéfilo.</t>
  </si>
  <si>
    <t>A PCDP foi cadastrada com atraso devido grande número de processos no setor.</t>
  </si>
  <si>
    <t>001833/23</t>
  </si>
  <si>
    <t>Participar da 164ª Reunião Extraordinária do Conselho Pleno da ANDIFES, a ser realizada nos dias 13 a 14 de dezembro de 2023, em Brasília/DF</t>
  </si>
  <si>
    <t>001849/23</t>
  </si>
  <si>
    <t>***.547.408-**</t>
  </si>
  <si>
    <t>LUIZ FERNANDO ZANIN ORICCHIO</t>
  </si>
  <si>
    <t>Participar do 18° Fest-Aruanda fazendo cobertura jornalistica para o Estado de São Paulo</t>
  </si>
  <si>
    <t>Atraso no cadastro no SCDP.</t>
  </si>
  <si>
    <t>001976/23</t>
  </si>
  <si>
    <t>Participar de reunião com a Presidência da EBSERH, no dia 05/12/2023, em Brasília/DF</t>
  </si>
  <si>
    <t>A reunião foi decidida hoje à tarde (04/12/2023), pelo telefone com a presidência da EBSERH, conforme justificativa no formulário de solicitação</t>
  </si>
  <si>
    <t xml:space="preserve">Identificador do processo de viagem </t>
  </si>
  <si>
    <t>Número da Proposta (PCDP)</t>
  </si>
  <si>
    <t>CPF viajante</t>
  </si>
  <si>
    <t>Nome</t>
  </si>
  <si>
    <t>Cargo</t>
  </si>
  <si>
    <t>Função</t>
  </si>
  <si>
    <t>Descrição Função</t>
  </si>
  <si>
    <t>Período - Data de início</t>
  </si>
  <si>
    <t>Período - Data de fim</t>
  </si>
  <si>
    <t>Motivo</t>
  </si>
  <si>
    <t>Origem - Data</t>
  </si>
  <si>
    <t>Destino - Data</t>
  </si>
  <si>
    <t>Origem - Cidade</t>
  </si>
  <si>
    <t>Destino - Cidade</t>
  </si>
  <si>
    <t xml:space="preserve">Cod Embarque </t>
  </si>
  <si>
    <t>Cod Desembarque</t>
  </si>
  <si>
    <t>Cod Trecho</t>
  </si>
  <si>
    <t>Meio de transporte</t>
  </si>
  <si>
    <t>Missao?</t>
  </si>
  <si>
    <t>Viagem Urgente</t>
  </si>
  <si>
    <t>Justificativa Urgência Viagem</t>
  </si>
  <si>
    <t>Valor diárias</t>
  </si>
  <si>
    <t>Valor outros gastos</t>
  </si>
  <si>
    <t>Valor da passagem</t>
  </si>
  <si>
    <t>Taxa de serviço</t>
  </si>
  <si>
    <t>Data da emissão/compra</t>
  </si>
  <si>
    <t>aux</t>
  </si>
  <si>
    <t>Servidor</t>
  </si>
  <si>
    <t xml:space="preserve">Contagem de Vínculo Institucional </t>
  </si>
  <si>
    <t>Contagem de Motivo da Viagem</t>
  </si>
  <si>
    <t>Total de Viagens</t>
  </si>
  <si>
    <t>Soma de Voo com Escala</t>
  </si>
  <si>
    <t>Contagem de Classe</t>
  </si>
  <si>
    <t>Dias de viagem</t>
  </si>
  <si>
    <t>Emissões</t>
  </si>
  <si>
    <t>Soma de Emissões</t>
  </si>
  <si>
    <t>Contagem de Dias de viagem</t>
  </si>
  <si>
    <t>Taxa de viagens curtas (evitáveis)</t>
  </si>
  <si>
    <t>DF1.4</t>
  </si>
  <si>
    <t>DF1.5</t>
  </si>
  <si>
    <t>Viagens urgentes sem informação</t>
  </si>
  <si>
    <t xml:space="preserve">Taxa de viagens urgentes </t>
  </si>
  <si>
    <t>Jul 2023 - Dez 2023</t>
  </si>
  <si>
    <t>2023.2</t>
  </si>
  <si>
    <t>Variação (baseline-2023.2)</t>
  </si>
  <si>
    <t>score 2023.2</t>
  </si>
  <si>
    <t>Baseline (2019.2-2022.2)</t>
  </si>
  <si>
    <t>Indicadores quantitativos baseados na variação ao longo do tempo</t>
  </si>
  <si>
    <t>ED2.5</t>
  </si>
  <si>
    <t>ED3.3</t>
  </si>
  <si>
    <t>ED2.3.1</t>
  </si>
  <si>
    <t>ED2.3.2</t>
  </si>
  <si>
    <t>ED2.3.3</t>
  </si>
  <si>
    <t>Critérios de pontuação</t>
  </si>
  <si>
    <t>Custo médio por viagem</t>
  </si>
  <si>
    <t>Participação em Banca Avaliadora</t>
  </si>
  <si>
    <t>Representação em Evento Institucional</t>
  </si>
  <si>
    <t>Participação em Evento Acadêmico</t>
  </si>
  <si>
    <t>Representação em Reunião Institucional</t>
  </si>
  <si>
    <t>Capacitação, Treinamento ou Auditorias</t>
  </si>
  <si>
    <t>Outros</t>
  </si>
  <si>
    <t>Trabalho de Campo</t>
  </si>
  <si>
    <t>Intercâmbio</t>
  </si>
  <si>
    <t>Acadêmico</t>
  </si>
  <si>
    <t>Externo</t>
  </si>
  <si>
    <t>Discente</t>
  </si>
  <si>
    <t>DF2.1.1</t>
  </si>
  <si>
    <t>DF2.1.2</t>
  </si>
  <si>
    <t>DF2.1.3</t>
  </si>
  <si>
    <t>DF2.1.4</t>
  </si>
  <si>
    <t>Indicadores qualitativos</t>
  </si>
  <si>
    <r>
      <t>Score (S</t>
    </r>
    <r>
      <rPr>
        <vertAlign val="subscript"/>
        <sz val="10"/>
        <color rgb="FF000000"/>
        <rFont val="Times New Roman"/>
        <family val="1"/>
      </rPr>
      <t>d</t>
    </r>
    <r>
      <rPr>
        <sz val="10"/>
        <color rgb="FF000000"/>
        <rFont val="Times New Roman"/>
        <family val="1"/>
      </rPr>
      <t>), se o valor desejado é menor</t>
    </r>
  </si>
  <si>
    <r>
      <t>Score (S</t>
    </r>
    <r>
      <rPr>
        <vertAlign val="subscript"/>
        <sz val="10"/>
        <color rgb="FF000000"/>
        <rFont val="Times New Roman"/>
        <family val="1"/>
      </rPr>
      <t>d</t>
    </r>
    <r>
      <rPr>
        <sz val="10"/>
        <color rgb="FF000000"/>
        <rFont val="Times New Roman"/>
        <family val="1"/>
      </rPr>
      <t>) se o valor desejado é maior</t>
    </r>
  </si>
  <si>
    <t>Indicador qualitativo (0 = não existe; 1 = existe).</t>
  </si>
  <si>
    <r>
      <t>Variação em relação à baseline (V</t>
    </r>
    <r>
      <rPr>
        <vertAlign val="subscript"/>
        <sz val="10"/>
        <color rgb="FF000000"/>
        <rFont val="Times New Roman"/>
        <family val="1"/>
      </rPr>
      <t>b</t>
    </r>
    <r>
      <rPr>
        <sz val="10"/>
        <color rgb="FF000000"/>
        <rFont val="Times New Roman"/>
        <family val="1"/>
      </rPr>
      <t>)</t>
    </r>
  </si>
  <si>
    <r>
      <t>se V</t>
    </r>
    <r>
      <rPr>
        <vertAlign val="subscript"/>
        <sz val="10"/>
        <color rgb="FF000000"/>
        <rFont val="Times New Roman"/>
        <family val="1"/>
      </rPr>
      <t>b</t>
    </r>
    <r>
      <rPr>
        <sz val="10"/>
        <color rgb="FF000000"/>
        <rFont val="Times New Roman"/>
        <family val="1"/>
      </rPr>
      <t xml:space="preserve"> &lt; -40 ou é o menor valor possível</t>
    </r>
  </si>
  <si>
    <r>
      <t>se -40 ≤ V</t>
    </r>
    <r>
      <rPr>
        <vertAlign val="subscript"/>
        <sz val="10"/>
        <color rgb="FF000000"/>
        <rFont val="Times New Roman"/>
        <family val="1"/>
      </rPr>
      <t>b</t>
    </r>
    <r>
      <rPr>
        <sz val="10"/>
        <color rgb="FF000000"/>
        <rFont val="Times New Roman"/>
        <family val="1"/>
      </rPr>
      <t xml:space="preserve"> &lt; -30</t>
    </r>
  </si>
  <si>
    <r>
      <t>se -30 ≤ V</t>
    </r>
    <r>
      <rPr>
        <vertAlign val="subscript"/>
        <sz val="10"/>
        <color rgb="FF000000"/>
        <rFont val="Times New Roman"/>
        <family val="1"/>
      </rPr>
      <t>b</t>
    </r>
    <r>
      <rPr>
        <sz val="10"/>
        <color rgb="FF000000"/>
        <rFont val="Times New Roman"/>
        <family val="1"/>
      </rPr>
      <t xml:space="preserve"> &lt; -20</t>
    </r>
  </si>
  <si>
    <r>
      <t>se -20 ≤ V</t>
    </r>
    <r>
      <rPr>
        <vertAlign val="subscript"/>
        <sz val="10"/>
        <color rgb="FF000000"/>
        <rFont val="Times New Roman"/>
        <family val="1"/>
      </rPr>
      <t>b</t>
    </r>
    <r>
      <rPr>
        <sz val="10"/>
        <color rgb="FF000000"/>
        <rFont val="Times New Roman"/>
        <family val="1"/>
      </rPr>
      <t xml:space="preserve"> &lt; -10</t>
    </r>
  </si>
  <si>
    <r>
      <t>se -10 ≤ V</t>
    </r>
    <r>
      <rPr>
        <vertAlign val="subscript"/>
        <sz val="10"/>
        <color rgb="FF000000"/>
        <rFont val="Times New Roman"/>
        <family val="1"/>
      </rPr>
      <t>b</t>
    </r>
    <r>
      <rPr>
        <sz val="10"/>
        <color rgb="FF000000"/>
        <rFont val="Times New Roman"/>
        <family val="1"/>
      </rPr>
      <t xml:space="preserve"> &lt; 0</t>
    </r>
  </si>
  <si>
    <r>
      <t>Se V</t>
    </r>
    <r>
      <rPr>
        <vertAlign val="subscript"/>
        <sz val="10"/>
        <color rgb="FF000000"/>
        <rFont val="Times New Roman"/>
        <family val="1"/>
      </rPr>
      <t>b</t>
    </r>
    <r>
      <rPr>
        <sz val="10"/>
        <color rgb="FF000000"/>
        <rFont val="Times New Roman"/>
        <family val="1"/>
      </rPr>
      <t xml:space="preserve"> = 0</t>
    </r>
  </si>
  <si>
    <r>
      <t>se 0 &lt; V</t>
    </r>
    <r>
      <rPr>
        <vertAlign val="subscript"/>
        <sz val="10"/>
        <color rgb="FF000000"/>
        <rFont val="Times New Roman"/>
        <family val="1"/>
      </rPr>
      <t>b</t>
    </r>
    <r>
      <rPr>
        <sz val="10"/>
        <color rgb="FF000000"/>
        <rFont val="Times New Roman"/>
        <family val="1"/>
      </rPr>
      <t xml:space="preserve"> ≤ 10</t>
    </r>
  </si>
  <si>
    <r>
      <t>se 10 &lt; V</t>
    </r>
    <r>
      <rPr>
        <vertAlign val="subscript"/>
        <sz val="10"/>
        <color rgb="FF000000"/>
        <rFont val="Times New Roman"/>
        <family val="1"/>
      </rPr>
      <t>b</t>
    </r>
    <r>
      <rPr>
        <sz val="10"/>
        <color rgb="FF000000"/>
        <rFont val="Times New Roman"/>
        <family val="1"/>
      </rPr>
      <t xml:space="preserve"> ≤ 20</t>
    </r>
  </si>
  <si>
    <r>
      <t>se 20 &lt; V</t>
    </r>
    <r>
      <rPr>
        <vertAlign val="subscript"/>
        <sz val="10"/>
        <color rgb="FF000000"/>
        <rFont val="Times New Roman"/>
        <family val="1"/>
      </rPr>
      <t>b</t>
    </r>
    <r>
      <rPr>
        <sz val="10"/>
        <color rgb="FF000000"/>
        <rFont val="Times New Roman"/>
        <family val="1"/>
      </rPr>
      <t xml:space="preserve"> ≤ 30</t>
    </r>
  </si>
  <si>
    <r>
      <t>se 30 &lt; V</t>
    </r>
    <r>
      <rPr>
        <vertAlign val="subscript"/>
        <sz val="10"/>
        <color rgb="FF000000"/>
        <rFont val="Times New Roman"/>
        <family val="1"/>
      </rPr>
      <t>b</t>
    </r>
    <r>
      <rPr>
        <sz val="10"/>
        <color rgb="FF000000"/>
        <rFont val="Times New Roman"/>
        <family val="1"/>
      </rPr>
      <t xml:space="preserve"> ≤ 40</t>
    </r>
  </si>
  <si>
    <r>
      <t>se V</t>
    </r>
    <r>
      <rPr>
        <vertAlign val="subscript"/>
        <sz val="10"/>
        <color rgb="FF000000"/>
        <rFont val="Times New Roman"/>
        <family val="1"/>
      </rPr>
      <t>b</t>
    </r>
    <r>
      <rPr>
        <sz val="10"/>
        <color rgb="FF000000"/>
        <rFont val="Times New Roman"/>
        <family val="1"/>
      </rPr>
      <t xml:space="preserve"> &gt; 40 ou é o maior valor possível</t>
    </r>
  </si>
  <si>
    <r>
      <t>Se V</t>
    </r>
    <r>
      <rPr>
        <vertAlign val="subscript"/>
        <sz val="10"/>
        <color rgb="FF000000"/>
        <rFont val="Times New Roman"/>
        <family val="1"/>
      </rPr>
      <t>b</t>
    </r>
    <r>
      <rPr>
        <sz val="10"/>
        <color rgb="FF000000"/>
        <rFont val="Times New Roman"/>
        <family val="1"/>
      </rPr>
      <t xml:space="preserve"> não está disponível</t>
    </r>
  </si>
  <si>
    <t>Número de viagens  rápidas (até 1 dia)</t>
  </si>
  <si>
    <t>Número de viagens curtas (menos de 600 km ida e volta)</t>
  </si>
  <si>
    <t>Muito Curta (evitável)</t>
  </si>
  <si>
    <t>Contagem de Situação</t>
  </si>
  <si>
    <t>Contagem de Distância (km)</t>
  </si>
  <si>
    <t>Até 1 dia</t>
  </si>
  <si>
    <t>Viagem Urgente sem justificativa</t>
  </si>
  <si>
    <t>Contagem de Viagem Urgente sem justificativa</t>
  </si>
  <si>
    <r>
      <t>Score (S</t>
    </r>
    <r>
      <rPr>
        <vertAlign val="subscript"/>
        <sz val="10"/>
        <color rgb="FFFF0000"/>
        <rFont val="Times New Roman"/>
        <family val="1"/>
      </rPr>
      <t>d</t>
    </r>
    <r>
      <rPr>
        <sz val="10"/>
        <color rgb="FFFF0000"/>
        <rFont val="Times New Roman"/>
        <family val="1"/>
      </rPr>
      <t>) se o valor desejado é maior</t>
    </r>
  </si>
  <si>
    <t>Soma de Distância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</si>
</sst>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R$&quot;\ * #,##0.00_-;\-&quot;R$&quot;\ * #,##0.00_-;_-&quot;R$&quot;\ * &quot;-&quot;??_-;_-@_-"/>
    <numFmt numFmtId="43" formatCode="_-* #,##0.00_-;\-* #,##0.00_-;_-* &quot;-&quot;??_-;_-@_-"/>
    <numFmt numFmtId="164" formatCode="0.00000"/>
    <numFmt numFmtId="165" formatCode="_-* #,##0_-;\-* #,##0_-;_-* &quot;-&quot;??_-;_-@_-"/>
    <numFmt numFmtId="166" formatCode="_-[$R$-416]\ * #,##0.00_-;\-[$R$-416]\ * #,##0.00_-;_-[$R$-416]\ * &quot;-&quot;??_-;_-@_-"/>
    <numFmt numFmtId="167" formatCode="_-* #,##0.00000_-;\-* #,##0.00000_-;_-* &quot;-&quot;??_-;_-@_-"/>
    <numFmt numFmtId="168" formatCode="&quot;R$&quot;\ #,##0.00"/>
    <numFmt numFmtId="169" formatCode="0.000"/>
    <numFmt numFmtId="170" formatCode="_-* #,##0.0000000_-;\-* #,##0.0000000_-;_-* &quot;-&quot;??_-;_-@_-"/>
    <numFmt numFmtId="171" formatCode="_-* #,##0.00000_-;\-* #,##0.00000_-;_-* &quot;-&quot;?????_-;_-@_-"/>
  </numFmts>
  <fonts count="31" x14ac:knownFonts="1">
    <font>
      <sz val="11"/>
      <color theme="1"/>
      <name val="Calibri"/>
      <family val="2"/>
      <scheme val="minor"/>
    </font>
    <font>
      <sz val="11"/>
      <color theme="1"/>
      <name val="Calibri"/>
      <family val="2"/>
      <scheme val="minor"/>
    </font>
    <font>
      <sz val="18"/>
      <color theme="3"/>
      <name val="Calibri Light"/>
      <family val="2"/>
      <scheme val="major"/>
    </font>
    <font>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sz val="11"/>
      <color theme="0"/>
      <name val="Calibri"/>
      <family val="2"/>
      <scheme val="minor"/>
    </font>
    <font>
      <sz val="10"/>
      <color theme="1"/>
      <name val="Arial"/>
      <family val="2"/>
    </font>
    <font>
      <sz val="10"/>
      <name val="Arial"/>
      <family val="2"/>
    </font>
    <font>
      <u/>
      <sz val="11"/>
      <color indexed="12"/>
      <name val="Calibri"/>
      <family val="2"/>
    </font>
    <font>
      <sz val="10"/>
      <color theme="9" tint="-0.499984740745262"/>
      <name val="Arial"/>
      <family val="2"/>
    </font>
    <font>
      <i/>
      <sz val="10"/>
      <color rgb="FFFF0000"/>
      <name val="Arial"/>
      <family val="2"/>
    </font>
    <font>
      <u/>
      <sz val="10"/>
      <color theme="11"/>
      <name val="Arial"/>
      <family val="2"/>
    </font>
    <font>
      <b/>
      <sz val="10"/>
      <color theme="0"/>
      <name val="Arial"/>
      <family val="2"/>
    </font>
    <font>
      <sz val="11"/>
      <color theme="1"/>
      <name val="Arial"/>
      <family val="2"/>
    </font>
    <font>
      <sz val="12"/>
      <color theme="1"/>
      <name val="Calibri"/>
      <family val="2"/>
      <scheme val="minor"/>
    </font>
    <font>
      <sz val="20"/>
      <color theme="1"/>
      <name val="Calibri"/>
      <family val="2"/>
      <scheme val="minor"/>
    </font>
    <font>
      <sz val="24"/>
      <color theme="1"/>
      <name val="Calibri"/>
      <family val="2"/>
      <scheme val="minor"/>
    </font>
    <font>
      <sz val="9"/>
      <color indexed="81"/>
      <name val="Segoe UI"/>
      <family val="2"/>
    </font>
    <font>
      <b/>
      <sz val="11"/>
      <color theme="1"/>
      <name val="Calibri"/>
      <family val="2"/>
      <scheme val="minor"/>
    </font>
    <font>
      <b/>
      <sz val="9"/>
      <color indexed="81"/>
      <name val="Segoe UI"/>
      <family val="2"/>
    </font>
    <font>
      <b/>
      <i/>
      <sz val="11"/>
      <color theme="1"/>
      <name val="Calibri"/>
      <family val="2"/>
      <scheme val="minor"/>
    </font>
    <font>
      <sz val="11"/>
      <color rgb="FFFF0000"/>
      <name val="Calibri"/>
      <family val="2"/>
      <scheme val="minor"/>
    </font>
    <font>
      <b/>
      <sz val="16"/>
      <color theme="1"/>
      <name val="Calibri"/>
      <family val="2"/>
      <scheme val="minor"/>
    </font>
    <font>
      <sz val="18"/>
      <color theme="1"/>
      <name val="Calibri"/>
      <family val="2"/>
      <scheme val="minor"/>
    </font>
    <font>
      <sz val="10"/>
      <color rgb="FF000000"/>
      <name val="Times New Roman"/>
      <family val="1"/>
    </font>
    <font>
      <vertAlign val="subscript"/>
      <sz val="10"/>
      <color rgb="FF000000"/>
      <name val="Times New Roman"/>
      <family val="1"/>
    </font>
    <font>
      <sz val="8"/>
      <color theme="1"/>
      <name val="Times New Roman"/>
      <family val="1"/>
    </font>
    <font>
      <sz val="10"/>
      <color rgb="FFFF0000"/>
      <name val="Times New Roman"/>
      <family val="1"/>
    </font>
    <font>
      <vertAlign val="subscript"/>
      <sz val="10"/>
      <color rgb="FFFF0000"/>
      <name val="Times New Roman"/>
      <family val="1"/>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99FF"/>
        <bgColor indexed="64"/>
      </patternFill>
    </fill>
    <fill>
      <patternFill patternType="solid">
        <fgColor theme="7" tint="0.39997558519241921"/>
        <bgColor rgb="FF000000"/>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8" tint="-0.249977111117893"/>
        <bgColor indexed="64"/>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bottom/>
      <diagonal/>
    </border>
    <border>
      <left/>
      <right style="thin">
        <color theme="2" tint="-9.9978637043366805E-2"/>
      </right>
      <top/>
      <bottom/>
      <diagonal/>
    </border>
  </borders>
  <cellStyleXfs count="50">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5" borderId="2" applyNumberFormat="0" applyAlignment="0" applyProtection="0"/>
    <xf numFmtId="0" fontId="7"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8" fillId="0" borderId="0"/>
    <xf numFmtId="0" fontId="9" fillId="31" borderId="4" applyNumberFormat="0" applyAlignment="0" applyProtection="0"/>
    <xf numFmtId="0" fontId="11" fillId="32" borderId="5" applyNumberFormat="0" applyProtection="0">
      <alignment vertical="center"/>
    </xf>
    <xf numFmtId="43" fontId="8" fillId="0" borderId="0" applyFont="0" applyFill="0" applyBorder="0" applyAlignment="0" applyProtection="0"/>
    <xf numFmtId="43" fontId="8"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alignment vertical="top"/>
      <protection locked="0"/>
    </xf>
    <xf numFmtId="0" fontId="9" fillId="33" borderId="1" applyNumberFormat="0" applyBorder="0" applyAlignment="0" applyProtection="0"/>
    <xf numFmtId="0" fontId="9" fillId="34" borderId="0">
      <alignment vertical="center"/>
    </xf>
    <xf numFmtId="0" fontId="9" fillId="35" borderId="6" applyNumberFormat="0" applyAlignment="0" applyProtection="0"/>
    <xf numFmtId="0" fontId="8" fillId="6" borderId="3" applyNumberFormat="0" applyFont="0" applyAlignment="0" applyProtection="0"/>
    <xf numFmtId="0" fontId="14" fillId="36" borderId="7" applyNumberFormat="0" applyAlignment="0" applyProtection="0"/>
    <xf numFmtId="9" fontId="15" fillId="0" borderId="0" applyFont="0" applyFill="0" applyBorder="0" applyAlignment="0" applyProtection="0"/>
    <xf numFmtId="0" fontId="9" fillId="37" borderId="8" applyNumberFormat="0" applyProtection="0">
      <alignment vertical="center"/>
    </xf>
    <xf numFmtId="0" fontId="14" fillId="38" borderId="0" applyNumberFormat="0" applyBorder="0" applyAlignment="0" applyProtection="0"/>
    <xf numFmtId="0" fontId="16" fillId="0" borderId="0">
      <alignment vertical="center" wrapText="1"/>
    </xf>
    <xf numFmtId="9" fontId="1" fillId="0" borderId="0" applyFont="0" applyFill="0" applyBorder="0" applyAlignment="0" applyProtection="0"/>
  </cellStyleXfs>
  <cellXfs count="122">
    <xf numFmtId="0" fontId="0" fillId="0" borderId="0" xfId="0"/>
    <xf numFmtId="43" fontId="0" fillId="0" borderId="0" xfId="1" applyFont="1" applyAlignment="1">
      <alignment horizontal="center" vertical="center"/>
    </xf>
    <xf numFmtId="165" fontId="0" fillId="0" borderId="0" xfId="1" applyNumberFormat="1" applyFon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0" fillId="0" borderId="0" xfId="0" applyAlignment="1">
      <alignment horizontal="center" vertical="center"/>
    </xf>
    <xf numFmtId="0" fontId="18" fillId="0" borderId="0" xfId="0" applyFont="1" applyAlignment="1">
      <alignment horizontal="center" vertical="center" wrapText="1"/>
    </xf>
    <xf numFmtId="0" fontId="17" fillId="0" borderId="0" xfId="0" applyFont="1" applyAlignment="1">
      <alignment horizontal="center" vertical="center" wrapText="1"/>
    </xf>
    <xf numFmtId="165" fontId="0" fillId="0" borderId="0" xfId="0" applyNumberFormat="1"/>
    <xf numFmtId="0" fontId="0" fillId="0" borderId="9" xfId="0" applyBorder="1" applyAlignment="1">
      <alignment horizontal="center" vertical="center" wrapText="1"/>
    </xf>
    <xf numFmtId="0" fontId="0" fillId="0" borderId="9" xfId="0" applyBorder="1" applyAlignment="1">
      <alignment horizontal="center" vertical="center"/>
    </xf>
    <xf numFmtId="43" fontId="0" fillId="0" borderId="9" xfId="1" applyFont="1" applyBorder="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164" fontId="0" fillId="0" borderId="0" xfId="0" applyNumberFormat="1"/>
    <xf numFmtId="164" fontId="0" fillId="0" borderId="14"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1" xfId="0" applyBorder="1" applyAlignment="1">
      <alignment wrapText="1"/>
    </xf>
    <xf numFmtId="0" fontId="0" fillId="0" borderId="12" xfId="0" applyBorder="1" applyAlignment="1">
      <alignment wrapText="1"/>
    </xf>
    <xf numFmtId="43" fontId="0" fillId="0" borderId="0" xfId="0" applyNumberFormat="1"/>
    <xf numFmtId="43" fontId="0" fillId="0" borderId="0" xfId="1" applyFont="1" applyFill="1" applyAlignment="1">
      <alignment horizontal="center" vertical="center" wrapText="1"/>
    </xf>
    <xf numFmtId="43" fontId="20" fillId="0" borderId="0" xfId="1" applyFont="1" applyFill="1" applyBorder="1" applyAlignment="1">
      <alignment horizontal="center" vertical="center"/>
    </xf>
    <xf numFmtId="43" fontId="0" fillId="0" borderId="0" xfId="1" applyFont="1" applyFill="1" applyBorder="1" applyAlignment="1">
      <alignment horizontal="center" vertical="center"/>
    </xf>
    <xf numFmtId="43" fontId="0" fillId="0" borderId="0" xfId="1" applyFont="1" applyBorder="1" applyAlignment="1">
      <alignment horizontal="center" vertical="center"/>
    </xf>
    <xf numFmtId="43" fontId="1" fillId="0" borderId="0" xfId="1" applyFont="1" applyFill="1" applyBorder="1" applyAlignment="1">
      <alignment horizontal="center" vertical="center"/>
    </xf>
    <xf numFmtId="1" fontId="20" fillId="0" borderId="0" xfId="1" applyNumberFormat="1" applyFont="1" applyFill="1" applyBorder="1" applyAlignment="1">
      <alignment horizontal="center" vertical="center"/>
    </xf>
    <xf numFmtId="166" fontId="20" fillId="0" borderId="0" xfId="1" applyNumberFormat="1" applyFont="1" applyFill="1" applyBorder="1" applyAlignment="1">
      <alignment horizontal="center" vertical="center"/>
    </xf>
    <xf numFmtId="44" fontId="20" fillId="0" borderId="0" xfId="2" applyFont="1" applyFill="1" applyBorder="1" applyAlignment="1">
      <alignment horizontal="center" vertical="center"/>
    </xf>
    <xf numFmtId="43" fontId="1" fillId="0" borderId="0" xfId="1" applyFont="1" applyAlignment="1">
      <alignment horizontal="center" vertical="center"/>
    </xf>
    <xf numFmtId="168" fontId="0" fillId="0" borderId="0" xfId="0" applyNumberFormat="1"/>
    <xf numFmtId="0" fontId="0" fillId="0" borderId="15" xfId="0" applyBorder="1" applyAlignment="1">
      <alignment horizontal="center" vertical="center"/>
    </xf>
    <xf numFmtId="10" fontId="0" fillId="0" borderId="0" xfId="49" applyNumberFormat="1" applyFont="1" applyAlignment="1"/>
    <xf numFmtId="2" fontId="0" fillId="0" borderId="9" xfId="1" applyNumberFormat="1" applyFont="1" applyBorder="1" applyAlignment="1">
      <alignment horizontal="center" vertical="center"/>
    </xf>
    <xf numFmtId="0" fontId="0" fillId="0" borderId="0" xfId="0" applyAlignment="1">
      <alignment horizontal="left" vertical="center"/>
    </xf>
    <xf numFmtId="0" fontId="0" fillId="0" borderId="0" xfId="0" applyAlignment="1">
      <alignment horizontal="left" vertical="top"/>
    </xf>
    <xf numFmtId="2" fontId="0" fillId="0" borderId="0" xfId="0" applyNumberFormat="1"/>
    <xf numFmtId="9" fontId="0" fillId="0" borderId="0" xfId="49" applyFont="1"/>
    <xf numFmtId="168" fontId="0" fillId="0" borderId="0" xfId="2" applyNumberFormat="1" applyFont="1"/>
    <xf numFmtId="43" fontId="0" fillId="0" borderId="0" xfId="1" applyFont="1"/>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14" fontId="0" fillId="0" borderId="0" xfId="0" applyNumberFormat="1"/>
    <xf numFmtId="43" fontId="0" fillId="0" borderId="0" xfId="1" applyFont="1" applyFill="1" applyAlignment="1">
      <alignment horizontal="center" vertical="center"/>
    </xf>
    <xf numFmtId="165" fontId="0" fillId="0" borderId="0" xfId="1" applyNumberFormat="1" applyFont="1" applyFill="1" applyAlignment="1">
      <alignment horizontal="center" vertical="center"/>
    </xf>
    <xf numFmtId="2" fontId="0" fillId="0" borderId="0" xfId="49" applyNumberFormat="1" applyFont="1" applyFill="1" applyAlignment="1">
      <alignment horizontal="center" vertical="center"/>
    </xf>
    <xf numFmtId="169" fontId="0" fillId="0" borderId="0" xfId="49" applyNumberFormat="1" applyFont="1" applyAlignment="1">
      <alignment horizontal="center" vertical="center"/>
    </xf>
    <xf numFmtId="10" fontId="0" fillId="0" borderId="0" xfId="49" applyNumberFormat="1" applyFont="1"/>
    <xf numFmtId="0" fontId="23" fillId="0" borderId="0" xfId="0" applyFont="1" applyAlignment="1">
      <alignment horizontal="center" vertical="center" wrapText="1"/>
    </xf>
    <xf numFmtId="0" fontId="24" fillId="0" borderId="18" xfId="0" applyFont="1" applyBorder="1" applyAlignment="1">
      <alignment horizontal="center" vertical="center" wrapText="1"/>
    </xf>
    <xf numFmtId="14" fontId="20" fillId="0" borderId="0" xfId="0" applyNumberFormat="1" applyFont="1"/>
    <xf numFmtId="0" fontId="20" fillId="0" borderId="0" xfId="0" applyFont="1"/>
    <xf numFmtId="169" fontId="17" fillId="0" borderId="18" xfId="0" applyNumberFormat="1" applyFont="1" applyBorder="1" applyAlignment="1">
      <alignment horizontal="center" vertical="center" wrapText="1"/>
    </xf>
    <xf numFmtId="0" fontId="0" fillId="0" borderId="9" xfId="0" applyBorder="1" applyAlignment="1">
      <alignment horizontal="left" vertical="center"/>
    </xf>
    <xf numFmtId="0" fontId="20" fillId="40" borderId="0" xfId="0" applyFont="1" applyFill="1" applyAlignment="1">
      <alignment horizontal="left" vertical="center"/>
    </xf>
    <xf numFmtId="0" fontId="20" fillId="45" borderId="0" xfId="0" applyFont="1" applyFill="1" applyAlignment="1">
      <alignment horizontal="left" vertical="center"/>
    </xf>
    <xf numFmtId="0" fontId="20" fillId="46" borderId="0" xfId="0" applyFont="1" applyFill="1" applyAlignment="1">
      <alignment horizontal="left" vertical="center"/>
    </xf>
    <xf numFmtId="0" fontId="20" fillId="41" borderId="0" xfId="0" applyFont="1" applyFill="1" applyAlignment="1">
      <alignment horizontal="left" vertical="center"/>
    </xf>
    <xf numFmtId="0" fontId="20" fillId="47" borderId="0" xfId="0" applyFont="1" applyFill="1" applyAlignment="1">
      <alignment horizontal="left" vertical="center"/>
    </xf>
    <xf numFmtId="0" fontId="20" fillId="42" borderId="0" xfId="0" applyFont="1" applyFill="1" applyAlignment="1">
      <alignment horizontal="left" vertical="center"/>
    </xf>
    <xf numFmtId="0" fontId="20" fillId="48" borderId="0" xfId="0" applyFont="1" applyFill="1" applyAlignment="1">
      <alignment horizontal="left" vertical="center"/>
    </xf>
    <xf numFmtId="0" fontId="20" fillId="43" borderId="0" xfId="0" applyFont="1" applyFill="1" applyAlignment="1">
      <alignment horizontal="left" vertical="center"/>
    </xf>
    <xf numFmtId="0" fontId="20" fillId="49" borderId="0" xfId="0" applyFont="1" applyFill="1" applyAlignment="1">
      <alignment horizontal="left" vertical="center"/>
    </xf>
    <xf numFmtId="0" fontId="20" fillId="50" borderId="0" xfId="0" applyFont="1" applyFill="1" applyAlignment="1">
      <alignment horizontal="left" vertical="center"/>
    </xf>
    <xf numFmtId="0" fontId="20" fillId="44" borderId="0" xfId="0" applyFont="1" applyFill="1" applyAlignment="1">
      <alignment horizontal="left" vertical="center"/>
    </xf>
    <xf numFmtId="0" fontId="20" fillId="0" borderId="0" xfId="0" applyFont="1" applyAlignment="1">
      <alignment horizontal="left" vertical="center"/>
    </xf>
    <xf numFmtId="169" fontId="0" fillId="40" borderId="9" xfId="0" applyNumberFormat="1" applyFill="1" applyBorder="1" applyAlignment="1">
      <alignment horizontal="left" vertical="center"/>
    </xf>
    <xf numFmtId="169" fontId="0" fillId="39" borderId="9" xfId="0" applyNumberFormat="1" applyFill="1" applyBorder="1" applyAlignment="1">
      <alignment horizontal="left" vertical="center"/>
    </xf>
    <xf numFmtId="169" fontId="20" fillId="40" borderId="0" xfId="0" applyNumberFormat="1" applyFont="1" applyFill="1" applyAlignment="1">
      <alignment horizontal="left" vertical="center"/>
    </xf>
    <xf numFmtId="169" fontId="20" fillId="45" borderId="0" xfId="0" applyNumberFormat="1" applyFont="1" applyFill="1" applyAlignment="1">
      <alignment horizontal="left" vertical="center"/>
    </xf>
    <xf numFmtId="169" fontId="20" fillId="46" borderId="0" xfId="0" applyNumberFormat="1" applyFont="1" applyFill="1" applyAlignment="1">
      <alignment horizontal="left" vertical="center"/>
    </xf>
    <xf numFmtId="169" fontId="20" fillId="41" borderId="0" xfId="0" applyNumberFormat="1" applyFont="1" applyFill="1" applyAlignment="1">
      <alignment horizontal="left" vertical="center"/>
    </xf>
    <xf numFmtId="169" fontId="20" fillId="47" borderId="0" xfId="0" applyNumberFormat="1" applyFont="1" applyFill="1" applyAlignment="1">
      <alignment horizontal="left" vertical="center"/>
    </xf>
    <xf numFmtId="169" fontId="20" fillId="42" borderId="0" xfId="0" applyNumberFormat="1" applyFont="1" applyFill="1" applyAlignment="1">
      <alignment horizontal="left" vertical="center"/>
    </xf>
    <xf numFmtId="169" fontId="20" fillId="48" borderId="0" xfId="0" applyNumberFormat="1" applyFont="1" applyFill="1" applyAlignment="1">
      <alignment horizontal="left" vertical="center"/>
    </xf>
    <xf numFmtId="169" fontId="20" fillId="43" borderId="0" xfId="0" applyNumberFormat="1" applyFont="1" applyFill="1" applyAlignment="1">
      <alignment horizontal="left" vertical="center"/>
    </xf>
    <xf numFmtId="169" fontId="20" fillId="49" borderId="0" xfId="0" applyNumberFormat="1" applyFont="1" applyFill="1" applyAlignment="1">
      <alignment horizontal="left" vertical="center"/>
    </xf>
    <xf numFmtId="169" fontId="20" fillId="50" borderId="0" xfId="0" applyNumberFormat="1" applyFont="1" applyFill="1" applyAlignment="1">
      <alignment horizontal="left" vertical="center"/>
    </xf>
    <xf numFmtId="169" fontId="20" fillId="44" borderId="0" xfId="0" applyNumberFormat="1" applyFont="1" applyFill="1" applyAlignment="1">
      <alignment horizontal="left" vertical="center"/>
    </xf>
    <xf numFmtId="169" fontId="20" fillId="0" borderId="0" xfId="0" applyNumberFormat="1" applyFont="1" applyAlignment="1">
      <alignment horizontal="left" vertical="center"/>
    </xf>
    <xf numFmtId="169" fontId="0" fillId="45" borderId="9" xfId="0" applyNumberFormat="1" applyFill="1" applyBorder="1" applyAlignment="1">
      <alignment horizontal="left" vertical="center"/>
    </xf>
    <xf numFmtId="169" fontId="0" fillId="46" borderId="9" xfId="0" applyNumberFormat="1" applyFill="1" applyBorder="1" applyAlignment="1">
      <alignment horizontal="left" vertical="center"/>
    </xf>
    <xf numFmtId="169" fontId="0" fillId="41" borderId="9" xfId="0" applyNumberFormat="1" applyFill="1" applyBorder="1" applyAlignment="1">
      <alignment horizontal="left" vertical="center"/>
    </xf>
    <xf numFmtId="0" fontId="0" fillId="41" borderId="0" xfId="0" applyFill="1" applyAlignment="1">
      <alignment horizontal="left" vertical="center"/>
    </xf>
    <xf numFmtId="0" fontId="0" fillId="42" borderId="0" xfId="0" applyFill="1" applyAlignment="1">
      <alignment horizontal="left" vertical="center"/>
    </xf>
    <xf numFmtId="0" fontId="0" fillId="48" borderId="0" xfId="0" applyFill="1" applyAlignment="1">
      <alignment horizontal="left" vertical="center"/>
    </xf>
    <xf numFmtId="0" fontId="0" fillId="43" borderId="0" xfId="0" applyFill="1" applyAlignment="1">
      <alignment horizontal="left" vertical="center"/>
    </xf>
    <xf numFmtId="0" fontId="0" fillId="0" borderId="9" xfId="0" applyBorder="1" applyAlignment="1">
      <alignment horizontal="left" vertical="center" wrapText="1"/>
    </xf>
    <xf numFmtId="0" fontId="25" fillId="40" borderId="18" xfId="0" applyFont="1" applyFill="1" applyBorder="1" applyAlignment="1">
      <alignment horizontal="center" vertical="center" wrapText="1"/>
    </xf>
    <xf numFmtId="0" fontId="25" fillId="45" borderId="18" xfId="0" applyFont="1" applyFill="1" applyBorder="1" applyAlignment="1">
      <alignment horizontal="center" vertical="center" wrapText="1"/>
    </xf>
    <xf numFmtId="0" fontId="25" fillId="46" borderId="18" xfId="0" applyFont="1" applyFill="1" applyBorder="1" applyAlignment="1">
      <alignment horizontal="center" vertical="center" wrapText="1"/>
    </xf>
    <xf numFmtId="0" fontId="25" fillId="0" borderId="0" xfId="0" applyFont="1" applyAlignment="1">
      <alignment horizontal="center" vertical="center" wrapText="1"/>
    </xf>
    <xf numFmtId="0" fontId="25" fillId="41" borderId="18" xfId="0" applyFont="1" applyFill="1" applyBorder="1" applyAlignment="1">
      <alignment horizontal="center" vertical="center" wrapText="1"/>
    </xf>
    <xf numFmtId="0" fontId="25" fillId="42" borderId="18" xfId="0" applyFont="1" applyFill="1" applyBorder="1" applyAlignment="1">
      <alignment horizontal="center" vertical="center" wrapText="1"/>
    </xf>
    <xf numFmtId="0" fontId="25" fillId="43" borderId="18" xfId="0" applyFont="1" applyFill="1" applyBorder="1" applyAlignment="1">
      <alignment horizontal="center" vertical="center" wrapText="1"/>
    </xf>
    <xf numFmtId="0" fontId="25" fillId="44" borderId="18" xfId="0" applyFont="1" applyFill="1" applyBorder="1" applyAlignment="1">
      <alignment horizontal="center" vertical="center" wrapText="1"/>
    </xf>
    <xf numFmtId="169" fontId="25" fillId="0" borderId="18" xfId="0" applyNumberFormat="1" applyFont="1" applyBorder="1" applyAlignment="1">
      <alignment horizontal="center" vertical="center" wrapText="1"/>
    </xf>
    <xf numFmtId="169" fontId="0" fillId="47" borderId="0" xfId="0" applyNumberFormat="1" applyFill="1" applyAlignment="1">
      <alignment horizontal="left" vertical="center"/>
    </xf>
    <xf numFmtId="0" fontId="26" fillId="0" borderId="0" xfId="0" applyFont="1" applyAlignment="1">
      <alignment horizontal="center" vertical="center"/>
    </xf>
    <xf numFmtId="0" fontId="26" fillId="0" borderId="0" xfId="0" applyFont="1" applyAlignment="1">
      <alignment horizontal="center" vertical="center" wrapText="1"/>
    </xf>
    <xf numFmtId="0" fontId="28" fillId="0" borderId="0" xfId="0" applyFont="1"/>
    <xf numFmtId="170" fontId="0" fillId="0" borderId="0" xfId="0" applyNumberFormat="1"/>
    <xf numFmtId="169" fontId="0" fillId="0" borderId="0" xfId="0" applyNumberFormat="1"/>
    <xf numFmtId="0" fontId="29" fillId="0" borderId="0" xfId="0" applyFont="1" applyAlignment="1">
      <alignment horizontal="center" vertical="center" wrapText="1"/>
    </xf>
    <xf numFmtId="43" fontId="1" fillId="39" borderId="0" xfId="1" applyFont="1" applyFill="1" applyBorder="1" applyAlignment="1">
      <alignment horizontal="center" vertical="center"/>
    </xf>
    <xf numFmtId="0" fontId="0" fillId="39" borderId="0" xfId="0" applyFill="1"/>
    <xf numFmtId="43" fontId="0" fillId="39" borderId="0" xfId="1" applyFont="1" applyFill="1" applyBorder="1" applyAlignment="1">
      <alignment horizontal="center" vertical="center"/>
    </xf>
    <xf numFmtId="167" fontId="0" fillId="39" borderId="0" xfId="1" applyNumberFormat="1" applyFont="1" applyFill="1" applyBorder="1" applyAlignment="1">
      <alignment horizontal="center" vertical="center"/>
    </xf>
    <xf numFmtId="171" fontId="0" fillId="39" borderId="0" xfId="0" applyNumberFormat="1" applyFill="1"/>
    <xf numFmtId="14" fontId="0" fillId="39" borderId="0" xfId="0" applyNumberFormat="1" applyFill="1"/>
    <xf numFmtId="0" fontId="18" fillId="40" borderId="18" xfId="0" applyFont="1" applyFill="1" applyBorder="1" applyAlignment="1">
      <alignment horizontal="center" vertical="center" wrapText="1"/>
    </xf>
    <xf numFmtId="0" fontId="18" fillId="42" borderId="18" xfId="0" applyFont="1" applyFill="1" applyBorder="1" applyAlignment="1">
      <alignment horizontal="center" vertical="center" wrapText="1"/>
    </xf>
    <xf numFmtId="0" fontId="18" fillId="41" borderId="19" xfId="0" applyFont="1" applyFill="1" applyBorder="1" applyAlignment="1">
      <alignment horizontal="center" vertical="center" wrapText="1"/>
    </xf>
    <xf numFmtId="0" fontId="18" fillId="41" borderId="20" xfId="0" applyFont="1" applyFill="1" applyBorder="1" applyAlignment="1">
      <alignment horizontal="center" vertical="center" wrapText="1"/>
    </xf>
    <xf numFmtId="0" fontId="0" fillId="0" borderId="0" xfId="0" applyNumberFormat="1"/>
  </cellXfs>
  <cellStyles count="50">
    <cellStyle name="20% - Ênfase1" xfId="9" builtinId="30" customBuiltin="1"/>
    <cellStyle name="20% - Ênfase2" xfId="13" builtinId="34" customBuiltin="1"/>
    <cellStyle name="20% - Ênfase3" xfId="17" builtinId="38" customBuiltin="1"/>
    <cellStyle name="20% - Ênfase4" xfId="21" builtinId="42" customBuiltin="1"/>
    <cellStyle name="20% - Ênfase5" xfId="25" builtinId="46" customBuiltin="1"/>
    <cellStyle name="20% - Ênfase6" xfId="29" builtinId="50" customBuiltin="1"/>
    <cellStyle name="40% - Ênfase1" xfId="10" builtinId="31" customBuiltin="1"/>
    <cellStyle name="40% - Ênfase2" xfId="14" builtinId="35" customBuiltin="1"/>
    <cellStyle name="40% - Ênfase3" xfId="18" builtinId="39" customBuiltin="1"/>
    <cellStyle name="40% - Ênfase4" xfId="22" builtinId="43" customBuiltin="1"/>
    <cellStyle name="40% - Ênfase5" xfId="26" builtinId="47" customBuiltin="1"/>
    <cellStyle name="40% - Ênfase6" xfId="30" builtinId="51" customBuiltin="1"/>
    <cellStyle name="60% - Ênfase1" xfId="11" builtinId="32" customBuiltin="1"/>
    <cellStyle name="60% - Ênfase2" xfId="15" builtinId="36" customBuiltin="1"/>
    <cellStyle name="60% - Ênfase3" xfId="19" builtinId="40" customBuiltin="1"/>
    <cellStyle name="60% - Ênfase4" xfId="23" builtinId="44" customBuiltin="1"/>
    <cellStyle name="60% - Ênfase5" xfId="27" builtinId="48" customBuiltin="1"/>
    <cellStyle name="60% - Ênfase6" xfId="31" builtinId="52" customBuiltin="1"/>
    <cellStyle name="Bom" xfId="4" builtinId="26" customBuiltin="1"/>
    <cellStyle name="Calculation 2" xfId="34" xr:uid="{82E3AB9C-B726-4344-9474-C7CAB26C89AD}"/>
    <cellStyle name="Cálculo 2" xfId="33" xr:uid="{8B4206DA-AB3F-4705-A47D-2AD4EC6C0B39}"/>
    <cellStyle name="Célula de Verificação" xfId="7" builtinId="23" customBuiltin="1"/>
    <cellStyle name="Célula Vinculada 2" xfId="42" xr:uid="{F9AC4857-1382-4F4E-8DE1-B66122B846F3}"/>
    <cellStyle name="Comma 2" xfId="36" xr:uid="{43A14C42-B8AE-47CF-8662-3B2D1B74AD81}"/>
    <cellStyle name="Ênfase1" xfId="8" builtinId="29" customBuiltin="1"/>
    <cellStyle name="Ênfase2" xfId="12" builtinId="33" customBuiltin="1"/>
    <cellStyle name="Ênfase3" xfId="16" builtinId="37" customBuiltin="1"/>
    <cellStyle name="Ênfase4" xfId="20" builtinId="41" customBuiltin="1"/>
    <cellStyle name="Ênfase5" xfId="24" builtinId="45" customBuiltin="1"/>
    <cellStyle name="Ênfase6" xfId="28" builtinId="49" customBuiltin="1"/>
    <cellStyle name="Entrada 2" xfId="40" xr:uid="{B7BB5E2D-0360-470B-B301-8E7A0387587A}"/>
    <cellStyle name="Hiperlink 2" xfId="39" xr:uid="{F2AD6538-B54A-4FA8-9C0F-8C5A5916068C}"/>
    <cellStyle name="Hiperlink Visitado 2" xfId="38" xr:uid="{3EF6B9E8-CB65-44BE-9B94-98634A0318DC}"/>
    <cellStyle name="Input data" xfId="41" xr:uid="{D56504D8-0DF0-4C21-8F72-95C679434A3C}"/>
    <cellStyle name="Moeda" xfId="2" builtinId="4"/>
    <cellStyle name="Neutro" xfId="6" builtinId="28" customBuiltin="1"/>
    <cellStyle name="Normal" xfId="0" builtinId="0"/>
    <cellStyle name="Normal 2" xfId="32" xr:uid="{7492206A-EA45-47CB-A2A4-EABB738B09F6}"/>
    <cellStyle name="Normal 4" xfId="48" xr:uid="{18239ADB-F0F7-4FC1-9CF1-3232EC31D800}"/>
    <cellStyle name="Nota 2" xfId="43" xr:uid="{AE4D610C-BB9F-4EB1-96E9-B3902116AD40}"/>
    <cellStyle name="Percent 2" xfId="45" xr:uid="{B8984D28-27E0-48B7-BE4C-4B5371AA213B}"/>
    <cellStyle name="Porcentagem" xfId="49" builtinId="5"/>
    <cellStyle name="Ruim" xfId="5" builtinId="27" customBuiltin="1"/>
    <cellStyle name="Saída 2" xfId="44" xr:uid="{FA5EC9A5-8546-4E45-8D16-99DB992BA902}"/>
    <cellStyle name="Selection" xfId="46" xr:uid="{5E29B80B-C5D6-48B6-A57A-8A64C6562B90}"/>
    <cellStyle name="Texto de Aviso 2" xfId="47" xr:uid="{A1E0A977-36DD-4C49-AD47-2BD0A4F78A26}"/>
    <cellStyle name="Texto Explicativo 2" xfId="37" xr:uid="{7AFD3AF5-3945-4622-B9AA-59D99C3770D8}"/>
    <cellStyle name="Título" xfId="3" builtinId="15" customBuiltin="1"/>
    <cellStyle name="Vírgula" xfId="1" builtinId="3"/>
    <cellStyle name="Vírgula 2" xfId="35" xr:uid="{366301A2-61CE-4C20-9607-0380DC7AFAE0}"/>
  </cellStyles>
  <dxfs count="4">
    <dxf>
      <numFmt numFmtId="2" formatCode="0.00"/>
    </dxf>
    <dxf>
      <numFmt numFmtId="2" formatCode="0.00"/>
    </dxf>
    <dxf>
      <font>
        <strike val="0"/>
        <sz val="14"/>
        <color auto="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SlicerStyleOther1 2 editado" pivot="0" table="0" count="10" xr9:uid="{BE95A8D9-FC76-4A0C-8DB4-5C900014C1C9}">
      <tableStyleElement type="wholeTable" dxfId="3"/>
      <tableStyleElement type="headerRow" dxfId="2"/>
    </tableStyle>
  </tableStyles>
  <extLst>
    <ext xmlns:x14="http://schemas.microsoft.com/office/spreadsheetml/2009/9/main" uri="{46F421CA-312F-682f-3DD2-61675219B42D}">
      <x14:dxfs count="8">
        <dxf>
          <font>
            <sz val="1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8"/>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sz val="18"/>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8"/>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editad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[Modelo 2023.2 Transparência.xlsx]Dados Dashboard!Emissões por função</c:name>
    <c:fmtId val="5"/>
  </c:pivotSource>
  <c:chart>
    <c:autoTitleDeleted val="1"/>
    <c:pivotFmts>
      <c:pivotFmt>
        <c:idx val="0"/>
        <c:spPr>
          <a:solidFill>
            <a:schemeClr val="accent6"/>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2353082421712991"/>
                  <c:h val="0.17012858336147293"/>
                </c:manualLayout>
              </c15:layout>
            </c:ext>
          </c:extLst>
        </c:dLbl>
      </c:pivotFmt>
      <c:pivotFmt>
        <c:idx val="5"/>
        <c:spPr>
          <a:solidFill>
            <a:schemeClr val="accent6">
              <a:tint val="77000"/>
            </a:schemeClr>
          </a:solidFill>
          <a:ln w="19050">
            <a:solidFill>
              <a:schemeClr val="lt1"/>
            </a:solidFill>
          </a:ln>
          <a:effectLst/>
        </c:spP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7677171274516116"/>
                  <c:h val="0.17604966986967199"/>
                </c:manualLayout>
              </c15:layout>
            </c:ext>
          </c:extLst>
        </c:dLbl>
      </c:pivotFmt>
      <c:pivotFmt>
        <c:idx val="6"/>
        <c:spPr>
          <a:solidFill>
            <a:schemeClr val="accent6">
              <a:shade val="76000"/>
            </a:schemeClr>
          </a:solidFill>
          <a:ln w="19050">
            <a:solidFill>
              <a:schemeClr val="lt1"/>
            </a:solidFill>
          </a:ln>
          <a:effectLst/>
        </c:spP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798719293209207"/>
                  <c:h val="0.17604966986967199"/>
                </c:manualLayout>
              </c15:layout>
            </c:ext>
          </c:extLst>
        </c:dLbl>
      </c:pivotFmt>
      <c:pivotFmt>
        <c:idx val="7"/>
        <c:spPr>
          <a:solidFill>
            <a:schemeClr val="accent6"/>
          </a:solidFill>
          <a:ln w="19050">
            <a:solidFill>
              <a:schemeClr val="lt1"/>
            </a:solid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6">
              <a:shade val="76000"/>
            </a:schemeClr>
          </a:solidFill>
          <a:ln w="19050">
            <a:solidFill>
              <a:schemeClr val="lt1"/>
            </a:solidFill>
          </a:ln>
          <a:effectLst/>
        </c:spPr>
        <c:dLbl>
          <c:idx val="0"/>
          <c:numFmt formatCode="0.00%" sourceLinked="0"/>
          <c:spPr>
            <a:solidFill>
              <a:schemeClr val="bg1">
                <a:alpha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7768571131469366"/>
                  <c:h val="0.19307572230022335"/>
                </c:manualLayout>
              </c15:layout>
            </c:ext>
          </c:extLst>
        </c:dLbl>
      </c:pivotFmt>
      <c:pivotFmt>
        <c:idx val="9"/>
        <c:spPr>
          <a:solidFill>
            <a:schemeClr val="accent6">
              <a:tint val="77000"/>
            </a:schemeClr>
          </a:solidFill>
          <a:ln w="19050">
            <a:solidFill>
              <a:schemeClr val="lt1"/>
            </a:solidFill>
          </a:ln>
          <a:effectLst/>
        </c:spPr>
        <c:dLbl>
          <c:idx val="0"/>
          <c:numFmt formatCode="0.00%" sourceLinked="0"/>
          <c:spPr>
            <a:solidFill>
              <a:schemeClr val="bg1">
                <a:alpha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7459292755848103"/>
                  <c:h val="0.19307572230022335"/>
                </c:manualLayout>
              </c15:layout>
            </c:ext>
          </c:extLst>
        </c:dLbl>
      </c:pivotFmt>
      <c:pivotFmt>
        <c:idx val="10"/>
        <c:spPr>
          <a:solidFill>
            <a:schemeClr val="accent6">
              <a:tint val="86000"/>
            </a:schemeClr>
          </a:solidFill>
          <a:ln w="19050">
            <a:solidFill>
              <a:schemeClr val="lt1"/>
            </a:solidFill>
          </a:ln>
          <a:effectLst/>
        </c:spPr>
      </c:pivotFmt>
      <c:pivotFmt>
        <c:idx val="11"/>
        <c:spPr>
          <a:solidFill>
            <a:schemeClr val="accent6">
              <a:shade val="86000"/>
            </a:schemeClr>
          </a:solidFill>
          <a:ln w="19050">
            <a:solidFill>
              <a:schemeClr val="lt1"/>
            </a:solidFill>
          </a:ln>
          <a:effectLst/>
        </c:spPr>
      </c:pivotFmt>
      <c:pivotFmt>
        <c:idx val="12"/>
        <c:spPr>
          <a:solidFill>
            <a:schemeClr val="accent6">
              <a:shade val="58000"/>
            </a:schemeClr>
          </a:solidFill>
          <a:ln w="19050">
            <a:solidFill>
              <a:schemeClr val="lt1"/>
            </a:solidFill>
          </a:ln>
          <a:effectLst/>
        </c:spPr>
      </c:pivotFmt>
    </c:pivotFmts>
    <c:plotArea>
      <c:layout/>
      <c:pieChart>
        <c:varyColors val="1"/>
        <c:ser>
          <c:idx val="0"/>
          <c:order val="0"/>
          <c:tx>
            <c:strRef>
              <c:f>'Dados Dashboard'!$F$1</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FBDA-4663-A4BF-DD82018E4ACB}"/>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3B2F-4301-ADB8-5CAF19ACD5C1}"/>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18A6-4A58-B11D-61E2D1D4F887}"/>
              </c:ext>
            </c:extLst>
          </c:dPt>
          <c:dPt>
            <c:idx val="3"/>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7-18A6-4A58-B11D-61E2D1D4F887}"/>
              </c:ext>
            </c:extLst>
          </c:dPt>
          <c:dLbls>
            <c:dLbl>
              <c:idx val="0"/>
              <c:dLblPos val="inEnd"/>
              <c:showLegendKey val="0"/>
              <c:showVal val="1"/>
              <c:showCatName val="0"/>
              <c:showSerName val="0"/>
              <c:showPercent val="1"/>
              <c:showBubbleSize val="0"/>
              <c:separator>
</c:separator>
              <c:extLst>
                <c:ext xmlns:c15="http://schemas.microsoft.com/office/drawing/2012/chart" uri="{CE6537A1-D6FC-4f65-9D91-7224C49458BB}">
                  <c15:layout>
                    <c:manualLayout>
                      <c:w val="0.27459292755848103"/>
                      <c:h val="0.19307572230022335"/>
                    </c:manualLayout>
                  </c15:layout>
                </c:ext>
                <c:ext xmlns:c16="http://schemas.microsoft.com/office/drawing/2014/chart" uri="{C3380CC4-5D6E-409C-BE32-E72D297353CC}">
                  <c16:uniqueId val="{00000001-FBDA-4663-A4BF-DD82018E4ACB}"/>
                </c:ext>
              </c:extLst>
            </c:dLbl>
            <c:numFmt formatCode="0.00%" sourceLinked="0"/>
            <c:spPr>
              <a:solidFill>
                <a:schemeClr val="bg1">
                  <a:alpha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'Dados Dashboard'!$E$2:$E$5</c:f>
              <c:strCache>
                <c:ptCount val="3"/>
                <c:pt idx="0">
                  <c:v>Servidor</c:v>
                </c:pt>
                <c:pt idx="1">
                  <c:v>Acadêmico</c:v>
                </c:pt>
                <c:pt idx="2">
                  <c:v>Externo</c:v>
                </c:pt>
              </c:strCache>
            </c:strRef>
          </c:cat>
          <c:val>
            <c:numRef>
              <c:f>'Dados Dashboard'!$F$2:$F$5</c:f>
              <c:numCache>
                <c:formatCode>0.00</c:formatCode>
                <c:ptCount val="3"/>
                <c:pt idx="0">
                  <c:v>1344.0607796460372</c:v>
                </c:pt>
                <c:pt idx="1">
                  <c:v>1105.8486298518644</c:v>
                </c:pt>
                <c:pt idx="2">
                  <c:v>1518.3551160441066</c:v>
                </c:pt>
              </c:numCache>
            </c:numRef>
          </c:val>
          <c:extLst>
            <c:ext xmlns:c16="http://schemas.microsoft.com/office/drawing/2014/chart" uri="{C3380CC4-5D6E-409C-BE32-E72D297353CC}">
              <c16:uniqueId val="{00000002-FBDA-4663-A4BF-DD82018E4AC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[Modelo 2023.2 Transparência.xlsx]Dados Dashboard!Emissões e Distância</c:name>
    <c:fmtId val="19"/>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'Dados Dashboard'!$B$1</c:f>
              <c:strCache>
                <c:ptCount val="1"/>
                <c:pt idx="0">
                  <c:v>Soma de Distância (km)</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Dashboard'!$A$2:$A$4</c:f>
              <c:strCache>
                <c:ptCount val="2"/>
                <c:pt idx="0">
                  <c:v>Curta Distância</c:v>
                </c:pt>
                <c:pt idx="1">
                  <c:v>Longa Distância</c:v>
                </c:pt>
              </c:strCache>
            </c:strRef>
          </c:cat>
          <c:val>
            <c:numRef>
              <c:f>'Dados Dashboard'!$B$2:$B$4</c:f>
              <c:numCache>
                <c:formatCode>General</c:formatCode>
                <c:ptCount val="2"/>
                <c:pt idx="0">
                  <c:v>9474.0458340000005</c:v>
                </c:pt>
                <c:pt idx="1">
                  <c:v>12225.951627999999</c:v>
                </c:pt>
              </c:numCache>
            </c:numRef>
          </c:val>
          <c:extLst>
            <c:ext xmlns:c16="http://schemas.microsoft.com/office/drawing/2014/chart" uri="{C3380CC4-5D6E-409C-BE32-E72D297353CC}">
              <c16:uniqueId val="{00000000-97F4-4C5A-8C8C-1DF1C3A0F90D}"/>
            </c:ext>
          </c:extLst>
        </c:ser>
        <c:ser>
          <c:idx val="1"/>
          <c:order val="1"/>
          <c:tx>
            <c:strRef>
              <c:f>'Dados Dashboard'!$C$1</c:f>
              <c:strCache>
                <c:ptCount val="1"/>
                <c:pt idx="0">
                  <c:v>Soma de Emissões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Dashboard'!$A$2:$A$4</c:f>
              <c:strCache>
                <c:ptCount val="2"/>
                <c:pt idx="0">
                  <c:v>Curta Distância</c:v>
                </c:pt>
                <c:pt idx="1">
                  <c:v>Longa Distância</c:v>
                </c:pt>
              </c:strCache>
            </c:strRef>
          </c:cat>
          <c:val>
            <c:numRef>
              <c:f>'Dados Dashboard'!$C$2:$C$4</c:f>
              <c:numCache>
                <c:formatCode>General</c:formatCode>
                <c:ptCount val="2"/>
                <c:pt idx="0">
                  <c:v>1732.5126448635181</c:v>
                </c:pt>
                <c:pt idx="1">
                  <c:v>2235.7518806784901</c:v>
                </c:pt>
              </c:numCache>
            </c:numRef>
          </c:val>
          <c:extLst>
            <c:ext xmlns:c16="http://schemas.microsoft.com/office/drawing/2014/chart" uri="{C3380CC4-5D6E-409C-BE32-E72D297353CC}">
              <c16:uniqueId val="{00000001-97F4-4C5A-8C8C-1DF1C3A0F90D}"/>
            </c:ext>
          </c:extLst>
        </c:ser>
        <c:dLbls>
          <c:dLblPos val="outEnd"/>
          <c:showLegendKey val="0"/>
          <c:showVal val="1"/>
          <c:showCatName val="0"/>
          <c:showSerName val="0"/>
          <c:showPercent val="0"/>
          <c:showBubbleSize val="0"/>
        </c:dLbls>
        <c:gapWidth val="120"/>
        <c:overlap val="-80"/>
        <c:axId val="1102457184"/>
        <c:axId val="1102482624"/>
      </c:barChart>
      <c:catAx>
        <c:axId val="1102457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pt-BR"/>
          </a:p>
        </c:txPr>
        <c:crossAx val="1102482624"/>
        <c:crosses val="autoZero"/>
        <c:auto val="1"/>
        <c:lblAlgn val="ctr"/>
        <c:lblOffset val="100"/>
        <c:noMultiLvlLbl val="0"/>
      </c:catAx>
      <c:valAx>
        <c:axId val="1102482624"/>
        <c:scaling>
          <c:orientation val="minMax"/>
        </c:scaling>
        <c:delete val="1"/>
        <c:axPos val="l"/>
        <c:numFmt formatCode="General" sourceLinked="1"/>
        <c:majorTickMark val="none"/>
        <c:minorTickMark val="none"/>
        <c:tickLblPos val="nextTo"/>
        <c:crossAx val="1102457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chart>
  <c:spPr>
    <a:noFill/>
    <a:ln w="9525" cap="flat" cmpd="sng" algn="ctr">
      <a:noFill/>
      <a:round/>
    </a:ln>
    <a:effectLst/>
  </c:spPr>
  <c:txPr>
    <a:bodyPr/>
    <a:lstStyle/>
    <a:p>
      <a:pPr>
        <a:defRPr sz="1400"/>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7"/>
    </mc:Choice>
    <mc:Fallback>
      <c:style val="7"/>
    </mc:Fallback>
  </mc:AlternateContent>
  <c:pivotSource>
    <c:name>[Modelo 2023.2 Transparência.xlsx]Dados Dashboard!Viagens por vínculo</c:name>
    <c:fmtId val="5"/>
  </c:pivotSource>
  <c:chart>
    <c:autoTitleDeleted val="1"/>
    <c:pivotFmts>
      <c:pivotFmt>
        <c:idx val="0"/>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anchor="ctr" anchorCtr="1"/>
            <a:lstStyle/>
            <a:p>
              <a:pPr>
                <a:defRPr lang="en-US" sz="14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anchor="ctr" anchorCtr="1"/>
            <a:lstStyle/>
            <a:p>
              <a:pPr>
                <a:defRPr lang="en-US" sz="14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anchor="ctr" anchorCtr="1"/>
            <a:lstStyle/>
            <a:p>
              <a:pPr>
                <a:defRPr lang="en-US" sz="14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anchor="ctr" anchorCtr="1"/>
            <a:lstStyle/>
            <a:p>
              <a:pPr>
                <a:defRPr lang="en-US" sz="18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5">
              <a:tint val="77000"/>
            </a:schemeClr>
          </a:solidFill>
          <a:ln w="19050">
            <a:solidFill>
              <a:schemeClr val="lt1"/>
            </a:solidFill>
          </a:ln>
          <a:effectLst/>
        </c:spPr>
      </c:pivotFmt>
      <c:pivotFmt>
        <c:idx val="8"/>
        <c:spPr>
          <a:solidFill>
            <a:schemeClr val="accent5">
              <a:shade val="7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shade val="86000"/>
            </a:schemeClr>
          </a:solidFill>
          <a:ln w="19050">
            <a:solidFill>
              <a:schemeClr val="lt1"/>
            </a:solidFill>
          </a:ln>
          <a:effectLst/>
        </c:spPr>
      </c:pivotFmt>
      <c:pivotFmt>
        <c:idx val="11"/>
        <c:spPr>
          <a:solidFill>
            <a:schemeClr val="accent5">
              <a:shade val="58000"/>
            </a:schemeClr>
          </a:solidFill>
          <a:ln w="19050">
            <a:solidFill>
              <a:schemeClr val="lt1"/>
            </a:solidFill>
          </a:ln>
          <a:effectLst/>
        </c:spPr>
      </c:pivotFmt>
    </c:pivotFmts>
    <c:plotArea>
      <c:layout/>
      <c:pieChart>
        <c:varyColors val="1"/>
        <c:ser>
          <c:idx val="0"/>
          <c:order val="0"/>
          <c:tx>
            <c:strRef>
              <c:f>'Dados Dashboard'!$L$1</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78E5-45B5-9218-DF21ECB4C8BD}"/>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78E5-45B5-9218-DF21ECB4C8BD}"/>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421D-451F-B5DB-BD4A8F3CDF92}"/>
              </c:ext>
            </c:extLst>
          </c:dPt>
          <c:dPt>
            <c:idx val="3"/>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421D-451F-B5DB-BD4A8F3CDF92}"/>
              </c:ext>
            </c:extLst>
          </c:dPt>
          <c:dLbls>
            <c:numFmt formatCode="0.00%" sourceLinked="0"/>
            <c:spPr>
              <a:solidFill>
                <a:sysClr val="window" lastClr="FFFFFF">
                  <a:alpha val="80000"/>
                </a:sysClr>
              </a:solidFill>
              <a:ln>
                <a:noFill/>
              </a:ln>
              <a:effectLst/>
            </c:spPr>
            <c:txPr>
              <a:bodyPr rot="0" spcFirstLastPara="1" vertOverflow="ellipsis" vert="horz" wrap="square" anchor="ctr" anchorCtr="1"/>
              <a:lstStyle/>
              <a:p>
                <a:pPr>
                  <a:defRPr lang="en-US" sz="18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dLblPos val="in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'Dados Dashboard'!$K$2:$K$5</c:f>
              <c:strCache>
                <c:ptCount val="3"/>
                <c:pt idx="0">
                  <c:v>Servidor</c:v>
                </c:pt>
                <c:pt idx="1">
                  <c:v>Acadêmico</c:v>
                </c:pt>
                <c:pt idx="2">
                  <c:v>Externo</c:v>
                </c:pt>
              </c:strCache>
            </c:strRef>
          </c:cat>
          <c:val>
            <c:numRef>
              <c:f>'Dados Dashboard'!$L$2:$L$5</c:f>
              <c:numCache>
                <c:formatCode>General</c:formatCode>
                <c:ptCount val="3"/>
                <c:pt idx="0">
                  <c:v>2</c:v>
                </c:pt>
                <c:pt idx="1">
                  <c:v>3</c:v>
                </c:pt>
                <c:pt idx="2">
                  <c:v>2</c:v>
                </c:pt>
              </c:numCache>
            </c:numRef>
          </c:val>
          <c:extLst>
            <c:ext xmlns:c16="http://schemas.microsoft.com/office/drawing/2014/chart" uri="{C3380CC4-5D6E-409C-BE32-E72D297353CC}">
              <c16:uniqueId val="{00000002-9AD0-4F7F-AA59-980283BD64C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lang="en-US" sz="16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800" b="1"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7"/>
    </mc:Choice>
    <mc:Fallback>
      <c:style val="7"/>
    </mc:Fallback>
  </mc:AlternateContent>
  <c:pivotSource>
    <c:name>[Modelo 2023.2 Transparência.xlsx]Dados Dashboard!Viagens por motivos</c:name>
    <c:fmtId val="4"/>
  </c:pivotSource>
  <c:chart>
    <c:autoTitleDeleted val="1"/>
    <c:pivotFmts>
      <c:pivotFmt>
        <c:idx val="0"/>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numFmt formatCode="0.00%" sourceLinked="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numFmt formatCode="0.00%" sourceLinked="0"/>
          <c:spPr>
            <a:solidFill>
              <a:sysClr val="window" lastClr="FFFFFF">
                <a:alpha val="80000"/>
              </a:sysClr>
            </a:solid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pt-BR"/>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tint val="54000"/>
            </a:schemeClr>
          </a:solidFill>
          <a:ln w="19050">
            <a:solidFill>
              <a:schemeClr val="lt1"/>
            </a:solidFill>
          </a:ln>
          <a:effectLst/>
        </c:spPr>
      </c:pivotFmt>
      <c:pivotFmt>
        <c:idx val="9"/>
        <c:spPr>
          <a:solidFill>
            <a:schemeClr val="accent5">
              <a:tint val="77000"/>
            </a:schemeClr>
          </a:solidFill>
          <a:ln w="19050">
            <a:solidFill>
              <a:schemeClr val="lt1"/>
            </a:solidFill>
          </a:ln>
          <a:effectLst/>
        </c:spPr>
      </c:pivotFmt>
      <c:pivotFmt>
        <c:idx val="10"/>
        <c:spPr>
          <a:solidFill>
            <a:schemeClr val="accent5">
              <a:shade val="65000"/>
            </a:schemeClr>
          </a:solidFill>
          <a:ln w="19050">
            <a:solidFill>
              <a:schemeClr val="lt1"/>
            </a:solidFill>
          </a:ln>
          <a:effectLst/>
        </c:spPr>
      </c:pivotFmt>
      <c:pivotFmt>
        <c:idx val="11"/>
        <c:spPr>
          <a:solidFill>
            <a:schemeClr val="accent5">
              <a:shade val="76000"/>
            </a:schemeClr>
          </a:solidFill>
          <a:ln w="19050">
            <a:solidFill>
              <a:schemeClr val="lt1"/>
            </a:solidFill>
          </a:ln>
          <a:effectLst/>
        </c:spPr>
      </c:pivotFmt>
      <c:pivotFmt>
        <c:idx val="12"/>
        <c:spPr>
          <a:solidFill>
            <a:schemeClr val="accent5">
              <a:shade val="53000"/>
            </a:schemeClr>
          </a:solidFill>
          <a:ln w="19050">
            <a:solidFill>
              <a:schemeClr val="lt1"/>
            </a:solidFill>
          </a:ln>
          <a:effectLst/>
        </c:spPr>
      </c:pivotFmt>
    </c:pivotFmts>
    <c:plotArea>
      <c:layout/>
      <c:pieChart>
        <c:varyColors val="1"/>
        <c:ser>
          <c:idx val="0"/>
          <c:order val="0"/>
          <c:tx>
            <c:strRef>
              <c:f>'Dados Dashboard'!$I$1</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48B3-40EF-9FA6-42ECCD7B4587}"/>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51B6-47C2-8657-2FE44ECE1CB6}"/>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51B6-47C2-8657-2FE44ECE1CB6}"/>
              </c:ext>
            </c:extLst>
          </c:dPt>
          <c:dPt>
            <c:idx val="3"/>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51B6-47C2-8657-2FE44ECE1CB6}"/>
              </c:ext>
            </c:extLst>
          </c:dPt>
          <c:dPt>
            <c:idx val="4"/>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9-51B6-47C2-8657-2FE44ECE1CB6}"/>
              </c:ext>
            </c:extLst>
          </c:dPt>
          <c:dLbls>
            <c:numFmt formatCode="0.00%" sourceLinked="0"/>
            <c:spPr>
              <a:solidFill>
                <a:sysClr val="window" lastClr="FFFFFF">
                  <a:alpha val="80000"/>
                </a:sysClr>
              </a:solid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pt-BR"/>
              </a:p>
            </c:txPr>
            <c:dLblPos val="in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'Dados Dashboard'!$H$2:$H$5</c:f>
              <c:strCache>
                <c:ptCount val="3"/>
                <c:pt idx="0">
                  <c:v>Participação em Evento Acadêmico</c:v>
                </c:pt>
                <c:pt idx="1">
                  <c:v>Representação em Evento Institucional</c:v>
                </c:pt>
                <c:pt idx="2">
                  <c:v>Representação em Reunião Institucional</c:v>
                </c:pt>
              </c:strCache>
            </c:strRef>
          </c:cat>
          <c:val>
            <c:numRef>
              <c:f>'Dados Dashboard'!$I$2:$I$5</c:f>
              <c:numCache>
                <c:formatCode>General</c:formatCode>
                <c:ptCount val="3"/>
                <c:pt idx="0">
                  <c:v>4</c:v>
                </c:pt>
                <c:pt idx="1">
                  <c:v>2</c:v>
                </c:pt>
                <c:pt idx="2">
                  <c:v>1</c:v>
                </c:pt>
              </c:numCache>
            </c:numRef>
          </c:val>
          <c:extLst>
            <c:ext xmlns:c16="http://schemas.microsoft.com/office/drawing/2014/chart" uri="{C3380CC4-5D6E-409C-BE32-E72D297353CC}">
              <c16:uniqueId val="{00000005-53A0-45F9-AED6-BD0316D87E2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800"/>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7"/>
    </mc:Choice>
    <mc:Fallback>
      <c:style val="7"/>
    </mc:Fallback>
  </mc:AlternateContent>
  <c:pivotSource>
    <c:name>[Modelo 2023.2 Transparência.xlsx]Dados Dashboard!Duração das viagens (dias)</c:name>
    <c:fmtId val="2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'Dados Dashboard'!$Y$1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Dashboard'!$X$2:$X$3</c:f>
              <c:strCache>
                <c:ptCount val="1"/>
                <c:pt idx="0">
                  <c:v>Até 1 dia</c:v>
                </c:pt>
              </c:strCache>
            </c:strRef>
          </c:cat>
          <c:val>
            <c:numRef>
              <c:f>'Dados Dashboard'!$Y$2:$Y$3</c:f>
              <c:numCache>
                <c:formatCode>General</c:formatCode>
                <c:ptCount val="1"/>
                <c:pt idx="0">
                  <c:v>7</c:v>
                </c:pt>
              </c:numCache>
            </c:numRef>
          </c:val>
          <c:extLst>
            <c:ext xmlns:c16="http://schemas.microsoft.com/office/drawing/2014/chart" uri="{C3380CC4-5D6E-409C-BE32-E72D297353CC}">
              <c16:uniqueId val="{00000000-8C4E-4238-8C9B-3EAD3344305B}"/>
            </c:ext>
          </c:extLst>
        </c:ser>
        <c:dLbls>
          <c:dLblPos val="outEnd"/>
          <c:showLegendKey val="0"/>
          <c:showVal val="1"/>
          <c:showCatName val="0"/>
          <c:showSerName val="0"/>
          <c:showPercent val="0"/>
          <c:showBubbleSize val="0"/>
        </c:dLbls>
        <c:gapWidth val="219"/>
        <c:overlap val="-27"/>
        <c:axId val="1601716063"/>
        <c:axId val="1601717983"/>
      </c:barChart>
      <c:catAx>
        <c:axId val="1601716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pt-BR"/>
          </a:p>
        </c:txPr>
        <c:crossAx val="1601717983"/>
        <c:crosses val="autoZero"/>
        <c:auto val="1"/>
        <c:lblAlgn val="ctr"/>
        <c:lblOffset val="100"/>
        <c:noMultiLvlLbl val="0"/>
      </c:catAx>
      <c:valAx>
        <c:axId val="1601717983"/>
        <c:scaling>
          <c:orientation val="minMax"/>
        </c:scaling>
        <c:delete val="1"/>
        <c:axPos val="l"/>
        <c:numFmt formatCode="General" sourceLinked="1"/>
        <c:majorTickMark val="none"/>
        <c:minorTickMark val="none"/>
        <c:tickLblPos val="nextTo"/>
        <c:crossAx val="160171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4</xdr:col>
      <xdr:colOff>1389531</xdr:colOff>
      <xdr:row>7</xdr:row>
      <xdr:rowOff>171704</xdr:rowOff>
    </xdr:from>
    <xdr:to>
      <xdr:col>5</xdr:col>
      <xdr:colOff>2135672</xdr:colOff>
      <xdr:row>10</xdr:row>
      <xdr:rowOff>84925</xdr:rowOff>
    </xdr:to>
    <xdr:sp macro="" textlink="">
      <xdr:nvSpPr>
        <xdr:cNvPr id="44" name="CaixaDeTexto 43">
          <a:extLst>
            <a:ext uri="{FF2B5EF4-FFF2-40B4-BE49-F238E27FC236}">
              <a16:creationId xmlns:a16="http://schemas.microsoft.com/office/drawing/2014/main" id="{D4FE3A17-D3FC-4CB6-873D-76ADDCCC4828}"/>
            </a:ext>
          </a:extLst>
        </xdr:cNvPr>
        <xdr:cNvSpPr txBox="1"/>
      </xdr:nvSpPr>
      <xdr:spPr>
        <a:xfrm>
          <a:off x="12228596" y="3427137"/>
          <a:ext cx="3900937" cy="48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a:t>Nº de viagens, por função</a:t>
          </a:r>
        </a:p>
      </xdr:txBody>
    </xdr:sp>
    <xdr:clientData/>
  </xdr:twoCellAnchor>
  <xdr:twoCellAnchor editAs="absolute">
    <xdr:from>
      <xdr:col>0</xdr:col>
      <xdr:colOff>245937</xdr:colOff>
      <xdr:row>25</xdr:row>
      <xdr:rowOff>21469</xdr:rowOff>
    </xdr:from>
    <xdr:to>
      <xdr:col>1</xdr:col>
      <xdr:colOff>1884583</xdr:colOff>
      <xdr:row>27</xdr:row>
      <xdr:rowOff>105558</xdr:rowOff>
    </xdr:to>
    <xdr:sp macro="" textlink="">
      <xdr:nvSpPr>
        <xdr:cNvPr id="35" name="CaixaDeTexto 34">
          <a:extLst>
            <a:ext uri="{FF2B5EF4-FFF2-40B4-BE49-F238E27FC236}">
              <a16:creationId xmlns:a16="http://schemas.microsoft.com/office/drawing/2014/main" id="{7157B66B-EDD9-45B4-A9A9-4EE36BD1B9BC}"/>
            </a:ext>
          </a:extLst>
        </xdr:cNvPr>
        <xdr:cNvSpPr txBox="1"/>
      </xdr:nvSpPr>
      <xdr:spPr>
        <a:xfrm>
          <a:off x="245937" y="6688969"/>
          <a:ext cx="3334096" cy="465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800"/>
            <a:t>Emissões por função</a:t>
          </a:r>
        </a:p>
      </xdr:txBody>
    </xdr:sp>
    <xdr:clientData/>
  </xdr:twoCellAnchor>
  <xdr:twoCellAnchor editAs="absolute">
    <xdr:from>
      <xdr:col>0</xdr:col>
      <xdr:colOff>340305</xdr:colOff>
      <xdr:row>0</xdr:row>
      <xdr:rowOff>93069</xdr:rowOff>
    </xdr:from>
    <xdr:to>
      <xdr:col>2</xdr:col>
      <xdr:colOff>908</xdr:colOff>
      <xdr:row>1</xdr:row>
      <xdr:rowOff>339794</xdr:rowOff>
    </xdr:to>
    <xdr:sp macro="" textlink="">
      <xdr:nvSpPr>
        <xdr:cNvPr id="50" name="CaixaDeTexto 49">
          <a:extLst>
            <a:ext uri="{FF2B5EF4-FFF2-40B4-BE49-F238E27FC236}">
              <a16:creationId xmlns:a16="http://schemas.microsoft.com/office/drawing/2014/main" id="{BB8C0429-3462-4632-8477-D1C13279F0D2}"/>
            </a:ext>
          </a:extLst>
        </xdr:cNvPr>
        <xdr:cNvSpPr txBox="1"/>
      </xdr:nvSpPr>
      <xdr:spPr>
        <a:xfrm>
          <a:off x="340305" y="93069"/>
          <a:ext cx="4386018" cy="551525"/>
        </a:xfrm>
        <a:prstGeom prst="rect">
          <a:avLst/>
        </a:prstGeom>
        <a:no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3600" b="0" i="0"/>
            <a:t>ÍNDICE GERAL</a:t>
          </a:r>
        </a:p>
      </xdr:txBody>
    </xdr:sp>
    <xdr:clientData/>
  </xdr:twoCellAnchor>
  <xdr:twoCellAnchor editAs="absolute">
    <xdr:from>
      <xdr:col>2</xdr:col>
      <xdr:colOff>27437</xdr:colOff>
      <xdr:row>0</xdr:row>
      <xdr:rowOff>93069</xdr:rowOff>
    </xdr:from>
    <xdr:to>
      <xdr:col>2</xdr:col>
      <xdr:colOff>1385738</xdr:colOff>
      <xdr:row>1</xdr:row>
      <xdr:rowOff>339794</xdr:rowOff>
    </xdr:to>
    <xdr:sp macro="" textlink="'Agregação Lvl 3-1'!V3">
      <xdr:nvSpPr>
        <xdr:cNvPr id="51" name="CaixaDeTexto 50">
          <a:extLst>
            <a:ext uri="{FF2B5EF4-FFF2-40B4-BE49-F238E27FC236}">
              <a16:creationId xmlns:a16="http://schemas.microsoft.com/office/drawing/2014/main" id="{29BA2B9D-94AF-4DA5-854F-202FE9F0FC7B}"/>
            </a:ext>
          </a:extLst>
        </xdr:cNvPr>
        <xdr:cNvSpPr txBox="1"/>
      </xdr:nvSpPr>
      <xdr:spPr>
        <a:xfrm>
          <a:off x="4757917" y="96879"/>
          <a:ext cx="1369731" cy="539248"/>
        </a:xfrm>
        <a:prstGeom prst="rect">
          <a:avLst/>
        </a:prstGeom>
        <a:solidFill>
          <a:schemeClr val="lt1"/>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D9AAF-E82F-4FA6-8805-25A9620FC604}" type="TxLink">
            <a:rPr lang="en-US" sz="3600" b="0" i="0" u="none" strike="noStrike">
              <a:solidFill>
                <a:srgbClr val="000000"/>
              </a:solidFill>
              <a:latin typeface="Calibri"/>
              <a:ea typeface="Calibri"/>
              <a:cs typeface="Calibri"/>
            </a:rPr>
            <a:pPr algn="ctr"/>
            <a:t>0,486</a:t>
          </a:fld>
          <a:endParaRPr lang="en-US" sz="8000"/>
        </a:p>
      </xdr:txBody>
    </xdr:sp>
    <xdr:clientData/>
  </xdr:twoCellAnchor>
  <xdr:twoCellAnchor>
    <xdr:from>
      <xdr:col>10</xdr:col>
      <xdr:colOff>2693882</xdr:colOff>
      <xdr:row>16</xdr:row>
      <xdr:rowOff>56566</xdr:rowOff>
    </xdr:from>
    <xdr:to>
      <xdr:col>12</xdr:col>
      <xdr:colOff>100345</xdr:colOff>
      <xdr:row>28</xdr:row>
      <xdr:rowOff>124105</xdr:rowOff>
    </xdr:to>
    <xdr:grpSp>
      <xdr:nvGrpSpPr>
        <xdr:cNvPr id="60" name="Agrupar 59">
          <a:extLst>
            <a:ext uri="{FF2B5EF4-FFF2-40B4-BE49-F238E27FC236}">
              <a16:creationId xmlns:a16="http://schemas.microsoft.com/office/drawing/2014/main" id="{49A6E915-1A6F-58C4-40AA-3D1FF13BB86F}"/>
            </a:ext>
          </a:extLst>
        </xdr:cNvPr>
        <xdr:cNvGrpSpPr/>
      </xdr:nvGrpSpPr>
      <xdr:grpSpPr>
        <a:xfrm>
          <a:off x="32009715" y="4988399"/>
          <a:ext cx="3544797" cy="2353539"/>
          <a:chOff x="31592732" y="5009566"/>
          <a:chExt cx="3540563" cy="2353539"/>
        </a:xfrm>
      </xdr:grpSpPr>
      <xdr:sp macro="" textlink="">
        <xdr:nvSpPr>
          <xdr:cNvPr id="47" name="CaixaDeTexto 46">
            <a:extLst>
              <a:ext uri="{FF2B5EF4-FFF2-40B4-BE49-F238E27FC236}">
                <a16:creationId xmlns:a16="http://schemas.microsoft.com/office/drawing/2014/main" id="{601ABD95-F358-4F89-A538-742E851FCAFA}"/>
              </a:ext>
            </a:extLst>
          </xdr:cNvPr>
          <xdr:cNvSpPr txBox="1"/>
        </xdr:nvSpPr>
        <xdr:spPr>
          <a:xfrm>
            <a:off x="31592732" y="5009566"/>
            <a:ext cx="3540563" cy="5319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b="0" i="0"/>
              <a:t>Perfil da IES</a:t>
            </a:r>
          </a:p>
        </xdr:txBody>
      </xdr:sp>
      <xdr:sp macro="" textlink="Constantes!S14">
        <xdr:nvSpPr>
          <xdr:cNvPr id="49" name="CaixaDeTexto 48">
            <a:extLst>
              <a:ext uri="{FF2B5EF4-FFF2-40B4-BE49-F238E27FC236}">
                <a16:creationId xmlns:a16="http://schemas.microsoft.com/office/drawing/2014/main" id="{60145790-878F-40A0-800E-914E9A898763}"/>
              </a:ext>
            </a:extLst>
          </xdr:cNvPr>
          <xdr:cNvSpPr txBox="1"/>
        </xdr:nvSpPr>
        <xdr:spPr>
          <a:xfrm>
            <a:off x="31592732" y="5622613"/>
            <a:ext cx="3540563" cy="533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D33534-6D25-4472-9F1D-8C9E0C7E8769}" type="TxLink">
              <a:rPr lang="en-US" sz="1600" b="1" i="1" u="none" strike="noStrike">
                <a:solidFill>
                  <a:srgbClr val="000000"/>
                </a:solidFill>
                <a:latin typeface="Calibri"/>
                <a:ea typeface="Calibri"/>
                <a:cs typeface="Calibri"/>
              </a:rPr>
              <a:pPr algn="ctr"/>
              <a:t>Faz o levantamento de viagens aéreas</a:t>
            </a:fld>
            <a:endParaRPr lang="en-US" sz="1600" b="1" i="1"/>
          </a:p>
        </xdr:txBody>
      </xdr:sp>
      <xdr:sp macro="" textlink="Constantes!S15">
        <xdr:nvSpPr>
          <xdr:cNvPr id="52" name="CaixaDeTexto 51">
            <a:extLst>
              <a:ext uri="{FF2B5EF4-FFF2-40B4-BE49-F238E27FC236}">
                <a16:creationId xmlns:a16="http://schemas.microsoft.com/office/drawing/2014/main" id="{0644FDD7-14A2-49E1-828B-D62AE9A63613}"/>
              </a:ext>
            </a:extLst>
          </xdr:cNvPr>
          <xdr:cNvSpPr txBox="1"/>
        </xdr:nvSpPr>
        <xdr:spPr>
          <a:xfrm>
            <a:off x="31592732" y="6237564"/>
            <a:ext cx="3540563" cy="5220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B9F513-4C87-453A-89BF-4A8C320DB520}" type="TxLink">
              <a:rPr lang="en-US" sz="1600" b="1" i="1" u="none" strike="noStrike">
                <a:solidFill>
                  <a:srgbClr val="000000"/>
                </a:solidFill>
                <a:latin typeface="Calibri"/>
                <a:ea typeface="Calibri"/>
                <a:cs typeface="Calibri"/>
              </a:rPr>
              <a:pPr algn="ctr"/>
              <a:t>Busca reduzir viagens aéreas</a:t>
            </a:fld>
            <a:endParaRPr lang="en-US" sz="1600" b="1" i="1"/>
          </a:p>
        </xdr:txBody>
      </xdr:sp>
      <xdr:sp macro="" textlink="Constantes!S16">
        <xdr:nvSpPr>
          <xdr:cNvPr id="56" name="CaixaDeTexto 55">
            <a:extLst>
              <a:ext uri="{FF2B5EF4-FFF2-40B4-BE49-F238E27FC236}">
                <a16:creationId xmlns:a16="http://schemas.microsoft.com/office/drawing/2014/main" id="{ABF51845-6CB3-4907-8F28-77611E5832DD}"/>
              </a:ext>
            </a:extLst>
          </xdr:cNvPr>
          <xdr:cNvSpPr txBox="1"/>
        </xdr:nvSpPr>
        <xdr:spPr>
          <a:xfrm>
            <a:off x="31592732" y="6840663"/>
            <a:ext cx="3540563" cy="522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4E32DE-2B95-4E2B-8D70-D0F02264C933}" type="TxLink">
              <a:rPr lang="en-US" sz="1600" b="1" i="1" u="none" strike="noStrike">
                <a:solidFill>
                  <a:srgbClr val="000000"/>
                </a:solidFill>
                <a:latin typeface="Calibri"/>
                <a:ea typeface="Calibri"/>
                <a:cs typeface="Calibri"/>
              </a:rPr>
              <a:pPr algn="ctr"/>
              <a:t>Não busca substituir viagens aéreas</a:t>
            </a:fld>
            <a:endParaRPr lang="en-US" sz="1600" b="1" i="1"/>
          </a:p>
        </xdr:txBody>
      </xdr:sp>
    </xdr:grpSp>
    <xdr:clientData/>
  </xdr:twoCellAnchor>
  <xdr:twoCellAnchor>
    <xdr:from>
      <xdr:col>8</xdr:col>
      <xdr:colOff>2755857</xdr:colOff>
      <xdr:row>7</xdr:row>
      <xdr:rowOff>162967</xdr:rowOff>
    </xdr:from>
    <xdr:to>
      <xdr:col>10</xdr:col>
      <xdr:colOff>2565357</xdr:colOff>
      <xdr:row>37</xdr:row>
      <xdr:rowOff>46387</xdr:rowOff>
    </xdr:to>
    <xdr:grpSp>
      <xdr:nvGrpSpPr>
        <xdr:cNvPr id="53" name="Agrupar 52">
          <a:extLst>
            <a:ext uri="{FF2B5EF4-FFF2-40B4-BE49-F238E27FC236}">
              <a16:creationId xmlns:a16="http://schemas.microsoft.com/office/drawing/2014/main" id="{7E27E488-1307-919D-95E0-91305BDF1DE5}"/>
            </a:ext>
          </a:extLst>
        </xdr:cNvPr>
        <xdr:cNvGrpSpPr/>
      </xdr:nvGrpSpPr>
      <xdr:grpSpPr>
        <a:xfrm>
          <a:off x="25933357" y="3380300"/>
          <a:ext cx="5947833" cy="5598420"/>
          <a:chOff x="20791566" y="3645121"/>
          <a:chExt cx="4032923" cy="6129062"/>
        </a:xfrm>
      </xdr:grpSpPr>
      <xdr:sp macro="" textlink="">
        <xdr:nvSpPr>
          <xdr:cNvPr id="2" name="CaixaDeTexto 1">
            <a:extLst>
              <a:ext uri="{FF2B5EF4-FFF2-40B4-BE49-F238E27FC236}">
                <a16:creationId xmlns:a16="http://schemas.microsoft.com/office/drawing/2014/main" id="{12610DAE-C8BE-4755-9B83-ECF26DBD6C10}"/>
              </a:ext>
            </a:extLst>
          </xdr:cNvPr>
          <xdr:cNvSpPr txBox="1"/>
        </xdr:nvSpPr>
        <xdr:spPr>
          <a:xfrm>
            <a:off x="20791566" y="3645121"/>
            <a:ext cx="2514814" cy="5737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Política</a:t>
            </a:r>
            <a:r>
              <a:rPr lang="pt-BR" sz="1600" baseline="0"/>
              <a:t> de classe econômica</a:t>
            </a:r>
            <a:endParaRPr lang="pt-BR" sz="1600"/>
          </a:p>
        </xdr:txBody>
      </xdr:sp>
      <xdr:sp macro="" textlink="'Entrada Lvl 5-4 ql'!D5">
        <xdr:nvSpPr>
          <xdr:cNvPr id="3" name="CaixaDeTexto 2">
            <a:extLst>
              <a:ext uri="{FF2B5EF4-FFF2-40B4-BE49-F238E27FC236}">
                <a16:creationId xmlns:a16="http://schemas.microsoft.com/office/drawing/2014/main" id="{E6B903AB-F57C-43CC-9FDC-150B59B0420E}"/>
              </a:ext>
            </a:extLst>
          </xdr:cNvPr>
          <xdr:cNvSpPr txBox="1"/>
        </xdr:nvSpPr>
        <xdr:spPr>
          <a:xfrm>
            <a:off x="23380317" y="3645121"/>
            <a:ext cx="1444172" cy="57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8FF967-7DFC-4334-A5CB-17736484DF78}" type="TxLink">
              <a:rPr lang="en-US" sz="1600" b="1" i="0" u="none" strike="noStrike">
                <a:solidFill>
                  <a:srgbClr val="000000"/>
                </a:solidFill>
                <a:latin typeface="Calibri"/>
                <a:ea typeface="Calibri"/>
                <a:cs typeface="Calibri"/>
              </a:rPr>
              <a:pPr algn="ctr"/>
              <a:t>Atendida</a:t>
            </a:fld>
            <a:endParaRPr lang="en-US" sz="2000" b="1"/>
          </a:p>
        </xdr:txBody>
      </xdr:sp>
      <xdr:sp macro="" textlink="">
        <xdr:nvSpPr>
          <xdr:cNvPr id="4" name="CaixaDeTexto 3">
            <a:extLst>
              <a:ext uri="{FF2B5EF4-FFF2-40B4-BE49-F238E27FC236}">
                <a16:creationId xmlns:a16="http://schemas.microsoft.com/office/drawing/2014/main" id="{5755B036-4E9F-4BA0-AC7B-220741A2C0B3}"/>
              </a:ext>
            </a:extLst>
          </xdr:cNvPr>
          <xdr:cNvSpPr txBox="1"/>
        </xdr:nvSpPr>
        <xdr:spPr>
          <a:xfrm>
            <a:off x="20791566" y="4268144"/>
            <a:ext cx="2514814" cy="5737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Gerenciamento</a:t>
            </a:r>
            <a:r>
              <a:rPr lang="pt-BR" sz="1600" baseline="0"/>
              <a:t> do uso de voo</a:t>
            </a:r>
            <a:endParaRPr lang="pt-BR" sz="1600"/>
          </a:p>
        </xdr:txBody>
      </xdr:sp>
      <xdr:sp macro="" textlink="'Entrada Lvl 5-4 ql'!D6">
        <xdr:nvSpPr>
          <xdr:cNvPr id="5" name="CaixaDeTexto 4">
            <a:extLst>
              <a:ext uri="{FF2B5EF4-FFF2-40B4-BE49-F238E27FC236}">
                <a16:creationId xmlns:a16="http://schemas.microsoft.com/office/drawing/2014/main" id="{17480C06-8B0B-40E9-89B9-0906E36D806A}"/>
              </a:ext>
            </a:extLst>
          </xdr:cNvPr>
          <xdr:cNvSpPr txBox="1"/>
        </xdr:nvSpPr>
        <xdr:spPr>
          <a:xfrm>
            <a:off x="23380317" y="4268143"/>
            <a:ext cx="1444172" cy="57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6904B0-21CD-41A3-8FB5-AC69E2573955}" type="TxLink">
              <a:rPr lang="en-US" sz="1600" b="1" i="0" u="none" strike="noStrike">
                <a:solidFill>
                  <a:srgbClr val="000000"/>
                </a:solidFill>
                <a:latin typeface="Calibri"/>
                <a:ea typeface="Calibri"/>
                <a:cs typeface="Calibri"/>
              </a:rPr>
              <a:pPr marL="0" indent="0" algn="ctr"/>
              <a:t>Atendida</a:t>
            </a:fld>
            <a:endParaRPr lang="en-US" sz="1600" b="1" i="0" u="none" strike="noStrike">
              <a:solidFill>
                <a:srgbClr val="000000"/>
              </a:solidFill>
              <a:latin typeface="Calibri"/>
              <a:ea typeface="Calibri"/>
              <a:cs typeface="Calibri"/>
            </a:endParaRPr>
          </a:p>
        </xdr:txBody>
      </xdr:sp>
      <xdr:sp macro="" textlink="">
        <xdr:nvSpPr>
          <xdr:cNvPr id="6" name="CaixaDeTexto 5">
            <a:extLst>
              <a:ext uri="{FF2B5EF4-FFF2-40B4-BE49-F238E27FC236}">
                <a16:creationId xmlns:a16="http://schemas.microsoft.com/office/drawing/2014/main" id="{3193ECDD-F862-4762-9BCC-289526A516C0}"/>
              </a:ext>
            </a:extLst>
          </xdr:cNvPr>
          <xdr:cNvSpPr txBox="1"/>
        </xdr:nvSpPr>
        <xdr:spPr>
          <a:xfrm>
            <a:off x="20791566" y="4882522"/>
            <a:ext cx="2514814" cy="57372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Programas de mitigação de emissões</a:t>
            </a:r>
          </a:p>
        </xdr:txBody>
      </xdr:sp>
      <xdr:sp macro="" textlink="'Entrada Lvl 5-4 ql'!D7">
        <xdr:nvSpPr>
          <xdr:cNvPr id="7" name="CaixaDeTexto 6">
            <a:extLst>
              <a:ext uri="{FF2B5EF4-FFF2-40B4-BE49-F238E27FC236}">
                <a16:creationId xmlns:a16="http://schemas.microsoft.com/office/drawing/2014/main" id="{EC0DBF3B-D174-4710-A08C-FE855EC8FBE9}"/>
              </a:ext>
            </a:extLst>
          </xdr:cNvPr>
          <xdr:cNvSpPr txBox="1"/>
        </xdr:nvSpPr>
        <xdr:spPr>
          <a:xfrm>
            <a:off x="23380317" y="4882522"/>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2C4947-55A9-4148-AE24-BE32F2C87F19}"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8" name="CaixaDeTexto 7">
            <a:extLst>
              <a:ext uri="{FF2B5EF4-FFF2-40B4-BE49-F238E27FC236}">
                <a16:creationId xmlns:a16="http://schemas.microsoft.com/office/drawing/2014/main" id="{08078B05-B021-4AD8-BF69-3B2A690FD01C}"/>
              </a:ext>
            </a:extLst>
          </xdr:cNvPr>
          <xdr:cNvSpPr txBox="1"/>
        </xdr:nvSpPr>
        <xdr:spPr>
          <a:xfrm>
            <a:off x="20791566" y="5496900"/>
            <a:ext cx="2514814" cy="57372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Hibridização</a:t>
            </a:r>
            <a:r>
              <a:rPr lang="pt-BR" sz="1600" baseline="0"/>
              <a:t> de eventos e conferências</a:t>
            </a:r>
            <a:endParaRPr lang="pt-BR" sz="1600"/>
          </a:p>
        </xdr:txBody>
      </xdr:sp>
      <xdr:sp macro="" textlink="'Entrada Lvl 5-4 ql'!D8">
        <xdr:nvSpPr>
          <xdr:cNvPr id="9" name="CaixaDeTexto 8">
            <a:extLst>
              <a:ext uri="{FF2B5EF4-FFF2-40B4-BE49-F238E27FC236}">
                <a16:creationId xmlns:a16="http://schemas.microsoft.com/office/drawing/2014/main" id="{57FAFC51-8B96-4760-A064-4A1FD9691FEA}"/>
              </a:ext>
            </a:extLst>
          </xdr:cNvPr>
          <xdr:cNvSpPr txBox="1"/>
        </xdr:nvSpPr>
        <xdr:spPr>
          <a:xfrm>
            <a:off x="23380317" y="5496901"/>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D20E13-FA3D-436F-8677-62AD86F17C2A}"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10" name="CaixaDeTexto 9">
            <a:extLst>
              <a:ext uri="{FF2B5EF4-FFF2-40B4-BE49-F238E27FC236}">
                <a16:creationId xmlns:a16="http://schemas.microsoft.com/office/drawing/2014/main" id="{57434EF6-A708-4046-89A7-AB8E3973A919}"/>
              </a:ext>
            </a:extLst>
          </xdr:cNvPr>
          <xdr:cNvSpPr txBox="1"/>
        </xdr:nvSpPr>
        <xdr:spPr>
          <a:xfrm>
            <a:off x="20791566" y="6119922"/>
            <a:ext cx="2514814" cy="57372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Acesso a alternativas ao voo</a:t>
            </a:r>
          </a:p>
        </xdr:txBody>
      </xdr:sp>
      <xdr:sp macro="" textlink="'Entrada Lvl 5-4 ql'!D9">
        <xdr:nvSpPr>
          <xdr:cNvPr id="12" name="CaixaDeTexto 11">
            <a:extLst>
              <a:ext uri="{FF2B5EF4-FFF2-40B4-BE49-F238E27FC236}">
                <a16:creationId xmlns:a16="http://schemas.microsoft.com/office/drawing/2014/main" id="{D503E7D6-F78C-4F9D-AF57-1DF8025D536D}"/>
              </a:ext>
            </a:extLst>
          </xdr:cNvPr>
          <xdr:cNvSpPr txBox="1"/>
        </xdr:nvSpPr>
        <xdr:spPr>
          <a:xfrm>
            <a:off x="23380317" y="6119922"/>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1BF9ED-79CC-494E-9163-A57A5577227F}"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14" name="CaixaDeTexto 13">
            <a:extLst>
              <a:ext uri="{FF2B5EF4-FFF2-40B4-BE49-F238E27FC236}">
                <a16:creationId xmlns:a16="http://schemas.microsoft.com/office/drawing/2014/main" id="{D0F4A3BB-06D9-42E3-94AB-8D524E2CC2BA}"/>
              </a:ext>
            </a:extLst>
          </xdr:cNvPr>
          <xdr:cNvSpPr txBox="1"/>
        </xdr:nvSpPr>
        <xdr:spPr>
          <a:xfrm>
            <a:off x="20791566" y="6734301"/>
            <a:ext cx="2514814" cy="57372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Incentivo a participações remotas</a:t>
            </a:r>
          </a:p>
        </xdr:txBody>
      </xdr:sp>
      <xdr:sp macro="" textlink="'Entrada Lvl 5-4 ql'!D10">
        <xdr:nvSpPr>
          <xdr:cNvPr id="15" name="CaixaDeTexto 14">
            <a:extLst>
              <a:ext uri="{FF2B5EF4-FFF2-40B4-BE49-F238E27FC236}">
                <a16:creationId xmlns:a16="http://schemas.microsoft.com/office/drawing/2014/main" id="{BCDDD508-41CC-46C3-AE35-57872E0840D5}"/>
              </a:ext>
            </a:extLst>
          </xdr:cNvPr>
          <xdr:cNvSpPr txBox="1"/>
        </xdr:nvSpPr>
        <xdr:spPr>
          <a:xfrm>
            <a:off x="23380317" y="6734302"/>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6B1580-8EC4-429E-A404-211D4470DA0B}"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16" name="CaixaDeTexto 15">
            <a:extLst>
              <a:ext uri="{FF2B5EF4-FFF2-40B4-BE49-F238E27FC236}">
                <a16:creationId xmlns:a16="http://schemas.microsoft.com/office/drawing/2014/main" id="{1FF729CD-8AB7-41F7-B0F5-D1FBCAA0C7C3}"/>
              </a:ext>
            </a:extLst>
          </xdr:cNvPr>
          <xdr:cNvSpPr txBox="1"/>
        </xdr:nvSpPr>
        <xdr:spPr>
          <a:xfrm>
            <a:off x="20791566" y="7348680"/>
            <a:ext cx="2514814" cy="573725"/>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Inventário de viagens</a:t>
            </a:r>
            <a:r>
              <a:rPr lang="pt-BR" sz="1600" baseline="0"/>
              <a:t> aéreas</a:t>
            </a:r>
            <a:endParaRPr lang="pt-BR" sz="1600"/>
          </a:p>
        </xdr:txBody>
      </xdr:sp>
      <xdr:sp macro="" textlink="'Entrada Lvl 5-4 ql'!D11">
        <xdr:nvSpPr>
          <xdr:cNvPr id="19" name="CaixaDeTexto 18">
            <a:extLst>
              <a:ext uri="{FF2B5EF4-FFF2-40B4-BE49-F238E27FC236}">
                <a16:creationId xmlns:a16="http://schemas.microsoft.com/office/drawing/2014/main" id="{99E925C0-743A-4BDC-87A2-A4C309D00B94}"/>
              </a:ext>
            </a:extLst>
          </xdr:cNvPr>
          <xdr:cNvSpPr txBox="1"/>
        </xdr:nvSpPr>
        <xdr:spPr>
          <a:xfrm>
            <a:off x="23380317" y="7348679"/>
            <a:ext cx="1444172" cy="57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7EEE97-BD4E-438B-A19B-92BB1FFF6F39}" type="TxLink">
              <a:rPr lang="en-US" sz="1600" b="1" i="0" u="none" strike="noStrike">
                <a:solidFill>
                  <a:srgbClr val="000000"/>
                </a:solidFill>
                <a:latin typeface="Calibri"/>
                <a:ea typeface="Calibri"/>
                <a:cs typeface="Calibri"/>
              </a:rPr>
              <a:pPr marL="0" indent="0" algn="ctr"/>
              <a:t>Atendida</a:t>
            </a:fld>
            <a:endParaRPr lang="en-US" sz="1600" b="1" i="0" u="none" strike="noStrike">
              <a:solidFill>
                <a:srgbClr val="000000"/>
              </a:solidFill>
              <a:latin typeface="Calibri"/>
              <a:ea typeface="Calibri"/>
              <a:cs typeface="Calibri"/>
            </a:endParaRPr>
          </a:p>
        </xdr:txBody>
      </xdr:sp>
      <xdr:sp macro="" textlink="">
        <xdr:nvSpPr>
          <xdr:cNvPr id="20" name="CaixaDeTexto 19">
            <a:extLst>
              <a:ext uri="{FF2B5EF4-FFF2-40B4-BE49-F238E27FC236}">
                <a16:creationId xmlns:a16="http://schemas.microsoft.com/office/drawing/2014/main" id="{9A18B7A4-211F-419D-BF00-E4593370D290}"/>
              </a:ext>
            </a:extLst>
          </xdr:cNvPr>
          <xdr:cNvSpPr txBox="1"/>
        </xdr:nvSpPr>
        <xdr:spPr>
          <a:xfrm>
            <a:off x="20791566" y="7963059"/>
            <a:ext cx="2514814" cy="572966"/>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Campanhas de conscientização</a:t>
            </a:r>
          </a:p>
        </xdr:txBody>
      </xdr:sp>
      <xdr:sp macro="" textlink="'Entrada Lvl 5-4 ql'!D12">
        <xdr:nvSpPr>
          <xdr:cNvPr id="40" name="CaixaDeTexto 39">
            <a:extLst>
              <a:ext uri="{FF2B5EF4-FFF2-40B4-BE49-F238E27FC236}">
                <a16:creationId xmlns:a16="http://schemas.microsoft.com/office/drawing/2014/main" id="{22043D65-8974-45A8-ACEC-471DFDAC9075}"/>
              </a:ext>
            </a:extLst>
          </xdr:cNvPr>
          <xdr:cNvSpPr txBox="1"/>
        </xdr:nvSpPr>
        <xdr:spPr>
          <a:xfrm>
            <a:off x="23380317" y="7963059"/>
            <a:ext cx="1444172" cy="572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554C2-54E8-4770-BFDB-B3377C16EADA}"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45" name="CaixaDeTexto 44">
            <a:extLst>
              <a:ext uri="{FF2B5EF4-FFF2-40B4-BE49-F238E27FC236}">
                <a16:creationId xmlns:a16="http://schemas.microsoft.com/office/drawing/2014/main" id="{D48688E5-DA5B-4ED3-BF62-495B2CF9583C}"/>
              </a:ext>
            </a:extLst>
          </xdr:cNvPr>
          <xdr:cNvSpPr txBox="1"/>
        </xdr:nvSpPr>
        <xdr:spPr>
          <a:xfrm>
            <a:off x="20791566" y="8586080"/>
            <a:ext cx="2514814" cy="573724"/>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Viagens aéreas</a:t>
            </a:r>
            <a:r>
              <a:rPr lang="pt-BR" sz="1600" baseline="0"/>
              <a:t> como critério de seleção</a:t>
            </a:r>
            <a:endParaRPr lang="pt-BR" sz="1600"/>
          </a:p>
        </xdr:txBody>
      </xdr:sp>
      <xdr:sp macro="" textlink="'Entrada Lvl 5-4 ql'!D13">
        <xdr:nvSpPr>
          <xdr:cNvPr id="46" name="CaixaDeTexto 45">
            <a:extLst>
              <a:ext uri="{FF2B5EF4-FFF2-40B4-BE49-F238E27FC236}">
                <a16:creationId xmlns:a16="http://schemas.microsoft.com/office/drawing/2014/main" id="{11CA9A9A-6C09-42DB-9C89-475C0258AA10}"/>
              </a:ext>
            </a:extLst>
          </xdr:cNvPr>
          <xdr:cNvSpPr txBox="1"/>
        </xdr:nvSpPr>
        <xdr:spPr>
          <a:xfrm>
            <a:off x="23380317" y="8586080"/>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FC176-A3C7-4287-87E1-50465C7EDD11}"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sp macro="" textlink="">
        <xdr:nvSpPr>
          <xdr:cNvPr id="57" name="CaixaDeTexto 56">
            <a:extLst>
              <a:ext uri="{FF2B5EF4-FFF2-40B4-BE49-F238E27FC236}">
                <a16:creationId xmlns:a16="http://schemas.microsoft.com/office/drawing/2014/main" id="{9A69D11E-676A-44FF-AFE9-AE24C329EB3B}"/>
              </a:ext>
            </a:extLst>
          </xdr:cNvPr>
          <xdr:cNvSpPr txBox="1"/>
        </xdr:nvSpPr>
        <xdr:spPr>
          <a:xfrm>
            <a:off x="20791566" y="9200459"/>
            <a:ext cx="2514814" cy="573724"/>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a:t>Relatório público de emissões</a:t>
            </a:r>
          </a:p>
        </xdr:txBody>
      </xdr:sp>
      <xdr:sp macro="" textlink="'Entrada Lvl 5-4 ql'!D14">
        <xdr:nvSpPr>
          <xdr:cNvPr id="58" name="CaixaDeTexto 57">
            <a:extLst>
              <a:ext uri="{FF2B5EF4-FFF2-40B4-BE49-F238E27FC236}">
                <a16:creationId xmlns:a16="http://schemas.microsoft.com/office/drawing/2014/main" id="{9E8EDD93-FE3F-4D1F-8081-7AC12DE5590F}"/>
              </a:ext>
            </a:extLst>
          </xdr:cNvPr>
          <xdr:cNvSpPr txBox="1"/>
        </xdr:nvSpPr>
        <xdr:spPr>
          <a:xfrm>
            <a:off x="23380317" y="9200458"/>
            <a:ext cx="1444172" cy="573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6C020-9A33-468E-9511-F3C6E3EABC2B}" type="TxLink">
              <a:rPr lang="en-US" sz="1600" b="1" i="0" u="none" strike="noStrike">
                <a:solidFill>
                  <a:srgbClr val="000000"/>
                </a:solidFill>
                <a:latin typeface="Calibri"/>
                <a:ea typeface="Calibri"/>
                <a:cs typeface="Calibri"/>
              </a:rPr>
              <a:pPr marL="0" indent="0" algn="ctr"/>
              <a:t>Não Atendida</a:t>
            </a:fld>
            <a:endParaRPr lang="en-US" sz="1600" b="1" i="0" u="none" strike="noStrike">
              <a:solidFill>
                <a:srgbClr val="000000"/>
              </a:solidFill>
              <a:latin typeface="Calibri"/>
              <a:ea typeface="Calibri"/>
              <a:cs typeface="Calibri"/>
            </a:endParaRPr>
          </a:p>
        </xdr:txBody>
      </xdr:sp>
    </xdr:grpSp>
    <xdr:clientData/>
  </xdr:twoCellAnchor>
  <xdr:twoCellAnchor>
    <xdr:from>
      <xdr:col>0</xdr:col>
      <xdr:colOff>184728</xdr:colOff>
      <xdr:row>27</xdr:row>
      <xdr:rowOff>133350</xdr:rowOff>
    </xdr:from>
    <xdr:to>
      <xdr:col>2</xdr:col>
      <xdr:colOff>400050</xdr:colOff>
      <xdr:row>44</xdr:row>
      <xdr:rowOff>943369</xdr:rowOff>
    </xdr:to>
    <xdr:graphicFrame macro="">
      <xdr:nvGraphicFramePr>
        <xdr:cNvPr id="62" name="Gráfico 61">
          <a:extLst>
            <a:ext uri="{FF2B5EF4-FFF2-40B4-BE49-F238E27FC236}">
              <a16:creationId xmlns:a16="http://schemas.microsoft.com/office/drawing/2014/main" id="{EB33E980-DD48-4383-92BB-083D23C16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25</xdr:row>
      <xdr:rowOff>133350</xdr:rowOff>
    </xdr:from>
    <xdr:to>
      <xdr:col>4</xdr:col>
      <xdr:colOff>1847850</xdr:colOff>
      <xdr:row>44</xdr:row>
      <xdr:rowOff>887566</xdr:rowOff>
    </xdr:to>
    <xdr:graphicFrame macro="">
      <xdr:nvGraphicFramePr>
        <xdr:cNvPr id="64" name="Gráfico 63">
          <a:extLst>
            <a:ext uri="{FF2B5EF4-FFF2-40B4-BE49-F238E27FC236}">
              <a16:creationId xmlns:a16="http://schemas.microsoft.com/office/drawing/2014/main" id="{C46FF1DE-DB6D-4462-AD8D-40BD184D7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2133601</xdr:colOff>
      <xdr:row>10</xdr:row>
      <xdr:rowOff>95250</xdr:rowOff>
    </xdr:from>
    <xdr:to>
      <xdr:col>6</xdr:col>
      <xdr:colOff>1447800</xdr:colOff>
      <xdr:row>33</xdr:row>
      <xdr:rowOff>152400</xdr:rowOff>
    </xdr:to>
    <xdr:graphicFrame macro="">
      <xdr:nvGraphicFramePr>
        <xdr:cNvPr id="66" name="Gráfico 65">
          <a:extLst>
            <a:ext uri="{FF2B5EF4-FFF2-40B4-BE49-F238E27FC236}">
              <a16:creationId xmlns:a16="http://schemas.microsoft.com/office/drawing/2014/main" id="{A0969A75-E6E4-466A-950E-A1DB1224B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1466850</xdr:colOff>
      <xdr:row>6</xdr:row>
      <xdr:rowOff>152401</xdr:rowOff>
    </xdr:from>
    <xdr:to>
      <xdr:col>8</xdr:col>
      <xdr:colOff>2571750</xdr:colOff>
      <xdr:row>35</xdr:row>
      <xdr:rowOff>152400</xdr:rowOff>
    </xdr:to>
    <xdr:graphicFrame macro="">
      <xdr:nvGraphicFramePr>
        <xdr:cNvPr id="67" name="Gráfico 66">
          <a:extLst>
            <a:ext uri="{FF2B5EF4-FFF2-40B4-BE49-F238E27FC236}">
              <a16:creationId xmlns:a16="http://schemas.microsoft.com/office/drawing/2014/main" id="{2DC41F60-8022-4DBA-8626-F81142C65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2114550</xdr:colOff>
      <xdr:row>36</xdr:row>
      <xdr:rowOff>19051</xdr:rowOff>
    </xdr:from>
    <xdr:to>
      <xdr:col>7</xdr:col>
      <xdr:colOff>190499</xdr:colOff>
      <xdr:row>44</xdr:row>
      <xdr:rowOff>899531</xdr:rowOff>
    </xdr:to>
    <xdr:graphicFrame macro="">
      <xdr:nvGraphicFramePr>
        <xdr:cNvPr id="41" name="Gráfico 40">
          <a:extLst>
            <a:ext uri="{FF2B5EF4-FFF2-40B4-BE49-F238E27FC236}">
              <a16:creationId xmlns:a16="http://schemas.microsoft.com/office/drawing/2014/main" id="{6222A328-183F-4F59-878B-6D03DEB31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2264289</xdr:colOff>
      <xdr:row>34</xdr:row>
      <xdr:rowOff>48307</xdr:rowOff>
    </xdr:from>
    <xdr:to>
      <xdr:col>6</xdr:col>
      <xdr:colOff>190500</xdr:colOff>
      <xdr:row>36</xdr:row>
      <xdr:rowOff>171450</xdr:rowOff>
    </xdr:to>
    <xdr:sp macro="" textlink="">
      <xdr:nvSpPr>
        <xdr:cNvPr id="42" name="CaixaDeTexto 41">
          <a:extLst>
            <a:ext uri="{FF2B5EF4-FFF2-40B4-BE49-F238E27FC236}">
              <a16:creationId xmlns:a16="http://schemas.microsoft.com/office/drawing/2014/main" id="{B69A918A-6F5E-47BD-B25C-99DBBF90B970}"/>
            </a:ext>
          </a:extLst>
        </xdr:cNvPr>
        <xdr:cNvSpPr txBox="1"/>
      </xdr:nvSpPr>
      <xdr:spPr>
        <a:xfrm>
          <a:off x="13160889" y="8430307"/>
          <a:ext cx="4060311" cy="504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800"/>
            <a:t>Número de viagens,</a:t>
          </a:r>
          <a:r>
            <a:rPr lang="pt-BR" sz="1800" baseline="0"/>
            <a:t> por dias de duração</a:t>
          </a:r>
          <a:endParaRPr lang="pt-BR" sz="1800"/>
        </a:p>
      </xdr:txBody>
    </xdr:sp>
    <xdr:clientData/>
  </xdr:twoCellAnchor>
  <xdr:twoCellAnchor>
    <xdr:from>
      <xdr:col>7</xdr:col>
      <xdr:colOff>429614</xdr:colOff>
      <xdr:row>36</xdr:row>
      <xdr:rowOff>64293</xdr:rowOff>
    </xdr:from>
    <xdr:to>
      <xdr:col>8</xdr:col>
      <xdr:colOff>962564</xdr:colOff>
      <xdr:row>39</xdr:row>
      <xdr:rowOff>80457</xdr:rowOff>
    </xdr:to>
    <xdr:sp macro="" textlink="">
      <xdr:nvSpPr>
        <xdr:cNvPr id="43" name="CaixaDeTexto 42">
          <a:extLst>
            <a:ext uri="{FF2B5EF4-FFF2-40B4-BE49-F238E27FC236}">
              <a16:creationId xmlns:a16="http://schemas.microsoft.com/office/drawing/2014/main" id="{EC1D6D7F-EEE5-442F-B61D-16EB10D745F5}"/>
            </a:ext>
          </a:extLst>
        </xdr:cNvPr>
        <xdr:cNvSpPr txBox="1"/>
      </xdr:nvSpPr>
      <xdr:spPr>
        <a:xfrm>
          <a:off x="20527364" y="8827293"/>
          <a:ext cx="3600000" cy="58766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Taxa de viagens evitáveis</a:t>
          </a:r>
          <a:r>
            <a:rPr lang="pt-BR" sz="1400" baseline="0"/>
            <a:t> </a:t>
          </a:r>
        </a:p>
        <a:p>
          <a:pPr algn="ctr"/>
          <a:r>
            <a:rPr lang="pt-BR" sz="1400" baseline="0"/>
            <a:t>(até 1 dia de duração ou menor que 600 km)</a:t>
          </a:r>
          <a:endParaRPr lang="pt-BR" sz="1400"/>
        </a:p>
      </xdr:txBody>
    </xdr:sp>
    <xdr:clientData/>
  </xdr:twoCellAnchor>
  <xdr:twoCellAnchor>
    <xdr:from>
      <xdr:col>8</xdr:col>
      <xdr:colOff>1024810</xdr:colOff>
      <xdr:row>36</xdr:row>
      <xdr:rowOff>45244</xdr:rowOff>
    </xdr:from>
    <xdr:to>
      <xdr:col>8</xdr:col>
      <xdr:colOff>2543840</xdr:colOff>
      <xdr:row>39</xdr:row>
      <xdr:rowOff>45996</xdr:rowOff>
    </xdr:to>
    <xdr:sp macro="" textlink="'Dados Dashboard'!Y46">
      <xdr:nvSpPr>
        <xdr:cNvPr id="48" name="CaixaDeTexto 47">
          <a:extLst>
            <a:ext uri="{FF2B5EF4-FFF2-40B4-BE49-F238E27FC236}">
              <a16:creationId xmlns:a16="http://schemas.microsoft.com/office/drawing/2014/main" id="{0F2CD12A-9782-414E-AE04-993976D82378}"/>
            </a:ext>
          </a:extLst>
        </xdr:cNvPr>
        <xdr:cNvSpPr txBox="1"/>
      </xdr:nvSpPr>
      <xdr:spPr>
        <a:xfrm>
          <a:off x="24189610" y="8808244"/>
          <a:ext cx="1519030" cy="5722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7029B-E054-4370-ACE8-15BA69DC1ABB}" type="TxLink">
            <a:rPr lang="en-US" sz="1400" b="1" i="0" u="none" strike="noStrike">
              <a:solidFill>
                <a:srgbClr val="000000"/>
              </a:solidFill>
              <a:latin typeface="Calibri"/>
              <a:ea typeface="Calibri"/>
              <a:cs typeface="Calibri"/>
            </a:rPr>
            <a:pPr marL="0" indent="0" algn="ctr"/>
            <a:t>100,00%</a:t>
          </a:fld>
          <a:endParaRPr lang="en-US" sz="1400" b="1" i="0" u="none" strike="noStrike">
            <a:solidFill>
              <a:srgbClr val="000000"/>
            </a:solidFill>
            <a:latin typeface="Calibri"/>
            <a:ea typeface="Calibri"/>
            <a:cs typeface="Calibri"/>
          </a:endParaRPr>
        </a:p>
      </xdr:txBody>
    </xdr:sp>
    <xdr:clientData/>
  </xdr:twoCellAnchor>
  <xdr:twoCellAnchor>
    <xdr:from>
      <xdr:col>7</xdr:col>
      <xdr:colOff>431727</xdr:colOff>
      <xdr:row>39</xdr:row>
      <xdr:rowOff>139057</xdr:rowOff>
    </xdr:from>
    <xdr:to>
      <xdr:col>8</xdr:col>
      <xdr:colOff>964677</xdr:colOff>
      <xdr:row>42</xdr:row>
      <xdr:rowOff>155221</xdr:rowOff>
    </xdr:to>
    <xdr:sp macro="" textlink="">
      <xdr:nvSpPr>
        <xdr:cNvPr id="17" name="CaixaDeTexto 16">
          <a:extLst>
            <a:ext uri="{FF2B5EF4-FFF2-40B4-BE49-F238E27FC236}">
              <a16:creationId xmlns:a16="http://schemas.microsoft.com/office/drawing/2014/main" id="{BFD61B92-9FDB-4DBA-9178-D72CEC1B16A3}"/>
            </a:ext>
          </a:extLst>
        </xdr:cNvPr>
        <xdr:cNvSpPr txBox="1"/>
      </xdr:nvSpPr>
      <xdr:spPr>
        <a:xfrm>
          <a:off x="20529477" y="9473557"/>
          <a:ext cx="3600000" cy="58766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Taxa</a:t>
          </a:r>
          <a:r>
            <a:rPr lang="pt-BR" sz="1400" baseline="0"/>
            <a:t> de viagens urgentes</a:t>
          </a:r>
        </a:p>
        <a:p>
          <a:pPr algn="ctr"/>
          <a:r>
            <a:rPr lang="pt-BR" sz="1400" baseline="0"/>
            <a:t>(&lt;30 dias) sem justificativa</a:t>
          </a:r>
          <a:endParaRPr lang="pt-BR" sz="1400"/>
        </a:p>
      </xdr:txBody>
    </xdr:sp>
    <xdr:clientData/>
  </xdr:twoCellAnchor>
  <xdr:twoCellAnchor>
    <xdr:from>
      <xdr:col>8</xdr:col>
      <xdr:colOff>1026923</xdr:colOff>
      <xdr:row>39</xdr:row>
      <xdr:rowOff>120008</xdr:rowOff>
    </xdr:from>
    <xdr:to>
      <xdr:col>8</xdr:col>
      <xdr:colOff>2545953</xdr:colOff>
      <xdr:row>42</xdr:row>
      <xdr:rowOff>128380</xdr:rowOff>
    </xdr:to>
    <xdr:sp macro="" textlink="'Dados Dashboard'!AB44">
      <xdr:nvSpPr>
        <xdr:cNvPr id="24" name="CaixaDeTexto 23">
          <a:extLst>
            <a:ext uri="{FF2B5EF4-FFF2-40B4-BE49-F238E27FC236}">
              <a16:creationId xmlns:a16="http://schemas.microsoft.com/office/drawing/2014/main" id="{9BA4E2EB-64AB-4CC0-A544-24318181FBD4}"/>
            </a:ext>
          </a:extLst>
        </xdr:cNvPr>
        <xdr:cNvSpPr txBox="1"/>
      </xdr:nvSpPr>
      <xdr:spPr>
        <a:xfrm>
          <a:off x="24191723" y="9454508"/>
          <a:ext cx="1519030" cy="579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608FC3-CF22-4521-B4DE-98B6D11F38F6}" type="TxLink">
            <a:rPr lang="en-US" sz="1400" b="1" i="0" u="none" strike="noStrike">
              <a:solidFill>
                <a:srgbClr val="000000"/>
              </a:solidFill>
              <a:latin typeface="Calibri"/>
              <a:ea typeface="Calibri"/>
              <a:cs typeface="Calibri"/>
            </a:rPr>
            <a:pPr marL="0" indent="0" algn="ctr"/>
            <a:t>0,00%</a:t>
          </a:fld>
          <a:endParaRPr lang="en-US" sz="1400" b="1" i="0" u="none" strike="noStrike">
            <a:solidFill>
              <a:srgbClr val="000000"/>
            </a:solidFill>
            <a:latin typeface="Calibri"/>
            <a:ea typeface="Calibri"/>
            <a:cs typeface="Calibri"/>
          </a:endParaRPr>
        </a:p>
      </xdr:txBody>
    </xdr:sp>
    <xdr:clientData/>
  </xdr:twoCellAnchor>
  <xdr:twoCellAnchor>
    <xdr:from>
      <xdr:col>0</xdr:col>
      <xdr:colOff>551656</xdr:colOff>
      <xdr:row>8</xdr:row>
      <xdr:rowOff>39206</xdr:rowOff>
    </xdr:from>
    <xdr:to>
      <xdr:col>4</xdr:col>
      <xdr:colOff>989109</xdr:colOff>
      <xdr:row>24</xdr:row>
      <xdr:rowOff>92330</xdr:rowOff>
    </xdr:to>
    <xdr:grpSp>
      <xdr:nvGrpSpPr>
        <xdr:cNvPr id="59" name="Agrupar 58">
          <a:extLst>
            <a:ext uri="{FF2B5EF4-FFF2-40B4-BE49-F238E27FC236}">
              <a16:creationId xmlns:a16="http://schemas.microsoft.com/office/drawing/2014/main" id="{CA03B92B-45D9-0F54-EE6D-DB218DBD796F}"/>
            </a:ext>
          </a:extLst>
        </xdr:cNvPr>
        <xdr:cNvGrpSpPr/>
      </xdr:nvGrpSpPr>
      <xdr:grpSpPr>
        <a:xfrm>
          <a:off x="551656" y="3447039"/>
          <a:ext cx="11338286" cy="3101124"/>
          <a:chOff x="551656" y="3468206"/>
          <a:chExt cx="11162603" cy="3101124"/>
        </a:xfrm>
      </xdr:grpSpPr>
      <xdr:sp macro="" textlink="">
        <xdr:nvSpPr>
          <xdr:cNvPr id="18" name="CaixaDeTexto 17">
            <a:extLst>
              <a:ext uri="{FF2B5EF4-FFF2-40B4-BE49-F238E27FC236}">
                <a16:creationId xmlns:a16="http://schemas.microsoft.com/office/drawing/2014/main" id="{2A6C32D4-F31D-8BA1-2CEA-0C8A2A5915E8}"/>
              </a:ext>
            </a:extLst>
          </xdr:cNvPr>
          <xdr:cNvSpPr txBox="1"/>
        </xdr:nvSpPr>
        <xdr:spPr>
          <a:xfrm>
            <a:off x="551656" y="3468206"/>
            <a:ext cx="1800389" cy="58766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Emissões (kgCO2e)</a:t>
            </a:r>
          </a:p>
        </xdr:txBody>
      </xdr:sp>
      <xdr:sp macro="" textlink="'Dados Dashboard'!B44">
        <xdr:nvSpPr>
          <xdr:cNvPr id="21" name="CaixaDeTexto 20">
            <a:extLst>
              <a:ext uri="{FF2B5EF4-FFF2-40B4-BE49-F238E27FC236}">
                <a16:creationId xmlns:a16="http://schemas.microsoft.com/office/drawing/2014/main" id="{44F4BA41-0C66-4BBC-8DA9-3F35619CA702}"/>
              </a:ext>
            </a:extLst>
          </xdr:cNvPr>
          <xdr:cNvSpPr txBox="1"/>
        </xdr:nvSpPr>
        <xdr:spPr>
          <a:xfrm>
            <a:off x="2416629" y="3472102"/>
            <a:ext cx="1440000" cy="579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EB2EFB-4B5B-439D-9BB1-81270C6D55BF}" type="TxLink">
              <a:rPr lang="en-US" sz="1400" b="1" i="0" u="none" strike="noStrike">
                <a:solidFill>
                  <a:srgbClr val="000000"/>
                </a:solidFill>
                <a:latin typeface="Calibri"/>
                <a:ea typeface="Calibri"/>
                <a:cs typeface="Calibri"/>
              </a:rPr>
              <a:pPr algn="ctr"/>
              <a:t> 3.968,26 </a:t>
            </a:fld>
            <a:endParaRPr lang="en-US" sz="2400" b="1"/>
          </a:p>
        </xdr:txBody>
      </xdr:sp>
      <xdr:sp macro="" textlink="">
        <xdr:nvSpPr>
          <xdr:cNvPr id="22" name="CaixaDeTexto 21">
            <a:extLst>
              <a:ext uri="{FF2B5EF4-FFF2-40B4-BE49-F238E27FC236}">
                <a16:creationId xmlns:a16="http://schemas.microsoft.com/office/drawing/2014/main" id="{9C597C90-E74F-464D-AAA3-8F38637BEA64}"/>
              </a:ext>
            </a:extLst>
          </xdr:cNvPr>
          <xdr:cNvSpPr txBox="1"/>
        </xdr:nvSpPr>
        <xdr:spPr>
          <a:xfrm>
            <a:off x="3923216" y="3468647"/>
            <a:ext cx="2056919" cy="58678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Distância Percorrida</a:t>
            </a:r>
            <a:r>
              <a:rPr lang="pt-BR" sz="1400" baseline="0"/>
              <a:t> </a:t>
            </a:r>
            <a:r>
              <a:rPr lang="pt-BR" sz="1400"/>
              <a:t>(km)</a:t>
            </a:r>
          </a:p>
        </xdr:txBody>
      </xdr:sp>
      <xdr:sp macro="" textlink="'Dados Dashboard'!B43">
        <xdr:nvSpPr>
          <xdr:cNvPr id="23" name="CaixaDeTexto 22">
            <a:extLst>
              <a:ext uri="{FF2B5EF4-FFF2-40B4-BE49-F238E27FC236}">
                <a16:creationId xmlns:a16="http://schemas.microsoft.com/office/drawing/2014/main" id="{8F4F2ECF-1037-49E1-8AA9-957EA6C7837A}"/>
              </a:ext>
            </a:extLst>
          </xdr:cNvPr>
          <xdr:cNvSpPr txBox="1"/>
        </xdr:nvSpPr>
        <xdr:spPr>
          <a:xfrm>
            <a:off x="6029519" y="3468647"/>
            <a:ext cx="1696918" cy="58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E5D65-8FA4-49DE-A34D-5D8621AA7EDD}" type="TxLink">
              <a:rPr lang="en-US" sz="1400" b="1" i="0" u="none" strike="noStrike">
                <a:solidFill>
                  <a:srgbClr val="000000"/>
                </a:solidFill>
                <a:latin typeface="Calibri"/>
                <a:ea typeface="Calibri"/>
                <a:cs typeface="Calibri"/>
              </a:rPr>
              <a:pPr algn="ctr"/>
              <a:t> 21.700,00 </a:t>
            </a:fld>
            <a:endParaRPr lang="en-US" sz="2400" b="1"/>
          </a:p>
        </xdr:txBody>
      </xdr:sp>
      <xdr:sp macro="" textlink="">
        <xdr:nvSpPr>
          <xdr:cNvPr id="25" name="CaixaDeTexto 24">
            <a:extLst>
              <a:ext uri="{FF2B5EF4-FFF2-40B4-BE49-F238E27FC236}">
                <a16:creationId xmlns:a16="http://schemas.microsoft.com/office/drawing/2014/main" id="{4B8E3048-239E-40B2-AC25-6EC27C1CB2A2}"/>
              </a:ext>
            </a:extLst>
          </xdr:cNvPr>
          <xdr:cNvSpPr txBox="1"/>
        </xdr:nvSpPr>
        <xdr:spPr>
          <a:xfrm>
            <a:off x="7816014" y="3468206"/>
            <a:ext cx="2160000" cy="58766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Custo com passagens (R$)</a:t>
            </a:r>
          </a:p>
        </xdr:txBody>
      </xdr:sp>
      <xdr:sp macro="" textlink="'Dados Dashboard'!S43">
        <xdr:nvSpPr>
          <xdr:cNvPr id="26" name="CaixaDeTexto 25">
            <a:extLst>
              <a:ext uri="{FF2B5EF4-FFF2-40B4-BE49-F238E27FC236}">
                <a16:creationId xmlns:a16="http://schemas.microsoft.com/office/drawing/2014/main" id="{2BC8F096-925B-42DA-8AD1-39CAFE66F92A}"/>
              </a:ext>
            </a:extLst>
          </xdr:cNvPr>
          <xdr:cNvSpPr txBox="1"/>
        </xdr:nvSpPr>
        <xdr:spPr>
          <a:xfrm>
            <a:off x="10043231" y="3472102"/>
            <a:ext cx="1667713" cy="579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31751D-EC83-40A1-B7EE-E67297ADBDA2}" type="TxLink">
              <a:rPr lang="en-US" sz="1400" b="1" i="0" u="none" strike="noStrike">
                <a:solidFill>
                  <a:srgbClr val="000000"/>
                </a:solidFill>
                <a:latin typeface="Calibri"/>
                <a:ea typeface="Calibri"/>
                <a:cs typeface="Calibri"/>
              </a:rPr>
              <a:pPr marL="0" indent="0" algn="ctr"/>
              <a:t>R$ 16.509,04</a:t>
            </a:fld>
            <a:endParaRPr lang="en-US" sz="1400" b="1" i="0" u="none" strike="noStrike">
              <a:solidFill>
                <a:srgbClr val="000000"/>
              </a:solidFill>
              <a:latin typeface="Calibri"/>
              <a:ea typeface="Calibri"/>
              <a:cs typeface="Calibri"/>
            </a:endParaRPr>
          </a:p>
        </xdr:txBody>
      </xdr:sp>
      <xdr:sp macro="" textlink="">
        <xdr:nvSpPr>
          <xdr:cNvPr id="27" name="CaixaDeTexto 26">
            <a:extLst>
              <a:ext uri="{FF2B5EF4-FFF2-40B4-BE49-F238E27FC236}">
                <a16:creationId xmlns:a16="http://schemas.microsoft.com/office/drawing/2014/main" id="{40B727CF-FAEE-4938-8CA8-3D3B4C21E7A7}"/>
              </a:ext>
            </a:extLst>
          </xdr:cNvPr>
          <xdr:cNvSpPr txBox="1"/>
        </xdr:nvSpPr>
        <xdr:spPr>
          <a:xfrm>
            <a:off x="3923216" y="4095158"/>
            <a:ext cx="2056919" cy="58678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Distância média</a:t>
            </a:r>
            <a:r>
              <a:rPr lang="pt-BR" sz="1400" baseline="0"/>
              <a:t> por viagem</a:t>
            </a:r>
            <a:r>
              <a:rPr lang="pt-BR" sz="1400"/>
              <a:t> (km/trip)</a:t>
            </a:r>
          </a:p>
        </xdr:txBody>
      </xdr:sp>
      <xdr:sp macro="" textlink="'Dados Dashboard'!I46">
        <xdr:nvSpPr>
          <xdr:cNvPr id="28" name="CaixaDeTexto 27">
            <a:extLst>
              <a:ext uri="{FF2B5EF4-FFF2-40B4-BE49-F238E27FC236}">
                <a16:creationId xmlns:a16="http://schemas.microsoft.com/office/drawing/2014/main" id="{B55D635E-588A-476F-8DDE-C44913852F76}"/>
              </a:ext>
            </a:extLst>
          </xdr:cNvPr>
          <xdr:cNvSpPr txBox="1"/>
        </xdr:nvSpPr>
        <xdr:spPr>
          <a:xfrm>
            <a:off x="6029519" y="4095893"/>
            <a:ext cx="1696918" cy="58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F1EC30-1A95-4483-86CF-511B17E1F65C}" type="TxLink">
              <a:rPr lang="en-US" sz="1400" b="1" i="0" u="none" strike="noStrike">
                <a:solidFill>
                  <a:srgbClr val="000000"/>
                </a:solidFill>
                <a:latin typeface="Calibri"/>
                <a:ea typeface="Calibri"/>
                <a:cs typeface="Calibri"/>
              </a:rPr>
              <a:pPr algn="ctr"/>
              <a:t> 3.100,00 </a:t>
            </a:fld>
            <a:endParaRPr lang="en-US" sz="2400" b="1"/>
          </a:p>
        </xdr:txBody>
      </xdr:sp>
      <xdr:sp macro="" textlink="">
        <xdr:nvSpPr>
          <xdr:cNvPr id="29" name="CaixaDeTexto 28">
            <a:extLst>
              <a:ext uri="{FF2B5EF4-FFF2-40B4-BE49-F238E27FC236}">
                <a16:creationId xmlns:a16="http://schemas.microsoft.com/office/drawing/2014/main" id="{13EA4C96-1B86-4B6D-BD67-15AEB5ABCD8F}"/>
              </a:ext>
            </a:extLst>
          </xdr:cNvPr>
          <xdr:cNvSpPr txBox="1"/>
        </xdr:nvSpPr>
        <xdr:spPr>
          <a:xfrm>
            <a:off x="551656" y="4110330"/>
            <a:ext cx="1800389" cy="58766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Emissão</a:t>
            </a:r>
            <a:r>
              <a:rPr lang="pt-BR" sz="1400" baseline="0"/>
              <a:t> média por viagem</a:t>
            </a:r>
            <a:r>
              <a:rPr lang="pt-BR" sz="1400"/>
              <a:t> (kgCO2e/trip)</a:t>
            </a:r>
          </a:p>
        </xdr:txBody>
      </xdr:sp>
      <xdr:sp macro="" textlink="'Dados Dashboard'!I45">
        <xdr:nvSpPr>
          <xdr:cNvPr id="30" name="CaixaDeTexto 29">
            <a:extLst>
              <a:ext uri="{FF2B5EF4-FFF2-40B4-BE49-F238E27FC236}">
                <a16:creationId xmlns:a16="http://schemas.microsoft.com/office/drawing/2014/main" id="{6D358D16-DE2C-4D43-BBE6-CB1A2C08B35B}"/>
              </a:ext>
            </a:extLst>
          </xdr:cNvPr>
          <xdr:cNvSpPr txBox="1"/>
        </xdr:nvSpPr>
        <xdr:spPr>
          <a:xfrm>
            <a:off x="2416629" y="4110331"/>
            <a:ext cx="1440000" cy="5798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159191-1C4D-47DD-868A-56ED23D64D60}" type="TxLink">
              <a:rPr lang="en-US" sz="1400" b="1" i="0" u="none" strike="noStrike">
                <a:solidFill>
                  <a:srgbClr val="000000"/>
                </a:solidFill>
                <a:latin typeface="Calibri"/>
                <a:ea typeface="Calibri"/>
                <a:cs typeface="Calibri"/>
              </a:rPr>
              <a:pPr algn="ctr"/>
              <a:t> 566,89 </a:t>
            </a:fld>
            <a:endParaRPr lang="en-US" sz="2400" b="1"/>
          </a:p>
        </xdr:txBody>
      </xdr:sp>
      <xdr:sp macro="" textlink="">
        <xdr:nvSpPr>
          <xdr:cNvPr id="31" name="CaixaDeTexto 30">
            <a:extLst>
              <a:ext uri="{FF2B5EF4-FFF2-40B4-BE49-F238E27FC236}">
                <a16:creationId xmlns:a16="http://schemas.microsoft.com/office/drawing/2014/main" id="{A38BF425-5395-4B18-A589-8FA09FD0BDA2}"/>
              </a:ext>
            </a:extLst>
          </xdr:cNvPr>
          <xdr:cNvSpPr txBox="1"/>
        </xdr:nvSpPr>
        <xdr:spPr>
          <a:xfrm>
            <a:off x="7816014" y="4092894"/>
            <a:ext cx="2160000" cy="59188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Outros Custos (R$)</a:t>
            </a:r>
          </a:p>
        </xdr:txBody>
      </xdr:sp>
      <xdr:sp macro="" textlink="'Dados Dashboard'!S44">
        <xdr:nvSpPr>
          <xdr:cNvPr id="32" name="CaixaDeTexto 31">
            <a:extLst>
              <a:ext uri="{FF2B5EF4-FFF2-40B4-BE49-F238E27FC236}">
                <a16:creationId xmlns:a16="http://schemas.microsoft.com/office/drawing/2014/main" id="{6C227CF3-53DE-4629-AB3C-2B710C5D2DA0}"/>
              </a:ext>
            </a:extLst>
          </xdr:cNvPr>
          <xdr:cNvSpPr txBox="1"/>
        </xdr:nvSpPr>
        <xdr:spPr>
          <a:xfrm>
            <a:off x="10043231" y="4101387"/>
            <a:ext cx="1667713" cy="584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E1048E-E464-4F88-90CA-964C9663DA72}" type="TxLink">
              <a:rPr lang="en-US" sz="1400" b="1" i="0" u="none" strike="noStrike">
                <a:solidFill>
                  <a:srgbClr val="000000"/>
                </a:solidFill>
                <a:latin typeface="Calibri"/>
                <a:ea typeface="Calibri"/>
                <a:cs typeface="Calibri"/>
              </a:rPr>
              <a:pPr marL="0" indent="0" algn="ctr"/>
              <a:t>R$ 3.820,07</a:t>
            </a:fld>
            <a:endParaRPr lang="en-US" sz="1400" b="1" i="0" u="none" strike="noStrike">
              <a:solidFill>
                <a:srgbClr val="000000"/>
              </a:solidFill>
              <a:latin typeface="Calibri"/>
              <a:ea typeface="Calibri"/>
              <a:cs typeface="Calibri"/>
            </a:endParaRPr>
          </a:p>
        </xdr:txBody>
      </xdr:sp>
      <xdr:sp macro="" textlink="">
        <xdr:nvSpPr>
          <xdr:cNvPr id="33" name="CaixaDeTexto 32">
            <a:extLst>
              <a:ext uri="{FF2B5EF4-FFF2-40B4-BE49-F238E27FC236}">
                <a16:creationId xmlns:a16="http://schemas.microsoft.com/office/drawing/2014/main" id="{3A4BFCC7-FA66-4E59-BA9A-B8838E2E2F31}"/>
              </a:ext>
            </a:extLst>
          </xdr:cNvPr>
          <xdr:cNvSpPr txBox="1"/>
        </xdr:nvSpPr>
        <xdr:spPr>
          <a:xfrm>
            <a:off x="3923216" y="4722110"/>
            <a:ext cx="2056919" cy="58678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Nº</a:t>
            </a:r>
            <a:r>
              <a:rPr lang="pt-BR" sz="1400" baseline="0"/>
              <a:t> de Viagens</a:t>
            </a:r>
            <a:endParaRPr lang="pt-BR" sz="1400"/>
          </a:p>
        </xdr:txBody>
      </xdr:sp>
      <xdr:sp macro="" textlink="'Dados Dashboard'!I44">
        <xdr:nvSpPr>
          <xdr:cNvPr id="34" name="CaixaDeTexto 33">
            <a:extLst>
              <a:ext uri="{FF2B5EF4-FFF2-40B4-BE49-F238E27FC236}">
                <a16:creationId xmlns:a16="http://schemas.microsoft.com/office/drawing/2014/main" id="{66057337-94AB-48BA-BBC1-C268A65A9208}"/>
              </a:ext>
            </a:extLst>
          </xdr:cNvPr>
          <xdr:cNvSpPr txBox="1"/>
        </xdr:nvSpPr>
        <xdr:spPr>
          <a:xfrm>
            <a:off x="6029519" y="4723580"/>
            <a:ext cx="1696918" cy="58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2AE874-62F4-4259-BB79-925E7971C88F}" type="TxLink">
              <a:rPr lang="en-US" sz="1400" b="1" i="0" u="none" strike="noStrike">
                <a:solidFill>
                  <a:srgbClr val="000000"/>
                </a:solidFill>
                <a:latin typeface="Calibri"/>
                <a:ea typeface="Calibri"/>
                <a:cs typeface="Calibri"/>
              </a:rPr>
              <a:pPr marL="0" indent="0" algn="ctr"/>
              <a:t>7</a:t>
            </a:fld>
            <a:endParaRPr lang="en-US" sz="1800" b="1" i="0" u="none" strike="noStrike">
              <a:solidFill>
                <a:srgbClr val="000000"/>
              </a:solidFill>
              <a:latin typeface="Calibri"/>
              <a:ea typeface="Calibri"/>
              <a:cs typeface="Calibri"/>
            </a:endParaRPr>
          </a:p>
        </xdr:txBody>
      </xdr:sp>
      <xdr:sp macro="" textlink="">
        <xdr:nvSpPr>
          <xdr:cNvPr id="36" name="CaixaDeTexto 35">
            <a:extLst>
              <a:ext uri="{FF2B5EF4-FFF2-40B4-BE49-F238E27FC236}">
                <a16:creationId xmlns:a16="http://schemas.microsoft.com/office/drawing/2014/main" id="{683C66F3-CF05-488A-98FA-737E0BB3654C}"/>
              </a:ext>
            </a:extLst>
          </xdr:cNvPr>
          <xdr:cNvSpPr txBox="1"/>
        </xdr:nvSpPr>
        <xdr:spPr>
          <a:xfrm>
            <a:off x="3923216" y="5979610"/>
            <a:ext cx="2056919" cy="58678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a:solidFill>
                  <a:schemeClr val="dk1"/>
                </a:solidFill>
                <a:latin typeface="+mn-lt"/>
                <a:ea typeface="+mn-ea"/>
                <a:cs typeface="+mn-cs"/>
              </a:rPr>
              <a:t>Taxa de viagens com escala</a:t>
            </a:r>
          </a:p>
        </xdr:txBody>
      </xdr:sp>
      <xdr:sp macro="" textlink="'Dados Dashboard'!O45">
        <xdr:nvSpPr>
          <xdr:cNvPr id="37" name="CaixaDeTexto 36">
            <a:extLst>
              <a:ext uri="{FF2B5EF4-FFF2-40B4-BE49-F238E27FC236}">
                <a16:creationId xmlns:a16="http://schemas.microsoft.com/office/drawing/2014/main" id="{9299228F-920C-4308-92B9-3B6B3F55188C}"/>
              </a:ext>
            </a:extLst>
          </xdr:cNvPr>
          <xdr:cNvSpPr txBox="1"/>
        </xdr:nvSpPr>
        <xdr:spPr>
          <a:xfrm>
            <a:off x="6029519" y="5982547"/>
            <a:ext cx="1696918" cy="58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4F9605-3A12-4E20-B1BA-FCDBD518DE56}" type="TxLink">
              <a:rPr lang="en-US" sz="1400" b="1" i="0" u="none" strike="noStrike">
                <a:solidFill>
                  <a:srgbClr val="000000"/>
                </a:solidFill>
                <a:latin typeface="Calibri"/>
                <a:ea typeface="Calibri"/>
                <a:cs typeface="Calibri"/>
              </a:rPr>
              <a:pPr marL="0" indent="0" algn="ctr"/>
              <a:t>0,00%</a:t>
            </a:fld>
            <a:endParaRPr lang="en-US" sz="1400" b="1" i="0" u="none" strike="noStrike">
              <a:solidFill>
                <a:srgbClr val="000000"/>
              </a:solidFill>
              <a:latin typeface="Calibri"/>
              <a:ea typeface="Calibri"/>
              <a:cs typeface="Calibri"/>
            </a:endParaRPr>
          </a:p>
        </xdr:txBody>
      </xdr:sp>
      <xdr:sp macro="" textlink="">
        <xdr:nvSpPr>
          <xdr:cNvPr id="38" name="CaixaDeTexto 37">
            <a:extLst>
              <a:ext uri="{FF2B5EF4-FFF2-40B4-BE49-F238E27FC236}">
                <a16:creationId xmlns:a16="http://schemas.microsoft.com/office/drawing/2014/main" id="{42B41658-6E47-48DA-B4EA-7E8AB6026F3A}"/>
              </a:ext>
            </a:extLst>
          </xdr:cNvPr>
          <xdr:cNvSpPr txBox="1"/>
        </xdr:nvSpPr>
        <xdr:spPr>
          <a:xfrm>
            <a:off x="3923216" y="5352657"/>
            <a:ext cx="2056919" cy="58678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400">
                <a:solidFill>
                  <a:schemeClr val="dk1"/>
                </a:solidFill>
                <a:latin typeface="+mn-lt"/>
                <a:ea typeface="+mn-ea"/>
                <a:cs typeface="+mn-cs"/>
              </a:rPr>
              <a:t>Taxa de viagens em classe econômica</a:t>
            </a:r>
          </a:p>
        </xdr:txBody>
      </xdr:sp>
      <xdr:sp macro="" textlink="'Dados Dashboard'!V44">
        <xdr:nvSpPr>
          <xdr:cNvPr id="39" name="CaixaDeTexto 38">
            <a:extLst>
              <a:ext uri="{FF2B5EF4-FFF2-40B4-BE49-F238E27FC236}">
                <a16:creationId xmlns:a16="http://schemas.microsoft.com/office/drawing/2014/main" id="{99B34200-7A8B-41B0-9FA4-395ECC2D8A81}"/>
              </a:ext>
            </a:extLst>
          </xdr:cNvPr>
          <xdr:cNvSpPr txBox="1"/>
        </xdr:nvSpPr>
        <xdr:spPr>
          <a:xfrm>
            <a:off x="6029519" y="5354862"/>
            <a:ext cx="1696918" cy="586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50CDAE-FE3D-4C1F-BBF6-79DB8DC310AF}" type="TxLink">
              <a:rPr lang="en-US" sz="1400" b="1" i="0" u="none" strike="noStrike">
                <a:solidFill>
                  <a:srgbClr val="000000"/>
                </a:solidFill>
                <a:latin typeface="Calibri"/>
                <a:ea typeface="Calibri"/>
                <a:cs typeface="Calibri"/>
              </a:rPr>
              <a:pPr marL="0" indent="0" algn="ctr"/>
              <a:t>100%</a:t>
            </a:fld>
            <a:endParaRPr lang="en-US" sz="1400" b="1" i="0" u="none" strike="noStrike">
              <a:solidFill>
                <a:srgbClr val="000000"/>
              </a:solidFill>
              <a:latin typeface="Calibri"/>
              <a:ea typeface="Calibri"/>
              <a:cs typeface="Calibri"/>
            </a:endParaRPr>
          </a:p>
        </xdr:txBody>
      </xdr:sp>
      <xdr:sp macro="" textlink="">
        <xdr:nvSpPr>
          <xdr:cNvPr id="54" name="CaixaDeTexto 53">
            <a:extLst>
              <a:ext uri="{FF2B5EF4-FFF2-40B4-BE49-F238E27FC236}">
                <a16:creationId xmlns:a16="http://schemas.microsoft.com/office/drawing/2014/main" id="{60438077-81A6-41FD-95FE-8FB215233976}"/>
              </a:ext>
            </a:extLst>
          </xdr:cNvPr>
          <xdr:cNvSpPr txBox="1"/>
        </xdr:nvSpPr>
        <xdr:spPr>
          <a:xfrm>
            <a:off x="7819329" y="4739269"/>
            <a:ext cx="2160000" cy="596528"/>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Custo médio por viagem (R$/trip)</a:t>
            </a:r>
          </a:p>
        </xdr:txBody>
      </xdr:sp>
      <xdr:sp macro="" textlink="'Dados Dashboard'!S45">
        <xdr:nvSpPr>
          <xdr:cNvPr id="55" name="CaixaDeTexto 54">
            <a:extLst>
              <a:ext uri="{FF2B5EF4-FFF2-40B4-BE49-F238E27FC236}">
                <a16:creationId xmlns:a16="http://schemas.microsoft.com/office/drawing/2014/main" id="{67C1ED15-C348-41B9-AC74-C6D044C5CED0}"/>
              </a:ext>
            </a:extLst>
          </xdr:cNvPr>
          <xdr:cNvSpPr txBox="1"/>
        </xdr:nvSpPr>
        <xdr:spPr>
          <a:xfrm>
            <a:off x="10046546" y="4747762"/>
            <a:ext cx="1667713" cy="5887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9A30FF-145C-45B5-A76B-3A798EA09752}" type="TxLink">
              <a:rPr lang="en-US" sz="1400" b="1" i="0" u="none" strike="noStrike">
                <a:solidFill>
                  <a:srgbClr val="000000"/>
                </a:solidFill>
                <a:latin typeface="Calibri"/>
                <a:ea typeface="Calibri"/>
                <a:cs typeface="Calibri"/>
              </a:rPr>
              <a:pPr marL="0" indent="0" algn="ctr"/>
              <a:t>R$ 2.904,16</a:t>
            </a:fld>
            <a:endParaRPr lang="en-US" sz="1400" b="1" i="0" u="none" strike="noStrike">
              <a:solidFill>
                <a:srgbClr val="000000"/>
              </a:solidFill>
              <a:latin typeface="Calibri"/>
              <a:ea typeface="Calibri"/>
              <a:cs typeface="Calibri"/>
            </a:endParaRPr>
          </a:p>
        </xdr:txBody>
      </xdr:sp>
    </xdr:grpSp>
    <xdr:clientData/>
  </xdr:twoCellAnchor>
  <xdr:twoCellAnchor editAs="oneCell">
    <xdr:from>
      <xdr:col>9</xdr:col>
      <xdr:colOff>133350</xdr:colOff>
      <xdr:row>44</xdr:row>
      <xdr:rowOff>308700</xdr:rowOff>
    </xdr:from>
    <xdr:to>
      <xdr:col>11</xdr:col>
      <xdr:colOff>2896426</xdr:colOff>
      <xdr:row>45</xdr:row>
      <xdr:rowOff>0</xdr:rowOff>
    </xdr:to>
    <mc:AlternateContent xmlns:mc="http://schemas.openxmlformats.org/markup-compatibility/2006" xmlns:a14="http://schemas.microsoft.com/office/drawing/2010/main">
      <mc:Choice Requires="a14">
        <xdr:graphicFrame macro="">
          <xdr:nvGraphicFramePr>
            <xdr:cNvPr id="11" name="Vínculo Institucional ">
              <a:extLst>
                <a:ext uri="{FF2B5EF4-FFF2-40B4-BE49-F238E27FC236}">
                  <a16:creationId xmlns:a16="http://schemas.microsoft.com/office/drawing/2014/main" id="{76C7AC9A-F9B9-43C0-B54B-9D013277B73E}"/>
                </a:ext>
              </a:extLst>
            </xdr:cNvPr>
            <xdr:cNvGraphicFramePr/>
          </xdr:nvGraphicFramePr>
          <xdr:xfrm>
            <a:off x="0" y="0"/>
            <a:ext cx="0" cy="0"/>
          </xdr:xfrm>
          <a:graphic>
            <a:graphicData uri="http://schemas.microsoft.com/office/drawing/2010/slicer">
              <sle:slicer xmlns:sle="http://schemas.microsoft.com/office/drawing/2010/slicer" name="Vínculo Institucional "/>
            </a:graphicData>
          </a:graphic>
        </xdr:graphicFrame>
      </mc:Choice>
      <mc:Fallback xmlns="">
        <xdr:sp macro="" textlink="">
          <xdr:nvSpPr>
            <xdr:cNvPr id="0" name=""/>
            <xdr:cNvSpPr>
              <a:spLocks noTextEdit="1"/>
            </xdr:cNvSpPr>
          </xdr:nvSpPr>
          <xdr:spPr>
            <a:xfrm>
              <a:off x="26365200" y="11491050"/>
              <a:ext cx="8897176" cy="720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10</xdr:col>
      <xdr:colOff>334876</xdr:colOff>
      <xdr:row>42</xdr:row>
      <xdr:rowOff>31750</xdr:rowOff>
    </xdr:from>
    <xdr:to>
      <xdr:col>11</xdr:col>
      <xdr:colOff>2896426</xdr:colOff>
      <xdr:row>43</xdr:row>
      <xdr:rowOff>561250</xdr:rowOff>
    </xdr:to>
    <mc:AlternateContent xmlns:mc="http://schemas.openxmlformats.org/markup-compatibility/2006" xmlns:a14="http://schemas.microsoft.com/office/drawing/2010/main">
      <mc:Choice Requires="a14">
        <xdr:graphicFrame macro="">
          <xdr:nvGraphicFramePr>
            <xdr:cNvPr id="61" name="Dias de viagem2">
              <a:extLst>
                <a:ext uri="{FF2B5EF4-FFF2-40B4-BE49-F238E27FC236}">
                  <a16:creationId xmlns:a16="http://schemas.microsoft.com/office/drawing/2014/main" id="{97C9BE1B-93F4-4DC1-9619-71B1151C85CF}"/>
                </a:ext>
              </a:extLst>
            </xdr:cNvPr>
            <xdr:cNvGraphicFramePr/>
          </xdr:nvGraphicFramePr>
          <xdr:xfrm>
            <a:off x="0" y="0"/>
            <a:ext cx="0" cy="0"/>
          </xdr:xfrm>
          <a:graphic>
            <a:graphicData uri="http://schemas.microsoft.com/office/drawing/2010/slicer">
              <sle:slicer xmlns:sle="http://schemas.microsoft.com/office/drawing/2010/slicer" name="Dias de viagem2"/>
            </a:graphicData>
          </a:graphic>
        </xdr:graphicFrame>
      </mc:Choice>
      <mc:Fallback xmlns="">
        <xdr:sp macro="" textlink="">
          <xdr:nvSpPr>
            <xdr:cNvPr id="0" name=""/>
            <xdr:cNvSpPr>
              <a:spLocks noTextEdit="1"/>
            </xdr:cNvSpPr>
          </xdr:nvSpPr>
          <xdr:spPr>
            <a:xfrm>
              <a:off x="29633776" y="9937750"/>
              <a:ext cx="5628600" cy="720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10</xdr:col>
      <xdr:colOff>2163450</xdr:colOff>
      <xdr:row>38</xdr:row>
      <xdr:rowOff>57150</xdr:rowOff>
    </xdr:from>
    <xdr:to>
      <xdr:col>11</xdr:col>
      <xdr:colOff>2896426</xdr:colOff>
      <xdr:row>42</xdr:row>
      <xdr:rowOff>15150</xdr:rowOff>
    </xdr:to>
    <mc:AlternateContent xmlns:mc="http://schemas.openxmlformats.org/markup-compatibility/2006" xmlns:a14="http://schemas.microsoft.com/office/drawing/2010/main">
      <mc:Choice Requires="a14">
        <xdr:graphicFrame macro="">
          <xdr:nvGraphicFramePr>
            <xdr:cNvPr id="63" name="Viagem Urgente sem justificativa">
              <a:extLst>
                <a:ext uri="{FF2B5EF4-FFF2-40B4-BE49-F238E27FC236}">
                  <a16:creationId xmlns:a16="http://schemas.microsoft.com/office/drawing/2014/main" id="{236A8508-8DB2-45B6-A6DA-18ACDC20C75F}"/>
                </a:ext>
              </a:extLst>
            </xdr:cNvPr>
            <xdr:cNvGraphicFramePr/>
          </xdr:nvGraphicFramePr>
          <xdr:xfrm>
            <a:off x="0" y="0"/>
            <a:ext cx="0" cy="0"/>
          </xdr:xfrm>
          <a:graphic>
            <a:graphicData uri="http://schemas.microsoft.com/office/drawing/2010/slicer">
              <sle:slicer xmlns:sle="http://schemas.microsoft.com/office/drawing/2010/slicer" name="Viagem Urgente sem justificativa"/>
            </a:graphicData>
          </a:graphic>
        </xdr:graphicFrame>
      </mc:Choice>
      <mc:Fallback xmlns="">
        <xdr:sp macro="" textlink="">
          <xdr:nvSpPr>
            <xdr:cNvPr id="0" name=""/>
            <xdr:cNvSpPr>
              <a:spLocks noTextEdit="1"/>
            </xdr:cNvSpPr>
          </xdr:nvSpPr>
          <xdr:spPr>
            <a:xfrm>
              <a:off x="31462350" y="9201150"/>
              <a:ext cx="3800026" cy="720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9</xdr:col>
      <xdr:colOff>1241926</xdr:colOff>
      <xdr:row>43</xdr:row>
      <xdr:rowOff>590550</xdr:rowOff>
    </xdr:from>
    <xdr:to>
      <xdr:col>11</xdr:col>
      <xdr:colOff>2896426</xdr:colOff>
      <xdr:row>44</xdr:row>
      <xdr:rowOff>224700</xdr:rowOff>
    </xdr:to>
    <mc:AlternateContent xmlns:mc="http://schemas.openxmlformats.org/markup-compatibility/2006" xmlns:a14="http://schemas.microsoft.com/office/drawing/2010/main">
      <mc:Choice Requires="a14">
        <xdr:graphicFrame macro="">
          <xdr:nvGraphicFramePr>
            <xdr:cNvPr id="65" name="dsh, dmh ou dlh">
              <a:extLst>
                <a:ext uri="{FF2B5EF4-FFF2-40B4-BE49-F238E27FC236}">
                  <a16:creationId xmlns:a16="http://schemas.microsoft.com/office/drawing/2014/main" id="{843C0558-97C5-45F2-9A86-0E39796A4886}"/>
                </a:ext>
              </a:extLst>
            </xdr:cNvPr>
            <xdr:cNvGraphicFramePr/>
          </xdr:nvGraphicFramePr>
          <xdr:xfrm>
            <a:off x="0" y="0"/>
            <a:ext cx="0" cy="0"/>
          </xdr:xfrm>
          <a:graphic>
            <a:graphicData uri="http://schemas.microsoft.com/office/drawing/2010/slicer">
              <sle:slicer xmlns:sle="http://schemas.microsoft.com/office/drawing/2010/slicer" name="dsh, dmh ou dlh"/>
            </a:graphicData>
          </a:graphic>
        </xdr:graphicFrame>
      </mc:Choice>
      <mc:Fallback xmlns="">
        <xdr:sp macro="" textlink="">
          <xdr:nvSpPr>
            <xdr:cNvPr id="0" name=""/>
            <xdr:cNvSpPr>
              <a:spLocks noTextEdit="1"/>
            </xdr:cNvSpPr>
          </xdr:nvSpPr>
          <xdr:spPr>
            <a:xfrm>
              <a:off x="27473776" y="10687050"/>
              <a:ext cx="7788600" cy="7200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Local\Estudos\Mestrado\Disserta&#231;&#227;o\03%20-%20Dados\Artigo%203\Modelo\data\Portal%20da%20Transpar&#234;ncia\CodTrechos.xlsx" TargetMode="External"/><Relationship Id="rId1" Type="http://schemas.openxmlformats.org/officeDocument/2006/relationships/externalLinkPath" Target="/Local/Estudos/Mestrado/Disserta&#231;&#227;o/03%20-%20Dados/Artigo%203/Modelo/data/Portal%20da%20Transpar&#234;ncia/CodTrech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ocal/Estudos/Mestrado/Disserta&#231;&#227;o/03%20-%20Dados/Artigo%203/Modelo/data/Portal%20da%20Transpar&#234;ncia/baseli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D_Cidades"/>
      <sheetName val="GCD base"/>
      <sheetName val="CodTrechos"/>
    </sheetNames>
    <sheetDataSet>
      <sheetData sheetId="0">
        <row r="1">
          <cell r="A1" t="str">
            <v>nome</v>
          </cell>
          <cell r="B1" t="str">
            <v>id_cidade</v>
          </cell>
          <cell r="C1" t="str">
            <v>LATITUDE</v>
          </cell>
          <cell r="D1" t="str">
            <v>LONGITUDE</v>
          </cell>
        </row>
        <row r="2">
          <cell r="A2" t="str">
            <v>18 de Julio</v>
          </cell>
          <cell r="B2">
            <v>314362</v>
          </cell>
          <cell r="C2">
            <v>-33.684687959999998</v>
          </cell>
          <cell r="D2">
            <v>-53.558255109999998</v>
          </cell>
        </row>
        <row r="3">
          <cell r="A3" t="str">
            <v>Abadia de Goiás</v>
          </cell>
          <cell r="B3">
            <v>302606</v>
          </cell>
          <cell r="C3">
            <v>-16.762059709999999</v>
          </cell>
          <cell r="D3">
            <v>-49.438353530000001</v>
          </cell>
        </row>
        <row r="4">
          <cell r="A4" t="str">
            <v>Abadia dos Dourados</v>
          </cell>
          <cell r="B4">
            <v>304944</v>
          </cell>
          <cell r="C4">
            <v>-18.483286530000001</v>
          </cell>
          <cell r="D4">
            <v>-47.392466880000001</v>
          </cell>
        </row>
        <row r="5">
          <cell r="A5" t="str">
            <v>Abadiânia</v>
          </cell>
          <cell r="B5">
            <v>302814</v>
          </cell>
          <cell r="C5">
            <v>-16.197422629999998</v>
          </cell>
          <cell r="D5">
            <v>-48.70606634</v>
          </cell>
        </row>
        <row r="6">
          <cell r="A6" t="str">
            <v>Abaeté</v>
          </cell>
          <cell r="B6">
            <v>303004</v>
          </cell>
          <cell r="C6">
            <v>-19.152154960000001</v>
          </cell>
          <cell r="D6">
            <v>-45.455738789999998</v>
          </cell>
        </row>
        <row r="7">
          <cell r="A7" t="str">
            <v>Abaetetuba</v>
          </cell>
          <cell r="B7">
            <v>301936</v>
          </cell>
          <cell r="C7">
            <v>-1.72220869</v>
          </cell>
          <cell r="D7">
            <v>-48.879222990000002</v>
          </cell>
        </row>
        <row r="8">
          <cell r="A8" t="str">
            <v>Abaí</v>
          </cell>
          <cell r="B8">
            <v>314329</v>
          </cell>
          <cell r="C8">
            <v>-25.997706000000001</v>
          </cell>
          <cell r="D8">
            <v>-55.936002029999997</v>
          </cell>
        </row>
        <row r="9">
          <cell r="A9" t="str">
            <v>Abaiara</v>
          </cell>
          <cell r="B9">
            <v>300837</v>
          </cell>
          <cell r="C9">
            <v>-7.3609455930000003</v>
          </cell>
          <cell r="D9">
            <v>-39.048497240000003</v>
          </cell>
        </row>
        <row r="10">
          <cell r="A10" t="str">
            <v>Abaíra</v>
          </cell>
          <cell r="B10">
            <v>300957</v>
          </cell>
          <cell r="C10">
            <v>-13.250724030000001</v>
          </cell>
          <cell r="D10">
            <v>-41.664714500000002</v>
          </cell>
        </row>
        <row r="11">
          <cell r="A11" t="str">
            <v>Abaré</v>
          </cell>
          <cell r="B11">
            <v>301294</v>
          </cell>
          <cell r="C11">
            <v>-8.7237544410000005</v>
          </cell>
          <cell r="D11">
            <v>-39.114550440000002</v>
          </cell>
        </row>
        <row r="12">
          <cell r="A12" t="str">
            <v>Abatiá</v>
          </cell>
          <cell r="B12">
            <v>303961</v>
          </cell>
          <cell r="C12">
            <v>-23.303988789999998</v>
          </cell>
          <cell r="D12">
            <v>-50.312946789999998</v>
          </cell>
        </row>
        <row r="13">
          <cell r="A13" t="str">
            <v>Abdon Batista</v>
          </cell>
          <cell r="B13">
            <v>305136</v>
          </cell>
          <cell r="C13">
            <v>-27.613104660000001</v>
          </cell>
          <cell r="D13">
            <v>-51.023717529999999</v>
          </cell>
        </row>
        <row r="14">
          <cell r="A14" t="str">
            <v>Abel Figueiredo</v>
          </cell>
          <cell r="B14">
            <v>302578</v>
          </cell>
          <cell r="C14">
            <v>-4.9537255939999998</v>
          </cell>
          <cell r="D14">
            <v>-48.3936633</v>
          </cell>
        </row>
        <row r="15">
          <cell r="A15" t="str">
            <v>Abelardo Luz</v>
          </cell>
          <cell r="B15">
            <v>305113</v>
          </cell>
          <cell r="C15">
            <v>-26.572055519999999</v>
          </cell>
          <cell r="D15">
            <v>-52.323327689999999</v>
          </cell>
        </row>
        <row r="16">
          <cell r="A16" t="str">
            <v>Abre Campo</v>
          </cell>
          <cell r="B16">
            <v>302736</v>
          </cell>
          <cell r="C16">
            <v>-20.300124719999999</v>
          </cell>
          <cell r="D16">
            <v>-42.474665450000003</v>
          </cell>
        </row>
        <row r="17">
          <cell r="A17" t="str">
            <v>Abreu e Lima</v>
          </cell>
          <cell r="B17">
            <v>300471</v>
          </cell>
          <cell r="C17">
            <v>-7.9038486350000001</v>
          </cell>
          <cell r="D17">
            <v>-34.907285659999999</v>
          </cell>
        </row>
        <row r="18">
          <cell r="A18" t="str">
            <v>Abreulândia</v>
          </cell>
          <cell r="B18">
            <v>302241</v>
          </cell>
          <cell r="C18">
            <v>-9.6222214400000006</v>
          </cell>
          <cell r="D18">
            <v>-49.156505199999998</v>
          </cell>
        </row>
        <row r="19">
          <cell r="A19" t="str">
            <v>Acahay</v>
          </cell>
          <cell r="B19">
            <v>314480</v>
          </cell>
          <cell r="C19">
            <v>-25.90792214</v>
          </cell>
          <cell r="D19">
            <v>-57.085952149999997</v>
          </cell>
        </row>
        <row r="20">
          <cell r="A20" t="str">
            <v>Acaiaca</v>
          </cell>
          <cell r="B20">
            <v>302832</v>
          </cell>
          <cell r="C20">
            <v>-20.35951055</v>
          </cell>
          <cell r="D20">
            <v>-43.14423334</v>
          </cell>
        </row>
        <row r="21">
          <cell r="A21" t="str">
            <v>Açailândia</v>
          </cell>
          <cell r="B21">
            <v>301962</v>
          </cell>
          <cell r="C21">
            <v>-4.9475360669999997</v>
          </cell>
          <cell r="D21">
            <v>-47.500755830000003</v>
          </cell>
        </row>
        <row r="22">
          <cell r="A22" t="str">
            <v>Acajutiba</v>
          </cell>
          <cell r="B22">
            <v>301368</v>
          </cell>
          <cell r="C22">
            <v>-11.65796602</v>
          </cell>
          <cell r="D22">
            <v>-38.020051760000001</v>
          </cell>
        </row>
        <row r="23">
          <cell r="A23" t="str">
            <v>Acará</v>
          </cell>
          <cell r="B23">
            <v>301919</v>
          </cell>
          <cell r="C23">
            <v>-1.959697851</v>
          </cell>
          <cell r="D23">
            <v>-48.200109130000001</v>
          </cell>
        </row>
        <row r="24">
          <cell r="A24" t="str">
            <v>Acarape</v>
          </cell>
          <cell r="B24">
            <v>300739</v>
          </cell>
          <cell r="C24">
            <v>-4.2212290020000003</v>
          </cell>
          <cell r="D24">
            <v>-38.705846020000003</v>
          </cell>
        </row>
        <row r="25">
          <cell r="A25" t="str">
            <v>Acaraú</v>
          </cell>
          <cell r="B25">
            <v>300698</v>
          </cell>
          <cell r="C25">
            <v>-2.8880789249999999</v>
          </cell>
          <cell r="D25">
            <v>-40.118629480000003</v>
          </cell>
        </row>
        <row r="26">
          <cell r="A26" t="str">
            <v>Acari</v>
          </cell>
          <cell r="B26">
            <v>300645</v>
          </cell>
          <cell r="C26">
            <v>-6.435330596</v>
          </cell>
          <cell r="D26">
            <v>-36.640863719999999</v>
          </cell>
        </row>
        <row r="27">
          <cell r="A27" t="str">
            <v>Acauã</v>
          </cell>
          <cell r="B27">
            <v>301063</v>
          </cell>
          <cell r="C27">
            <v>-8.2176298110000001</v>
          </cell>
          <cell r="D27">
            <v>-41.082104469999997</v>
          </cell>
        </row>
        <row r="28">
          <cell r="A28" t="str">
            <v>Aceguá</v>
          </cell>
          <cell r="B28">
            <v>300941</v>
          </cell>
          <cell r="C28">
            <v>-31.86695538</v>
          </cell>
          <cell r="D28">
            <v>-54.161948959999997</v>
          </cell>
        </row>
        <row r="29">
          <cell r="A29" t="str">
            <v>Acopiara</v>
          </cell>
          <cell r="B29">
            <v>300926</v>
          </cell>
          <cell r="C29">
            <v>-6.0895243570000002</v>
          </cell>
          <cell r="D29">
            <v>-39.448362199999998</v>
          </cell>
        </row>
        <row r="30">
          <cell r="A30" t="str">
            <v>Acorizal</v>
          </cell>
          <cell r="B30">
            <v>304649</v>
          </cell>
          <cell r="C30">
            <v>-15.194456629999999</v>
          </cell>
          <cell r="D30">
            <v>-56.363662490000003</v>
          </cell>
        </row>
        <row r="31">
          <cell r="A31" t="str">
            <v>Acrelândia</v>
          </cell>
          <cell r="B31">
            <v>304331</v>
          </cell>
          <cell r="C31">
            <v>-9.8320018489999992</v>
          </cell>
          <cell r="D31">
            <v>-66.902116930000005</v>
          </cell>
        </row>
        <row r="32">
          <cell r="A32" t="str">
            <v>Acreúna</v>
          </cell>
          <cell r="B32">
            <v>304335</v>
          </cell>
          <cell r="C32">
            <v>-17.396440739999999</v>
          </cell>
          <cell r="D32">
            <v>-50.375310169999999</v>
          </cell>
        </row>
        <row r="33">
          <cell r="A33" t="str">
            <v>Açu</v>
          </cell>
          <cell r="B33">
            <v>300542</v>
          </cell>
          <cell r="C33">
            <v>-5.5783950759999996</v>
          </cell>
          <cell r="D33">
            <v>-36.911470039999998</v>
          </cell>
        </row>
        <row r="34">
          <cell r="A34" t="str">
            <v>Açucena</v>
          </cell>
          <cell r="B34">
            <v>303054</v>
          </cell>
          <cell r="C34">
            <v>-19.067271340000001</v>
          </cell>
          <cell r="D34">
            <v>-42.549517430000002</v>
          </cell>
        </row>
        <row r="35">
          <cell r="A35" t="str">
            <v>Adamantina</v>
          </cell>
          <cell r="B35">
            <v>304481</v>
          </cell>
          <cell r="C35">
            <v>-21.682474500000001</v>
          </cell>
          <cell r="D35">
            <v>-51.074117409999999</v>
          </cell>
        </row>
        <row r="36">
          <cell r="A36" t="str">
            <v>Adelândia</v>
          </cell>
          <cell r="B36">
            <v>302618</v>
          </cell>
          <cell r="C36">
            <v>-16.41653762</v>
          </cell>
          <cell r="D36">
            <v>-50.168315700000001</v>
          </cell>
        </row>
        <row r="37">
          <cell r="A37" t="str">
            <v>Adolfo</v>
          </cell>
          <cell r="B37">
            <v>303857</v>
          </cell>
          <cell r="C37">
            <v>-21.232958830000001</v>
          </cell>
          <cell r="D37">
            <v>-49.645540099999998</v>
          </cell>
        </row>
        <row r="38">
          <cell r="A38" t="str">
            <v>Adrianópolis</v>
          </cell>
          <cell r="B38">
            <v>304957</v>
          </cell>
          <cell r="C38">
            <v>-24.661083040000001</v>
          </cell>
          <cell r="D38">
            <v>-48.99258244</v>
          </cell>
        </row>
        <row r="39">
          <cell r="A39" t="str">
            <v>Adustina</v>
          </cell>
          <cell r="B39">
            <v>301301</v>
          </cell>
          <cell r="C39">
            <v>-10.53565083</v>
          </cell>
          <cell r="D39">
            <v>-38.115800819999997</v>
          </cell>
        </row>
        <row r="40">
          <cell r="A40" t="str">
            <v>Afogados da Ingazeira</v>
          </cell>
          <cell r="B40">
            <v>300788</v>
          </cell>
          <cell r="C40">
            <v>-7.7512233449999997</v>
          </cell>
          <cell r="D40">
            <v>-37.636678439999997</v>
          </cell>
        </row>
        <row r="41">
          <cell r="A41" t="str">
            <v>Afonso Bezerra</v>
          </cell>
          <cell r="B41">
            <v>300520</v>
          </cell>
          <cell r="C41">
            <v>-5.4927022030000003</v>
          </cell>
          <cell r="D41">
            <v>-36.507767770000001</v>
          </cell>
        </row>
        <row r="42">
          <cell r="A42" t="str">
            <v>Afonso Cláudio</v>
          </cell>
          <cell r="B42">
            <v>302545</v>
          </cell>
          <cell r="C42">
            <v>-20.078320569999999</v>
          </cell>
          <cell r="D42">
            <v>-41.126411230000002</v>
          </cell>
        </row>
        <row r="43">
          <cell r="A43" t="str">
            <v>Afonso Cunha</v>
          </cell>
          <cell r="B43">
            <v>301658</v>
          </cell>
          <cell r="C43">
            <v>-4.131876493</v>
          </cell>
          <cell r="D43">
            <v>-43.325152060000001</v>
          </cell>
        </row>
        <row r="44">
          <cell r="A44" t="str">
            <v>Afrânio</v>
          </cell>
          <cell r="B44">
            <v>301433</v>
          </cell>
          <cell r="C44">
            <v>-8.5117814959999993</v>
          </cell>
          <cell r="D44">
            <v>-41.009876859999999</v>
          </cell>
        </row>
        <row r="45">
          <cell r="A45" t="str">
            <v>Afuá</v>
          </cell>
          <cell r="B45">
            <v>304666</v>
          </cell>
          <cell r="C45">
            <v>-0.155245669</v>
          </cell>
          <cell r="D45">
            <v>-50.386518729999999</v>
          </cell>
        </row>
        <row r="46">
          <cell r="A46" t="str">
            <v>Agrestina</v>
          </cell>
          <cell r="B46">
            <v>301111</v>
          </cell>
          <cell r="C46">
            <v>-8.4600842800000002</v>
          </cell>
          <cell r="D46">
            <v>-35.945021500000003</v>
          </cell>
        </row>
        <row r="47">
          <cell r="A47" t="str">
            <v>Agricolândia</v>
          </cell>
          <cell r="B47">
            <v>301793</v>
          </cell>
          <cell r="C47">
            <v>-5.797960164</v>
          </cell>
          <cell r="D47">
            <v>-42.658492389999999</v>
          </cell>
        </row>
        <row r="48">
          <cell r="A48" t="str">
            <v>Agrolândia</v>
          </cell>
          <cell r="B48">
            <v>304094</v>
          </cell>
          <cell r="C48">
            <v>-27.40916503</v>
          </cell>
          <cell r="D48">
            <v>-49.822482860000001</v>
          </cell>
        </row>
        <row r="49">
          <cell r="A49" t="str">
            <v>Agronômica</v>
          </cell>
          <cell r="B49">
            <v>304085</v>
          </cell>
          <cell r="C49">
            <v>-27.266634079999999</v>
          </cell>
          <cell r="D49">
            <v>-49.708428550000001</v>
          </cell>
        </row>
        <row r="50">
          <cell r="A50" t="str">
            <v>Água Azul do Norte</v>
          </cell>
          <cell r="B50">
            <v>304153</v>
          </cell>
          <cell r="C50">
            <v>-6.8054629630000001</v>
          </cell>
          <cell r="D50">
            <v>-50.484965320000001</v>
          </cell>
        </row>
        <row r="51">
          <cell r="A51" t="str">
            <v>Água Boa</v>
          </cell>
          <cell r="B51">
            <v>303031</v>
          </cell>
          <cell r="C51">
            <v>-17.991841560000001</v>
          </cell>
          <cell r="D51">
            <v>-42.381003800000002</v>
          </cell>
        </row>
        <row r="52">
          <cell r="A52" t="str">
            <v>Água Boa</v>
          </cell>
          <cell r="B52">
            <v>304539</v>
          </cell>
          <cell r="C52">
            <v>-14.051454420000001</v>
          </cell>
          <cell r="D52">
            <v>-52.160544080000001</v>
          </cell>
        </row>
        <row r="53">
          <cell r="A53" t="str">
            <v>Água Branca</v>
          </cell>
          <cell r="B53">
            <v>301792</v>
          </cell>
          <cell r="C53">
            <v>-5.8918587420000001</v>
          </cell>
          <cell r="D53">
            <v>-42.63407342</v>
          </cell>
        </row>
        <row r="54">
          <cell r="A54" t="str">
            <v>Água Branca</v>
          </cell>
          <cell r="B54">
            <v>300785</v>
          </cell>
          <cell r="C54">
            <v>-7.5118612340000004</v>
          </cell>
          <cell r="D54">
            <v>-37.636011189999998</v>
          </cell>
        </row>
        <row r="55">
          <cell r="A55" t="str">
            <v>Água Branca</v>
          </cell>
          <cell r="B55">
            <v>301271</v>
          </cell>
          <cell r="C55">
            <v>-9.2624269249999998</v>
          </cell>
          <cell r="D55">
            <v>-37.938300099999999</v>
          </cell>
        </row>
        <row r="56">
          <cell r="A56" t="str">
            <v>Água Clara</v>
          </cell>
          <cell r="B56">
            <v>305734</v>
          </cell>
          <cell r="C56">
            <v>-20.44569955</v>
          </cell>
          <cell r="D56">
            <v>-52.879419769999998</v>
          </cell>
        </row>
        <row r="57">
          <cell r="A57" t="str">
            <v>Água Comprida</v>
          </cell>
          <cell r="B57">
            <v>303352</v>
          </cell>
          <cell r="C57">
            <v>-20.058034660000001</v>
          </cell>
          <cell r="D57">
            <v>-48.107278229999999</v>
          </cell>
        </row>
        <row r="58">
          <cell r="A58" t="str">
            <v>Água Doce</v>
          </cell>
          <cell r="B58">
            <v>305099</v>
          </cell>
          <cell r="C58">
            <v>-26.99892578</v>
          </cell>
          <cell r="D58">
            <v>-51.553255499999999</v>
          </cell>
        </row>
        <row r="59">
          <cell r="A59" t="str">
            <v>Água Doce do Maranhão</v>
          </cell>
          <cell r="B59">
            <v>303204</v>
          </cell>
          <cell r="C59">
            <v>-2.8408680450000001</v>
          </cell>
          <cell r="D59">
            <v>-42.119240159999997</v>
          </cell>
        </row>
        <row r="60">
          <cell r="A60" t="str">
            <v>Água Doce do Norte</v>
          </cell>
          <cell r="B60">
            <v>302492</v>
          </cell>
          <cell r="C60">
            <v>-18.548693480000001</v>
          </cell>
          <cell r="D60">
            <v>-40.985757960000001</v>
          </cell>
        </row>
        <row r="61">
          <cell r="A61" t="str">
            <v>Água Fria</v>
          </cell>
          <cell r="B61">
            <v>301376</v>
          </cell>
          <cell r="C61">
            <v>-11.862280309999999</v>
          </cell>
          <cell r="D61">
            <v>-38.764183389999999</v>
          </cell>
        </row>
        <row r="62">
          <cell r="A62" t="str">
            <v>Água Fria de Goiás</v>
          </cell>
          <cell r="B62">
            <v>302773</v>
          </cell>
          <cell r="C62">
            <v>-14.98139082</v>
          </cell>
          <cell r="D62">
            <v>-47.782670439999997</v>
          </cell>
        </row>
        <row r="63">
          <cell r="A63" t="str">
            <v>Água Limpa</v>
          </cell>
          <cell r="B63">
            <v>303367</v>
          </cell>
          <cell r="C63">
            <v>-18.079706550000001</v>
          </cell>
          <cell r="D63">
            <v>-48.764302979999997</v>
          </cell>
        </row>
        <row r="64">
          <cell r="A64" t="str">
            <v>Água Nova</v>
          </cell>
          <cell r="B64">
            <v>300898</v>
          </cell>
          <cell r="C64">
            <v>-6.2039257450000003</v>
          </cell>
          <cell r="D64">
            <v>-38.294452079999999</v>
          </cell>
        </row>
        <row r="65">
          <cell r="A65" t="str">
            <v>Água Preta</v>
          </cell>
          <cell r="B65">
            <v>301088</v>
          </cell>
          <cell r="C65">
            <v>-8.7065241140000005</v>
          </cell>
          <cell r="D65">
            <v>-35.526604589999998</v>
          </cell>
        </row>
        <row r="66">
          <cell r="A66" t="str">
            <v>Água Santa</v>
          </cell>
          <cell r="B66">
            <v>305164</v>
          </cell>
          <cell r="C66">
            <v>-28.167702420000001</v>
          </cell>
          <cell r="D66">
            <v>-52.031455280000003</v>
          </cell>
        </row>
        <row r="67">
          <cell r="A67" t="str">
            <v>Aguaí</v>
          </cell>
          <cell r="B67">
            <v>303638</v>
          </cell>
          <cell r="C67">
            <v>-22.057680820000002</v>
          </cell>
          <cell r="D67">
            <v>-46.973899080000002</v>
          </cell>
        </row>
        <row r="68">
          <cell r="A68" t="str">
            <v>Aguanil</v>
          </cell>
          <cell r="B68">
            <v>303240</v>
          </cell>
          <cell r="C68">
            <v>-20.944415800000002</v>
          </cell>
          <cell r="D68">
            <v>-45.391839400000002</v>
          </cell>
        </row>
        <row r="69">
          <cell r="A69" t="str">
            <v>Águas Belas</v>
          </cell>
          <cell r="B69">
            <v>302553</v>
          </cell>
          <cell r="C69">
            <v>-9.1116852789999996</v>
          </cell>
          <cell r="D69">
            <v>-37.122924699999999</v>
          </cell>
        </row>
        <row r="70">
          <cell r="A70" t="str">
            <v>Águas da Prata</v>
          </cell>
          <cell r="B70">
            <v>303525</v>
          </cell>
          <cell r="C70">
            <v>-21.932409029999999</v>
          </cell>
          <cell r="D70">
            <v>-46.718017019999998</v>
          </cell>
        </row>
        <row r="71">
          <cell r="A71" t="str">
            <v>Águas de Chapecó</v>
          </cell>
          <cell r="B71">
            <v>305312</v>
          </cell>
          <cell r="C71">
            <v>-27.07589338</v>
          </cell>
          <cell r="D71">
            <v>-52.981296759999999</v>
          </cell>
        </row>
        <row r="72">
          <cell r="A72" t="str">
            <v>Águas de Lindóia</v>
          </cell>
          <cell r="B72">
            <v>303543</v>
          </cell>
          <cell r="C72">
            <v>-22.473780959999999</v>
          </cell>
          <cell r="D72">
            <v>-46.63183695</v>
          </cell>
        </row>
        <row r="73">
          <cell r="A73" t="str">
            <v>Águas de Santa Bárbara</v>
          </cell>
          <cell r="B73">
            <v>303849</v>
          </cell>
          <cell r="C73">
            <v>-22.881656570000001</v>
          </cell>
          <cell r="D73">
            <v>-49.24254741</v>
          </cell>
        </row>
        <row r="74">
          <cell r="A74" t="str">
            <v>Águas de São Pedro</v>
          </cell>
          <cell r="B74">
            <v>303921</v>
          </cell>
          <cell r="C74">
            <v>-22.59822226</v>
          </cell>
          <cell r="D74">
            <v>-47.87379962</v>
          </cell>
        </row>
        <row r="75">
          <cell r="A75" t="str">
            <v>Águas Formosas</v>
          </cell>
          <cell r="B75">
            <v>302478</v>
          </cell>
          <cell r="C75">
            <v>-17.080677130000002</v>
          </cell>
          <cell r="D75">
            <v>-40.938698799999997</v>
          </cell>
        </row>
        <row r="76">
          <cell r="A76" t="str">
            <v>Águas Frias</v>
          </cell>
          <cell r="B76">
            <v>305296</v>
          </cell>
          <cell r="C76">
            <v>-26.87984642</v>
          </cell>
          <cell r="D76">
            <v>-52.857224209999998</v>
          </cell>
        </row>
        <row r="77">
          <cell r="A77" t="str">
            <v>Águas Lindas de Goiás</v>
          </cell>
          <cell r="B77">
            <v>302811</v>
          </cell>
          <cell r="C77">
            <v>-15.741410610000001</v>
          </cell>
          <cell r="D77">
            <v>-48.259732870000001</v>
          </cell>
        </row>
        <row r="78">
          <cell r="A78" t="str">
            <v>Águas Mornas</v>
          </cell>
          <cell r="B78">
            <v>304056</v>
          </cell>
          <cell r="C78">
            <v>-27.696808740000002</v>
          </cell>
          <cell r="D78">
            <v>-48.824775289999998</v>
          </cell>
        </row>
        <row r="79">
          <cell r="A79" t="str">
            <v>Águas Vermelhas</v>
          </cell>
          <cell r="B79">
            <v>301634</v>
          </cell>
          <cell r="C79">
            <v>-15.74661276</v>
          </cell>
          <cell r="D79">
            <v>-41.458352470000001</v>
          </cell>
        </row>
        <row r="80">
          <cell r="A80" t="str">
            <v>Aguaytia</v>
          </cell>
          <cell r="B80">
            <v>314514</v>
          </cell>
          <cell r="C80">
            <v>-9.0279700379999994</v>
          </cell>
          <cell r="D80">
            <v>-75.520663679999998</v>
          </cell>
        </row>
        <row r="81">
          <cell r="A81" t="str">
            <v>Agudo</v>
          </cell>
          <cell r="B81">
            <v>305695</v>
          </cell>
          <cell r="C81">
            <v>-29.645215610000001</v>
          </cell>
          <cell r="D81">
            <v>-53.251923509999997</v>
          </cell>
        </row>
        <row r="82">
          <cell r="A82" t="str">
            <v>Agudos</v>
          </cell>
          <cell r="B82">
            <v>303843</v>
          </cell>
          <cell r="C82">
            <v>-22.46990306</v>
          </cell>
          <cell r="D82">
            <v>-48.986731519999999</v>
          </cell>
        </row>
        <row r="83">
          <cell r="A83" t="str">
            <v>Agudos do Sul</v>
          </cell>
          <cell r="B83">
            <v>304040</v>
          </cell>
          <cell r="C83">
            <v>-25.99037835</v>
          </cell>
          <cell r="D83">
            <v>-49.33471831</v>
          </cell>
        </row>
        <row r="84">
          <cell r="A84" t="str">
            <v>Águia Branca</v>
          </cell>
          <cell r="B84">
            <v>302501</v>
          </cell>
          <cell r="C84">
            <v>-18.985063790000002</v>
          </cell>
          <cell r="D84">
            <v>-40.744036100000002</v>
          </cell>
        </row>
        <row r="85">
          <cell r="A85" t="str">
            <v>Aguiar</v>
          </cell>
          <cell r="B85">
            <v>300984</v>
          </cell>
          <cell r="C85">
            <v>-7.0922193030000003</v>
          </cell>
          <cell r="D85">
            <v>-38.168370729999999</v>
          </cell>
        </row>
        <row r="86">
          <cell r="A86" t="str">
            <v>Aguiarnópolis</v>
          </cell>
          <cell r="B86">
            <v>302002</v>
          </cell>
          <cell r="C86">
            <v>-6.5600688810000003</v>
          </cell>
          <cell r="D86">
            <v>-47.477094530000002</v>
          </cell>
        </row>
        <row r="87">
          <cell r="A87" t="str">
            <v>Aija</v>
          </cell>
          <cell r="B87">
            <v>314425</v>
          </cell>
          <cell r="C87">
            <v>-9.7766777929999993</v>
          </cell>
          <cell r="D87">
            <v>-77.601960460000001</v>
          </cell>
        </row>
        <row r="88">
          <cell r="A88" t="str">
            <v>Aimorés</v>
          </cell>
          <cell r="B88">
            <v>302532</v>
          </cell>
          <cell r="C88">
            <v>-19.501161320000001</v>
          </cell>
          <cell r="D88">
            <v>-41.075000590000002</v>
          </cell>
        </row>
        <row r="89">
          <cell r="A89" t="str">
            <v>Aiquara</v>
          </cell>
          <cell r="B89">
            <v>301561</v>
          </cell>
          <cell r="C89">
            <v>-14.12737271</v>
          </cell>
          <cell r="D89">
            <v>-39.893984469999999</v>
          </cell>
        </row>
        <row r="90">
          <cell r="A90" t="str">
            <v>Aiuaba</v>
          </cell>
          <cell r="B90">
            <v>301013</v>
          </cell>
          <cell r="C90">
            <v>-6.5692971340000001</v>
          </cell>
          <cell r="D90">
            <v>-40.121781130000002</v>
          </cell>
        </row>
        <row r="91">
          <cell r="A91" t="str">
            <v>Aiuruoca</v>
          </cell>
          <cell r="B91">
            <v>303172</v>
          </cell>
          <cell r="C91">
            <v>-21.97408716</v>
          </cell>
          <cell r="D91">
            <v>-44.604592650000001</v>
          </cell>
        </row>
        <row r="92">
          <cell r="A92" t="str">
            <v>Ajuricaba</v>
          </cell>
          <cell r="B92">
            <v>305433</v>
          </cell>
          <cell r="C92">
            <v>-28.2389832</v>
          </cell>
          <cell r="D92">
            <v>-53.770939149999997</v>
          </cell>
        </row>
        <row r="93">
          <cell r="A93" t="str">
            <v>Alagoa</v>
          </cell>
          <cell r="B93">
            <v>303603</v>
          </cell>
          <cell r="C93">
            <v>-22.17145575</v>
          </cell>
          <cell r="D93">
            <v>-44.641725440000002</v>
          </cell>
        </row>
        <row r="94">
          <cell r="A94" t="str">
            <v>Alagoa Grande</v>
          </cell>
          <cell r="B94">
            <v>300465</v>
          </cell>
          <cell r="C94">
            <v>-7.0411263020000003</v>
          </cell>
          <cell r="D94">
            <v>-35.627114669999997</v>
          </cell>
        </row>
        <row r="95">
          <cell r="A95" t="str">
            <v>Alagoa Nova</v>
          </cell>
          <cell r="B95">
            <v>300576</v>
          </cell>
          <cell r="C95">
            <v>-7.0607679450000003</v>
          </cell>
          <cell r="D95">
            <v>-35.763878099999999</v>
          </cell>
        </row>
        <row r="96">
          <cell r="A96" t="str">
            <v>Alagoinha</v>
          </cell>
          <cell r="B96">
            <v>301193</v>
          </cell>
          <cell r="C96">
            <v>-8.4669306829999993</v>
          </cell>
          <cell r="D96">
            <v>-36.779069649999997</v>
          </cell>
        </row>
        <row r="97">
          <cell r="A97" t="str">
            <v>Alagoinha</v>
          </cell>
          <cell r="B97">
            <v>300463</v>
          </cell>
          <cell r="C97">
            <v>-6.9473892709999996</v>
          </cell>
          <cell r="D97">
            <v>-35.533787439999998</v>
          </cell>
        </row>
        <row r="98">
          <cell r="A98" t="str">
            <v>Alagoinha do Piauí</v>
          </cell>
          <cell r="B98">
            <v>301033</v>
          </cell>
          <cell r="C98">
            <v>-7.0087329939999998</v>
          </cell>
          <cell r="D98">
            <v>-40.937044319999998</v>
          </cell>
        </row>
        <row r="99">
          <cell r="A99" t="str">
            <v>Alagoinhas</v>
          </cell>
          <cell r="B99">
            <v>301378</v>
          </cell>
          <cell r="C99">
            <v>-12.133972180000001</v>
          </cell>
          <cell r="D99">
            <v>-38.421090220000004</v>
          </cell>
        </row>
        <row r="100">
          <cell r="A100" t="str">
            <v>Alambari</v>
          </cell>
          <cell r="B100">
            <v>303779</v>
          </cell>
          <cell r="C100">
            <v>-23.550813980000001</v>
          </cell>
          <cell r="D100">
            <v>-47.898378639999997</v>
          </cell>
        </row>
        <row r="101">
          <cell r="A101" t="str">
            <v>Alberdi</v>
          </cell>
          <cell r="B101">
            <v>314388</v>
          </cell>
          <cell r="C101">
            <v>-26.20526327</v>
          </cell>
          <cell r="D101">
            <v>-58.083894809999997</v>
          </cell>
        </row>
        <row r="102">
          <cell r="A102" t="str">
            <v>Albertina</v>
          </cell>
          <cell r="B102">
            <v>303540</v>
          </cell>
          <cell r="C102">
            <v>-22.202250150000001</v>
          </cell>
          <cell r="D102">
            <v>-46.614307070000002</v>
          </cell>
        </row>
        <row r="103">
          <cell r="A103" t="str">
            <v>Alcântara</v>
          </cell>
          <cell r="B103">
            <v>301676</v>
          </cell>
          <cell r="C103">
            <v>-2.4066879910000001</v>
          </cell>
          <cell r="D103">
            <v>-44.418461780000001</v>
          </cell>
        </row>
        <row r="104">
          <cell r="A104" t="str">
            <v>Alcântaras</v>
          </cell>
          <cell r="B104">
            <v>301331</v>
          </cell>
          <cell r="C104">
            <v>-3.5837877360000001</v>
          </cell>
          <cell r="D104">
            <v>-40.543561320000002</v>
          </cell>
        </row>
        <row r="105">
          <cell r="A105" t="str">
            <v>Alcantil</v>
          </cell>
          <cell r="B105">
            <v>301324</v>
          </cell>
          <cell r="C105">
            <v>-7.7371037319999996</v>
          </cell>
          <cell r="D105">
            <v>-36.051379760000003</v>
          </cell>
        </row>
        <row r="106">
          <cell r="A106" t="str">
            <v>Alcinópolis</v>
          </cell>
          <cell r="B106">
            <v>305733</v>
          </cell>
          <cell r="C106">
            <v>-18.32599257</v>
          </cell>
          <cell r="D106">
            <v>-53.704651990000002</v>
          </cell>
        </row>
        <row r="107">
          <cell r="A107" t="str">
            <v>Alcobaça</v>
          </cell>
          <cell r="B107">
            <v>302413</v>
          </cell>
          <cell r="C107">
            <v>-17.519940049999999</v>
          </cell>
          <cell r="D107">
            <v>-39.20394099</v>
          </cell>
        </row>
        <row r="108">
          <cell r="A108" t="str">
            <v>Aldeias Altas</v>
          </cell>
          <cell r="B108">
            <v>301802</v>
          </cell>
          <cell r="C108">
            <v>-4.6266123720000003</v>
          </cell>
          <cell r="D108">
            <v>-43.469277869999999</v>
          </cell>
        </row>
        <row r="109">
          <cell r="A109" t="str">
            <v>Alecrim</v>
          </cell>
          <cell r="B109">
            <v>305721</v>
          </cell>
          <cell r="C109">
            <v>-27.65832048</v>
          </cell>
          <cell r="D109">
            <v>-54.765315000000001</v>
          </cell>
        </row>
        <row r="110">
          <cell r="A110" t="str">
            <v>Alegre</v>
          </cell>
          <cell r="B110">
            <v>302675</v>
          </cell>
          <cell r="C110">
            <v>-20.75852244</v>
          </cell>
          <cell r="D110">
            <v>-41.538592780000002</v>
          </cell>
        </row>
        <row r="111">
          <cell r="A111" t="str">
            <v>Alegrete</v>
          </cell>
          <cell r="B111">
            <v>305827</v>
          </cell>
          <cell r="C111">
            <v>-29.78909955</v>
          </cell>
          <cell r="D111">
            <v>-55.80249671</v>
          </cell>
        </row>
        <row r="112">
          <cell r="A112" t="str">
            <v>Alegrete do Piauí</v>
          </cell>
          <cell r="B112">
            <v>301466</v>
          </cell>
          <cell r="C112">
            <v>-7.2423803219999998</v>
          </cell>
          <cell r="D112">
            <v>-40.856917789999997</v>
          </cell>
        </row>
        <row r="113">
          <cell r="A113" t="str">
            <v>Alegria</v>
          </cell>
          <cell r="B113">
            <v>305445</v>
          </cell>
          <cell r="C113">
            <v>-27.834934130000001</v>
          </cell>
          <cell r="D113">
            <v>-54.056194480000002</v>
          </cell>
        </row>
        <row r="114">
          <cell r="A114" t="str">
            <v>Além Paraíba</v>
          </cell>
          <cell r="B114">
            <v>304406</v>
          </cell>
          <cell r="C114">
            <v>-21.880186569999999</v>
          </cell>
          <cell r="D114">
            <v>-42.717954579999997</v>
          </cell>
        </row>
        <row r="115">
          <cell r="A115" t="str">
            <v>Alenquer</v>
          </cell>
          <cell r="B115">
            <v>304159</v>
          </cell>
          <cell r="C115">
            <v>-1.9466095670000001</v>
          </cell>
          <cell r="D115">
            <v>-54.738768139999998</v>
          </cell>
        </row>
        <row r="116">
          <cell r="A116" t="str">
            <v>Alexandria</v>
          </cell>
          <cell r="B116">
            <v>300933</v>
          </cell>
          <cell r="C116">
            <v>-6.4057481669999996</v>
          </cell>
          <cell r="D116">
            <v>-38.014540189999998</v>
          </cell>
        </row>
        <row r="117">
          <cell r="A117" t="str">
            <v>Alexânia</v>
          </cell>
          <cell r="B117">
            <v>302813</v>
          </cell>
          <cell r="C117">
            <v>-16.08385457</v>
          </cell>
          <cell r="D117">
            <v>-48.508001870000001</v>
          </cell>
        </row>
        <row r="118">
          <cell r="A118" t="str">
            <v>Alfenas</v>
          </cell>
          <cell r="B118">
            <v>303232</v>
          </cell>
          <cell r="C118">
            <v>-21.426103189999999</v>
          </cell>
          <cell r="D118">
            <v>-45.948115440000002</v>
          </cell>
        </row>
        <row r="119">
          <cell r="A119" t="str">
            <v>Alfredo Chaves</v>
          </cell>
          <cell r="B119">
            <v>302521</v>
          </cell>
          <cell r="C119">
            <v>-20.64010957</v>
          </cell>
          <cell r="D119">
            <v>-40.754638780000001</v>
          </cell>
        </row>
        <row r="120">
          <cell r="A120" t="str">
            <v>Alfredo Marcondes</v>
          </cell>
          <cell r="B120">
            <v>304794</v>
          </cell>
          <cell r="C120">
            <v>-21.953162370000001</v>
          </cell>
          <cell r="D120">
            <v>-51.414381300000002</v>
          </cell>
        </row>
        <row r="121">
          <cell r="A121" t="str">
            <v>Alfredo Vasconcelos</v>
          </cell>
          <cell r="B121">
            <v>303118</v>
          </cell>
          <cell r="C121">
            <v>-21.153999150000001</v>
          </cell>
          <cell r="D121">
            <v>-43.772139699999997</v>
          </cell>
        </row>
        <row r="122">
          <cell r="A122" t="str">
            <v>Alfredo Wagner</v>
          </cell>
          <cell r="B122">
            <v>304082</v>
          </cell>
          <cell r="C122">
            <v>-27.700578180000001</v>
          </cell>
          <cell r="D122">
            <v>-49.327777699999999</v>
          </cell>
        </row>
        <row r="123">
          <cell r="A123" t="str">
            <v>Algodão de Jandaíra</v>
          </cell>
          <cell r="B123">
            <v>300633</v>
          </cell>
          <cell r="C123">
            <v>-6.8994513309999999</v>
          </cell>
          <cell r="D123">
            <v>-36.011258359999999</v>
          </cell>
        </row>
        <row r="124">
          <cell r="A124" t="str">
            <v>Alhandra</v>
          </cell>
          <cell r="B124">
            <v>300676</v>
          </cell>
          <cell r="C124">
            <v>-7.4301915689999998</v>
          </cell>
          <cell r="D124">
            <v>-34.90595004</v>
          </cell>
        </row>
        <row r="125">
          <cell r="A125" t="str">
            <v>Aliança</v>
          </cell>
          <cell r="B125">
            <v>300481</v>
          </cell>
          <cell r="C125">
            <v>-7.6042020319999999</v>
          </cell>
          <cell r="D125">
            <v>-35.229864290000002</v>
          </cell>
        </row>
        <row r="126">
          <cell r="A126" t="str">
            <v>Aliança do Tocantins</v>
          </cell>
          <cell r="B126">
            <v>302288</v>
          </cell>
          <cell r="C126">
            <v>-11.30599409</v>
          </cell>
          <cell r="D126">
            <v>-48.936484640000003</v>
          </cell>
        </row>
        <row r="127">
          <cell r="A127" t="str">
            <v>Almadina</v>
          </cell>
          <cell r="B127">
            <v>301755</v>
          </cell>
          <cell r="C127">
            <v>-14.70932696</v>
          </cell>
          <cell r="D127">
            <v>-39.641821520000001</v>
          </cell>
        </row>
        <row r="128">
          <cell r="A128" t="str">
            <v>Almas</v>
          </cell>
          <cell r="B128">
            <v>302216</v>
          </cell>
          <cell r="C128">
            <v>-11.56780666</v>
          </cell>
          <cell r="D128">
            <v>-47.166206719999998</v>
          </cell>
        </row>
        <row r="129">
          <cell r="A129" t="str">
            <v>Almeirim</v>
          </cell>
          <cell r="B129">
            <v>304974</v>
          </cell>
          <cell r="C129">
            <v>-1.521346879</v>
          </cell>
          <cell r="D129">
            <v>-52.581974350000003</v>
          </cell>
        </row>
        <row r="130">
          <cell r="A130" t="str">
            <v>Almenara</v>
          </cell>
          <cell r="B130">
            <v>301614</v>
          </cell>
          <cell r="C130">
            <v>-16.178922419999999</v>
          </cell>
          <cell r="D130">
            <v>-40.694503449999999</v>
          </cell>
        </row>
        <row r="131">
          <cell r="A131" t="str">
            <v>Almino Afonso</v>
          </cell>
          <cell r="B131">
            <v>300755</v>
          </cell>
          <cell r="C131">
            <v>-6.1479077039999996</v>
          </cell>
          <cell r="D131">
            <v>-37.763882240000001</v>
          </cell>
        </row>
        <row r="132">
          <cell r="A132" t="str">
            <v>Almirante Tamandaré</v>
          </cell>
          <cell r="B132">
            <v>304031</v>
          </cell>
          <cell r="C132">
            <v>-25.319295820000001</v>
          </cell>
          <cell r="D132">
            <v>-49.304155729999998</v>
          </cell>
        </row>
        <row r="133">
          <cell r="A133" t="str">
            <v>Almirante Tamandaré do Sul</v>
          </cell>
          <cell r="B133">
            <v>300397</v>
          </cell>
          <cell r="C133">
            <v>-28.11541338</v>
          </cell>
          <cell r="D133">
            <v>-52.914665759999998</v>
          </cell>
        </row>
        <row r="134">
          <cell r="A134" t="str">
            <v>Aloândia</v>
          </cell>
          <cell r="B134">
            <v>303381</v>
          </cell>
          <cell r="C134">
            <v>-17.72893543</v>
          </cell>
          <cell r="D134">
            <v>-49.48127453</v>
          </cell>
        </row>
        <row r="135">
          <cell r="A135" t="str">
            <v>Alpercata</v>
          </cell>
          <cell r="B135">
            <v>302725</v>
          </cell>
          <cell r="C135">
            <v>-18.97446742</v>
          </cell>
          <cell r="D135">
            <v>-41.970352910000003</v>
          </cell>
        </row>
        <row r="136">
          <cell r="A136" t="str">
            <v>Alpestre</v>
          </cell>
          <cell r="B136">
            <v>305314</v>
          </cell>
          <cell r="C136">
            <v>-27.250628519999999</v>
          </cell>
          <cell r="D136">
            <v>-53.034580800000001</v>
          </cell>
        </row>
        <row r="137">
          <cell r="A137" t="str">
            <v>Alpinópolis</v>
          </cell>
          <cell r="B137">
            <v>303323</v>
          </cell>
          <cell r="C137">
            <v>-20.863530269999998</v>
          </cell>
          <cell r="D137">
            <v>-46.388186949999998</v>
          </cell>
        </row>
        <row r="138">
          <cell r="A138" t="str">
            <v>Alta Floresta</v>
          </cell>
          <cell r="B138">
            <v>304553</v>
          </cell>
          <cell r="C138">
            <v>-9.8671589439999998</v>
          </cell>
          <cell r="D138">
            <v>-56.087130180000003</v>
          </cell>
        </row>
        <row r="139">
          <cell r="A139" t="str">
            <v>Alta Floresta D'Oeste</v>
          </cell>
          <cell r="B139">
            <v>304303</v>
          </cell>
          <cell r="C139">
            <v>-11.928737119999999</v>
          </cell>
          <cell r="D139">
            <v>-61.995799689999998</v>
          </cell>
        </row>
        <row r="140">
          <cell r="A140" t="str">
            <v>Altair</v>
          </cell>
          <cell r="B140">
            <v>303702</v>
          </cell>
          <cell r="C140">
            <v>-20.52399243</v>
          </cell>
          <cell r="D140">
            <v>-49.058949689999999</v>
          </cell>
        </row>
        <row r="141">
          <cell r="A141" t="str">
            <v>Altamira</v>
          </cell>
          <cell r="B141">
            <v>304146</v>
          </cell>
          <cell r="C141">
            <v>-3.204452656</v>
          </cell>
          <cell r="D141">
            <v>-52.21036076</v>
          </cell>
        </row>
        <row r="142">
          <cell r="A142" t="str">
            <v>Altamira do Maranhão</v>
          </cell>
          <cell r="B142">
            <v>303588</v>
          </cell>
          <cell r="C142">
            <v>-4.1663757439999998</v>
          </cell>
          <cell r="D142">
            <v>-45.470975670000001</v>
          </cell>
        </row>
        <row r="143">
          <cell r="A143" t="str">
            <v>Altamira do Paraná</v>
          </cell>
          <cell r="B143">
            <v>305052</v>
          </cell>
          <cell r="C143">
            <v>-24.79875869</v>
          </cell>
          <cell r="D143">
            <v>-52.713271509999998</v>
          </cell>
        </row>
        <row r="144">
          <cell r="A144" t="str">
            <v>Altaneira</v>
          </cell>
          <cell r="B144">
            <v>300834</v>
          </cell>
          <cell r="C144">
            <v>-6.9987870140000004</v>
          </cell>
          <cell r="D144">
            <v>-39.735922360000004</v>
          </cell>
        </row>
        <row r="145">
          <cell r="A145" t="str">
            <v>Alterosa</v>
          </cell>
          <cell r="B145">
            <v>303496</v>
          </cell>
          <cell r="C145">
            <v>-21.249225150000001</v>
          </cell>
          <cell r="D145">
            <v>-46.13905527</v>
          </cell>
        </row>
        <row r="146">
          <cell r="A146" t="str">
            <v>Altinho</v>
          </cell>
          <cell r="B146">
            <v>301113</v>
          </cell>
          <cell r="C146">
            <v>-8.4877932349999998</v>
          </cell>
          <cell r="D146">
            <v>-36.059548759999998</v>
          </cell>
        </row>
        <row r="147">
          <cell r="A147" t="str">
            <v>Altinópolis</v>
          </cell>
          <cell r="B147">
            <v>303653</v>
          </cell>
          <cell r="C147">
            <v>-21.021833529999999</v>
          </cell>
          <cell r="D147">
            <v>-47.371596910000001</v>
          </cell>
        </row>
        <row r="148">
          <cell r="A148" t="str">
            <v>Alto Alegre</v>
          </cell>
          <cell r="B148">
            <v>305397</v>
          </cell>
          <cell r="C148">
            <v>-28.77733722</v>
          </cell>
          <cell r="D148">
            <v>-52.989714960000001</v>
          </cell>
        </row>
        <row r="149">
          <cell r="A149" t="str">
            <v>Alto Alegre</v>
          </cell>
          <cell r="B149">
            <v>305887</v>
          </cell>
          <cell r="C149">
            <v>2.9882224810000002</v>
          </cell>
          <cell r="D149">
            <v>-61.307612450000001</v>
          </cell>
        </row>
        <row r="150">
          <cell r="A150" t="str">
            <v>Alto Alegre</v>
          </cell>
          <cell r="B150">
            <v>303881</v>
          </cell>
          <cell r="C150">
            <v>-21.580991229999999</v>
          </cell>
          <cell r="D150">
            <v>-50.163947659999998</v>
          </cell>
        </row>
        <row r="151">
          <cell r="A151" t="str">
            <v>Alto Alegre do Maranhão</v>
          </cell>
          <cell r="B151">
            <v>301857</v>
          </cell>
          <cell r="C151">
            <v>-4.2133965949999999</v>
          </cell>
          <cell r="D151">
            <v>-44.446353029999997</v>
          </cell>
        </row>
        <row r="152">
          <cell r="A152" t="str">
            <v>Alto Alegre do Pindaré</v>
          </cell>
          <cell r="B152">
            <v>303194</v>
          </cell>
          <cell r="C152">
            <v>-3.6672787140000001</v>
          </cell>
          <cell r="D152">
            <v>-45.842472829999998</v>
          </cell>
        </row>
        <row r="153">
          <cell r="A153" t="str">
            <v>Alto Alegre dos Parecis</v>
          </cell>
          <cell r="B153">
            <v>304291</v>
          </cell>
          <cell r="C153">
            <v>-12.140529949999999</v>
          </cell>
          <cell r="D153">
            <v>-61.837913039999997</v>
          </cell>
        </row>
        <row r="154">
          <cell r="A154" t="str">
            <v>Alto Araguaia</v>
          </cell>
          <cell r="B154">
            <v>304788</v>
          </cell>
          <cell r="C154">
            <v>-17.315768559999999</v>
          </cell>
          <cell r="D154">
            <v>-53.218548810000001</v>
          </cell>
        </row>
        <row r="155">
          <cell r="A155" t="str">
            <v>Alto Bela Vista</v>
          </cell>
          <cell r="B155">
            <v>305585</v>
          </cell>
          <cell r="C155">
            <v>-27.433819499999998</v>
          </cell>
          <cell r="D155">
            <v>-51.904882460000003</v>
          </cell>
        </row>
        <row r="156">
          <cell r="A156" t="str">
            <v>Alto Boa Vista</v>
          </cell>
          <cell r="B156">
            <v>304193</v>
          </cell>
          <cell r="C156">
            <v>-11.672147969999999</v>
          </cell>
          <cell r="D156">
            <v>-51.377590509999997</v>
          </cell>
        </row>
        <row r="157">
          <cell r="A157" t="str">
            <v>Alto Caparaó</v>
          </cell>
          <cell r="B157">
            <v>302673</v>
          </cell>
          <cell r="C157">
            <v>-20.43145947</v>
          </cell>
          <cell r="D157">
            <v>-41.874129439999997</v>
          </cell>
        </row>
        <row r="158">
          <cell r="A158" t="str">
            <v>Alto do Rodrigues</v>
          </cell>
          <cell r="B158">
            <v>300539</v>
          </cell>
          <cell r="C158">
            <v>-5.2930550460000001</v>
          </cell>
          <cell r="D158">
            <v>-36.761643249999999</v>
          </cell>
        </row>
        <row r="159">
          <cell r="A159" t="str">
            <v>Alto Feliz</v>
          </cell>
          <cell r="B159">
            <v>305483</v>
          </cell>
          <cell r="C159">
            <v>-29.380193890000001</v>
          </cell>
          <cell r="D159">
            <v>-51.31352682</v>
          </cell>
        </row>
        <row r="160">
          <cell r="A160" t="str">
            <v>Alto Garças</v>
          </cell>
          <cell r="B160">
            <v>305731</v>
          </cell>
          <cell r="C160">
            <v>-16.946668760000001</v>
          </cell>
          <cell r="D160">
            <v>-53.527633739999999</v>
          </cell>
        </row>
        <row r="161">
          <cell r="A161" t="str">
            <v>Alto Horizonte</v>
          </cell>
          <cell r="B161">
            <v>302797</v>
          </cell>
          <cell r="C161">
            <v>-14.19850226</v>
          </cell>
          <cell r="D161">
            <v>-49.336805140000003</v>
          </cell>
        </row>
        <row r="162">
          <cell r="A162" t="str">
            <v>Alto Jequitibá</v>
          </cell>
          <cell r="B162">
            <v>303569</v>
          </cell>
          <cell r="C162">
            <v>-20.42132423</v>
          </cell>
          <cell r="D162">
            <v>-41.967346089999999</v>
          </cell>
        </row>
        <row r="163">
          <cell r="A163" t="str">
            <v>Alto Longá</v>
          </cell>
          <cell r="B163">
            <v>301783</v>
          </cell>
          <cell r="C163">
            <v>-5.2567447559999998</v>
          </cell>
          <cell r="D163">
            <v>-42.209920769999997</v>
          </cell>
        </row>
        <row r="164">
          <cell r="A164" t="str">
            <v>Alto Paraguai</v>
          </cell>
          <cell r="B164">
            <v>304236</v>
          </cell>
          <cell r="C164">
            <v>-14.51414132</v>
          </cell>
          <cell r="D164">
            <v>-56.478065729999997</v>
          </cell>
        </row>
        <row r="165">
          <cell r="A165" t="str">
            <v>Alto Paraíso</v>
          </cell>
          <cell r="B165">
            <v>304323</v>
          </cell>
          <cell r="C165">
            <v>-9.714698426</v>
          </cell>
          <cell r="D165">
            <v>-63.319293879999996</v>
          </cell>
        </row>
        <row r="166">
          <cell r="A166" t="str">
            <v>Alto Paraíso de Goiás</v>
          </cell>
          <cell r="B166">
            <v>302301</v>
          </cell>
          <cell r="C166">
            <v>-14.13996581</v>
          </cell>
          <cell r="D166">
            <v>-47.517689089999998</v>
          </cell>
        </row>
        <row r="167">
          <cell r="A167" t="str">
            <v>Alto Paraná</v>
          </cell>
          <cell r="B167">
            <v>304807</v>
          </cell>
          <cell r="C167">
            <v>-23.13170998</v>
          </cell>
          <cell r="D167">
            <v>-52.319327469999998</v>
          </cell>
        </row>
        <row r="168">
          <cell r="A168" t="str">
            <v>Alto Parnaíba</v>
          </cell>
          <cell r="B168">
            <v>302073</v>
          </cell>
          <cell r="C168">
            <v>-9.1102738070000004</v>
          </cell>
          <cell r="D168">
            <v>-45.933595619999998</v>
          </cell>
        </row>
        <row r="169">
          <cell r="A169" t="str">
            <v>Alto Piquiri</v>
          </cell>
          <cell r="B169">
            <v>305042</v>
          </cell>
          <cell r="C169">
            <v>-24.022888869999999</v>
          </cell>
          <cell r="D169">
            <v>-53.440489190000001</v>
          </cell>
        </row>
        <row r="170">
          <cell r="A170" t="str">
            <v>Alto Rio Doce</v>
          </cell>
          <cell r="B170">
            <v>303094</v>
          </cell>
          <cell r="C170">
            <v>-21.028600489999999</v>
          </cell>
          <cell r="D170">
            <v>-43.407052810000003</v>
          </cell>
        </row>
        <row r="171">
          <cell r="A171" t="str">
            <v>Alto Rio Novo</v>
          </cell>
          <cell r="B171">
            <v>302525</v>
          </cell>
          <cell r="C171">
            <v>-19.062272589999999</v>
          </cell>
          <cell r="D171">
            <v>-41.02125727</v>
          </cell>
        </row>
        <row r="172">
          <cell r="A172" t="str">
            <v>Alto Santo</v>
          </cell>
          <cell r="B172">
            <v>300975</v>
          </cell>
          <cell r="C172">
            <v>-5.5093484049999999</v>
          </cell>
          <cell r="D172">
            <v>-38.27462955</v>
          </cell>
        </row>
        <row r="173">
          <cell r="A173" t="str">
            <v>Alto Taquari</v>
          </cell>
          <cell r="B173">
            <v>304789</v>
          </cell>
          <cell r="C173">
            <v>-17.830204989999999</v>
          </cell>
          <cell r="D173">
            <v>-53.28242384</v>
          </cell>
        </row>
        <row r="174">
          <cell r="A174" t="str">
            <v>Altônia</v>
          </cell>
          <cell r="B174">
            <v>305761</v>
          </cell>
          <cell r="C174">
            <v>-23.876376230000002</v>
          </cell>
          <cell r="D174">
            <v>-53.896255379999999</v>
          </cell>
        </row>
        <row r="175">
          <cell r="A175" t="str">
            <v>Altos</v>
          </cell>
          <cell r="B175">
            <v>301777</v>
          </cell>
          <cell r="C175">
            <v>-5.0392813280000004</v>
          </cell>
          <cell r="D175">
            <v>-42.461500350000001</v>
          </cell>
        </row>
        <row r="176">
          <cell r="A176" t="str">
            <v>Alumínio</v>
          </cell>
          <cell r="B176">
            <v>303761</v>
          </cell>
          <cell r="C176">
            <v>-23.531030600000001</v>
          </cell>
          <cell r="D176">
            <v>-47.254974269999998</v>
          </cell>
        </row>
        <row r="177">
          <cell r="A177" t="str">
            <v>Alvarães</v>
          </cell>
          <cell r="B177">
            <v>304253</v>
          </cell>
          <cell r="C177">
            <v>-3.2276524050000002</v>
          </cell>
          <cell r="D177">
            <v>-64.801114209999994</v>
          </cell>
        </row>
        <row r="178">
          <cell r="A178" t="str">
            <v>Alvarenga</v>
          </cell>
          <cell r="B178">
            <v>302543</v>
          </cell>
          <cell r="C178">
            <v>-19.417878699999999</v>
          </cell>
          <cell r="D178">
            <v>-41.732094150000002</v>
          </cell>
        </row>
        <row r="179">
          <cell r="A179" t="str">
            <v>Álvares Florence</v>
          </cell>
          <cell r="B179">
            <v>303437</v>
          </cell>
          <cell r="C179">
            <v>-20.32099298</v>
          </cell>
          <cell r="D179">
            <v>-49.910948480000002</v>
          </cell>
        </row>
        <row r="180">
          <cell r="A180" t="str">
            <v>Álvares Machado</v>
          </cell>
          <cell r="B180">
            <v>304686</v>
          </cell>
          <cell r="C180">
            <v>-22.076877549999999</v>
          </cell>
          <cell r="D180">
            <v>-51.472666029999999</v>
          </cell>
        </row>
        <row r="181">
          <cell r="A181" t="str">
            <v>Álvaro de Carvalho</v>
          </cell>
          <cell r="B181">
            <v>303892</v>
          </cell>
          <cell r="C181">
            <v>-22.078978849999999</v>
          </cell>
          <cell r="D181">
            <v>-49.720686260000001</v>
          </cell>
        </row>
        <row r="182">
          <cell r="A182" t="str">
            <v>Alvear</v>
          </cell>
          <cell r="B182">
            <v>314521</v>
          </cell>
          <cell r="C182">
            <v>-29.102026129999999</v>
          </cell>
          <cell r="D182">
            <v>-56.565981999999998</v>
          </cell>
        </row>
        <row r="183">
          <cell r="A183" t="str">
            <v>Alvinlândia</v>
          </cell>
          <cell r="B183">
            <v>303895</v>
          </cell>
          <cell r="C183">
            <v>-22.443948989999999</v>
          </cell>
          <cell r="D183">
            <v>-49.762739430000003</v>
          </cell>
        </row>
        <row r="184">
          <cell r="A184" t="str">
            <v>Alvinópolis</v>
          </cell>
          <cell r="B184">
            <v>302829</v>
          </cell>
          <cell r="C184">
            <v>-20.110246790000001</v>
          </cell>
          <cell r="D184">
            <v>-43.053852120000002</v>
          </cell>
        </row>
        <row r="185">
          <cell r="A185" t="str">
            <v>Alvorada</v>
          </cell>
          <cell r="B185">
            <v>302296</v>
          </cell>
          <cell r="C185">
            <v>-12.47889893</v>
          </cell>
          <cell r="D185">
            <v>-49.125316460000001</v>
          </cell>
        </row>
        <row r="186">
          <cell r="A186" t="str">
            <v>Alvorada</v>
          </cell>
          <cell r="B186">
            <v>305498</v>
          </cell>
          <cell r="C186">
            <v>-29.991880680000001</v>
          </cell>
          <cell r="D186">
            <v>-51.081310080000002</v>
          </cell>
        </row>
        <row r="187">
          <cell r="A187" t="str">
            <v>Alvorada de Minas</v>
          </cell>
          <cell r="B187">
            <v>302719</v>
          </cell>
          <cell r="C187">
            <v>-18.73383175</v>
          </cell>
          <cell r="D187">
            <v>-43.364171229999997</v>
          </cell>
        </row>
        <row r="188">
          <cell r="A188" t="str">
            <v>Alvorada do Gurguéia</v>
          </cell>
          <cell r="B188">
            <v>302060</v>
          </cell>
          <cell r="C188">
            <v>-8.4246035910000003</v>
          </cell>
          <cell r="D188">
            <v>-43.77736754</v>
          </cell>
        </row>
        <row r="189">
          <cell r="A189" t="str">
            <v>Alvorada do Norte</v>
          </cell>
          <cell r="B189">
            <v>302868</v>
          </cell>
          <cell r="C189">
            <v>-14.484441410000001</v>
          </cell>
          <cell r="D189">
            <v>-46.494334389999999</v>
          </cell>
        </row>
        <row r="190">
          <cell r="A190" t="str">
            <v>Alvorada do Sul</v>
          </cell>
          <cell r="B190">
            <v>305740</v>
          </cell>
          <cell r="C190">
            <v>-22.78174705</v>
          </cell>
          <cell r="D190">
            <v>-51.230135679999997</v>
          </cell>
        </row>
        <row r="191">
          <cell r="A191" t="str">
            <v>Alvorada D'Oeste</v>
          </cell>
          <cell r="B191">
            <v>304298</v>
          </cell>
          <cell r="C191">
            <v>-11.34668106</v>
          </cell>
          <cell r="D191">
            <v>-62.285155009999997</v>
          </cell>
        </row>
        <row r="192">
          <cell r="A192" t="str">
            <v>Amajari</v>
          </cell>
          <cell r="B192">
            <v>305886</v>
          </cell>
          <cell r="C192">
            <v>3.6530845830000001</v>
          </cell>
          <cell r="D192">
            <v>-61.41854609</v>
          </cell>
        </row>
        <row r="193">
          <cell r="A193" t="str">
            <v>Amambaí</v>
          </cell>
          <cell r="B193">
            <v>305238</v>
          </cell>
          <cell r="C193">
            <v>-23.10621476</v>
          </cell>
          <cell r="D193">
            <v>-55.225778470000002</v>
          </cell>
        </row>
        <row r="194">
          <cell r="A194" t="str">
            <v>Amapá</v>
          </cell>
          <cell r="B194">
            <v>305895</v>
          </cell>
          <cell r="C194">
            <v>2.0523099880000002</v>
          </cell>
          <cell r="D194">
            <v>-50.796044350000003</v>
          </cell>
        </row>
        <row r="195">
          <cell r="A195" t="str">
            <v>Amapá do Maranhão</v>
          </cell>
          <cell r="B195">
            <v>301808</v>
          </cell>
          <cell r="C195">
            <v>-1.675621773</v>
          </cell>
          <cell r="D195">
            <v>-46.002803810000003</v>
          </cell>
        </row>
        <row r="196">
          <cell r="A196" t="str">
            <v>Amaporã</v>
          </cell>
          <cell r="B196">
            <v>304869</v>
          </cell>
          <cell r="C196">
            <v>-23.094733600000001</v>
          </cell>
          <cell r="D196">
            <v>-52.787034179999999</v>
          </cell>
        </row>
        <row r="197">
          <cell r="A197" t="str">
            <v>Amaraji</v>
          </cell>
          <cell r="B197">
            <v>301354</v>
          </cell>
          <cell r="C197">
            <v>-8.3773411410000005</v>
          </cell>
          <cell r="D197">
            <v>-35.450343770000003</v>
          </cell>
        </row>
        <row r="198">
          <cell r="A198" t="str">
            <v>Amaral Ferrador</v>
          </cell>
          <cell r="B198">
            <v>305544</v>
          </cell>
          <cell r="C198">
            <v>-30.876056859999998</v>
          </cell>
          <cell r="D198">
            <v>-52.251415899999998</v>
          </cell>
        </row>
        <row r="199">
          <cell r="A199" t="str">
            <v>Amaralina</v>
          </cell>
          <cell r="B199">
            <v>302796</v>
          </cell>
          <cell r="C199">
            <v>-13.92790243</v>
          </cell>
          <cell r="D199">
            <v>-49.298299139999997</v>
          </cell>
        </row>
        <row r="200">
          <cell r="A200" t="str">
            <v>Amarante</v>
          </cell>
          <cell r="B200">
            <v>301799</v>
          </cell>
          <cell r="C200">
            <v>-6.244870154</v>
          </cell>
          <cell r="D200">
            <v>-42.850761409999997</v>
          </cell>
        </row>
        <row r="201">
          <cell r="A201" t="str">
            <v>Amarante do Maranhão</v>
          </cell>
          <cell r="B201">
            <v>301954</v>
          </cell>
          <cell r="C201">
            <v>-5.5695328860000002</v>
          </cell>
          <cell r="D201">
            <v>-46.747652510000002</v>
          </cell>
        </row>
        <row r="202">
          <cell r="A202" t="str">
            <v>Amargosa</v>
          </cell>
          <cell r="B202">
            <v>301727</v>
          </cell>
          <cell r="C202">
            <v>-13.031885170000001</v>
          </cell>
          <cell r="D202">
            <v>-39.597234039999996</v>
          </cell>
        </row>
        <row r="203">
          <cell r="A203" t="str">
            <v>Amaturá</v>
          </cell>
          <cell r="B203">
            <v>305846</v>
          </cell>
          <cell r="C203">
            <v>-3.3632054509999998</v>
          </cell>
          <cell r="D203">
            <v>-68.199512130000002</v>
          </cell>
        </row>
        <row r="204">
          <cell r="A204" t="str">
            <v>Ambo</v>
          </cell>
          <cell r="B204">
            <v>314377</v>
          </cell>
          <cell r="C204">
            <v>-10.130271219999999</v>
          </cell>
          <cell r="D204">
            <v>-76.192666889999998</v>
          </cell>
        </row>
        <row r="205">
          <cell r="A205" t="str">
            <v>Amélia Rodrigues</v>
          </cell>
          <cell r="B205">
            <v>301389</v>
          </cell>
          <cell r="C205">
            <v>-12.39757799</v>
          </cell>
          <cell r="D205">
            <v>-38.753525160000002</v>
          </cell>
        </row>
        <row r="206">
          <cell r="A206" t="str">
            <v>América Dourada</v>
          </cell>
          <cell r="B206">
            <v>301493</v>
          </cell>
          <cell r="C206">
            <v>-11.44337702</v>
          </cell>
          <cell r="D206">
            <v>-41.439345840000001</v>
          </cell>
        </row>
        <row r="207">
          <cell r="A207" t="str">
            <v>Americana</v>
          </cell>
          <cell r="B207">
            <v>304584</v>
          </cell>
          <cell r="C207">
            <v>-22.73783504</v>
          </cell>
          <cell r="D207">
            <v>-47.33352043</v>
          </cell>
        </row>
        <row r="208">
          <cell r="A208" t="str">
            <v>Americano do Brasil</v>
          </cell>
          <cell r="B208">
            <v>302612</v>
          </cell>
          <cell r="C208">
            <v>-16.253044719999998</v>
          </cell>
          <cell r="D208">
            <v>-49.979851179999997</v>
          </cell>
        </row>
        <row r="209">
          <cell r="A209" t="str">
            <v>Américo Brasiliense</v>
          </cell>
          <cell r="B209">
            <v>303683</v>
          </cell>
          <cell r="C209">
            <v>-21.729241009999999</v>
          </cell>
          <cell r="D209">
            <v>-48.115073719999998</v>
          </cell>
        </row>
        <row r="210">
          <cell r="A210" t="str">
            <v>Américo de Campos</v>
          </cell>
          <cell r="B210">
            <v>303421</v>
          </cell>
          <cell r="C210">
            <v>-20.29899296</v>
          </cell>
          <cell r="D210">
            <v>-49.731948750000001</v>
          </cell>
        </row>
        <row r="211">
          <cell r="A211" t="str">
            <v>Ametista do Sul</v>
          </cell>
          <cell r="B211">
            <v>305381</v>
          </cell>
          <cell r="C211">
            <v>-27.361125229999999</v>
          </cell>
          <cell r="D211">
            <v>-53.183460169999996</v>
          </cell>
        </row>
        <row r="212">
          <cell r="A212" t="str">
            <v>Amontada</v>
          </cell>
          <cell r="B212">
            <v>300690</v>
          </cell>
          <cell r="C212">
            <v>-3.3632362389999999</v>
          </cell>
          <cell r="D212">
            <v>-39.829587600000004</v>
          </cell>
        </row>
        <row r="213">
          <cell r="A213" t="str">
            <v>Amorinópolis</v>
          </cell>
          <cell r="B213">
            <v>304516</v>
          </cell>
          <cell r="C213">
            <v>-16.619994599999998</v>
          </cell>
          <cell r="D213">
            <v>-51.094753109999999</v>
          </cell>
        </row>
        <row r="214">
          <cell r="A214" t="str">
            <v>Amparo</v>
          </cell>
          <cell r="B214">
            <v>300666</v>
          </cell>
          <cell r="C214">
            <v>-7.5673679890000001</v>
          </cell>
          <cell r="D214">
            <v>-37.063017960000003</v>
          </cell>
        </row>
        <row r="215">
          <cell r="A215" t="str">
            <v>Amparo</v>
          </cell>
          <cell r="B215">
            <v>303645</v>
          </cell>
          <cell r="C215">
            <v>-22.70926635</v>
          </cell>
          <cell r="D215">
            <v>-46.772419579999998</v>
          </cell>
        </row>
        <row r="216">
          <cell r="A216" t="str">
            <v>Amparo de São Francisco</v>
          </cell>
          <cell r="B216">
            <v>302362</v>
          </cell>
          <cell r="C216">
            <v>-10.135278469999999</v>
          </cell>
          <cell r="D216">
            <v>-36.935298240000002</v>
          </cell>
        </row>
        <row r="217">
          <cell r="A217" t="str">
            <v>Amparo do Serra</v>
          </cell>
          <cell r="B217">
            <v>302754</v>
          </cell>
          <cell r="C217">
            <v>-20.505545829999999</v>
          </cell>
          <cell r="D217">
            <v>-42.801232259999999</v>
          </cell>
        </row>
        <row r="218">
          <cell r="A218" t="str">
            <v>Ampére</v>
          </cell>
          <cell r="B218">
            <v>305267</v>
          </cell>
          <cell r="C218">
            <v>-25.91725667</v>
          </cell>
          <cell r="D218">
            <v>-53.469091210000002</v>
          </cell>
        </row>
        <row r="219">
          <cell r="A219" t="str">
            <v>Anadia</v>
          </cell>
          <cell r="B219">
            <v>301159</v>
          </cell>
          <cell r="C219">
            <v>-9.6853203899999993</v>
          </cell>
          <cell r="D219">
            <v>-36.308083199999999</v>
          </cell>
        </row>
        <row r="220">
          <cell r="A220" t="str">
            <v>Anagé</v>
          </cell>
          <cell r="B220">
            <v>301587</v>
          </cell>
          <cell r="C220">
            <v>-14.6142574</v>
          </cell>
          <cell r="D220">
            <v>-41.139015690000001</v>
          </cell>
        </row>
        <row r="221">
          <cell r="A221" t="str">
            <v>Anahy</v>
          </cell>
          <cell r="B221">
            <v>305063</v>
          </cell>
          <cell r="C221">
            <v>-24.645329109999999</v>
          </cell>
          <cell r="D221">
            <v>-53.133679520000001</v>
          </cell>
        </row>
        <row r="222">
          <cell r="A222" t="str">
            <v>Anajás</v>
          </cell>
          <cell r="B222">
            <v>301940</v>
          </cell>
          <cell r="C222">
            <v>-0.99718744100000001</v>
          </cell>
          <cell r="D222">
            <v>-49.935786149999998</v>
          </cell>
        </row>
        <row r="223">
          <cell r="A223" t="str">
            <v>Anajatuba</v>
          </cell>
          <cell r="B223">
            <v>301703</v>
          </cell>
          <cell r="C223">
            <v>-3.2649354769999999</v>
          </cell>
          <cell r="D223">
            <v>-44.616682640000001</v>
          </cell>
        </row>
        <row r="224">
          <cell r="A224" t="str">
            <v>Analândia</v>
          </cell>
          <cell r="B224">
            <v>304576</v>
          </cell>
          <cell r="C224">
            <v>-22.129389360000001</v>
          </cell>
          <cell r="D224">
            <v>-47.662340870000001</v>
          </cell>
        </row>
        <row r="225">
          <cell r="A225" t="str">
            <v>Anamã</v>
          </cell>
          <cell r="B225">
            <v>304640</v>
          </cell>
          <cell r="C225">
            <v>-3.5673512399999998</v>
          </cell>
          <cell r="D225">
            <v>-61.3967831</v>
          </cell>
        </row>
        <row r="226">
          <cell r="A226" t="str">
            <v>Ananás</v>
          </cell>
          <cell r="B226">
            <v>302007</v>
          </cell>
          <cell r="C226">
            <v>-6.3647752019999997</v>
          </cell>
          <cell r="D226">
            <v>-48.073843269999998</v>
          </cell>
        </row>
        <row r="227">
          <cell r="A227" t="str">
            <v>Ananindeua</v>
          </cell>
          <cell r="B227">
            <v>301932</v>
          </cell>
          <cell r="C227">
            <v>-1.3642927410000001</v>
          </cell>
          <cell r="D227">
            <v>-48.374674890000001</v>
          </cell>
        </row>
        <row r="228">
          <cell r="A228" t="str">
            <v>Anápolis</v>
          </cell>
          <cell r="B228">
            <v>302402</v>
          </cell>
          <cell r="C228">
            <v>-16.328544669999999</v>
          </cell>
          <cell r="D228">
            <v>-48.953354140000002</v>
          </cell>
        </row>
        <row r="229">
          <cell r="A229" t="str">
            <v>Anapu</v>
          </cell>
          <cell r="B229">
            <v>304143</v>
          </cell>
          <cell r="C229">
            <v>-3.470236426</v>
          </cell>
          <cell r="D229">
            <v>-51.200658140000002</v>
          </cell>
        </row>
        <row r="230">
          <cell r="A230" t="str">
            <v>Anapurus</v>
          </cell>
          <cell r="B230">
            <v>301656</v>
          </cell>
          <cell r="C230">
            <v>-3.6743513029999999</v>
          </cell>
          <cell r="D230">
            <v>-43.109341700000002</v>
          </cell>
        </row>
        <row r="231">
          <cell r="A231" t="str">
            <v>Anastácio</v>
          </cell>
          <cell r="B231">
            <v>305600</v>
          </cell>
          <cell r="C231">
            <v>-20.482739259999999</v>
          </cell>
          <cell r="D231">
            <v>-55.81079956</v>
          </cell>
        </row>
        <row r="232">
          <cell r="A232" t="str">
            <v>Anaurilândia</v>
          </cell>
          <cell r="B232">
            <v>304842</v>
          </cell>
          <cell r="C232">
            <v>-22.185628550000001</v>
          </cell>
          <cell r="D232">
            <v>-52.71948991</v>
          </cell>
        </row>
        <row r="233">
          <cell r="A233" t="str">
            <v>Anchieta</v>
          </cell>
          <cell r="B233">
            <v>302522</v>
          </cell>
          <cell r="C233">
            <v>-20.795982330000001</v>
          </cell>
          <cell r="D233">
            <v>-40.642894509999998</v>
          </cell>
        </row>
        <row r="234">
          <cell r="A234" t="str">
            <v>Anchieta</v>
          </cell>
          <cell r="B234">
            <v>305302</v>
          </cell>
          <cell r="C234">
            <v>-26.53868327</v>
          </cell>
          <cell r="D234">
            <v>-53.332360780000002</v>
          </cell>
        </row>
        <row r="235">
          <cell r="A235" t="str">
            <v>Andaraí</v>
          </cell>
          <cell r="B235">
            <v>301574</v>
          </cell>
          <cell r="C235">
            <v>-12.795241839999999</v>
          </cell>
          <cell r="D235">
            <v>-41.328646659999997</v>
          </cell>
        </row>
        <row r="236">
          <cell r="A236" t="str">
            <v>Andirá</v>
          </cell>
          <cell r="B236">
            <v>304654</v>
          </cell>
          <cell r="C236">
            <v>-23.053735440000001</v>
          </cell>
          <cell r="D236">
            <v>-50.230780260000003</v>
          </cell>
        </row>
        <row r="237">
          <cell r="A237" t="str">
            <v>Andorinha</v>
          </cell>
          <cell r="B237">
            <v>301483</v>
          </cell>
          <cell r="C237">
            <v>-10.34358203</v>
          </cell>
          <cell r="D237">
            <v>-39.83377788</v>
          </cell>
        </row>
        <row r="238">
          <cell r="A238" t="str">
            <v>Andradas</v>
          </cell>
          <cell r="B238">
            <v>303539</v>
          </cell>
          <cell r="C238">
            <v>-22.06996182</v>
          </cell>
          <cell r="D238">
            <v>-46.572766420000001</v>
          </cell>
        </row>
        <row r="239">
          <cell r="A239" t="str">
            <v>Andradina</v>
          </cell>
          <cell r="B239">
            <v>304395</v>
          </cell>
          <cell r="C239">
            <v>-20.895220519999999</v>
          </cell>
          <cell r="D239">
            <v>-51.378990029999997</v>
          </cell>
        </row>
        <row r="240">
          <cell r="A240" t="str">
            <v>André da Rocha</v>
          </cell>
          <cell r="B240">
            <v>305529</v>
          </cell>
          <cell r="C240">
            <v>-28.628770719999999</v>
          </cell>
          <cell r="D240">
            <v>-51.580179340000001</v>
          </cell>
        </row>
        <row r="241">
          <cell r="A241" t="str">
            <v>Andrelândia</v>
          </cell>
          <cell r="B241">
            <v>305000</v>
          </cell>
          <cell r="C241">
            <v>-21.741567029999999</v>
          </cell>
          <cell r="D241">
            <v>-44.312067990000003</v>
          </cell>
        </row>
        <row r="242">
          <cell r="A242" t="str">
            <v>Angatuba</v>
          </cell>
          <cell r="B242">
            <v>304657</v>
          </cell>
          <cell r="C242">
            <v>-23.492207459999999</v>
          </cell>
          <cell r="D242">
            <v>-48.414282880000002</v>
          </cell>
        </row>
        <row r="243">
          <cell r="A243" t="str">
            <v>Angelândia</v>
          </cell>
          <cell r="B243">
            <v>302656</v>
          </cell>
          <cell r="C243">
            <v>-17.725994920000002</v>
          </cell>
          <cell r="D243">
            <v>-42.272963429999997</v>
          </cell>
        </row>
        <row r="244">
          <cell r="A244" t="str">
            <v>Angélica</v>
          </cell>
          <cell r="B244">
            <v>305752</v>
          </cell>
          <cell r="C244">
            <v>-22.153114649999999</v>
          </cell>
          <cell r="D244">
            <v>-53.77122902</v>
          </cell>
        </row>
        <row r="245">
          <cell r="A245" t="str">
            <v>Angelim</v>
          </cell>
          <cell r="B245">
            <v>301119</v>
          </cell>
          <cell r="C245">
            <v>-8.8882099520000004</v>
          </cell>
          <cell r="D245">
            <v>-36.28803456</v>
          </cell>
        </row>
        <row r="246">
          <cell r="A246" t="str">
            <v>Angelina</v>
          </cell>
          <cell r="B246">
            <v>304057</v>
          </cell>
          <cell r="C246">
            <v>-27.570892959999998</v>
          </cell>
          <cell r="D246">
            <v>-48.988295909999998</v>
          </cell>
        </row>
        <row r="247">
          <cell r="A247" t="str">
            <v>Angical</v>
          </cell>
          <cell r="B247">
            <v>302086</v>
          </cell>
          <cell r="C247">
            <v>-12.009119569999999</v>
          </cell>
          <cell r="D247">
            <v>-44.700142470000003</v>
          </cell>
        </row>
        <row r="248">
          <cell r="A248" t="str">
            <v>Angical do Piauí</v>
          </cell>
          <cell r="B248">
            <v>301798</v>
          </cell>
          <cell r="C248">
            <v>-6.0882723260000002</v>
          </cell>
          <cell r="D248">
            <v>-42.740389829999998</v>
          </cell>
        </row>
        <row r="249">
          <cell r="A249" t="str">
            <v>Angico</v>
          </cell>
          <cell r="B249">
            <v>302005</v>
          </cell>
          <cell r="C249">
            <v>-6.3921954989999996</v>
          </cell>
          <cell r="D249">
            <v>-47.861517980000002</v>
          </cell>
        </row>
        <row r="250">
          <cell r="A250" t="str">
            <v>Angicos</v>
          </cell>
          <cell r="B250">
            <v>300522</v>
          </cell>
          <cell r="C250">
            <v>-5.6583292209999998</v>
          </cell>
          <cell r="D250">
            <v>-36.609733599999998</v>
          </cell>
        </row>
        <row r="251">
          <cell r="A251" t="str">
            <v>Angra dos Reis</v>
          </cell>
          <cell r="B251">
            <v>303602</v>
          </cell>
          <cell r="C251">
            <v>-23.001557290000001</v>
          </cell>
          <cell r="D251">
            <v>-44.319941460000003</v>
          </cell>
        </row>
        <row r="252">
          <cell r="A252" t="str">
            <v>Anguera</v>
          </cell>
          <cell r="B252">
            <v>301416</v>
          </cell>
          <cell r="C252">
            <v>-12.15190115</v>
          </cell>
          <cell r="D252">
            <v>-39.24405616</v>
          </cell>
        </row>
        <row r="253">
          <cell r="A253" t="str">
            <v>Ângulo</v>
          </cell>
          <cell r="B253">
            <v>304781</v>
          </cell>
          <cell r="C253">
            <v>-23.19507325</v>
          </cell>
          <cell r="D253">
            <v>-51.915788220000003</v>
          </cell>
        </row>
        <row r="254">
          <cell r="A254" t="str">
            <v>Anhanguera</v>
          </cell>
          <cell r="B254">
            <v>303303</v>
          </cell>
          <cell r="C254">
            <v>-18.336995430000002</v>
          </cell>
          <cell r="D254">
            <v>-48.218951629999999</v>
          </cell>
        </row>
        <row r="255">
          <cell r="A255" t="str">
            <v>Anhembi</v>
          </cell>
          <cell r="B255">
            <v>303925</v>
          </cell>
          <cell r="C255">
            <v>-22.78898882</v>
          </cell>
          <cell r="D255">
            <v>-48.12695034</v>
          </cell>
        </row>
        <row r="256">
          <cell r="A256" t="str">
            <v>Anhumas</v>
          </cell>
          <cell r="B256">
            <v>304688</v>
          </cell>
          <cell r="C256">
            <v>-22.295008410000001</v>
          </cell>
          <cell r="D256">
            <v>-51.386938430000001</v>
          </cell>
        </row>
        <row r="257">
          <cell r="A257" t="str">
            <v>Anicuns</v>
          </cell>
          <cell r="B257">
            <v>302616</v>
          </cell>
          <cell r="C257">
            <v>-16.458955159999999</v>
          </cell>
          <cell r="D257">
            <v>-49.958855460000002</v>
          </cell>
        </row>
        <row r="258">
          <cell r="A258" t="str">
            <v>Anísio de Abreu</v>
          </cell>
          <cell r="B258">
            <v>302057</v>
          </cell>
          <cell r="C258">
            <v>-9.186068358</v>
          </cell>
          <cell r="D258">
            <v>-43.049757399999997</v>
          </cell>
        </row>
        <row r="259">
          <cell r="A259" t="str">
            <v>Anita Garibaldi</v>
          </cell>
          <cell r="B259">
            <v>305138</v>
          </cell>
          <cell r="C259">
            <v>-27.69021948</v>
          </cell>
          <cell r="D259">
            <v>-51.127586520000001</v>
          </cell>
        </row>
        <row r="260">
          <cell r="A260" t="str">
            <v>Anitápolis</v>
          </cell>
          <cell r="B260">
            <v>304062</v>
          </cell>
          <cell r="C260">
            <v>-27.901666219999999</v>
          </cell>
          <cell r="D260">
            <v>-49.13206418</v>
          </cell>
        </row>
        <row r="261">
          <cell r="A261" t="str">
            <v>Anori</v>
          </cell>
          <cell r="B261">
            <v>304642</v>
          </cell>
          <cell r="C261">
            <v>-3.7464128269999999</v>
          </cell>
          <cell r="D261">
            <v>-61.657932510000002</v>
          </cell>
        </row>
        <row r="262">
          <cell r="A262" t="str">
            <v>Anta Gorda</v>
          </cell>
          <cell r="B262">
            <v>305215</v>
          </cell>
          <cell r="C262">
            <v>-28.97024785</v>
          </cell>
          <cell r="D262">
            <v>-52.010645590000003</v>
          </cell>
        </row>
        <row r="263">
          <cell r="A263" t="str">
            <v>Antas</v>
          </cell>
          <cell r="B263">
            <v>301291</v>
          </cell>
          <cell r="C263">
            <v>-10.41315739</v>
          </cell>
          <cell r="D263">
            <v>-38.332345199999999</v>
          </cell>
        </row>
        <row r="264">
          <cell r="A264" t="str">
            <v>Antonina</v>
          </cell>
          <cell r="B264">
            <v>303981</v>
          </cell>
          <cell r="C264">
            <v>-25.43907579</v>
          </cell>
          <cell r="D264">
            <v>-48.719532280000003</v>
          </cell>
        </row>
        <row r="265">
          <cell r="A265" t="str">
            <v>Antonina do Norte</v>
          </cell>
          <cell r="B265">
            <v>301011</v>
          </cell>
          <cell r="C265">
            <v>-6.7747446619999998</v>
          </cell>
          <cell r="D265">
            <v>-39.987104909999999</v>
          </cell>
        </row>
        <row r="266">
          <cell r="A266" t="str">
            <v>Antônio Almeida</v>
          </cell>
          <cell r="B266">
            <v>301868</v>
          </cell>
          <cell r="C266">
            <v>-7.219454313</v>
          </cell>
          <cell r="D266">
            <v>-44.193518470000001</v>
          </cell>
        </row>
        <row r="267">
          <cell r="A267" t="str">
            <v>Antônio Cardoso</v>
          </cell>
          <cell r="B267">
            <v>301418</v>
          </cell>
          <cell r="C267">
            <v>-12.433939970000001</v>
          </cell>
          <cell r="D267">
            <v>-39.11787863</v>
          </cell>
        </row>
        <row r="268">
          <cell r="A268" t="str">
            <v>Antônio Carlos</v>
          </cell>
          <cell r="B268">
            <v>303122</v>
          </cell>
          <cell r="C268">
            <v>-21.321509819999999</v>
          </cell>
          <cell r="D268">
            <v>-43.745502930000001</v>
          </cell>
        </row>
        <row r="269">
          <cell r="A269" t="str">
            <v>Antônio Carlos</v>
          </cell>
          <cell r="B269">
            <v>304051</v>
          </cell>
          <cell r="C269">
            <v>-27.51955353</v>
          </cell>
          <cell r="D269">
            <v>-48.76643421</v>
          </cell>
        </row>
        <row r="270">
          <cell r="A270" t="str">
            <v>Antônio Dias</v>
          </cell>
          <cell r="B270">
            <v>303560</v>
          </cell>
          <cell r="C270">
            <v>-19.653758209999999</v>
          </cell>
          <cell r="D270">
            <v>-42.878320680000002</v>
          </cell>
        </row>
        <row r="271">
          <cell r="A271" t="str">
            <v>Antônio Gonçalves</v>
          </cell>
          <cell r="B271">
            <v>301440</v>
          </cell>
          <cell r="C271">
            <v>-10.572155970000001</v>
          </cell>
          <cell r="D271">
            <v>-40.275826989999999</v>
          </cell>
        </row>
        <row r="272">
          <cell r="A272" t="str">
            <v>Antônio João</v>
          </cell>
          <cell r="B272">
            <v>305232</v>
          </cell>
          <cell r="C272">
            <v>-22.190992349999998</v>
          </cell>
          <cell r="D272">
            <v>-55.947938860000001</v>
          </cell>
        </row>
        <row r="273">
          <cell r="A273" t="str">
            <v>Antônio Martins</v>
          </cell>
          <cell r="B273">
            <v>300761</v>
          </cell>
          <cell r="C273">
            <v>-6.2140780490000003</v>
          </cell>
          <cell r="D273">
            <v>-37.883672140000002</v>
          </cell>
        </row>
        <row r="274">
          <cell r="A274" t="str">
            <v>Antônio Olinto</v>
          </cell>
          <cell r="B274">
            <v>304603</v>
          </cell>
          <cell r="C274">
            <v>-25.980855770000002</v>
          </cell>
          <cell r="D274">
            <v>-50.197613920000002</v>
          </cell>
        </row>
        <row r="275">
          <cell r="A275" t="str">
            <v>Antônio Prado</v>
          </cell>
          <cell r="B275">
            <v>305152</v>
          </cell>
          <cell r="C275">
            <v>-28.85702208</v>
          </cell>
          <cell r="D275">
            <v>-51.288712429999997</v>
          </cell>
        </row>
        <row r="276">
          <cell r="A276" t="str">
            <v>Antônio Prado de Minas</v>
          </cell>
          <cell r="B276">
            <v>303252</v>
          </cell>
          <cell r="C276">
            <v>-21.019664240000001</v>
          </cell>
          <cell r="D276">
            <v>-42.111297540000002</v>
          </cell>
        </row>
        <row r="277">
          <cell r="A277" t="str">
            <v>Aparecida</v>
          </cell>
          <cell r="B277">
            <v>300939</v>
          </cell>
          <cell r="C277">
            <v>-6.7850724749999998</v>
          </cell>
          <cell r="D277">
            <v>-38.0805699</v>
          </cell>
        </row>
        <row r="278">
          <cell r="A278" t="str">
            <v>Aparecida</v>
          </cell>
          <cell r="B278">
            <v>303458</v>
          </cell>
          <cell r="C278">
            <v>-22.849989579999999</v>
          </cell>
          <cell r="D278">
            <v>-45.232883430000001</v>
          </cell>
        </row>
        <row r="279">
          <cell r="A279" t="str">
            <v>Aparecida de Goiânia</v>
          </cell>
          <cell r="B279">
            <v>303357</v>
          </cell>
          <cell r="C279">
            <v>-16.820254930000001</v>
          </cell>
          <cell r="D279">
            <v>-49.247254980000001</v>
          </cell>
        </row>
        <row r="280">
          <cell r="A280" t="str">
            <v>Aparecida do Rio Doce</v>
          </cell>
          <cell r="B280">
            <v>304342</v>
          </cell>
          <cell r="C280">
            <v>-18.29452277</v>
          </cell>
          <cell r="D280">
            <v>-51.152020049999997</v>
          </cell>
        </row>
        <row r="281">
          <cell r="A281" t="str">
            <v>Aparecida do Rio Negro</v>
          </cell>
          <cell r="B281">
            <v>302207</v>
          </cell>
          <cell r="C281">
            <v>-9.9528278060000002</v>
          </cell>
          <cell r="D281">
            <v>-47.972036940000002</v>
          </cell>
        </row>
        <row r="282">
          <cell r="A282" t="str">
            <v>Aparecida do Taboado</v>
          </cell>
          <cell r="B282">
            <v>304386</v>
          </cell>
          <cell r="C282">
            <v>-20.08773283</v>
          </cell>
          <cell r="D282">
            <v>-51.096553110000002</v>
          </cell>
        </row>
        <row r="283">
          <cell r="A283" t="str">
            <v>Aparecida d'Oeste</v>
          </cell>
          <cell r="B283">
            <v>304391</v>
          </cell>
          <cell r="C283">
            <v>-20.44919342</v>
          </cell>
          <cell r="D283">
            <v>-50.883923770000003</v>
          </cell>
        </row>
        <row r="284">
          <cell r="A284" t="str">
            <v>Aperibé</v>
          </cell>
          <cell r="B284">
            <v>304919</v>
          </cell>
          <cell r="C284">
            <v>-21.625714540000001</v>
          </cell>
          <cell r="D284">
            <v>-42.102022959999999</v>
          </cell>
        </row>
        <row r="285">
          <cell r="A285" t="str">
            <v>Apiacá</v>
          </cell>
          <cell r="B285">
            <v>302637</v>
          </cell>
          <cell r="C285">
            <v>-21.152754900000001</v>
          </cell>
          <cell r="D285">
            <v>-41.569653940000002</v>
          </cell>
        </row>
        <row r="286">
          <cell r="A286" t="str">
            <v>Apiacás</v>
          </cell>
          <cell r="B286">
            <v>304565</v>
          </cell>
          <cell r="C286">
            <v>-9.5402200159999992</v>
          </cell>
          <cell r="D286">
            <v>-57.459109769999998</v>
          </cell>
        </row>
        <row r="287">
          <cell r="A287" t="str">
            <v>Apiaí</v>
          </cell>
          <cell r="B287">
            <v>304951</v>
          </cell>
          <cell r="C287">
            <v>-24.511295069999999</v>
          </cell>
          <cell r="D287">
            <v>-48.844687970000003</v>
          </cell>
        </row>
        <row r="288">
          <cell r="A288" t="str">
            <v>Apicum-Açu</v>
          </cell>
          <cell r="B288">
            <v>301667</v>
          </cell>
          <cell r="C288">
            <v>-1.459001851</v>
          </cell>
          <cell r="D288">
            <v>-45.08680614</v>
          </cell>
        </row>
        <row r="289">
          <cell r="A289" t="str">
            <v>Apiúna</v>
          </cell>
          <cell r="B289">
            <v>304215</v>
          </cell>
          <cell r="C289">
            <v>-27.037973569999998</v>
          </cell>
          <cell r="D289">
            <v>-49.388935539999999</v>
          </cell>
        </row>
        <row r="290">
          <cell r="A290" t="str">
            <v>Apodi</v>
          </cell>
          <cell r="B290">
            <v>300745</v>
          </cell>
          <cell r="C290">
            <v>-5.653897572</v>
          </cell>
          <cell r="D290">
            <v>-37.794901189999997</v>
          </cell>
        </row>
        <row r="291">
          <cell r="A291" t="str">
            <v>Aporá</v>
          </cell>
          <cell r="B291">
            <v>301369</v>
          </cell>
          <cell r="C291">
            <v>-11.66074981</v>
          </cell>
          <cell r="D291">
            <v>-38.080629450000004</v>
          </cell>
        </row>
        <row r="292">
          <cell r="A292" t="str">
            <v>Aporé</v>
          </cell>
          <cell r="B292">
            <v>304450</v>
          </cell>
          <cell r="C292">
            <v>-18.964995529999999</v>
          </cell>
          <cell r="D292">
            <v>-51.92594596</v>
          </cell>
        </row>
        <row r="293">
          <cell r="A293" t="str">
            <v>Apóstoles</v>
          </cell>
          <cell r="B293">
            <v>314369</v>
          </cell>
          <cell r="C293">
            <v>-27.90720752</v>
          </cell>
          <cell r="D293">
            <v>-55.744178839999996</v>
          </cell>
        </row>
        <row r="294">
          <cell r="A294" t="str">
            <v>Apuarema</v>
          </cell>
          <cell r="B294">
            <v>302382</v>
          </cell>
          <cell r="C294">
            <v>-13.855850009999999</v>
          </cell>
          <cell r="D294">
            <v>-39.74472609</v>
          </cell>
        </row>
        <row r="295">
          <cell r="A295" t="str">
            <v>Apucarana</v>
          </cell>
          <cell r="B295">
            <v>304760</v>
          </cell>
          <cell r="C295">
            <v>-23.550427370000001</v>
          </cell>
          <cell r="D295">
            <v>-51.463916580000003</v>
          </cell>
        </row>
        <row r="296">
          <cell r="A296" t="str">
            <v>Apuí</v>
          </cell>
          <cell r="B296">
            <v>304247</v>
          </cell>
          <cell r="C296">
            <v>-7.1983916710000004</v>
          </cell>
          <cell r="D296">
            <v>-59.885245949999998</v>
          </cell>
        </row>
        <row r="297">
          <cell r="A297" t="str">
            <v>Apuiarés</v>
          </cell>
          <cell r="B297">
            <v>300692</v>
          </cell>
          <cell r="C297">
            <v>-3.9454539450000001</v>
          </cell>
          <cell r="D297">
            <v>-39.436249070000002</v>
          </cell>
        </row>
        <row r="298">
          <cell r="A298" t="str">
            <v>Aquidabã</v>
          </cell>
          <cell r="B298">
            <v>302373</v>
          </cell>
          <cell r="C298">
            <v>-10.27848023</v>
          </cell>
          <cell r="D298">
            <v>-37.015073960000002</v>
          </cell>
        </row>
        <row r="299">
          <cell r="A299" t="str">
            <v>Aquidauana</v>
          </cell>
          <cell r="B299">
            <v>305599</v>
          </cell>
          <cell r="C299">
            <v>-20.46699928</v>
          </cell>
          <cell r="D299">
            <v>-55.787234390000002</v>
          </cell>
        </row>
        <row r="300">
          <cell r="A300" t="str">
            <v>Aquiraz</v>
          </cell>
          <cell r="B300">
            <v>302345</v>
          </cell>
          <cell r="C300">
            <v>-3.8996900459999999</v>
          </cell>
          <cell r="D300">
            <v>-38.389874659999997</v>
          </cell>
        </row>
        <row r="301">
          <cell r="A301" t="str">
            <v>Arabutã</v>
          </cell>
          <cell r="B301">
            <v>305122</v>
          </cell>
          <cell r="C301">
            <v>-27.15916322</v>
          </cell>
          <cell r="D301">
            <v>-52.142710860000001</v>
          </cell>
        </row>
        <row r="302">
          <cell r="A302" t="str">
            <v>Araçagi</v>
          </cell>
          <cell r="B302">
            <v>300449</v>
          </cell>
          <cell r="C302">
            <v>-6.8521403630000002</v>
          </cell>
          <cell r="D302">
            <v>-35.37932868</v>
          </cell>
        </row>
        <row r="303">
          <cell r="A303" t="str">
            <v>Araçaí</v>
          </cell>
          <cell r="B303">
            <v>303059</v>
          </cell>
          <cell r="C303">
            <v>-19.195976810000001</v>
          </cell>
          <cell r="D303">
            <v>-44.249680380000001</v>
          </cell>
        </row>
        <row r="304">
          <cell r="A304" t="str">
            <v>Aracaju</v>
          </cell>
          <cell r="B304">
            <v>295769</v>
          </cell>
          <cell r="C304">
            <v>-10.910014629999999</v>
          </cell>
          <cell r="D304">
            <v>-37.068273959999999</v>
          </cell>
        </row>
        <row r="305">
          <cell r="A305" t="str">
            <v>Araçariguama</v>
          </cell>
          <cell r="B305">
            <v>303744</v>
          </cell>
          <cell r="C305">
            <v>-23.43707483</v>
          </cell>
          <cell r="D305">
            <v>-47.061226679999997</v>
          </cell>
        </row>
        <row r="306">
          <cell r="A306" t="str">
            <v>Araças</v>
          </cell>
          <cell r="B306">
            <v>301372</v>
          </cell>
          <cell r="C306">
            <v>-12.21439084</v>
          </cell>
          <cell r="D306">
            <v>-38.201957399999998</v>
          </cell>
        </row>
        <row r="307">
          <cell r="A307" t="str">
            <v>Aracati</v>
          </cell>
          <cell r="B307">
            <v>300730</v>
          </cell>
          <cell r="C307">
            <v>-4.5586605689999997</v>
          </cell>
          <cell r="D307">
            <v>-37.768201470000001</v>
          </cell>
        </row>
        <row r="308">
          <cell r="A308" t="str">
            <v>Aracatu</v>
          </cell>
          <cell r="B308">
            <v>301591</v>
          </cell>
          <cell r="C308">
            <v>-14.428439969999999</v>
          </cell>
          <cell r="D308">
            <v>-41.465126069999997</v>
          </cell>
        </row>
        <row r="309">
          <cell r="A309" t="str">
            <v>Araçatuba</v>
          </cell>
          <cell r="B309">
            <v>304457</v>
          </cell>
          <cell r="C309">
            <v>-21.208110739999999</v>
          </cell>
          <cell r="D309">
            <v>-50.440523120000002</v>
          </cell>
        </row>
        <row r="310">
          <cell r="A310" t="str">
            <v>Araci</v>
          </cell>
          <cell r="B310">
            <v>301393</v>
          </cell>
          <cell r="C310">
            <v>-11.33333485</v>
          </cell>
          <cell r="D310">
            <v>-38.959916990000004</v>
          </cell>
        </row>
        <row r="311">
          <cell r="A311" t="str">
            <v>Aracitaba</v>
          </cell>
          <cell r="B311">
            <v>303095</v>
          </cell>
          <cell r="C311">
            <v>-21.345098719999999</v>
          </cell>
          <cell r="D311">
            <v>-43.373990370000001</v>
          </cell>
        </row>
        <row r="312">
          <cell r="A312" t="str">
            <v>Aracoiaba</v>
          </cell>
          <cell r="B312">
            <v>300905</v>
          </cell>
          <cell r="C312">
            <v>-4.3691199059999999</v>
          </cell>
          <cell r="D312">
            <v>-38.81282684</v>
          </cell>
        </row>
        <row r="313">
          <cell r="A313" t="str">
            <v>Araçoiaba</v>
          </cell>
          <cell r="B313">
            <v>300469</v>
          </cell>
          <cell r="C313">
            <v>-7.7833075630000002</v>
          </cell>
          <cell r="D313">
            <v>-35.083106649999998</v>
          </cell>
        </row>
        <row r="314">
          <cell r="A314" t="str">
            <v>Araçoiaba da Serra</v>
          </cell>
          <cell r="B314">
            <v>303767</v>
          </cell>
          <cell r="C314">
            <v>-23.503377579999999</v>
          </cell>
          <cell r="D314">
            <v>-47.617010620000002</v>
          </cell>
        </row>
        <row r="315">
          <cell r="A315" t="str">
            <v>Aracruz</v>
          </cell>
          <cell r="B315">
            <v>302888</v>
          </cell>
          <cell r="C315">
            <v>-19.820525180000001</v>
          </cell>
          <cell r="D315">
            <v>-40.276785449999998</v>
          </cell>
        </row>
        <row r="316">
          <cell r="A316" t="str">
            <v>Araçu</v>
          </cell>
          <cell r="B316">
            <v>302608</v>
          </cell>
          <cell r="C316">
            <v>-16.3567544</v>
          </cell>
          <cell r="D316">
            <v>-49.680824710000003</v>
          </cell>
        </row>
        <row r="317">
          <cell r="A317" t="str">
            <v>Araçuaí</v>
          </cell>
          <cell r="B317">
            <v>302650</v>
          </cell>
          <cell r="C317">
            <v>-16.852784199999999</v>
          </cell>
          <cell r="D317">
            <v>-42.064051370000001</v>
          </cell>
        </row>
        <row r="318">
          <cell r="A318" t="str">
            <v>Aragarças</v>
          </cell>
          <cell r="B318">
            <v>304523</v>
          </cell>
          <cell r="C318">
            <v>-15.903286939999999</v>
          </cell>
          <cell r="D318">
            <v>-52.24504709</v>
          </cell>
        </row>
        <row r="319">
          <cell r="A319" t="str">
            <v>Aragoiânia</v>
          </cell>
          <cell r="B319">
            <v>303375</v>
          </cell>
          <cell r="C319">
            <v>-16.90914987</v>
          </cell>
          <cell r="D319">
            <v>-49.448049419999997</v>
          </cell>
        </row>
        <row r="320">
          <cell r="A320" t="str">
            <v>Aragominas</v>
          </cell>
          <cell r="B320">
            <v>302025</v>
          </cell>
          <cell r="C320">
            <v>-7.1674489729999999</v>
          </cell>
          <cell r="D320">
            <v>-48.527390599999997</v>
          </cell>
        </row>
        <row r="321">
          <cell r="A321" t="str">
            <v>Araguacema</v>
          </cell>
          <cell r="B321">
            <v>302248</v>
          </cell>
          <cell r="C321">
            <v>-8.8079639529999998</v>
          </cell>
          <cell r="D321">
            <v>-49.557274409999998</v>
          </cell>
        </row>
        <row r="322">
          <cell r="A322" t="str">
            <v>Araguaçu</v>
          </cell>
          <cell r="B322">
            <v>302794</v>
          </cell>
          <cell r="C322">
            <v>-12.9272516</v>
          </cell>
          <cell r="D322">
            <v>-49.831417739999999</v>
          </cell>
        </row>
        <row r="323">
          <cell r="A323" t="str">
            <v>Araguaiana</v>
          </cell>
          <cell r="B323">
            <v>304518</v>
          </cell>
          <cell r="C323">
            <v>-15.724058299999999</v>
          </cell>
          <cell r="D323">
            <v>-51.837775059999998</v>
          </cell>
        </row>
        <row r="324">
          <cell r="A324" t="str">
            <v>Araguaína</v>
          </cell>
          <cell r="B324">
            <v>302011</v>
          </cell>
          <cell r="C324">
            <v>-7.192785336</v>
          </cell>
          <cell r="D324">
            <v>-48.204780710000001</v>
          </cell>
        </row>
        <row r="325">
          <cell r="A325" t="str">
            <v>Araguainha</v>
          </cell>
          <cell r="B325">
            <v>304786</v>
          </cell>
          <cell r="C325">
            <v>-16.856942960000001</v>
          </cell>
          <cell r="D325">
            <v>-53.031652430000001</v>
          </cell>
        </row>
        <row r="326">
          <cell r="A326" t="str">
            <v>Araguanã</v>
          </cell>
          <cell r="B326">
            <v>302023</v>
          </cell>
          <cell r="C326">
            <v>-6.5799044320000002</v>
          </cell>
          <cell r="D326">
            <v>-48.642708339999999</v>
          </cell>
        </row>
        <row r="327">
          <cell r="A327" t="str">
            <v>Araguanã</v>
          </cell>
          <cell r="B327">
            <v>303035</v>
          </cell>
          <cell r="C327">
            <v>-2.9506957749999998</v>
          </cell>
          <cell r="D327">
            <v>-45.665473540000001</v>
          </cell>
        </row>
        <row r="328">
          <cell r="A328" t="str">
            <v>Araguapaz</v>
          </cell>
          <cell r="B328">
            <v>304542</v>
          </cell>
          <cell r="C328">
            <v>-15.09129495</v>
          </cell>
          <cell r="D328">
            <v>-50.631914999999999</v>
          </cell>
        </row>
        <row r="329">
          <cell r="A329" t="str">
            <v>Araguari</v>
          </cell>
          <cell r="B329">
            <v>303307</v>
          </cell>
          <cell r="C329">
            <v>-18.646034629999999</v>
          </cell>
          <cell r="D329">
            <v>-48.193788359999999</v>
          </cell>
        </row>
        <row r="330">
          <cell r="A330" t="str">
            <v>Araguatins</v>
          </cell>
          <cell r="B330">
            <v>301985</v>
          </cell>
          <cell r="C330">
            <v>-5.6469934229999996</v>
          </cell>
          <cell r="D330">
            <v>-48.123575080000002</v>
          </cell>
        </row>
        <row r="331">
          <cell r="A331" t="str">
            <v>Araioses</v>
          </cell>
          <cell r="B331">
            <v>300844</v>
          </cell>
          <cell r="C331">
            <v>-2.8913034249999998</v>
          </cell>
          <cell r="D331">
            <v>-41.905328730000001</v>
          </cell>
        </row>
        <row r="332">
          <cell r="A332" t="str">
            <v>Aral Moreira</v>
          </cell>
          <cell r="B332">
            <v>305233</v>
          </cell>
          <cell r="C332">
            <v>-22.942700129999999</v>
          </cell>
          <cell r="D332">
            <v>-55.632231840000003</v>
          </cell>
        </row>
        <row r="333">
          <cell r="A333" t="str">
            <v>Aramari</v>
          </cell>
          <cell r="B333">
            <v>301379</v>
          </cell>
          <cell r="C333">
            <v>-12.08884484</v>
          </cell>
          <cell r="D333">
            <v>-38.497255719999998</v>
          </cell>
        </row>
        <row r="334">
          <cell r="A334" t="str">
            <v>Arambaré</v>
          </cell>
          <cell r="B334">
            <v>305520</v>
          </cell>
          <cell r="C334">
            <v>-30.909728579999999</v>
          </cell>
          <cell r="D334">
            <v>-51.505046159999999</v>
          </cell>
        </row>
        <row r="335">
          <cell r="A335" t="str">
            <v>Arame</v>
          </cell>
          <cell r="B335">
            <v>301860</v>
          </cell>
          <cell r="C335">
            <v>-4.8882366639999999</v>
          </cell>
          <cell r="D335">
            <v>-46.008664719999999</v>
          </cell>
        </row>
        <row r="336">
          <cell r="A336" t="str">
            <v>Aramina</v>
          </cell>
          <cell r="B336">
            <v>303348</v>
          </cell>
          <cell r="C336">
            <v>-20.08861748</v>
          </cell>
          <cell r="D336">
            <v>-47.787648230000002</v>
          </cell>
        </row>
        <row r="337">
          <cell r="A337" t="str">
            <v>Arandu</v>
          </cell>
          <cell r="B337">
            <v>303948</v>
          </cell>
          <cell r="C337">
            <v>-23.13398862</v>
          </cell>
          <cell r="D337">
            <v>-49.053948769999998</v>
          </cell>
        </row>
        <row r="338">
          <cell r="A338" t="str">
            <v>Arantina</v>
          </cell>
          <cell r="B338">
            <v>304999</v>
          </cell>
          <cell r="C338">
            <v>-21.910650749999999</v>
          </cell>
          <cell r="D338">
            <v>-44.255897040000001</v>
          </cell>
        </row>
        <row r="339">
          <cell r="A339" t="str">
            <v>Arapeí</v>
          </cell>
          <cell r="B339">
            <v>303601</v>
          </cell>
          <cell r="C339">
            <v>-22.672225900000001</v>
          </cell>
          <cell r="D339">
            <v>-44.444508419999998</v>
          </cell>
        </row>
        <row r="340">
          <cell r="A340" t="str">
            <v>Arapiraca</v>
          </cell>
          <cell r="B340">
            <v>301347</v>
          </cell>
          <cell r="C340">
            <v>-9.755300493</v>
          </cell>
          <cell r="D340">
            <v>-36.661773879999998</v>
          </cell>
        </row>
        <row r="341">
          <cell r="A341" t="str">
            <v>Arapoema</v>
          </cell>
          <cell r="B341">
            <v>302032</v>
          </cell>
          <cell r="C341">
            <v>-7.655045898</v>
          </cell>
          <cell r="D341">
            <v>-49.064086330000002</v>
          </cell>
        </row>
        <row r="342">
          <cell r="A342" t="str">
            <v>Araponga</v>
          </cell>
          <cell r="B342">
            <v>302748</v>
          </cell>
          <cell r="C342">
            <v>-20.669087050000002</v>
          </cell>
          <cell r="D342">
            <v>-42.51821262</v>
          </cell>
        </row>
        <row r="343">
          <cell r="A343" t="str">
            <v>Arapongas</v>
          </cell>
          <cell r="B343">
            <v>304759</v>
          </cell>
          <cell r="C343">
            <v>-23.415762139999998</v>
          </cell>
          <cell r="D343">
            <v>-51.426349909999999</v>
          </cell>
        </row>
        <row r="344">
          <cell r="A344" t="str">
            <v>Araporã</v>
          </cell>
          <cell r="B344">
            <v>303371</v>
          </cell>
          <cell r="C344">
            <v>-18.436183799999998</v>
          </cell>
          <cell r="D344">
            <v>-49.185148159999997</v>
          </cell>
        </row>
        <row r="345">
          <cell r="A345" t="str">
            <v>Arapoti</v>
          </cell>
          <cell r="B345">
            <v>303972</v>
          </cell>
          <cell r="C345">
            <v>-24.141188960000001</v>
          </cell>
          <cell r="D345">
            <v>-49.823956459999998</v>
          </cell>
        </row>
        <row r="346">
          <cell r="A346" t="str">
            <v>Arapuá</v>
          </cell>
          <cell r="B346">
            <v>303308</v>
          </cell>
          <cell r="C346">
            <v>-19.034953219999998</v>
          </cell>
          <cell r="D346">
            <v>-46.154911800000001</v>
          </cell>
        </row>
        <row r="347">
          <cell r="A347" t="str">
            <v>Arapuã</v>
          </cell>
          <cell r="B347">
            <v>304826</v>
          </cell>
          <cell r="C347">
            <v>-24.313648300000001</v>
          </cell>
          <cell r="D347">
            <v>-51.78607212</v>
          </cell>
        </row>
        <row r="348">
          <cell r="A348" t="str">
            <v>Araputanga</v>
          </cell>
          <cell r="B348">
            <v>304683</v>
          </cell>
          <cell r="C348">
            <v>-15.464524490000001</v>
          </cell>
          <cell r="D348">
            <v>-58.342908219999998</v>
          </cell>
        </row>
        <row r="349">
          <cell r="A349" t="str">
            <v>Araquari</v>
          </cell>
          <cell r="B349">
            <v>303998</v>
          </cell>
          <cell r="C349">
            <v>-26.375889069999999</v>
          </cell>
          <cell r="D349">
            <v>-48.719247600000003</v>
          </cell>
        </row>
        <row r="350">
          <cell r="A350" t="str">
            <v>Arara</v>
          </cell>
          <cell r="B350">
            <v>300574</v>
          </cell>
          <cell r="C350">
            <v>-6.8285434370000004</v>
          </cell>
          <cell r="D350">
            <v>-35.755504289999998</v>
          </cell>
        </row>
        <row r="351">
          <cell r="A351" t="str">
            <v>Araranguá</v>
          </cell>
          <cell r="B351">
            <v>304114</v>
          </cell>
          <cell r="C351">
            <v>-28.93609914</v>
          </cell>
          <cell r="D351">
            <v>-49.492246829999999</v>
          </cell>
        </row>
        <row r="352">
          <cell r="A352" t="str">
            <v>Araraquara</v>
          </cell>
          <cell r="B352">
            <v>303685</v>
          </cell>
          <cell r="C352">
            <v>-21.784981030000001</v>
          </cell>
          <cell r="D352">
            <v>-48.178418290000003</v>
          </cell>
        </row>
        <row r="353">
          <cell r="A353" t="str">
            <v>Araras</v>
          </cell>
          <cell r="B353">
            <v>303688</v>
          </cell>
          <cell r="C353">
            <v>-22.35771175</v>
          </cell>
          <cell r="D353">
            <v>-47.384635670000002</v>
          </cell>
        </row>
        <row r="354">
          <cell r="A354" t="str">
            <v>Ararendá</v>
          </cell>
          <cell r="B354">
            <v>300877</v>
          </cell>
          <cell r="C354">
            <v>-4.7460683680000004</v>
          </cell>
          <cell r="D354">
            <v>-40.831319110000003</v>
          </cell>
        </row>
        <row r="355">
          <cell r="A355" t="str">
            <v>Arari</v>
          </cell>
          <cell r="B355">
            <v>301705</v>
          </cell>
          <cell r="C355">
            <v>-3.4554089860000001</v>
          </cell>
          <cell r="D355">
            <v>-44.777062209999997</v>
          </cell>
        </row>
        <row r="356">
          <cell r="A356" t="str">
            <v>Araricá</v>
          </cell>
          <cell r="B356">
            <v>305469</v>
          </cell>
          <cell r="C356">
            <v>-29.617312590000001</v>
          </cell>
          <cell r="D356">
            <v>-50.929578390000003</v>
          </cell>
        </row>
        <row r="357">
          <cell r="A357" t="str">
            <v>Araripe</v>
          </cell>
          <cell r="B357">
            <v>301017</v>
          </cell>
          <cell r="C357">
            <v>-7.2136116719999999</v>
          </cell>
          <cell r="D357">
            <v>-40.136219760000003</v>
          </cell>
        </row>
        <row r="358">
          <cell r="A358" t="str">
            <v>Araripina</v>
          </cell>
          <cell r="B358">
            <v>301027</v>
          </cell>
          <cell r="C358">
            <v>-7.5708426219999998</v>
          </cell>
          <cell r="D358">
            <v>-40.496036050000001</v>
          </cell>
        </row>
        <row r="359">
          <cell r="A359" t="str">
            <v>Araruama</v>
          </cell>
          <cell r="B359">
            <v>303071</v>
          </cell>
          <cell r="C359">
            <v>-22.870138050000001</v>
          </cell>
          <cell r="D359">
            <v>-42.332991849999999</v>
          </cell>
        </row>
        <row r="360">
          <cell r="A360" t="str">
            <v>Araruna</v>
          </cell>
          <cell r="B360">
            <v>300564</v>
          </cell>
          <cell r="C360">
            <v>-6.534606825</v>
          </cell>
          <cell r="D360">
            <v>-35.740918790000002</v>
          </cell>
        </row>
        <row r="361">
          <cell r="A361" t="str">
            <v>Araruna</v>
          </cell>
          <cell r="B361">
            <v>305032</v>
          </cell>
          <cell r="C361">
            <v>-23.931964359999998</v>
          </cell>
          <cell r="D361">
            <v>-52.502539229999996</v>
          </cell>
        </row>
        <row r="362">
          <cell r="A362" t="str">
            <v>Arataca</v>
          </cell>
          <cell r="B362">
            <v>301760</v>
          </cell>
          <cell r="C362">
            <v>-15.265560020000001</v>
          </cell>
          <cell r="D362">
            <v>-39.419346760000003</v>
          </cell>
        </row>
        <row r="363">
          <cell r="A363" t="str">
            <v>Aratiba</v>
          </cell>
          <cell r="B363">
            <v>305156</v>
          </cell>
          <cell r="C363">
            <v>-27.398259169999999</v>
          </cell>
          <cell r="D363">
            <v>-52.297910799999997</v>
          </cell>
        </row>
        <row r="364">
          <cell r="A364" t="str">
            <v>Aratuba</v>
          </cell>
          <cell r="B364">
            <v>300910</v>
          </cell>
          <cell r="C364">
            <v>-4.4126910849999996</v>
          </cell>
          <cell r="D364">
            <v>-39.047433519999998</v>
          </cell>
        </row>
        <row r="365">
          <cell r="A365" t="str">
            <v>Aratuípe</v>
          </cell>
          <cell r="B365">
            <v>301528</v>
          </cell>
          <cell r="C365">
            <v>-13.07731836</v>
          </cell>
          <cell r="D365">
            <v>-39.00187116</v>
          </cell>
        </row>
        <row r="366">
          <cell r="A366" t="str">
            <v>Arauá</v>
          </cell>
          <cell r="B366">
            <v>301265</v>
          </cell>
          <cell r="C366">
            <v>-11.265192989999999</v>
          </cell>
          <cell r="D366">
            <v>-37.617910369999997</v>
          </cell>
        </row>
        <row r="367">
          <cell r="A367" t="str">
            <v>Araucária</v>
          </cell>
          <cell r="B367">
            <v>304034</v>
          </cell>
          <cell r="C367">
            <v>-25.586416180000001</v>
          </cell>
          <cell r="D367">
            <v>-49.405172329999999</v>
          </cell>
        </row>
        <row r="368">
          <cell r="A368" t="str">
            <v>Araújos</v>
          </cell>
          <cell r="B368">
            <v>303019</v>
          </cell>
          <cell r="C368">
            <v>-19.945139919999999</v>
          </cell>
          <cell r="D368">
            <v>-45.167602590000001</v>
          </cell>
        </row>
        <row r="369">
          <cell r="A369" t="str">
            <v>Araxá</v>
          </cell>
          <cell r="B369">
            <v>303318</v>
          </cell>
          <cell r="C369">
            <v>-19.584999530000001</v>
          </cell>
          <cell r="D369">
            <v>-46.941583270000002</v>
          </cell>
        </row>
        <row r="370">
          <cell r="A370" t="str">
            <v>Arceburgo</v>
          </cell>
          <cell r="B370">
            <v>303519</v>
          </cell>
          <cell r="C370">
            <v>-21.359455650000001</v>
          </cell>
          <cell r="D370">
            <v>-46.940450949999999</v>
          </cell>
        </row>
        <row r="371">
          <cell r="A371" t="str">
            <v>Arco-Íris</v>
          </cell>
          <cell r="B371">
            <v>304467</v>
          </cell>
          <cell r="C371">
            <v>-21.773261300000001</v>
          </cell>
          <cell r="D371">
            <v>-50.466436899999998</v>
          </cell>
        </row>
        <row r="372">
          <cell r="A372" t="str">
            <v>Arcos</v>
          </cell>
          <cell r="B372">
            <v>303024</v>
          </cell>
          <cell r="C372">
            <v>-20.286804159999999</v>
          </cell>
          <cell r="D372">
            <v>-45.537727750000002</v>
          </cell>
        </row>
        <row r="373">
          <cell r="A373" t="str">
            <v>Arcoverde</v>
          </cell>
          <cell r="B373">
            <v>301196</v>
          </cell>
          <cell r="C373">
            <v>-8.4156181560000007</v>
          </cell>
          <cell r="D373">
            <v>-37.058052660000001</v>
          </cell>
        </row>
        <row r="374">
          <cell r="A374" t="str">
            <v>Areado</v>
          </cell>
          <cell r="B374">
            <v>303497</v>
          </cell>
          <cell r="C374">
            <v>-21.3576595</v>
          </cell>
          <cell r="D374">
            <v>-46.142460579999998</v>
          </cell>
        </row>
        <row r="375">
          <cell r="A375" t="str">
            <v>Areal</v>
          </cell>
          <cell r="B375">
            <v>303132</v>
          </cell>
          <cell r="C375">
            <v>-22.228791739999998</v>
          </cell>
          <cell r="D375">
            <v>-43.112155100000003</v>
          </cell>
        </row>
        <row r="376">
          <cell r="A376" t="str">
            <v>Arealva</v>
          </cell>
          <cell r="B376">
            <v>303841</v>
          </cell>
          <cell r="C376">
            <v>-22.02826748</v>
          </cell>
          <cell r="D376">
            <v>-48.911674480000002</v>
          </cell>
        </row>
        <row r="377">
          <cell r="A377" t="str">
            <v>Areia</v>
          </cell>
          <cell r="B377">
            <v>300575</v>
          </cell>
          <cell r="C377">
            <v>-6.9653733100000004</v>
          </cell>
          <cell r="D377">
            <v>-35.702606320000001</v>
          </cell>
        </row>
        <row r="378">
          <cell r="A378" t="str">
            <v>Areia Branca</v>
          </cell>
          <cell r="B378">
            <v>301250</v>
          </cell>
          <cell r="C378">
            <v>-10.76020724</v>
          </cell>
          <cell r="D378">
            <v>-37.311445849999998</v>
          </cell>
        </row>
        <row r="379">
          <cell r="A379" t="str">
            <v>Areia Branca</v>
          </cell>
          <cell r="B379">
            <v>300531</v>
          </cell>
          <cell r="C379">
            <v>-4.9529414090000001</v>
          </cell>
          <cell r="D379">
            <v>-37.125529010000001</v>
          </cell>
        </row>
        <row r="380">
          <cell r="A380" t="str">
            <v>Areia de Baraúnas</v>
          </cell>
          <cell r="B380">
            <v>300771</v>
          </cell>
          <cell r="C380">
            <v>-7.1237898050000004</v>
          </cell>
          <cell r="D380">
            <v>-36.944988860000002</v>
          </cell>
        </row>
        <row r="381">
          <cell r="A381" t="str">
            <v>Areial</v>
          </cell>
          <cell r="B381">
            <v>300579</v>
          </cell>
          <cell r="C381">
            <v>-7.0499009140000002</v>
          </cell>
          <cell r="D381">
            <v>-35.925127359999998</v>
          </cell>
        </row>
        <row r="382">
          <cell r="A382" t="str">
            <v>Areias</v>
          </cell>
          <cell r="B382">
            <v>303614</v>
          </cell>
          <cell r="C382">
            <v>-22.579077980000001</v>
          </cell>
          <cell r="D382">
            <v>-44.699622949999998</v>
          </cell>
        </row>
        <row r="383">
          <cell r="A383" t="str">
            <v>Areiópolis</v>
          </cell>
          <cell r="B383">
            <v>303838</v>
          </cell>
          <cell r="C383">
            <v>-22.667989169999998</v>
          </cell>
          <cell r="D383">
            <v>-48.664949550000003</v>
          </cell>
        </row>
        <row r="384">
          <cell r="A384" t="str">
            <v>Arenápolis</v>
          </cell>
          <cell r="B384">
            <v>304447</v>
          </cell>
          <cell r="C384">
            <v>-14.462767039999999</v>
          </cell>
          <cell r="D384">
            <v>-56.841718200000003</v>
          </cell>
        </row>
        <row r="385">
          <cell r="A385" t="str">
            <v>Arenópolis</v>
          </cell>
          <cell r="B385">
            <v>304519</v>
          </cell>
          <cell r="C385">
            <v>-16.386054000000001</v>
          </cell>
          <cell r="D385">
            <v>-51.559727479999999</v>
          </cell>
        </row>
        <row r="386">
          <cell r="A386" t="str">
            <v>Arês</v>
          </cell>
          <cell r="B386">
            <v>302319</v>
          </cell>
          <cell r="C386">
            <v>-6.1969810369999996</v>
          </cell>
          <cell r="D386">
            <v>-35.16284744</v>
          </cell>
        </row>
        <row r="387">
          <cell r="A387" t="str">
            <v>Argirita</v>
          </cell>
          <cell r="B387">
            <v>304408</v>
          </cell>
          <cell r="C387">
            <v>-21.608751890000001</v>
          </cell>
          <cell r="D387">
            <v>-42.829529149999999</v>
          </cell>
        </row>
        <row r="388">
          <cell r="A388" t="str">
            <v>Aricanduva</v>
          </cell>
          <cell r="B388">
            <v>302684</v>
          </cell>
          <cell r="C388">
            <v>-17.866994770000002</v>
          </cell>
          <cell r="D388">
            <v>-42.55696253</v>
          </cell>
        </row>
        <row r="389">
          <cell r="A389" t="str">
            <v>Arinos</v>
          </cell>
          <cell r="B389">
            <v>302588</v>
          </cell>
          <cell r="C389">
            <v>-15.910894730000001</v>
          </cell>
          <cell r="D389">
            <v>-46.108104740000002</v>
          </cell>
        </row>
        <row r="390">
          <cell r="A390" t="str">
            <v>Aripuanã</v>
          </cell>
          <cell r="B390">
            <v>304271</v>
          </cell>
          <cell r="C390">
            <v>-10.172672609999999</v>
          </cell>
          <cell r="D390">
            <v>-59.457258349999996</v>
          </cell>
        </row>
        <row r="391">
          <cell r="A391" t="str">
            <v>Ariquemes</v>
          </cell>
          <cell r="B391">
            <v>304322</v>
          </cell>
          <cell r="C391">
            <v>-9.906115926</v>
          </cell>
          <cell r="D391">
            <v>-63.032975090000001</v>
          </cell>
        </row>
        <row r="392">
          <cell r="A392" t="str">
            <v>Ariranha</v>
          </cell>
          <cell r="B392">
            <v>303820</v>
          </cell>
          <cell r="C392">
            <v>-21.187626699999999</v>
          </cell>
          <cell r="D392">
            <v>-48.790824610000001</v>
          </cell>
        </row>
        <row r="393">
          <cell r="A393" t="str">
            <v>Ariranha do Ivaí</v>
          </cell>
          <cell r="B393">
            <v>304823</v>
          </cell>
          <cell r="C393">
            <v>-24.386176039999999</v>
          </cell>
          <cell r="D393">
            <v>-51.584369119999998</v>
          </cell>
        </row>
        <row r="394">
          <cell r="A394" t="str">
            <v>Armação dos Búzios</v>
          </cell>
          <cell r="B394">
            <v>302649</v>
          </cell>
          <cell r="C394">
            <v>-22.753333770000001</v>
          </cell>
          <cell r="D394">
            <v>-41.88492213</v>
          </cell>
        </row>
        <row r="395">
          <cell r="A395" t="str">
            <v>Armazém</v>
          </cell>
          <cell r="B395">
            <v>304065</v>
          </cell>
          <cell r="C395">
            <v>-28.245296280000002</v>
          </cell>
          <cell r="D395">
            <v>-49.021937809999997</v>
          </cell>
        </row>
        <row r="396">
          <cell r="A396" t="str">
            <v>Arneiroz</v>
          </cell>
          <cell r="B396">
            <v>301012</v>
          </cell>
          <cell r="C396">
            <v>-6.3169103010000001</v>
          </cell>
          <cell r="D396">
            <v>-40.165610360000002</v>
          </cell>
        </row>
        <row r="397">
          <cell r="A397" t="str">
            <v>Aroazes</v>
          </cell>
          <cell r="B397">
            <v>301009</v>
          </cell>
          <cell r="C397">
            <v>-6.1106300610000002</v>
          </cell>
          <cell r="D397">
            <v>-41.782516370000003</v>
          </cell>
        </row>
        <row r="398">
          <cell r="A398" t="str">
            <v>Aroeiras</v>
          </cell>
          <cell r="B398">
            <v>300657</v>
          </cell>
          <cell r="C398">
            <v>-7.5451527670000003</v>
          </cell>
          <cell r="D398">
            <v>-35.706843079999999</v>
          </cell>
        </row>
        <row r="399">
          <cell r="A399" t="str">
            <v>Aroeiras do Itaim</v>
          </cell>
          <cell r="B399">
            <v>300952</v>
          </cell>
          <cell r="C399">
            <v>-7.2773217719999996</v>
          </cell>
          <cell r="D399">
            <v>-41.565203799999999</v>
          </cell>
        </row>
        <row r="400">
          <cell r="A400" t="str">
            <v>Arraial</v>
          </cell>
          <cell r="B400">
            <v>301822</v>
          </cell>
          <cell r="C400">
            <v>-6.6517566659999998</v>
          </cell>
          <cell r="D400">
            <v>-42.534880319999999</v>
          </cell>
        </row>
        <row r="401">
          <cell r="A401" t="str">
            <v>Arraial do Cabo</v>
          </cell>
          <cell r="B401">
            <v>303067</v>
          </cell>
          <cell r="C401">
            <v>-22.97793661</v>
          </cell>
          <cell r="D401">
            <v>-42.027079909999998</v>
          </cell>
        </row>
        <row r="402">
          <cell r="A402" t="str">
            <v>Arraias</v>
          </cell>
          <cell r="B402">
            <v>303050</v>
          </cell>
          <cell r="C402">
            <v>-12.92276214</v>
          </cell>
          <cell r="D402">
            <v>-46.948457210000001</v>
          </cell>
        </row>
        <row r="403">
          <cell r="A403" t="str">
            <v>Arroio do Meio</v>
          </cell>
          <cell r="B403">
            <v>305785</v>
          </cell>
          <cell r="C403">
            <v>-29.400980789999998</v>
          </cell>
          <cell r="D403">
            <v>-51.944941329999999</v>
          </cell>
        </row>
        <row r="404">
          <cell r="A404" t="str">
            <v>Arroio do Padre</v>
          </cell>
          <cell r="B404">
            <v>300395</v>
          </cell>
          <cell r="C404">
            <v>-31.442638689999999</v>
          </cell>
          <cell r="D404">
            <v>-52.422177349999998</v>
          </cell>
        </row>
        <row r="405">
          <cell r="A405" t="str">
            <v>Arroio do Sal</v>
          </cell>
          <cell r="B405">
            <v>304133</v>
          </cell>
          <cell r="C405">
            <v>-29.544355960000001</v>
          </cell>
          <cell r="D405">
            <v>-49.889980129999998</v>
          </cell>
        </row>
        <row r="406">
          <cell r="A406" t="str">
            <v>Arroio do Tigre</v>
          </cell>
          <cell r="B406">
            <v>305407</v>
          </cell>
          <cell r="C406">
            <v>-29.333600270000002</v>
          </cell>
          <cell r="D406">
            <v>-53.08636379</v>
          </cell>
        </row>
        <row r="407">
          <cell r="A407" t="str">
            <v>Arroio dos Ratos</v>
          </cell>
          <cell r="B407">
            <v>305783</v>
          </cell>
          <cell r="C407">
            <v>-30.088023589999999</v>
          </cell>
          <cell r="D407">
            <v>-51.727936769999999</v>
          </cell>
        </row>
        <row r="408">
          <cell r="A408" t="str">
            <v>Arroio Grande</v>
          </cell>
          <cell r="B408">
            <v>305841</v>
          </cell>
          <cell r="C408">
            <v>-32.233133420000001</v>
          </cell>
          <cell r="D408">
            <v>-53.08663215</v>
          </cell>
        </row>
        <row r="409">
          <cell r="A409" t="str">
            <v>Arroio Trinta</v>
          </cell>
          <cell r="B409">
            <v>305078</v>
          </cell>
          <cell r="C409">
            <v>-26.926129299999999</v>
          </cell>
          <cell r="D409">
            <v>-51.341160860000002</v>
          </cell>
        </row>
        <row r="410">
          <cell r="A410" t="str">
            <v>Artigas</v>
          </cell>
          <cell r="B410">
            <v>314300</v>
          </cell>
          <cell r="C410">
            <v>-30.397731830000001</v>
          </cell>
          <cell r="D410">
            <v>-56.470010690000002</v>
          </cell>
        </row>
        <row r="411">
          <cell r="A411" t="str">
            <v>Artur Nogueira</v>
          </cell>
          <cell r="B411">
            <v>303711</v>
          </cell>
          <cell r="C411">
            <v>-22.57321194</v>
          </cell>
          <cell r="D411">
            <v>-47.173078879999998</v>
          </cell>
        </row>
        <row r="412">
          <cell r="A412" t="str">
            <v>Aruanã</v>
          </cell>
          <cell r="B412">
            <v>304545</v>
          </cell>
          <cell r="C412">
            <v>-14.926272259999999</v>
          </cell>
          <cell r="D412">
            <v>-51.08081791</v>
          </cell>
        </row>
        <row r="413">
          <cell r="A413" t="str">
            <v>Arujá</v>
          </cell>
          <cell r="B413">
            <v>303931</v>
          </cell>
          <cell r="C413">
            <v>-23.396955599999998</v>
          </cell>
          <cell r="D413">
            <v>-46.320379520000003</v>
          </cell>
        </row>
        <row r="414">
          <cell r="A414" t="str">
            <v>Arvoredo</v>
          </cell>
          <cell r="B414">
            <v>305290</v>
          </cell>
          <cell r="C414">
            <v>-27.075287070000002</v>
          </cell>
          <cell r="D414">
            <v>-52.454709489999999</v>
          </cell>
        </row>
        <row r="415">
          <cell r="A415" t="str">
            <v>Arvorezinha</v>
          </cell>
          <cell r="B415">
            <v>305224</v>
          </cell>
          <cell r="C415">
            <v>-28.874165130000002</v>
          </cell>
          <cell r="D415">
            <v>-52.178535240000002</v>
          </cell>
        </row>
        <row r="416">
          <cell r="A416" t="str">
            <v>Ascurra</v>
          </cell>
          <cell r="B416">
            <v>304214</v>
          </cell>
          <cell r="C416">
            <v>-26.955301420000001</v>
          </cell>
          <cell r="D416">
            <v>-49.37870916</v>
          </cell>
        </row>
        <row r="417">
          <cell r="A417" t="str">
            <v>Aspásia</v>
          </cell>
          <cell r="B417">
            <v>304369</v>
          </cell>
          <cell r="C417">
            <v>-20.158993460000001</v>
          </cell>
          <cell r="D417">
            <v>-50.726947320000001</v>
          </cell>
        </row>
        <row r="418">
          <cell r="A418" t="str">
            <v>Assaí</v>
          </cell>
          <cell r="B418">
            <v>304728</v>
          </cell>
          <cell r="C418">
            <v>-23.370146609999999</v>
          </cell>
          <cell r="D418">
            <v>-50.846351140000003</v>
          </cell>
        </row>
        <row r="419">
          <cell r="A419" t="str">
            <v>Assaré</v>
          </cell>
          <cell r="B419">
            <v>301014</v>
          </cell>
          <cell r="C419">
            <v>-6.8713113149999998</v>
          </cell>
          <cell r="D419">
            <v>-39.871096770000001</v>
          </cell>
        </row>
        <row r="420">
          <cell r="A420" t="str">
            <v>Assis</v>
          </cell>
          <cell r="B420">
            <v>304496</v>
          </cell>
          <cell r="C420">
            <v>-22.66042388</v>
          </cell>
          <cell r="D420">
            <v>-50.41872824</v>
          </cell>
        </row>
        <row r="421">
          <cell r="A421" t="str">
            <v>Assis Brasil</v>
          </cell>
          <cell r="B421">
            <v>305865</v>
          </cell>
          <cell r="C421">
            <v>-10.939381790000001</v>
          </cell>
          <cell r="D421">
            <v>-69.565833370000007</v>
          </cell>
        </row>
        <row r="422">
          <cell r="A422" t="str">
            <v>Assis Chateaubriand</v>
          </cell>
          <cell r="B422">
            <v>305003</v>
          </cell>
          <cell r="C422">
            <v>-24.41728848</v>
          </cell>
          <cell r="D422">
            <v>-53.521773039999999</v>
          </cell>
        </row>
        <row r="423">
          <cell r="A423" t="str">
            <v>Assunção</v>
          </cell>
          <cell r="B423">
            <v>300767</v>
          </cell>
          <cell r="C423">
            <v>-7.0750102640000003</v>
          </cell>
          <cell r="D423">
            <v>-36.731368089999997</v>
          </cell>
        </row>
        <row r="424">
          <cell r="A424" t="str">
            <v>Assunção do Piauí</v>
          </cell>
          <cell r="B424">
            <v>301004</v>
          </cell>
          <cell r="C424">
            <v>-5.865404056</v>
          </cell>
          <cell r="D424">
            <v>-41.039182140000001</v>
          </cell>
        </row>
        <row r="425">
          <cell r="A425" t="str">
            <v>Astolfo Dutra</v>
          </cell>
          <cell r="B425">
            <v>303264</v>
          </cell>
          <cell r="C425">
            <v>-21.31891976</v>
          </cell>
          <cell r="D425">
            <v>-42.857570629999998</v>
          </cell>
        </row>
        <row r="426">
          <cell r="A426" t="str">
            <v>Astorga</v>
          </cell>
          <cell r="B426">
            <v>304763</v>
          </cell>
          <cell r="C426">
            <v>-23.232292019999999</v>
          </cell>
          <cell r="D426">
            <v>-51.667207810000001</v>
          </cell>
        </row>
        <row r="427">
          <cell r="A427" t="str">
            <v>Asunción</v>
          </cell>
          <cell r="B427">
            <v>295791</v>
          </cell>
          <cell r="C427">
            <v>-25.27090256</v>
          </cell>
          <cell r="D427">
            <v>-57.670945699999997</v>
          </cell>
        </row>
        <row r="428">
          <cell r="A428" t="str">
            <v>Atalaia</v>
          </cell>
          <cell r="B428">
            <v>301149</v>
          </cell>
          <cell r="C428">
            <v>-9.5123316150000008</v>
          </cell>
          <cell r="D428">
            <v>-36.008849830000003</v>
          </cell>
        </row>
        <row r="429">
          <cell r="A429" t="str">
            <v>Atalaia</v>
          </cell>
          <cell r="B429">
            <v>304782</v>
          </cell>
          <cell r="C429">
            <v>-23.152184760000001</v>
          </cell>
          <cell r="D429">
            <v>-52.055528930000001</v>
          </cell>
        </row>
        <row r="430">
          <cell r="A430" t="str">
            <v>Atalaia do Norte</v>
          </cell>
          <cell r="B430">
            <v>305838</v>
          </cell>
          <cell r="C430">
            <v>-4.3678484299999996</v>
          </cell>
          <cell r="D430">
            <v>-70.191077190000001</v>
          </cell>
        </row>
        <row r="431">
          <cell r="A431" t="str">
            <v>Atalanta</v>
          </cell>
          <cell r="B431">
            <v>304087</v>
          </cell>
          <cell r="C431">
            <v>-27.422396190000001</v>
          </cell>
          <cell r="D431">
            <v>-49.779296619999997</v>
          </cell>
        </row>
        <row r="432">
          <cell r="A432" t="str">
            <v>Atalaya</v>
          </cell>
          <cell r="B432">
            <v>314475</v>
          </cell>
          <cell r="C432">
            <v>-10.72829263</v>
          </cell>
          <cell r="D432">
            <v>-73.78009179</v>
          </cell>
        </row>
        <row r="433">
          <cell r="A433" t="str">
            <v>Ataléia</v>
          </cell>
          <cell r="B433">
            <v>302490</v>
          </cell>
          <cell r="C433">
            <v>-18.044276079999999</v>
          </cell>
          <cell r="D433">
            <v>-41.115247889999999</v>
          </cell>
        </row>
        <row r="434">
          <cell r="A434" t="str">
            <v>Atibaia</v>
          </cell>
          <cell r="B434">
            <v>303937</v>
          </cell>
          <cell r="C434">
            <v>-23.11753715</v>
          </cell>
          <cell r="D434">
            <v>-46.5566593</v>
          </cell>
        </row>
        <row r="435">
          <cell r="A435" t="str">
            <v>Atilio Vivacqua</v>
          </cell>
          <cell r="B435">
            <v>302620</v>
          </cell>
          <cell r="C435">
            <v>-20.913456740000001</v>
          </cell>
          <cell r="D435">
            <v>-41.198929659999997</v>
          </cell>
        </row>
        <row r="436">
          <cell r="A436" t="str">
            <v>Augustinópolis</v>
          </cell>
          <cell r="B436">
            <v>301979</v>
          </cell>
          <cell r="C436">
            <v>-5.4690306340000001</v>
          </cell>
          <cell r="D436">
            <v>-47.886641509999997</v>
          </cell>
        </row>
        <row r="437">
          <cell r="A437" t="str">
            <v>Augusto Corrêa</v>
          </cell>
          <cell r="B437">
            <v>301879</v>
          </cell>
          <cell r="C437">
            <v>-1.022010482</v>
          </cell>
          <cell r="D437">
            <v>-46.645916819999997</v>
          </cell>
        </row>
        <row r="438">
          <cell r="A438" t="str">
            <v>Augusto de Lima</v>
          </cell>
          <cell r="B438">
            <v>302950</v>
          </cell>
          <cell r="C438">
            <v>-18.10017947</v>
          </cell>
          <cell r="D438">
            <v>-44.265892119999997</v>
          </cell>
        </row>
        <row r="439">
          <cell r="A439" t="str">
            <v>Augusto Pestana</v>
          </cell>
          <cell r="B439">
            <v>305456</v>
          </cell>
          <cell r="C439">
            <v>-28.517717409999999</v>
          </cell>
          <cell r="D439">
            <v>-53.98875701</v>
          </cell>
        </row>
        <row r="440">
          <cell r="A440" t="str">
            <v>Augusto Severo</v>
          </cell>
          <cell r="B440">
            <v>300553</v>
          </cell>
          <cell r="C440">
            <v>-5.8540101020000002</v>
          </cell>
          <cell r="D440">
            <v>-37.310876800000003</v>
          </cell>
        </row>
        <row r="441">
          <cell r="A441" t="str">
            <v>Áurea</v>
          </cell>
          <cell r="B441">
            <v>305155</v>
          </cell>
          <cell r="C441">
            <v>-27.694059509999999</v>
          </cell>
          <cell r="D441">
            <v>-52.050955449999996</v>
          </cell>
        </row>
        <row r="442">
          <cell r="A442" t="str">
            <v>Aurelino Leal</v>
          </cell>
          <cell r="B442">
            <v>302387</v>
          </cell>
          <cell r="C442">
            <v>-14.318110069999999</v>
          </cell>
          <cell r="D442">
            <v>-39.322665700000002</v>
          </cell>
        </row>
        <row r="443">
          <cell r="A443" t="str">
            <v>Auriflama</v>
          </cell>
          <cell r="B443">
            <v>304379</v>
          </cell>
          <cell r="C443">
            <v>-20.685992639999998</v>
          </cell>
          <cell r="D443">
            <v>-50.554947390000002</v>
          </cell>
        </row>
        <row r="444">
          <cell r="A444" t="str">
            <v>Aurilândia</v>
          </cell>
          <cell r="B444">
            <v>304977</v>
          </cell>
          <cell r="C444">
            <v>-16.677708039999999</v>
          </cell>
          <cell r="D444">
            <v>-50.464529159999998</v>
          </cell>
        </row>
        <row r="445">
          <cell r="A445" t="str">
            <v>Aurora</v>
          </cell>
          <cell r="B445">
            <v>300833</v>
          </cell>
          <cell r="C445">
            <v>-6.9339027990000002</v>
          </cell>
          <cell r="D445">
            <v>-38.974538379999998</v>
          </cell>
        </row>
        <row r="446">
          <cell r="A446" t="str">
            <v>Aurora</v>
          </cell>
          <cell r="B446">
            <v>304083</v>
          </cell>
          <cell r="C446">
            <v>-27.310266420000001</v>
          </cell>
          <cell r="D446">
            <v>-49.629957189999999</v>
          </cell>
        </row>
        <row r="447">
          <cell r="A447" t="str">
            <v>Aurora do Pará</v>
          </cell>
          <cell r="B447">
            <v>302140</v>
          </cell>
          <cell r="C447">
            <v>-2.133448778</v>
          </cell>
          <cell r="D447">
            <v>-47.560315469999999</v>
          </cell>
        </row>
        <row r="448">
          <cell r="A448" t="str">
            <v>Aurora do Tocantins</v>
          </cell>
          <cell r="B448">
            <v>302862</v>
          </cell>
          <cell r="C448">
            <v>-12.710888840000001</v>
          </cell>
          <cell r="D448">
            <v>-46.407977760000001</v>
          </cell>
        </row>
        <row r="449">
          <cell r="A449" t="str">
            <v>Autazes</v>
          </cell>
          <cell r="B449">
            <v>304631</v>
          </cell>
          <cell r="C449">
            <v>-3.5861294109999999</v>
          </cell>
          <cell r="D449">
            <v>-59.126024719999997</v>
          </cell>
        </row>
        <row r="450">
          <cell r="A450" t="str">
            <v>Avaí</v>
          </cell>
          <cell r="B450">
            <v>303885</v>
          </cell>
          <cell r="C450">
            <v>-22.1571067</v>
          </cell>
          <cell r="D450">
            <v>-49.331009739999999</v>
          </cell>
        </row>
        <row r="451">
          <cell r="A451" t="str">
            <v>Avanhandava</v>
          </cell>
          <cell r="B451">
            <v>303872</v>
          </cell>
          <cell r="C451">
            <v>-21.45888068</v>
          </cell>
          <cell r="D451">
            <v>-49.951307759999999</v>
          </cell>
        </row>
        <row r="452">
          <cell r="A452" t="str">
            <v>Avaré</v>
          </cell>
          <cell r="B452">
            <v>303947</v>
          </cell>
          <cell r="C452">
            <v>-23.107204029999998</v>
          </cell>
          <cell r="D452">
            <v>-48.925465039999999</v>
          </cell>
        </row>
        <row r="453">
          <cell r="A453" t="str">
            <v>Aveiro</v>
          </cell>
          <cell r="B453">
            <v>304166</v>
          </cell>
          <cell r="C453">
            <v>-3.608803296</v>
          </cell>
          <cell r="D453">
            <v>-55.320356779999997</v>
          </cell>
        </row>
        <row r="454">
          <cell r="A454" t="str">
            <v>Avelino Lopes</v>
          </cell>
          <cell r="B454">
            <v>302064</v>
          </cell>
          <cell r="C454">
            <v>-10.13467037</v>
          </cell>
          <cell r="D454">
            <v>-43.949555199999999</v>
          </cell>
        </row>
        <row r="455">
          <cell r="A455" t="str">
            <v>Avelinópolis</v>
          </cell>
          <cell r="B455">
            <v>302609</v>
          </cell>
          <cell r="C455">
            <v>-16.467689660000001</v>
          </cell>
          <cell r="D455">
            <v>-49.758267410000002</v>
          </cell>
        </row>
        <row r="456">
          <cell r="A456" t="str">
            <v>Axixá</v>
          </cell>
          <cell r="B456">
            <v>301678</v>
          </cell>
          <cell r="C456">
            <v>-2.8366485830000001</v>
          </cell>
          <cell r="D456">
            <v>-44.056436310000002</v>
          </cell>
        </row>
        <row r="457">
          <cell r="A457" t="str">
            <v>Axixá do Tocantins</v>
          </cell>
          <cell r="B457">
            <v>301980</v>
          </cell>
          <cell r="C457">
            <v>-5.6179981479999999</v>
          </cell>
          <cell r="D457">
            <v>-47.772076550000001</v>
          </cell>
        </row>
        <row r="458">
          <cell r="A458" t="str">
            <v>Ayolas</v>
          </cell>
          <cell r="B458">
            <v>314412</v>
          </cell>
          <cell r="C458">
            <v>-27.392843160000002</v>
          </cell>
          <cell r="D458">
            <v>-56.813489760000003</v>
          </cell>
        </row>
        <row r="459">
          <cell r="A459" t="str">
            <v>Babaçulândia</v>
          </cell>
          <cell r="B459">
            <v>302010</v>
          </cell>
          <cell r="C459">
            <v>-7.204782442</v>
          </cell>
          <cell r="D459">
            <v>-47.761400960000003</v>
          </cell>
        </row>
        <row r="460">
          <cell r="A460" t="str">
            <v>Bacabal</v>
          </cell>
          <cell r="B460">
            <v>302434</v>
          </cell>
          <cell r="C460">
            <v>-4.224863397</v>
          </cell>
          <cell r="D460">
            <v>-44.783538280000002</v>
          </cell>
        </row>
        <row r="461">
          <cell r="A461" t="str">
            <v>Bacabeira</v>
          </cell>
          <cell r="B461">
            <v>301682</v>
          </cell>
          <cell r="C461">
            <v>-2.9765020579999999</v>
          </cell>
          <cell r="D461">
            <v>-44.31424844</v>
          </cell>
        </row>
        <row r="462">
          <cell r="A462" t="str">
            <v>Bacuri</v>
          </cell>
          <cell r="B462">
            <v>301668</v>
          </cell>
          <cell r="C462">
            <v>-1.725733022</v>
          </cell>
          <cell r="D462">
            <v>-45.139968789999998</v>
          </cell>
        </row>
        <row r="463">
          <cell r="A463" t="str">
            <v>Bacurituba</v>
          </cell>
          <cell r="B463">
            <v>301690</v>
          </cell>
          <cell r="C463">
            <v>-2.7077712869999999</v>
          </cell>
          <cell r="D463">
            <v>-44.737984390000001</v>
          </cell>
        </row>
        <row r="464">
          <cell r="A464" t="str">
            <v>Bady Bassitt</v>
          </cell>
          <cell r="B464">
            <v>303428</v>
          </cell>
          <cell r="C464">
            <v>-20.917991969999999</v>
          </cell>
          <cell r="D464">
            <v>-49.444948979999999</v>
          </cell>
        </row>
        <row r="465">
          <cell r="A465" t="str">
            <v>Baependi</v>
          </cell>
          <cell r="B465">
            <v>303177</v>
          </cell>
          <cell r="C465">
            <v>-21.957472450000001</v>
          </cell>
          <cell r="D465">
            <v>-44.887808579999998</v>
          </cell>
        </row>
        <row r="466">
          <cell r="A466" t="str">
            <v>Bagé</v>
          </cell>
          <cell r="B466">
            <v>305811</v>
          </cell>
          <cell r="C466">
            <v>-31.330979169999999</v>
          </cell>
          <cell r="D466">
            <v>-54.106936650000002</v>
          </cell>
        </row>
        <row r="467">
          <cell r="A467" t="str">
            <v>Bagre</v>
          </cell>
          <cell r="B467">
            <v>301945</v>
          </cell>
          <cell r="C467">
            <v>-1.9009464030000001</v>
          </cell>
          <cell r="D467">
            <v>-50.199077850000002</v>
          </cell>
        </row>
        <row r="468">
          <cell r="A468" t="str">
            <v>Baía da Traição</v>
          </cell>
          <cell r="B468">
            <v>302334</v>
          </cell>
          <cell r="C468">
            <v>-6.690412265</v>
          </cell>
          <cell r="D468">
            <v>-34.933525449999998</v>
          </cell>
        </row>
        <row r="469">
          <cell r="A469" t="str">
            <v>Baía Formosa</v>
          </cell>
          <cell r="B469">
            <v>302332</v>
          </cell>
          <cell r="C469">
            <v>-6.3711818210000004</v>
          </cell>
          <cell r="D469">
            <v>-35.00714559</v>
          </cell>
        </row>
        <row r="470">
          <cell r="A470" t="str">
            <v>Baianópolis</v>
          </cell>
          <cell r="B470">
            <v>302085</v>
          </cell>
          <cell r="C470">
            <v>-12.30756938</v>
          </cell>
          <cell r="D470">
            <v>-44.53864952</v>
          </cell>
        </row>
        <row r="471">
          <cell r="A471" t="str">
            <v>Baião</v>
          </cell>
          <cell r="B471">
            <v>301948</v>
          </cell>
          <cell r="C471">
            <v>-2.7905983980000002</v>
          </cell>
          <cell r="D471">
            <v>-49.669827980000001</v>
          </cell>
        </row>
        <row r="472">
          <cell r="A472" t="str">
            <v>Baixa Grande</v>
          </cell>
          <cell r="B472">
            <v>301458</v>
          </cell>
          <cell r="C472">
            <v>-11.956107960000001</v>
          </cell>
          <cell r="D472">
            <v>-40.168693230000002</v>
          </cell>
        </row>
        <row r="473">
          <cell r="A473" t="str">
            <v>Baixa Grande do Ribeiro</v>
          </cell>
          <cell r="B473">
            <v>301877</v>
          </cell>
          <cell r="C473">
            <v>-7.8598806479999999</v>
          </cell>
          <cell r="D473">
            <v>-45.209829730000003</v>
          </cell>
        </row>
        <row r="474">
          <cell r="A474" t="str">
            <v>Baixio</v>
          </cell>
          <cell r="B474">
            <v>301001</v>
          </cell>
          <cell r="C474">
            <v>-6.7202551609999999</v>
          </cell>
          <cell r="D474">
            <v>-38.714036270000001</v>
          </cell>
        </row>
        <row r="475">
          <cell r="A475" t="str">
            <v>Baixo Guandu</v>
          </cell>
          <cell r="B475">
            <v>302531</v>
          </cell>
          <cell r="C475">
            <v>-19.521760520000001</v>
          </cell>
          <cell r="D475">
            <v>-41.011262170000002</v>
          </cell>
        </row>
        <row r="476">
          <cell r="A476" t="str">
            <v>Balbinos</v>
          </cell>
          <cell r="B476">
            <v>300414</v>
          </cell>
          <cell r="C476">
            <v>-21.899990509999999</v>
          </cell>
          <cell r="D476">
            <v>-49.356948770000002</v>
          </cell>
        </row>
        <row r="477">
          <cell r="A477" t="str">
            <v>Baldim</v>
          </cell>
          <cell r="B477">
            <v>302817</v>
          </cell>
          <cell r="C477">
            <v>-19.287992970000001</v>
          </cell>
          <cell r="D477">
            <v>-43.956957899999999</v>
          </cell>
        </row>
        <row r="478">
          <cell r="A478" t="str">
            <v>Baliza</v>
          </cell>
          <cell r="B478">
            <v>304532</v>
          </cell>
          <cell r="C478">
            <v>-16.197547019999998</v>
          </cell>
          <cell r="D478">
            <v>-52.544385409999997</v>
          </cell>
        </row>
        <row r="479">
          <cell r="A479" t="str">
            <v>Balneário Arroio do Silva</v>
          </cell>
          <cell r="B479">
            <v>304115</v>
          </cell>
          <cell r="C479">
            <v>-28.98112845</v>
          </cell>
          <cell r="D479">
            <v>-49.424126559999998</v>
          </cell>
        </row>
        <row r="480">
          <cell r="A480" t="str">
            <v>Balneário Barra do Sul</v>
          </cell>
          <cell r="B480">
            <v>303996</v>
          </cell>
          <cell r="C480">
            <v>-26.460189580000002</v>
          </cell>
          <cell r="D480">
            <v>-48.6127392</v>
          </cell>
        </row>
        <row r="481">
          <cell r="A481" t="str">
            <v>Balneário Camboriú</v>
          </cell>
          <cell r="B481">
            <v>304004</v>
          </cell>
          <cell r="C481">
            <v>-26.99307675</v>
          </cell>
          <cell r="D481">
            <v>-48.635576319999998</v>
          </cell>
        </row>
        <row r="482">
          <cell r="A482" t="str">
            <v>Balneário Gaivota</v>
          </cell>
          <cell r="B482">
            <v>304119</v>
          </cell>
          <cell r="C482">
            <v>-29.153204250000002</v>
          </cell>
          <cell r="D482">
            <v>-49.584531380000001</v>
          </cell>
        </row>
        <row r="483">
          <cell r="A483" t="str">
            <v>Balneário Piçarras</v>
          </cell>
          <cell r="B483">
            <v>304001</v>
          </cell>
          <cell r="C483">
            <v>-26.769786119999999</v>
          </cell>
          <cell r="D483">
            <v>-48.676713769999999</v>
          </cell>
        </row>
        <row r="484">
          <cell r="A484" t="str">
            <v>Balneário Pinhal</v>
          </cell>
          <cell r="B484">
            <v>304665</v>
          </cell>
          <cell r="C484">
            <v>-30.24242199</v>
          </cell>
          <cell r="D484">
            <v>-50.234103560000001</v>
          </cell>
        </row>
        <row r="485">
          <cell r="A485" t="str">
            <v>Balneário Rincão</v>
          </cell>
          <cell r="B485">
            <v>300358</v>
          </cell>
          <cell r="C485">
            <v>-28.804911069999999</v>
          </cell>
          <cell r="D485">
            <v>-49.24111937</v>
          </cell>
        </row>
        <row r="486">
          <cell r="A486" t="str">
            <v>Balsa Nova</v>
          </cell>
          <cell r="B486">
            <v>304037</v>
          </cell>
          <cell r="C486">
            <v>-25.580846510000001</v>
          </cell>
          <cell r="D486">
            <v>-49.629504779999998</v>
          </cell>
        </row>
        <row r="487">
          <cell r="A487" t="str">
            <v>Bálsamo</v>
          </cell>
          <cell r="B487">
            <v>303431</v>
          </cell>
          <cell r="C487">
            <v>-20.73499228</v>
          </cell>
          <cell r="D487">
            <v>-49.583948829999997</v>
          </cell>
        </row>
        <row r="488">
          <cell r="A488" t="str">
            <v>Balsas</v>
          </cell>
          <cell r="B488">
            <v>301878</v>
          </cell>
          <cell r="C488">
            <v>-7.5325538879999998</v>
          </cell>
          <cell r="D488">
            <v>-46.037528459999997</v>
          </cell>
        </row>
        <row r="489">
          <cell r="A489" t="str">
            <v>Bambuí</v>
          </cell>
          <cell r="B489">
            <v>303244</v>
          </cell>
          <cell r="C489">
            <v>-20.017087239999999</v>
          </cell>
          <cell r="D489">
            <v>-45.975755049999997</v>
          </cell>
        </row>
        <row r="490">
          <cell r="A490" t="str">
            <v>Banabuiú</v>
          </cell>
          <cell r="B490">
            <v>300916</v>
          </cell>
          <cell r="C490">
            <v>-5.3049497890000001</v>
          </cell>
          <cell r="D490">
            <v>-38.91349099</v>
          </cell>
        </row>
        <row r="491">
          <cell r="A491" t="str">
            <v>Bananal</v>
          </cell>
          <cell r="B491">
            <v>303600</v>
          </cell>
          <cell r="C491">
            <v>-22.682414210000001</v>
          </cell>
          <cell r="D491">
            <v>-44.328494630000002</v>
          </cell>
        </row>
        <row r="492">
          <cell r="A492" t="str">
            <v>Bananeiras</v>
          </cell>
          <cell r="B492">
            <v>300442</v>
          </cell>
          <cell r="C492">
            <v>-6.7443503720000004</v>
          </cell>
          <cell r="D492">
            <v>-35.630894660000003</v>
          </cell>
        </row>
        <row r="493">
          <cell r="A493" t="str">
            <v>Bandeira</v>
          </cell>
          <cell r="B493">
            <v>301613</v>
          </cell>
          <cell r="C493">
            <v>-15.88388834</v>
          </cell>
          <cell r="D493">
            <v>-40.56112083</v>
          </cell>
        </row>
        <row r="494">
          <cell r="A494" t="str">
            <v>Bandeira do Sul</v>
          </cell>
          <cell r="B494">
            <v>303508</v>
          </cell>
          <cell r="C494">
            <v>-21.731272180000001</v>
          </cell>
          <cell r="D494">
            <v>-46.383739210000002</v>
          </cell>
        </row>
        <row r="495">
          <cell r="A495" t="str">
            <v>Bandeirante</v>
          </cell>
          <cell r="B495">
            <v>305352</v>
          </cell>
          <cell r="C495">
            <v>-26.770965709999999</v>
          </cell>
          <cell r="D495">
            <v>-53.641781590000001</v>
          </cell>
        </row>
        <row r="496">
          <cell r="A496" t="str">
            <v>Bandeirantes</v>
          </cell>
          <cell r="B496">
            <v>304717</v>
          </cell>
          <cell r="C496">
            <v>-23.10825621</v>
          </cell>
          <cell r="D496">
            <v>-50.370829319999999</v>
          </cell>
        </row>
        <row r="497">
          <cell r="A497" t="str">
            <v>Bandeirantes</v>
          </cell>
          <cell r="B497">
            <v>305737</v>
          </cell>
          <cell r="C497">
            <v>-19.921352110000001</v>
          </cell>
          <cell r="D497">
            <v>-54.36399436</v>
          </cell>
        </row>
        <row r="498">
          <cell r="A498" t="str">
            <v>Bandeirantes do Tocantins</v>
          </cell>
          <cell r="B498">
            <v>302030</v>
          </cell>
          <cell r="C498">
            <v>-7.7604356240000003</v>
          </cell>
          <cell r="D498">
            <v>-48.5774598</v>
          </cell>
        </row>
        <row r="499">
          <cell r="A499" t="str">
            <v>Bannach</v>
          </cell>
          <cell r="B499">
            <v>304156</v>
          </cell>
          <cell r="C499">
            <v>-7.3516915999999997</v>
          </cell>
          <cell r="D499">
            <v>-50.407687449999997</v>
          </cell>
        </row>
        <row r="500">
          <cell r="A500" t="str">
            <v>Banzaê</v>
          </cell>
          <cell r="B500">
            <v>301313</v>
          </cell>
          <cell r="C500">
            <v>-10.583047629999999</v>
          </cell>
          <cell r="D500">
            <v>-38.613084809999997</v>
          </cell>
        </row>
        <row r="501">
          <cell r="A501" t="str">
            <v>Barão</v>
          </cell>
          <cell r="B501">
            <v>305506</v>
          </cell>
          <cell r="C501">
            <v>-29.37636363</v>
          </cell>
          <cell r="D501">
            <v>-51.499334400000002</v>
          </cell>
        </row>
        <row r="502">
          <cell r="A502" t="str">
            <v>Barão de Antonina</v>
          </cell>
          <cell r="B502">
            <v>304209</v>
          </cell>
          <cell r="C502">
            <v>-23.628890770000002</v>
          </cell>
          <cell r="D502">
            <v>-49.563784800000001</v>
          </cell>
        </row>
        <row r="503">
          <cell r="A503" t="str">
            <v>Barão de Cocais</v>
          </cell>
          <cell r="B503">
            <v>303057</v>
          </cell>
          <cell r="C503">
            <v>-19.939417259999999</v>
          </cell>
          <cell r="D503">
            <v>-43.475891689999997</v>
          </cell>
        </row>
        <row r="504">
          <cell r="A504" t="str">
            <v>Barão de Cotegipe</v>
          </cell>
          <cell r="B504">
            <v>305160</v>
          </cell>
          <cell r="C504">
            <v>-27.621257310000001</v>
          </cell>
          <cell r="D504">
            <v>-52.380271229999998</v>
          </cell>
        </row>
        <row r="505">
          <cell r="A505" t="str">
            <v>Barão de Grajaú</v>
          </cell>
          <cell r="B505">
            <v>301838</v>
          </cell>
          <cell r="C505">
            <v>-6.7564405580000004</v>
          </cell>
          <cell r="D505">
            <v>-43.026904629999997</v>
          </cell>
        </row>
        <row r="506">
          <cell r="A506" t="str">
            <v>Barão de Melgaço</v>
          </cell>
          <cell r="B506">
            <v>304653</v>
          </cell>
          <cell r="C506">
            <v>-16.197084159999999</v>
          </cell>
          <cell r="D506">
            <v>-55.96655466</v>
          </cell>
        </row>
        <row r="507">
          <cell r="A507" t="str">
            <v>Barão de Monte Alto</v>
          </cell>
          <cell r="B507">
            <v>304917</v>
          </cell>
          <cell r="C507">
            <v>-21.24488483</v>
          </cell>
          <cell r="D507">
            <v>-42.237546999999999</v>
          </cell>
        </row>
        <row r="508">
          <cell r="A508" t="str">
            <v>Barão do Triunfo</v>
          </cell>
          <cell r="B508">
            <v>305784</v>
          </cell>
          <cell r="C508">
            <v>-30.389551000000001</v>
          </cell>
          <cell r="D508">
            <v>-51.73890024</v>
          </cell>
        </row>
        <row r="509">
          <cell r="A509" t="str">
            <v>Baraúna</v>
          </cell>
          <cell r="B509">
            <v>300537</v>
          </cell>
          <cell r="C509">
            <v>-5.0701749390000002</v>
          </cell>
          <cell r="D509">
            <v>-37.613217589999998</v>
          </cell>
        </row>
        <row r="510">
          <cell r="A510" t="str">
            <v>Baraúna</v>
          </cell>
          <cell r="B510">
            <v>300640</v>
          </cell>
          <cell r="C510">
            <v>-6.6425272209999999</v>
          </cell>
          <cell r="D510">
            <v>-36.255020629999997</v>
          </cell>
        </row>
        <row r="511">
          <cell r="A511" t="str">
            <v>Barbacena</v>
          </cell>
          <cell r="B511">
            <v>303119</v>
          </cell>
          <cell r="C511">
            <v>-21.221924399999999</v>
          </cell>
          <cell r="D511">
            <v>-43.770638859999998</v>
          </cell>
        </row>
        <row r="512">
          <cell r="A512" t="str">
            <v>Barbalha</v>
          </cell>
          <cell r="B512">
            <v>301178</v>
          </cell>
          <cell r="C512">
            <v>-7.3008429929999998</v>
          </cell>
          <cell r="D512">
            <v>-39.308777499999998</v>
          </cell>
        </row>
        <row r="513">
          <cell r="A513" t="str">
            <v>Barbosa</v>
          </cell>
          <cell r="B513">
            <v>303871</v>
          </cell>
          <cell r="C513">
            <v>-21.266125110000001</v>
          </cell>
          <cell r="D513">
            <v>-49.952230219999997</v>
          </cell>
        </row>
        <row r="514">
          <cell r="A514" t="str">
            <v>Barbosa Ferraz</v>
          </cell>
          <cell r="B514">
            <v>304816</v>
          </cell>
          <cell r="C514">
            <v>-24.033848020000001</v>
          </cell>
          <cell r="D514">
            <v>-52.004398520000002</v>
          </cell>
        </row>
        <row r="515">
          <cell r="A515" t="str">
            <v>Barcarena</v>
          </cell>
          <cell r="B515">
            <v>301933</v>
          </cell>
          <cell r="C515">
            <v>-1.5122515480000001</v>
          </cell>
          <cell r="D515">
            <v>-48.619907400000002</v>
          </cell>
        </row>
        <row r="516">
          <cell r="A516" t="str">
            <v>Barcelona</v>
          </cell>
          <cell r="B516">
            <v>300514</v>
          </cell>
          <cell r="C516">
            <v>-5.9505949449999997</v>
          </cell>
          <cell r="D516">
            <v>-35.927993950000001</v>
          </cell>
        </row>
        <row r="517">
          <cell r="A517" t="str">
            <v>Barcelos</v>
          </cell>
          <cell r="B517">
            <v>304249</v>
          </cell>
          <cell r="C517">
            <v>-0.98374771599999999</v>
          </cell>
          <cell r="D517">
            <v>-62.931504930000003</v>
          </cell>
        </row>
        <row r="518">
          <cell r="A518" t="str">
            <v>Bariri</v>
          </cell>
          <cell r="B518">
            <v>304595</v>
          </cell>
          <cell r="C518">
            <v>-22.073424500000002</v>
          </cell>
          <cell r="D518">
            <v>-48.744236800000003</v>
          </cell>
        </row>
        <row r="519">
          <cell r="A519" t="str">
            <v>Barra</v>
          </cell>
          <cell r="B519">
            <v>302276</v>
          </cell>
          <cell r="C519">
            <v>-11.08633519</v>
          </cell>
          <cell r="D519">
            <v>-43.146263099999999</v>
          </cell>
        </row>
        <row r="520">
          <cell r="A520" t="str">
            <v>Barra Bonita</v>
          </cell>
          <cell r="B520">
            <v>304598</v>
          </cell>
          <cell r="C520">
            <v>-22.491330210000001</v>
          </cell>
          <cell r="D520">
            <v>-48.558757800000002</v>
          </cell>
        </row>
        <row r="521">
          <cell r="A521" t="str">
            <v>Barra Bonita</v>
          </cell>
          <cell r="B521">
            <v>305305</v>
          </cell>
          <cell r="C521">
            <v>-26.65446674</v>
          </cell>
          <cell r="D521">
            <v>-53.440453529999999</v>
          </cell>
        </row>
        <row r="522">
          <cell r="A522" t="str">
            <v>Barra da Estiva</v>
          </cell>
          <cell r="B522">
            <v>301578</v>
          </cell>
          <cell r="C522">
            <v>-13.62731428</v>
          </cell>
          <cell r="D522">
            <v>-41.330582550000003</v>
          </cell>
        </row>
        <row r="523">
          <cell r="A523" t="str">
            <v>Barra D'Alcântara</v>
          </cell>
          <cell r="B523">
            <v>302573</v>
          </cell>
          <cell r="C523">
            <v>-6.5193551879999996</v>
          </cell>
          <cell r="D523">
            <v>-42.106746479999998</v>
          </cell>
        </row>
        <row r="524">
          <cell r="A524" t="str">
            <v>Barra de Guabiraba</v>
          </cell>
          <cell r="B524">
            <v>301103</v>
          </cell>
          <cell r="C524">
            <v>-8.4211782559999993</v>
          </cell>
          <cell r="D524">
            <v>-35.658838350000003</v>
          </cell>
        </row>
        <row r="525">
          <cell r="A525" t="str">
            <v>Barra de Santa Rosa</v>
          </cell>
          <cell r="B525">
            <v>300573</v>
          </cell>
          <cell r="C525">
            <v>-6.7185803120000003</v>
          </cell>
          <cell r="D525">
            <v>-36.067365209999998</v>
          </cell>
        </row>
        <row r="526">
          <cell r="A526" t="str">
            <v>Barra de Santana</v>
          </cell>
          <cell r="B526">
            <v>301321</v>
          </cell>
          <cell r="C526">
            <v>-7.5178283429999997</v>
          </cell>
          <cell r="D526">
            <v>-35.995819419999997</v>
          </cell>
        </row>
        <row r="527">
          <cell r="A527" t="str">
            <v>Barra de Santo Antônio</v>
          </cell>
          <cell r="B527">
            <v>301100</v>
          </cell>
          <cell r="C527">
            <v>-9.4027303750000009</v>
          </cell>
          <cell r="D527">
            <v>-35.510377030000001</v>
          </cell>
        </row>
        <row r="528">
          <cell r="A528" t="str">
            <v>Barra de São Francisco</v>
          </cell>
          <cell r="B528">
            <v>302494</v>
          </cell>
          <cell r="C528">
            <v>-18.75531453</v>
          </cell>
          <cell r="D528">
            <v>-40.896802739999998</v>
          </cell>
        </row>
        <row r="529">
          <cell r="A529" t="str">
            <v>Barra de São Miguel</v>
          </cell>
          <cell r="B529">
            <v>301148</v>
          </cell>
          <cell r="C529">
            <v>-9.8388553309999995</v>
          </cell>
          <cell r="D529">
            <v>-35.905964320000002</v>
          </cell>
        </row>
        <row r="530">
          <cell r="A530" t="str">
            <v>Barra de São Miguel</v>
          </cell>
          <cell r="B530">
            <v>300594</v>
          </cell>
          <cell r="C530">
            <v>-7.7527087430000003</v>
          </cell>
          <cell r="D530">
            <v>-36.31664352</v>
          </cell>
        </row>
        <row r="531">
          <cell r="A531" t="str">
            <v>Barra do Bugres</v>
          </cell>
          <cell r="B531">
            <v>304621</v>
          </cell>
          <cell r="C531">
            <v>-15.07058966</v>
          </cell>
          <cell r="D531">
            <v>-57.188224529999999</v>
          </cell>
        </row>
        <row r="532">
          <cell r="A532" t="str">
            <v>Barra do Chapéu</v>
          </cell>
          <cell r="B532">
            <v>304954</v>
          </cell>
          <cell r="C532">
            <v>-24.472678470000002</v>
          </cell>
          <cell r="D532">
            <v>-49.024202029999998</v>
          </cell>
        </row>
        <row r="533">
          <cell r="A533" t="str">
            <v>Barra do Choça</v>
          </cell>
          <cell r="B533">
            <v>301604</v>
          </cell>
          <cell r="C533">
            <v>-14.865880369999999</v>
          </cell>
          <cell r="D533">
            <v>-40.579395480000002</v>
          </cell>
        </row>
        <row r="534">
          <cell r="A534" t="str">
            <v>Barra do Corda</v>
          </cell>
          <cell r="B534">
            <v>301861</v>
          </cell>
          <cell r="C534">
            <v>-5.4972264070000003</v>
          </cell>
          <cell r="D534">
            <v>-45.248854950000002</v>
          </cell>
        </row>
        <row r="535">
          <cell r="A535" t="str">
            <v>Barra do Garças</v>
          </cell>
          <cell r="B535">
            <v>304522</v>
          </cell>
          <cell r="C535">
            <v>-15.8895322</v>
          </cell>
          <cell r="D535">
            <v>-52.271958570000002</v>
          </cell>
        </row>
        <row r="536">
          <cell r="A536" t="str">
            <v>Barra do Guarita</v>
          </cell>
          <cell r="B536">
            <v>305358</v>
          </cell>
          <cell r="C536">
            <v>-27.193139219999999</v>
          </cell>
          <cell r="D536">
            <v>-53.71132471</v>
          </cell>
        </row>
        <row r="537">
          <cell r="A537" t="str">
            <v>Barra do Jacaré</v>
          </cell>
          <cell r="B537">
            <v>303959</v>
          </cell>
          <cell r="C537">
            <v>-23.116509730000001</v>
          </cell>
          <cell r="D537">
            <v>-50.184583160000003</v>
          </cell>
        </row>
        <row r="538">
          <cell r="A538" t="str">
            <v>Barra do Mendes</v>
          </cell>
          <cell r="B538">
            <v>300409</v>
          </cell>
          <cell r="C538">
            <v>-11.81044024</v>
          </cell>
          <cell r="D538">
            <v>-42.059342739999998</v>
          </cell>
        </row>
        <row r="539">
          <cell r="A539" t="str">
            <v>Barra do Ouro</v>
          </cell>
          <cell r="B539">
            <v>302575</v>
          </cell>
          <cell r="C539">
            <v>-7.6963423290000001</v>
          </cell>
          <cell r="D539">
            <v>-47.677984899999998</v>
          </cell>
        </row>
        <row r="540">
          <cell r="A540" t="str">
            <v>Barra do Piraí</v>
          </cell>
          <cell r="B540">
            <v>303152</v>
          </cell>
          <cell r="C540">
            <v>-22.47201368</v>
          </cell>
          <cell r="D540">
            <v>-43.827294520000002</v>
          </cell>
        </row>
        <row r="541">
          <cell r="A541" t="str">
            <v>Barra do Quaraí</v>
          </cell>
          <cell r="B541">
            <v>305830</v>
          </cell>
          <cell r="C541">
            <v>-30.203316600000001</v>
          </cell>
          <cell r="D541">
            <v>-57.550215960000003</v>
          </cell>
        </row>
        <row r="542">
          <cell r="A542" t="str">
            <v>Barra do Ribeiro</v>
          </cell>
          <cell r="B542">
            <v>305502</v>
          </cell>
          <cell r="C542">
            <v>-30.294364389999998</v>
          </cell>
          <cell r="D542">
            <v>-51.301813920000001</v>
          </cell>
        </row>
        <row r="543">
          <cell r="A543" t="str">
            <v>Barra do Rio Azul</v>
          </cell>
          <cell r="B543">
            <v>305158</v>
          </cell>
          <cell r="C543">
            <v>-27.407326829999999</v>
          </cell>
          <cell r="D543">
            <v>-52.408825530000001</v>
          </cell>
        </row>
        <row r="544">
          <cell r="A544" t="str">
            <v>Barra do Rocha</v>
          </cell>
          <cell r="B544">
            <v>301744</v>
          </cell>
          <cell r="C544">
            <v>-14.209664070000001</v>
          </cell>
          <cell r="D544">
            <v>-39.600176439999998</v>
          </cell>
        </row>
        <row r="545">
          <cell r="A545" t="str">
            <v>Barra do Turvo</v>
          </cell>
          <cell r="B545">
            <v>304948</v>
          </cell>
          <cell r="C545">
            <v>-24.755986069999999</v>
          </cell>
          <cell r="D545">
            <v>-48.504948990000003</v>
          </cell>
        </row>
        <row r="546">
          <cell r="A546" t="str">
            <v>Barra dos Coqueiros</v>
          </cell>
          <cell r="B546">
            <v>301242</v>
          </cell>
          <cell r="C546">
            <v>-10.9000638</v>
          </cell>
          <cell r="D546">
            <v>-37.032623710000003</v>
          </cell>
        </row>
        <row r="547">
          <cell r="A547" t="str">
            <v>Barra Funda</v>
          </cell>
          <cell r="B547">
            <v>305686</v>
          </cell>
          <cell r="C547">
            <v>-27.92093766</v>
          </cell>
          <cell r="D547">
            <v>-53.039523590000002</v>
          </cell>
        </row>
        <row r="548">
          <cell r="A548" t="str">
            <v>Barra Longa</v>
          </cell>
          <cell r="B548">
            <v>302831</v>
          </cell>
          <cell r="C548">
            <v>-20.28734249</v>
          </cell>
          <cell r="D548">
            <v>-43.040533439999997</v>
          </cell>
        </row>
        <row r="549">
          <cell r="A549" t="str">
            <v>Barra Mansa</v>
          </cell>
          <cell r="B549">
            <v>303189</v>
          </cell>
          <cell r="C549">
            <v>-22.54856612</v>
          </cell>
          <cell r="D549">
            <v>-44.175620189999997</v>
          </cell>
        </row>
        <row r="550">
          <cell r="A550" t="str">
            <v>Barra Velha</v>
          </cell>
          <cell r="B550">
            <v>303999</v>
          </cell>
          <cell r="C550">
            <v>-26.637442759999999</v>
          </cell>
          <cell r="D550">
            <v>-48.693761389999999</v>
          </cell>
        </row>
        <row r="551">
          <cell r="A551" t="str">
            <v>Barracão</v>
          </cell>
          <cell r="B551">
            <v>305344</v>
          </cell>
          <cell r="C551">
            <v>-26.250695790000002</v>
          </cell>
          <cell r="D551">
            <v>-53.632838479999997</v>
          </cell>
        </row>
        <row r="552">
          <cell r="A552" t="str">
            <v>Barracão</v>
          </cell>
          <cell r="B552">
            <v>305580</v>
          </cell>
          <cell r="C552">
            <v>-27.674337380000001</v>
          </cell>
          <cell r="D552">
            <v>-51.458995590000001</v>
          </cell>
        </row>
        <row r="553">
          <cell r="A553" t="str">
            <v>Barras</v>
          </cell>
          <cell r="B553">
            <v>301773</v>
          </cell>
          <cell r="C553">
            <v>-4.2450726359999997</v>
          </cell>
          <cell r="D553">
            <v>-42.292499839999998</v>
          </cell>
        </row>
        <row r="554">
          <cell r="A554" t="str">
            <v>Barreira</v>
          </cell>
          <cell r="B554">
            <v>300738</v>
          </cell>
          <cell r="C554">
            <v>-4.2896054670000003</v>
          </cell>
          <cell r="D554">
            <v>-38.64322361</v>
          </cell>
        </row>
        <row r="555">
          <cell r="A555" t="str">
            <v>Barreiras</v>
          </cell>
          <cell r="B555">
            <v>302089</v>
          </cell>
          <cell r="C555">
            <v>-12.144302120000001</v>
          </cell>
          <cell r="D555">
            <v>-44.997201779999997</v>
          </cell>
        </row>
        <row r="556">
          <cell r="A556" t="str">
            <v>Barreiras do Piauí</v>
          </cell>
          <cell r="B556">
            <v>302077</v>
          </cell>
          <cell r="C556">
            <v>-9.9239409369999994</v>
          </cell>
          <cell r="D556">
            <v>-45.47345292</v>
          </cell>
        </row>
        <row r="557">
          <cell r="A557" t="str">
            <v>Barreirinha</v>
          </cell>
          <cell r="B557">
            <v>304172</v>
          </cell>
          <cell r="C557">
            <v>-2.7992468719999999</v>
          </cell>
          <cell r="D557">
            <v>-57.068322379999998</v>
          </cell>
        </row>
        <row r="558">
          <cell r="A558" t="str">
            <v>Barreirinhas</v>
          </cell>
          <cell r="B558">
            <v>303208</v>
          </cell>
          <cell r="C558">
            <v>-2.752497237</v>
          </cell>
          <cell r="D558">
            <v>-42.827831080000003</v>
          </cell>
        </row>
        <row r="559">
          <cell r="A559" t="str">
            <v>Barreiros</v>
          </cell>
          <cell r="B559">
            <v>301083</v>
          </cell>
          <cell r="C559">
            <v>-8.8164820559999999</v>
          </cell>
          <cell r="D559">
            <v>-35.183469109999997</v>
          </cell>
        </row>
        <row r="560">
          <cell r="A560" t="str">
            <v>Barretos</v>
          </cell>
          <cell r="B560">
            <v>303627</v>
          </cell>
          <cell r="C560">
            <v>-20.553611220000001</v>
          </cell>
          <cell r="D560">
            <v>-48.570235490000002</v>
          </cell>
        </row>
        <row r="561">
          <cell r="A561" t="str">
            <v>Barrinha</v>
          </cell>
          <cell r="B561">
            <v>303675</v>
          </cell>
          <cell r="C561">
            <v>-21.193991189999998</v>
          </cell>
          <cell r="D561">
            <v>-48.163950839999998</v>
          </cell>
        </row>
        <row r="562">
          <cell r="A562" t="str">
            <v>Barro</v>
          </cell>
          <cell r="B562">
            <v>300809</v>
          </cell>
          <cell r="C562">
            <v>-7.1769673469999997</v>
          </cell>
          <cell r="D562">
            <v>-38.779428719999999</v>
          </cell>
        </row>
        <row r="563">
          <cell r="A563" t="str">
            <v>Barro Alto</v>
          </cell>
          <cell r="B563">
            <v>301507</v>
          </cell>
          <cell r="C563">
            <v>-11.76093311</v>
          </cell>
          <cell r="D563">
            <v>-41.905783450000001</v>
          </cell>
        </row>
        <row r="564">
          <cell r="A564" t="str">
            <v>Barro Alto</v>
          </cell>
          <cell r="B564">
            <v>302807</v>
          </cell>
          <cell r="C564">
            <v>-14.96811956</v>
          </cell>
          <cell r="D564">
            <v>-48.913044730000003</v>
          </cell>
        </row>
        <row r="565">
          <cell r="A565" t="str">
            <v>Barro Duro</v>
          </cell>
          <cell r="B565">
            <v>301788</v>
          </cell>
          <cell r="C565">
            <v>-5.8171388879999997</v>
          </cell>
          <cell r="D565">
            <v>-42.514997149999999</v>
          </cell>
        </row>
        <row r="566">
          <cell r="A566" t="str">
            <v>Barro Preto</v>
          </cell>
          <cell r="B566">
            <v>305898</v>
          </cell>
          <cell r="C566">
            <v>-14.795231619999999</v>
          </cell>
          <cell r="D566">
            <v>-39.476358449999999</v>
          </cell>
        </row>
        <row r="567">
          <cell r="A567" t="str">
            <v>Barrocas</v>
          </cell>
          <cell r="B567">
            <v>300949</v>
          </cell>
          <cell r="C567">
            <v>-11.527663799999999</v>
          </cell>
          <cell r="D567">
            <v>-39.077915859999997</v>
          </cell>
        </row>
        <row r="568">
          <cell r="A568" t="str">
            <v>Barrolândia</v>
          </cell>
          <cell r="B568">
            <v>302240</v>
          </cell>
          <cell r="C568">
            <v>-9.8344646549999997</v>
          </cell>
          <cell r="D568">
            <v>-48.725587509999997</v>
          </cell>
        </row>
        <row r="569">
          <cell r="A569" t="str">
            <v>Barroquinha</v>
          </cell>
          <cell r="B569">
            <v>300711</v>
          </cell>
          <cell r="C569">
            <v>-3.0209044729999999</v>
          </cell>
          <cell r="D569">
            <v>-41.136180539999998</v>
          </cell>
        </row>
        <row r="570">
          <cell r="A570" t="str">
            <v>Barros Cassal</v>
          </cell>
          <cell r="B570">
            <v>305395</v>
          </cell>
          <cell r="C570">
            <v>-29.0929815</v>
          </cell>
          <cell r="D570">
            <v>-52.58294051</v>
          </cell>
        </row>
        <row r="571">
          <cell r="A571" t="str">
            <v>Barroso</v>
          </cell>
          <cell r="B571">
            <v>303123</v>
          </cell>
          <cell r="C571">
            <v>-21.191136839999999</v>
          </cell>
          <cell r="D571">
            <v>-43.972413199999998</v>
          </cell>
        </row>
        <row r="572">
          <cell r="A572" t="str">
            <v>Barueri</v>
          </cell>
          <cell r="B572">
            <v>303737</v>
          </cell>
          <cell r="C572">
            <v>-23.5061675</v>
          </cell>
          <cell r="D572">
            <v>-46.879442660000002</v>
          </cell>
        </row>
        <row r="573">
          <cell r="A573" t="str">
            <v>Bastos</v>
          </cell>
          <cell r="B573">
            <v>304473</v>
          </cell>
          <cell r="C573">
            <v>-21.921448030000001</v>
          </cell>
          <cell r="D573">
            <v>-50.736116010000003</v>
          </cell>
        </row>
        <row r="574">
          <cell r="A574" t="str">
            <v>Bataguassu</v>
          </cell>
          <cell r="B574">
            <v>305572</v>
          </cell>
          <cell r="C574">
            <v>-21.716358119999999</v>
          </cell>
          <cell r="D574">
            <v>-52.422488710000003</v>
          </cell>
        </row>
        <row r="575">
          <cell r="A575" t="str">
            <v>Batalha</v>
          </cell>
          <cell r="B575">
            <v>302425</v>
          </cell>
          <cell r="C575">
            <v>-4.0226963720000004</v>
          </cell>
          <cell r="D575">
            <v>-42.079017299999997</v>
          </cell>
        </row>
        <row r="576">
          <cell r="A576" t="str">
            <v>Batalha</v>
          </cell>
          <cell r="B576">
            <v>301210</v>
          </cell>
          <cell r="C576">
            <v>-9.6734577270000006</v>
          </cell>
          <cell r="D576">
            <v>-37.127859739999998</v>
          </cell>
        </row>
        <row r="577">
          <cell r="A577" t="str">
            <v>Batatais</v>
          </cell>
          <cell r="B577">
            <v>303345</v>
          </cell>
          <cell r="C577">
            <v>-20.8933356</v>
          </cell>
          <cell r="D577">
            <v>-47.592547029999999</v>
          </cell>
        </row>
        <row r="578">
          <cell r="A578" t="str">
            <v>Batayporã</v>
          </cell>
          <cell r="B578">
            <v>304850</v>
          </cell>
          <cell r="C578">
            <v>-22.29490234</v>
          </cell>
          <cell r="D578">
            <v>-53.270925519999999</v>
          </cell>
        </row>
        <row r="579">
          <cell r="A579" t="str">
            <v>Baturité</v>
          </cell>
          <cell r="B579">
            <v>300906</v>
          </cell>
          <cell r="C579">
            <v>-4.326382604</v>
          </cell>
          <cell r="D579">
            <v>-38.881521309999997</v>
          </cell>
        </row>
        <row r="580">
          <cell r="A580" t="str">
            <v>Bauru</v>
          </cell>
          <cell r="B580">
            <v>303844</v>
          </cell>
          <cell r="C580">
            <v>-22.325038379999999</v>
          </cell>
          <cell r="D580">
            <v>-49.087553749999998</v>
          </cell>
        </row>
        <row r="581">
          <cell r="A581" t="str">
            <v>Bayeux</v>
          </cell>
          <cell r="B581">
            <v>300416</v>
          </cell>
          <cell r="C581">
            <v>-7.1282433919999999</v>
          </cell>
          <cell r="D581">
            <v>-34.92560872</v>
          </cell>
        </row>
        <row r="582">
          <cell r="A582" t="str">
            <v>Bebedouro</v>
          </cell>
          <cell r="B582">
            <v>303626</v>
          </cell>
          <cell r="C582">
            <v>-20.949543689999999</v>
          </cell>
          <cell r="D582">
            <v>-48.479486960000003</v>
          </cell>
        </row>
        <row r="583">
          <cell r="A583" t="str">
            <v>Beberibe</v>
          </cell>
          <cell r="B583">
            <v>302343</v>
          </cell>
          <cell r="C583">
            <v>-4.1778139530000002</v>
          </cell>
          <cell r="D583">
            <v>-38.127384890000002</v>
          </cell>
        </row>
        <row r="584">
          <cell r="A584" t="str">
            <v>Bela Cruz</v>
          </cell>
          <cell r="B584">
            <v>300700</v>
          </cell>
          <cell r="C584">
            <v>-3.0503549560000001</v>
          </cell>
          <cell r="D584">
            <v>-40.167450870000003</v>
          </cell>
        </row>
        <row r="585">
          <cell r="A585" t="str">
            <v>Bela Vista</v>
          </cell>
          <cell r="B585">
            <v>305234</v>
          </cell>
          <cell r="C585">
            <v>-22.10777599</v>
          </cell>
          <cell r="D585">
            <v>-56.526743439999997</v>
          </cell>
        </row>
        <row r="586">
          <cell r="A586" t="str">
            <v>Bela Vista da Caroba</v>
          </cell>
          <cell r="B586">
            <v>305330</v>
          </cell>
          <cell r="C586">
            <v>-25.88464398</v>
          </cell>
          <cell r="D586">
            <v>-53.672957320000002</v>
          </cell>
        </row>
        <row r="587">
          <cell r="A587" t="str">
            <v>Bela Vista de Goiás</v>
          </cell>
          <cell r="B587">
            <v>303356</v>
          </cell>
          <cell r="C587">
            <v>-16.96974706</v>
          </cell>
          <cell r="D587">
            <v>-48.951704450000001</v>
          </cell>
        </row>
        <row r="588">
          <cell r="A588" t="str">
            <v>Bela Vista de Minas</v>
          </cell>
          <cell r="B588">
            <v>304906</v>
          </cell>
          <cell r="C588">
            <v>-19.83068463</v>
          </cell>
          <cell r="D588">
            <v>-43.09252875</v>
          </cell>
        </row>
        <row r="589">
          <cell r="A589" t="str">
            <v>Bela Vista do Maranhão</v>
          </cell>
          <cell r="B589">
            <v>303584</v>
          </cell>
          <cell r="C589">
            <v>-3.7196290749999998</v>
          </cell>
          <cell r="D589">
            <v>-45.268817169999998</v>
          </cell>
        </row>
        <row r="590">
          <cell r="A590" t="str">
            <v>Bela Vista do Paraíso</v>
          </cell>
          <cell r="B590">
            <v>305742</v>
          </cell>
          <cell r="C590">
            <v>-22.994118700000001</v>
          </cell>
          <cell r="D590">
            <v>-51.193084120000002</v>
          </cell>
        </row>
        <row r="591">
          <cell r="A591" t="str">
            <v>Bela Vista do Piauí</v>
          </cell>
          <cell r="B591">
            <v>301074</v>
          </cell>
          <cell r="C591">
            <v>-7.9885108220000003</v>
          </cell>
          <cell r="D591">
            <v>-41.867860309999998</v>
          </cell>
        </row>
        <row r="592">
          <cell r="A592" t="str">
            <v>Bela Vista do Toldo</v>
          </cell>
          <cell r="B592">
            <v>305259</v>
          </cell>
          <cell r="C592">
            <v>-26.27510062</v>
          </cell>
          <cell r="D592">
            <v>-50.466787750000002</v>
          </cell>
        </row>
        <row r="593">
          <cell r="A593" t="str">
            <v>Belágua</v>
          </cell>
          <cell r="B593">
            <v>301655</v>
          </cell>
          <cell r="C593">
            <v>-3.1604115020000001</v>
          </cell>
          <cell r="D593">
            <v>-43.508336630000002</v>
          </cell>
        </row>
        <row r="594">
          <cell r="A594" t="str">
            <v>Belém</v>
          </cell>
          <cell r="B594">
            <v>300439</v>
          </cell>
          <cell r="C594">
            <v>-6.7434595220000002</v>
          </cell>
          <cell r="D594">
            <v>-35.517220880000004</v>
          </cell>
        </row>
        <row r="595">
          <cell r="A595" t="str">
            <v>Belém</v>
          </cell>
          <cell r="B595">
            <v>301162</v>
          </cell>
          <cell r="C595">
            <v>-9.5709055500000009</v>
          </cell>
          <cell r="D595">
            <v>-36.490700449999999</v>
          </cell>
        </row>
        <row r="596">
          <cell r="A596" t="str">
            <v>Belém</v>
          </cell>
          <cell r="B596">
            <v>295773</v>
          </cell>
          <cell r="C596">
            <v>-1.4561544959999999</v>
          </cell>
          <cell r="D596">
            <v>-48.490511210000001</v>
          </cell>
        </row>
        <row r="597">
          <cell r="A597" t="str">
            <v>Belém de Maria</v>
          </cell>
          <cell r="B597">
            <v>301106</v>
          </cell>
          <cell r="C597">
            <v>-8.6254659660000002</v>
          </cell>
          <cell r="D597">
            <v>-35.833765530000001</v>
          </cell>
        </row>
        <row r="598">
          <cell r="A598" t="str">
            <v>Belém de São Francisco</v>
          </cell>
          <cell r="B598">
            <v>301292</v>
          </cell>
          <cell r="C598">
            <v>-8.750886607</v>
          </cell>
          <cell r="D598">
            <v>-38.962573679999998</v>
          </cell>
        </row>
        <row r="599">
          <cell r="A599" t="str">
            <v>Belém do Brejo do Cruz</v>
          </cell>
          <cell r="B599">
            <v>300559</v>
          </cell>
          <cell r="C599">
            <v>-6.1855580730000002</v>
          </cell>
          <cell r="D599">
            <v>-37.535069610000001</v>
          </cell>
        </row>
        <row r="600">
          <cell r="A600" t="str">
            <v>Belém do Piauí</v>
          </cell>
          <cell r="B600">
            <v>301057</v>
          </cell>
          <cell r="C600">
            <v>-7.3669409650000004</v>
          </cell>
          <cell r="D600">
            <v>-40.969117660000002</v>
          </cell>
        </row>
        <row r="601">
          <cell r="A601" t="str">
            <v>Belford Roxo</v>
          </cell>
          <cell r="B601">
            <v>303144</v>
          </cell>
          <cell r="C601">
            <v>-22.764526679999999</v>
          </cell>
          <cell r="D601">
            <v>-43.399584269999998</v>
          </cell>
        </row>
        <row r="602">
          <cell r="A602" t="str">
            <v>Bella Unión</v>
          </cell>
          <cell r="B602">
            <v>314307</v>
          </cell>
          <cell r="C602">
            <v>-30.25299343</v>
          </cell>
          <cell r="D602">
            <v>-57.608072540000002</v>
          </cell>
        </row>
        <row r="603">
          <cell r="A603" t="str">
            <v>Bella Vista</v>
          </cell>
          <cell r="B603">
            <v>314289</v>
          </cell>
          <cell r="C603">
            <v>-22.12282209</v>
          </cell>
          <cell r="D603">
            <v>-56.500471349999998</v>
          </cell>
        </row>
        <row r="604">
          <cell r="A604" t="str">
            <v>Bella Vista</v>
          </cell>
          <cell r="B604">
            <v>314323</v>
          </cell>
          <cell r="C604">
            <v>-27.058260919999999</v>
          </cell>
          <cell r="D604">
            <v>-55.554103120000001</v>
          </cell>
        </row>
        <row r="605">
          <cell r="A605" t="str">
            <v>Bella Vista</v>
          </cell>
          <cell r="B605">
            <v>314334</v>
          </cell>
          <cell r="C605">
            <v>-28.506718559999999</v>
          </cell>
          <cell r="D605">
            <v>-59.040512030000002</v>
          </cell>
        </row>
        <row r="606">
          <cell r="A606" t="str">
            <v>Bellavista</v>
          </cell>
          <cell r="B606">
            <v>314495</v>
          </cell>
          <cell r="C606">
            <v>-7.0043223079999999</v>
          </cell>
          <cell r="D606">
            <v>-76.600110720000004</v>
          </cell>
        </row>
        <row r="607">
          <cell r="A607" t="str">
            <v>Belmiro Braga</v>
          </cell>
          <cell r="B607">
            <v>303114</v>
          </cell>
          <cell r="C607">
            <v>-21.944473800000001</v>
          </cell>
          <cell r="D607">
            <v>-43.408791149999999</v>
          </cell>
        </row>
        <row r="608">
          <cell r="A608" t="str">
            <v>Belmonte</v>
          </cell>
          <cell r="B608">
            <v>301764</v>
          </cell>
          <cell r="C608">
            <v>-15.86125374</v>
          </cell>
          <cell r="D608">
            <v>-38.876106739999997</v>
          </cell>
        </row>
        <row r="609">
          <cell r="A609" t="str">
            <v>Belmonte</v>
          </cell>
          <cell r="B609">
            <v>305350</v>
          </cell>
          <cell r="C609">
            <v>-26.843461040000001</v>
          </cell>
          <cell r="D609">
            <v>-53.576265480000004</v>
          </cell>
        </row>
        <row r="610">
          <cell r="A610" t="str">
            <v>Belo Campo</v>
          </cell>
          <cell r="B610">
            <v>301620</v>
          </cell>
          <cell r="C610">
            <v>-15.03381916</v>
          </cell>
          <cell r="D610">
            <v>-41.265514609999997</v>
          </cell>
        </row>
        <row r="611">
          <cell r="A611" t="str">
            <v>Belo Horizonte</v>
          </cell>
          <cell r="B611">
            <v>295777</v>
          </cell>
          <cell r="C611">
            <v>-19.911129420000002</v>
          </cell>
          <cell r="D611">
            <v>-43.927313560000002</v>
          </cell>
        </row>
        <row r="612">
          <cell r="A612" t="str">
            <v>Belo Jardim</v>
          </cell>
          <cell r="B612">
            <v>300603</v>
          </cell>
          <cell r="C612">
            <v>-8.3368625989999998</v>
          </cell>
          <cell r="D612">
            <v>-36.422361559999999</v>
          </cell>
        </row>
        <row r="613">
          <cell r="A613" t="str">
            <v>Belo Monte</v>
          </cell>
          <cell r="B613">
            <v>301220</v>
          </cell>
          <cell r="C613">
            <v>-9.8231523379999999</v>
          </cell>
          <cell r="D613">
            <v>-37.277321460000003</v>
          </cell>
        </row>
        <row r="614">
          <cell r="A614" t="str">
            <v>Belo Oriente</v>
          </cell>
          <cell r="B614">
            <v>303056</v>
          </cell>
          <cell r="C614">
            <v>-19.220379430000001</v>
          </cell>
          <cell r="D614">
            <v>-42.483154079999998</v>
          </cell>
        </row>
        <row r="615">
          <cell r="A615" t="str">
            <v>Belo Vale</v>
          </cell>
          <cell r="B615">
            <v>302853</v>
          </cell>
          <cell r="C615">
            <v>-20.40819986</v>
          </cell>
          <cell r="D615">
            <v>-44.027834660000003</v>
          </cell>
        </row>
        <row r="616">
          <cell r="A616" t="str">
            <v>Belterra</v>
          </cell>
          <cell r="B616">
            <v>304164</v>
          </cell>
          <cell r="C616">
            <v>-2.6364748589999998</v>
          </cell>
          <cell r="D616">
            <v>-54.937806389999999</v>
          </cell>
        </row>
        <row r="617">
          <cell r="A617" t="str">
            <v>Beneditinos</v>
          </cell>
          <cell r="B617">
            <v>301784</v>
          </cell>
          <cell r="C617">
            <v>-5.4568026410000003</v>
          </cell>
          <cell r="D617">
            <v>-42.35984096</v>
          </cell>
        </row>
        <row r="618">
          <cell r="A618" t="str">
            <v>Benedito Leite</v>
          </cell>
          <cell r="B618">
            <v>301869</v>
          </cell>
          <cell r="C618">
            <v>-7.2196975160000001</v>
          </cell>
          <cell r="D618">
            <v>-44.554411950000002</v>
          </cell>
        </row>
        <row r="619">
          <cell r="A619" t="str">
            <v>Benedito Novo</v>
          </cell>
          <cell r="B619">
            <v>304608</v>
          </cell>
          <cell r="C619">
            <v>-26.78145409</v>
          </cell>
          <cell r="D619">
            <v>-49.35974238</v>
          </cell>
        </row>
        <row r="620">
          <cell r="A620" t="str">
            <v>Benevides</v>
          </cell>
          <cell r="B620">
            <v>301930</v>
          </cell>
          <cell r="C620">
            <v>-1.3622077500000001</v>
          </cell>
          <cell r="D620">
            <v>-48.243784099999999</v>
          </cell>
        </row>
        <row r="621">
          <cell r="A621" t="str">
            <v>Benjamin Aceval</v>
          </cell>
          <cell r="B621">
            <v>314285</v>
          </cell>
          <cell r="C621">
            <v>-24.948531150000001</v>
          </cell>
          <cell r="D621">
            <v>-57.55508699</v>
          </cell>
        </row>
        <row r="622">
          <cell r="A622" t="str">
            <v>Benjamin Constant</v>
          </cell>
          <cell r="B622">
            <v>305837</v>
          </cell>
          <cell r="C622">
            <v>-4.3780629549999999</v>
          </cell>
          <cell r="D622">
            <v>-70.034636590000005</v>
          </cell>
        </row>
        <row r="623">
          <cell r="A623" t="str">
            <v>Benjamin Constant do Sul</v>
          </cell>
          <cell r="B623">
            <v>305361</v>
          </cell>
          <cell r="C623">
            <v>-27.509036389999999</v>
          </cell>
          <cell r="D623">
            <v>-52.599956149999997</v>
          </cell>
        </row>
        <row r="624">
          <cell r="A624" t="str">
            <v>Bento de Abreu</v>
          </cell>
          <cell r="B624">
            <v>304462</v>
          </cell>
          <cell r="C624">
            <v>-21.27099188</v>
          </cell>
          <cell r="D624">
            <v>-50.811946800000001</v>
          </cell>
        </row>
        <row r="625">
          <cell r="A625" t="str">
            <v>Bento Fernandes</v>
          </cell>
          <cell r="B625">
            <v>301168</v>
          </cell>
          <cell r="C625">
            <v>-5.6923838560000002</v>
          </cell>
          <cell r="D625">
            <v>-35.820691289999999</v>
          </cell>
        </row>
        <row r="626">
          <cell r="A626" t="str">
            <v>Bento Gonçalves</v>
          </cell>
          <cell r="B626">
            <v>305189</v>
          </cell>
          <cell r="C626">
            <v>-29.166689850000001</v>
          </cell>
          <cell r="D626">
            <v>-51.51692826</v>
          </cell>
        </row>
        <row r="627">
          <cell r="A627" t="str">
            <v>Benzdorp</v>
          </cell>
          <cell r="B627">
            <v>314432</v>
          </cell>
          <cell r="C627">
            <v>3.651703017</v>
          </cell>
          <cell r="D627">
            <v>-54.093267300000001</v>
          </cell>
        </row>
        <row r="628">
          <cell r="A628" t="str">
            <v>Bequimão</v>
          </cell>
          <cell r="B628">
            <v>301686</v>
          </cell>
          <cell r="C628">
            <v>-2.4495264419999998</v>
          </cell>
          <cell r="D628">
            <v>-44.79082872</v>
          </cell>
        </row>
        <row r="629">
          <cell r="A629" t="str">
            <v>Berilo</v>
          </cell>
          <cell r="B629">
            <v>302653</v>
          </cell>
          <cell r="C629">
            <v>-16.952243920000001</v>
          </cell>
          <cell r="D629">
            <v>-42.464487050000002</v>
          </cell>
        </row>
        <row r="630">
          <cell r="A630" t="str">
            <v>Berizal</v>
          </cell>
          <cell r="B630">
            <v>301630</v>
          </cell>
          <cell r="C630">
            <v>-15.61048712</v>
          </cell>
          <cell r="D630">
            <v>-41.743548930000003</v>
          </cell>
        </row>
        <row r="631">
          <cell r="A631" t="str">
            <v>Bernardino Batista</v>
          </cell>
          <cell r="B631">
            <v>300997</v>
          </cell>
          <cell r="C631">
            <v>-6.4537531159999997</v>
          </cell>
          <cell r="D631">
            <v>-38.550198049999999</v>
          </cell>
        </row>
        <row r="632">
          <cell r="A632" t="str">
            <v>Bernardino de Campos</v>
          </cell>
          <cell r="B632">
            <v>304423</v>
          </cell>
          <cell r="C632">
            <v>-23.012988929999999</v>
          </cell>
          <cell r="D632">
            <v>-49.473948180000001</v>
          </cell>
        </row>
        <row r="633">
          <cell r="A633" t="str">
            <v>Bernardo do Mearim</v>
          </cell>
          <cell r="B633">
            <v>302437</v>
          </cell>
          <cell r="C633">
            <v>-4.6270617339999998</v>
          </cell>
          <cell r="D633">
            <v>-44.761108319999998</v>
          </cell>
        </row>
        <row r="634">
          <cell r="A634" t="str">
            <v>Bernardo Sayão</v>
          </cell>
          <cell r="B634">
            <v>302033</v>
          </cell>
          <cell r="C634">
            <v>-7.8808851520000003</v>
          </cell>
          <cell r="D634">
            <v>-48.895801319999997</v>
          </cell>
        </row>
        <row r="635">
          <cell r="A635" t="str">
            <v>Bertioga</v>
          </cell>
          <cell r="B635">
            <v>303940</v>
          </cell>
          <cell r="C635">
            <v>-23.84904942</v>
          </cell>
          <cell r="D635">
            <v>-46.139982639999999</v>
          </cell>
        </row>
        <row r="636">
          <cell r="A636" t="str">
            <v>Bertolínia</v>
          </cell>
          <cell r="B636">
            <v>301852</v>
          </cell>
          <cell r="C636">
            <v>-7.633793152</v>
          </cell>
          <cell r="D636">
            <v>-43.950130000000001</v>
          </cell>
        </row>
        <row r="637">
          <cell r="A637" t="str">
            <v>Bertópolis</v>
          </cell>
          <cell r="B637">
            <v>303593</v>
          </cell>
          <cell r="C637">
            <v>-17.05947664</v>
          </cell>
          <cell r="D637">
            <v>-40.580314180000002</v>
          </cell>
        </row>
        <row r="638">
          <cell r="A638" t="str">
            <v>Beruri</v>
          </cell>
          <cell r="B638">
            <v>304641</v>
          </cell>
          <cell r="C638">
            <v>-3.8991225260000002</v>
          </cell>
          <cell r="D638">
            <v>-61.362066120000001</v>
          </cell>
        </row>
        <row r="639">
          <cell r="A639" t="str">
            <v>Betânia</v>
          </cell>
          <cell r="B639">
            <v>300827</v>
          </cell>
          <cell r="C639">
            <v>-8.2735392680000004</v>
          </cell>
          <cell r="D639">
            <v>-38.036474429999998</v>
          </cell>
        </row>
        <row r="640">
          <cell r="A640" t="str">
            <v>Betânia do Piauí</v>
          </cell>
          <cell r="B640">
            <v>301031</v>
          </cell>
          <cell r="C640">
            <v>-8.1441825800000007</v>
          </cell>
          <cell r="D640">
            <v>-40.799241090000002</v>
          </cell>
        </row>
        <row r="641">
          <cell r="A641" t="str">
            <v>Betim</v>
          </cell>
          <cell r="B641">
            <v>302919</v>
          </cell>
          <cell r="C641">
            <v>-19.96729985</v>
          </cell>
          <cell r="D641">
            <v>-44.201147820000003</v>
          </cell>
        </row>
        <row r="642">
          <cell r="A642" t="str">
            <v>Bezerros</v>
          </cell>
          <cell r="B642">
            <v>300585</v>
          </cell>
          <cell r="C642">
            <v>-8.2332219930000008</v>
          </cell>
          <cell r="D642">
            <v>-35.796290229999997</v>
          </cell>
        </row>
        <row r="643">
          <cell r="A643" t="str">
            <v>Bias Fortes</v>
          </cell>
          <cell r="B643">
            <v>303126</v>
          </cell>
          <cell r="C643">
            <v>-21.6024408</v>
          </cell>
          <cell r="D643">
            <v>-43.757739729999997</v>
          </cell>
        </row>
        <row r="644">
          <cell r="A644" t="str">
            <v>Bicas</v>
          </cell>
          <cell r="B644">
            <v>303100</v>
          </cell>
          <cell r="C644">
            <v>-21.7236458</v>
          </cell>
          <cell r="D644">
            <v>-43.056327070000002</v>
          </cell>
        </row>
        <row r="645">
          <cell r="A645" t="str">
            <v>Biguaçu</v>
          </cell>
          <cell r="B645">
            <v>304620</v>
          </cell>
          <cell r="C645">
            <v>-27.496487810000001</v>
          </cell>
          <cell r="D645">
            <v>-48.660216400000003</v>
          </cell>
        </row>
        <row r="646">
          <cell r="A646" t="str">
            <v>Bilac</v>
          </cell>
          <cell r="B646">
            <v>304459</v>
          </cell>
          <cell r="C646">
            <v>-21.40442522</v>
          </cell>
          <cell r="D646">
            <v>-50.475057890000002</v>
          </cell>
        </row>
        <row r="647">
          <cell r="A647" t="str">
            <v>Biquinhas</v>
          </cell>
          <cell r="B647">
            <v>302962</v>
          </cell>
          <cell r="C647">
            <v>-18.769647710000001</v>
          </cell>
          <cell r="D647">
            <v>-45.498102179999997</v>
          </cell>
        </row>
        <row r="648">
          <cell r="A648" t="str">
            <v>Birigui</v>
          </cell>
          <cell r="B648">
            <v>304458</v>
          </cell>
          <cell r="C648">
            <v>-21.29149722</v>
          </cell>
          <cell r="D648">
            <v>-50.343578749999999</v>
          </cell>
        </row>
        <row r="649">
          <cell r="A649" t="str">
            <v>Biritiba-Mirim</v>
          </cell>
          <cell r="B649">
            <v>303297</v>
          </cell>
          <cell r="C649">
            <v>-23.57025483</v>
          </cell>
          <cell r="D649">
            <v>-46.041095120000001</v>
          </cell>
        </row>
        <row r="650">
          <cell r="A650" t="str">
            <v>Biritinga</v>
          </cell>
          <cell r="B650">
            <v>301404</v>
          </cell>
          <cell r="C650">
            <v>-11.621456329999999</v>
          </cell>
          <cell r="D650">
            <v>-38.805447340000001</v>
          </cell>
        </row>
        <row r="651">
          <cell r="A651" t="str">
            <v>Bituruna</v>
          </cell>
          <cell r="B651">
            <v>305086</v>
          </cell>
          <cell r="C651">
            <v>-26.161218080000001</v>
          </cell>
          <cell r="D651">
            <v>-51.552232269999998</v>
          </cell>
        </row>
        <row r="652">
          <cell r="A652" t="str">
            <v>Blumenau</v>
          </cell>
          <cell r="B652">
            <v>304024</v>
          </cell>
          <cell r="C652">
            <v>-26.91598226</v>
          </cell>
          <cell r="D652">
            <v>-49.071330959999997</v>
          </cell>
        </row>
        <row r="653">
          <cell r="A653" t="str">
            <v>Boa Esperança</v>
          </cell>
          <cell r="B653">
            <v>302471</v>
          </cell>
          <cell r="C653">
            <v>-18.53996969</v>
          </cell>
          <cell r="D653">
            <v>-40.302862990000001</v>
          </cell>
        </row>
        <row r="654">
          <cell r="A654" t="str">
            <v>Boa Esperança</v>
          </cell>
          <cell r="B654">
            <v>303216</v>
          </cell>
          <cell r="C654">
            <v>-21.093196939999999</v>
          </cell>
          <cell r="D654">
            <v>-45.561587940000003</v>
          </cell>
        </row>
        <row r="655">
          <cell r="A655" t="str">
            <v>Boa Esperança</v>
          </cell>
          <cell r="B655">
            <v>305045</v>
          </cell>
          <cell r="C655">
            <v>-24.247202260000002</v>
          </cell>
          <cell r="D655">
            <v>-52.788001029999997</v>
          </cell>
        </row>
        <row r="656">
          <cell r="A656" t="str">
            <v>Boa Esperança do Iguaçu</v>
          </cell>
          <cell r="B656">
            <v>305643</v>
          </cell>
          <cell r="C656">
            <v>-25.632900920000001</v>
          </cell>
          <cell r="D656">
            <v>-53.21126658</v>
          </cell>
        </row>
        <row r="657">
          <cell r="A657" t="str">
            <v>Boa Esperança do Sul</v>
          </cell>
          <cell r="B657">
            <v>303814</v>
          </cell>
          <cell r="C657">
            <v>-21.99230214</v>
          </cell>
          <cell r="D657">
            <v>-48.39102827</v>
          </cell>
        </row>
        <row r="658">
          <cell r="A658" t="str">
            <v>Boa Hora</v>
          </cell>
          <cell r="B658">
            <v>301769</v>
          </cell>
          <cell r="C658">
            <v>-4.4080586259999999</v>
          </cell>
          <cell r="D658">
            <v>-42.122153789999999</v>
          </cell>
        </row>
        <row r="659">
          <cell r="A659" t="str">
            <v>Boa Nova</v>
          </cell>
          <cell r="B659">
            <v>301566</v>
          </cell>
          <cell r="C659">
            <v>-14.364174480000001</v>
          </cell>
          <cell r="D659">
            <v>-40.206051559999999</v>
          </cell>
        </row>
        <row r="660">
          <cell r="A660" t="str">
            <v>Boa Ventura</v>
          </cell>
          <cell r="B660">
            <v>300819</v>
          </cell>
          <cell r="C660">
            <v>-7.4205612219999999</v>
          </cell>
          <cell r="D660">
            <v>-38.218118349999997</v>
          </cell>
        </row>
        <row r="661">
          <cell r="A661" t="str">
            <v>Boa Ventura de São Roque</v>
          </cell>
          <cell r="B661">
            <v>304830</v>
          </cell>
          <cell r="C661">
            <v>-24.86926558</v>
          </cell>
          <cell r="D661">
            <v>-51.628048329999999</v>
          </cell>
        </row>
        <row r="662">
          <cell r="A662" t="str">
            <v>Boa Viagem</v>
          </cell>
          <cell r="B662">
            <v>300915</v>
          </cell>
          <cell r="C662">
            <v>-5.1129871749999998</v>
          </cell>
          <cell r="D662">
            <v>-39.733973669999997</v>
          </cell>
        </row>
        <row r="663">
          <cell r="A663" t="str">
            <v>Boa Vista</v>
          </cell>
          <cell r="B663">
            <v>300651</v>
          </cell>
          <cell r="C663">
            <v>-7.2598282909999998</v>
          </cell>
          <cell r="D663">
            <v>-36.236921189999997</v>
          </cell>
        </row>
        <row r="664">
          <cell r="A664" t="str">
            <v>Boa Vista</v>
          </cell>
          <cell r="B664">
            <v>295789</v>
          </cell>
          <cell r="C664">
            <v>2.8231259290000001</v>
          </cell>
          <cell r="D664">
            <v>-60.67621312</v>
          </cell>
        </row>
        <row r="665">
          <cell r="A665" t="str">
            <v>Boa Vista da Aparecida</v>
          </cell>
          <cell r="B665">
            <v>305644</v>
          </cell>
          <cell r="C665">
            <v>-25.431219899999999</v>
          </cell>
          <cell r="D665">
            <v>-53.412143039999997</v>
          </cell>
        </row>
        <row r="666">
          <cell r="A666" t="str">
            <v>Boa Vista das Missões</v>
          </cell>
          <cell r="B666">
            <v>305684</v>
          </cell>
          <cell r="C666">
            <v>-27.667592339999999</v>
          </cell>
          <cell r="D666">
            <v>-53.310625209999998</v>
          </cell>
        </row>
        <row r="667">
          <cell r="A667" t="str">
            <v>Boa Vista do Buricá</v>
          </cell>
          <cell r="B667">
            <v>305437</v>
          </cell>
          <cell r="C667">
            <v>-27.669746700000001</v>
          </cell>
          <cell r="D667">
            <v>-54.108691100000001</v>
          </cell>
        </row>
        <row r="668">
          <cell r="A668" t="str">
            <v>Boa Vista do Cadeado</v>
          </cell>
          <cell r="B668">
            <v>300405</v>
          </cell>
          <cell r="C668">
            <v>-28.579523930000001</v>
          </cell>
          <cell r="D668">
            <v>-53.811284919999999</v>
          </cell>
        </row>
        <row r="669">
          <cell r="A669" t="str">
            <v>Boa Vista do Gurupi</v>
          </cell>
          <cell r="B669">
            <v>301884</v>
          </cell>
          <cell r="C669">
            <v>-1.7765185189999999</v>
          </cell>
          <cell r="D669">
            <v>-46.300587159999999</v>
          </cell>
        </row>
        <row r="670">
          <cell r="A670" t="str">
            <v>Boa Vista do Incra</v>
          </cell>
          <cell r="B670">
            <v>300402</v>
          </cell>
          <cell r="C670">
            <v>-28.818686240000002</v>
          </cell>
          <cell r="D670">
            <v>-53.386577410000001</v>
          </cell>
        </row>
        <row r="671">
          <cell r="A671" t="str">
            <v>Boa Vista do Ramos</v>
          </cell>
          <cell r="B671">
            <v>304173</v>
          </cell>
          <cell r="C671">
            <v>-2.974471458</v>
          </cell>
          <cell r="D671">
            <v>-57.587761030000003</v>
          </cell>
        </row>
        <row r="672">
          <cell r="A672" t="str">
            <v>Boa Vista do Sul</v>
          </cell>
          <cell r="B672">
            <v>305199</v>
          </cell>
          <cell r="C672">
            <v>-29.356665370000002</v>
          </cell>
          <cell r="D672">
            <v>-51.670155190000003</v>
          </cell>
        </row>
        <row r="673">
          <cell r="A673" t="str">
            <v>Boa Vista do Tupim</v>
          </cell>
          <cell r="B673">
            <v>301556</v>
          </cell>
          <cell r="C673">
            <v>-12.66056414</v>
          </cell>
          <cell r="D673">
            <v>-40.608851510000001</v>
          </cell>
        </row>
        <row r="674">
          <cell r="A674" t="str">
            <v>Boca da Mata</v>
          </cell>
          <cell r="B674">
            <v>301155</v>
          </cell>
          <cell r="C674">
            <v>-9.6435162240000007</v>
          </cell>
          <cell r="D674">
            <v>-36.212797459999997</v>
          </cell>
        </row>
        <row r="675">
          <cell r="A675" t="str">
            <v>Boca do Acre</v>
          </cell>
          <cell r="B675">
            <v>305854</v>
          </cell>
          <cell r="C675">
            <v>-8.7427181679999997</v>
          </cell>
          <cell r="D675">
            <v>-67.392400719999998</v>
          </cell>
        </row>
        <row r="676">
          <cell r="A676" t="str">
            <v>Bocaina</v>
          </cell>
          <cell r="B676">
            <v>301040</v>
          </cell>
          <cell r="C676">
            <v>-6.9455709140000002</v>
          </cell>
          <cell r="D676">
            <v>-41.323703209999998</v>
          </cell>
        </row>
        <row r="677">
          <cell r="A677" t="str">
            <v>Bocaina</v>
          </cell>
          <cell r="B677">
            <v>304594</v>
          </cell>
          <cell r="C677">
            <v>-22.135989909999999</v>
          </cell>
          <cell r="D677">
            <v>-48.517949969999997</v>
          </cell>
        </row>
        <row r="678">
          <cell r="A678" t="str">
            <v>Bocaina de Minas</v>
          </cell>
          <cell r="B678">
            <v>303186</v>
          </cell>
          <cell r="C678">
            <v>-22.17016731</v>
          </cell>
          <cell r="D678">
            <v>-44.397560730000002</v>
          </cell>
        </row>
        <row r="679">
          <cell r="A679" t="str">
            <v>Bocaina do Sul</v>
          </cell>
          <cell r="B679">
            <v>304095</v>
          </cell>
          <cell r="C679">
            <v>-27.745974350000001</v>
          </cell>
          <cell r="D679">
            <v>-49.942714979999998</v>
          </cell>
        </row>
        <row r="680">
          <cell r="A680" t="str">
            <v>Bocaiúva</v>
          </cell>
          <cell r="B680">
            <v>302706</v>
          </cell>
          <cell r="C680">
            <v>-17.11400626</v>
          </cell>
          <cell r="D680">
            <v>-43.810797010000002</v>
          </cell>
        </row>
        <row r="681">
          <cell r="A681" t="str">
            <v>Bocaiúva do Sul</v>
          </cell>
          <cell r="B681">
            <v>303986</v>
          </cell>
          <cell r="C681">
            <v>-25.20706809</v>
          </cell>
          <cell r="D681">
            <v>-49.114552099999997</v>
          </cell>
        </row>
        <row r="682">
          <cell r="A682" t="str">
            <v>Bodó</v>
          </cell>
          <cell r="B682">
            <v>300523</v>
          </cell>
          <cell r="C682">
            <v>-5.9869726429999996</v>
          </cell>
          <cell r="D682">
            <v>-36.412834259999997</v>
          </cell>
        </row>
        <row r="683">
          <cell r="A683" t="str">
            <v>Bodocó</v>
          </cell>
          <cell r="B683">
            <v>301467</v>
          </cell>
          <cell r="C683">
            <v>-7.7780121429999998</v>
          </cell>
          <cell r="D683">
            <v>-39.934121759999996</v>
          </cell>
        </row>
        <row r="684">
          <cell r="A684" t="str">
            <v>Bodoquena</v>
          </cell>
          <cell r="B684">
            <v>305604</v>
          </cell>
          <cell r="C684">
            <v>-20.551889249999999</v>
          </cell>
          <cell r="D684">
            <v>-56.67491982</v>
          </cell>
        </row>
        <row r="685">
          <cell r="A685" t="str">
            <v>Bofete</v>
          </cell>
          <cell r="B685">
            <v>304655</v>
          </cell>
          <cell r="C685">
            <v>-23.101988410000001</v>
          </cell>
          <cell r="D685">
            <v>-48.257950010000002</v>
          </cell>
        </row>
        <row r="686">
          <cell r="A686" t="str">
            <v>Bogotá</v>
          </cell>
          <cell r="B686">
            <v>295790</v>
          </cell>
          <cell r="C686">
            <v>4.5992832100000003</v>
          </cell>
          <cell r="D686">
            <v>-74.080983020000005</v>
          </cell>
        </row>
        <row r="687">
          <cell r="A687" t="str">
            <v>Boituva</v>
          </cell>
          <cell r="B687">
            <v>303765</v>
          </cell>
          <cell r="C687">
            <v>-23.286006789999998</v>
          </cell>
          <cell r="D687">
            <v>-47.67897937</v>
          </cell>
        </row>
        <row r="688">
          <cell r="A688" t="str">
            <v>Bolivar</v>
          </cell>
          <cell r="B688">
            <v>314512</v>
          </cell>
          <cell r="C688">
            <v>-7.1498782900000002</v>
          </cell>
          <cell r="D688">
            <v>-77.700363249999995</v>
          </cell>
        </row>
        <row r="689">
          <cell r="A689" t="str">
            <v>Bom Conselho</v>
          </cell>
          <cell r="B689">
            <v>301140</v>
          </cell>
          <cell r="C689">
            <v>-9.1696219909999996</v>
          </cell>
          <cell r="D689">
            <v>-36.685985539999997</v>
          </cell>
        </row>
        <row r="690">
          <cell r="A690" t="str">
            <v>Bom Despacho</v>
          </cell>
          <cell r="B690">
            <v>303006</v>
          </cell>
          <cell r="C690">
            <v>-19.730197990000001</v>
          </cell>
          <cell r="D690">
            <v>-45.251723749999996</v>
          </cell>
        </row>
        <row r="691">
          <cell r="A691" t="str">
            <v>Bom Jardim</v>
          </cell>
          <cell r="B691">
            <v>303064</v>
          </cell>
          <cell r="C691">
            <v>-22.155010770000001</v>
          </cell>
          <cell r="D691">
            <v>-42.425460639999997</v>
          </cell>
        </row>
        <row r="692">
          <cell r="A692" t="str">
            <v>Bom Jardim</v>
          </cell>
          <cell r="B692">
            <v>303582</v>
          </cell>
          <cell r="C692">
            <v>-3.541682083</v>
          </cell>
          <cell r="D692">
            <v>-45.606364280000001</v>
          </cell>
        </row>
        <row r="693">
          <cell r="A693" t="str">
            <v>Bom Jardim</v>
          </cell>
          <cell r="B693">
            <v>300494</v>
          </cell>
          <cell r="C693">
            <v>-7.7989687270000001</v>
          </cell>
          <cell r="D693">
            <v>-35.587961720000003</v>
          </cell>
        </row>
        <row r="694">
          <cell r="A694" t="str">
            <v>Bom Jardim da Serra</v>
          </cell>
          <cell r="B694">
            <v>304110</v>
          </cell>
          <cell r="C694">
            <v>-28.33814851</v>
          </cell>
          <cell r="D694">
            <v>-49.63771234</v>
          </cell>
        </row>
        <row r="695">
          <cell r="A695" t="str">
            <v>Bom Jardim de Goiás</v>
          </cell>
          <cell r="B695">
            <v>304525</v>
          </cell>
          <cell r="C695">
            <v>-16.200084929999999</v>
          </cell>
          <cell r="D695">
            <v>-52.175902919999999</v>
          </cell>
        </row>
        <row r="696">
          <cell r="A696" t="str">
            <v>Bom Jardim de Minas</v>
          </cell>
          <cell r="B696">
            <v>304998</v>
          </cell>
          <cell r="C696">
            <v>-21.948355029999998</v>
          </cell>
          <cell r="D696">
            <v>-44.188875670000002</v>
          </cell>
        </row>
        <row r="697">
          <cell r="A697" t="str">
            <v>Bom Jesus</v>
          </cell>
          <cell r="B697">
            <v>302066</v>
          </cell>
          <cell r="C697">
            <v>-9.0716624840000009</v>
          </cell>
          <cell r="D697">
            <v>-44.35930699</v>
          </cell>
        </row>
        <row r="698">
          <cell r="A698" t="str">
            <v>Bom Jesus</v>
          </cell>
          <cell r="B698">
            <v>300806</v>
          </cell>
          <cell r="C698">
            <v>-6.8164253019999999</v>
          </cell>
          <cell r="D698">
            <v>-38.645658959999999</v>
          </cell>
        </row>
        <row r="699">
          <cell r="A699" t="str">
            <v>Bom Jesus</v>
          </cell>
          <cell r="B699">
            <v>302325</v>
          </cell>
          <cell r="C699">
            <v>-5.9868908870000004</v>
          </cell>
          <cell r="D699">
            <v>-35.5794882</v>
          </cell>
        </row>
        <row r="700">
          <cell r="A700" t="str">
            <v>Bom Jesus</v>
          </cell>
          <cell r="B700">
            <v>305115</v>
          </cell>
          <cell r="C700">
            <v>-26.733065620000001</v>
          </cell>
          <cell r="D700">
            <v>-52.392347739999998</v>
          </cell>
        </row>
        <row r="701">
          <cell r="A701" t="str">
            <v>Bom Jesus</v>
          </cell>
          <cell r="B701">
            <v>305142</v>
          </cell>
          <cell r="C701">
            <v>-28.67018358</v>
          </cell>
          <cell r="D701">
            <v>-50.429895989999999</v>
          </cell>
        </row>
        <row r="702">
          <cell r="A702" t="str">
            <v>Bom Jesus da Lapa</v>
          </cell>
          <cell r="B702">
            <v>302107</v>
          </cell>
          <cell r="C702">
            <v>-13.251016549999999</v>
          </cell>
          <cell r="D702">
            <v>-43.411108740000003</v>
          </cell>
        </row>
        <row r="703">
          <cell r="A703" t="str">
            <v>Bom Jesus da Penha</v>
          </cell>
          <cell r="B703">
            <v>303500</v>
          </cell>
          <cell r="C703">
            <v>-21.01525749</v>
          </cell>
          <cell r="D703">
            <v>-46.517760209999999</v>
          </cell>
        </row>
        <row r="704">
          <cell r="A704" t="str">
            <v>Bom Jesus da Serra</v>
          </cell>
          <cell r="B704">
            <v>301568</v>
          </cell>
          <cell r="C704">
            <v>-14.373951079999999</v>
          </cell>
          <cell r="D704">
            <v>-40.504884310000001</v>
          </cell>
        </row>
        <row r="705">
          <cell r="A705" t="str">
            <v>Bom Jesus das Selvas</v>
          </cell>
          <cell r="B705">
            <v>301952</v>
          </cell>
          <cell r="C705">
            <v>-4.4835837669999998</v>
          </cell>
          <cell r="D705">
            <v>-46.853587320000003</v>
          </cell>
        </row>
        <row r="706">
          <cell r="A706" t="str">
            <v>Bom Jesus de Goiás</v>
          </cell>
          <cell r="B706">
            <v>303393</v>
          </cell>
          <cell r="C706">
            <v>-18.21770888</v>
          </cell>
          <cell r="D706">
            <v>-49.740395120000002</v>
          </cell>
        </row>
        <row r="707">
          <cell r="A707" t="str">
            <v>Bom Jesus do Amparo</v>
          </cell>
          <cell r="B707">
            <v>304910</v>
          </cell>
          <cell r="C707">
            <v>-19.7067236</v>
          </cell>
          <cell r="D707">
            <v>-43.474330559999999</v>
          </cell>
        </row>
        <row r="708">
          <cell r="A708" t="str">
            <v>Bom Jesus do Araguaia</v>
          </cell>
          <cell r="B708">
            <v>300370</v>
          </cell>
          <cell r="C708">
            <v>-12.17099979</v>
          </cell>
          <cell r="D708">
            <v>-51.503558439999999</v>
          </cell>
        </row>
        <row r="709">
          <cell r="A709" t="str">
            <v>Bom Jesus do Galho</v>
          </cell>
          <cell r="B709">
            <v>302905</v>
          </cell>
          <cell r="C709">
            <v>-19.836301809999998</v>
          </cell>
          <cell r="D709">
            <v>-42.317982899999997</v>
          </cell>
        </row>
        <row r="710">
          <cell r="A710" t="str">
            <v>Bom Jesus do Itabapoana</v>
          </cell>
          <cell r="B710">
            <v>302640</v>
          </cell>
          <cell r="C710">
            <v>-21.14533363</v>
          </cell>
          <cell r="D710">
            <v>-41.682579740000001</v>
          </cell>
        </row>
        <row r="711">
          <cell r="A711" t="str">
            <v>Bom Jesus do Norte</v>
          </cell>
          <cell r="B711">
            <v>302638</v>
          </cell>
          <cell r="C711">
            <v>-21.117772540000001</v>
          </cell>
          <cell r="D711">
            <v>-41.673486609999998</v>
          </cell>
        </row>
        <row r="712">
          <cell r="A712" t="str">
            <v>Bom Jesus do Oeste</v>
          </cell>
          <cell r="B712">
            <v>305535</v>
          </cell>
          <cell r="C712">
            <v>-26.69320531</v>
          </cell>
          <cell r="D712">
            <v>-53.097176949999998</v>
          </cell>
        </row>
        <row r="713">
          <cell r="A713" t="str">
            <v>Bom Jesus do Sul</v>
          </cell>
          <cell r="B713">
            <v>305332</v>
          </cell>
          <cell r="C713">
            <v>-26.196267800000001</v>
          </cell>
          <cell r="D713">
            <v>-53.595946050000002</v>
          </cell>
        </row>
        <row r="714">
          <cell r="A714" t="str">
            <v>Bom Jesus do Tocantins</v>
          </cell>
          <cell r="B714">
            <v>302202</v>
          </cell>
          <cell r="C714">
            <v>-8.9634791279999995</v>
          </cell>
          <cell r="D714">
            <v>-48.165423130000001</v>
          </cell>
        </row>
        <row r="715">
          <cell r="A715" t="str">
            <v>Bom Jesus do Tocantins</v>
          </cell>
          <cell r="B715">
            <v>302580</v>
          </cell>
          <cell r="C715">
            <v>-5.0428009429999996</v>
          </cell>
          <cell r="D715">
            <v>-48.605080630000003</v>
          </cell>
        </row>
        <row r="716">
          <cell r="A716" t="str">
            <v>Bom Jesus dos Perdões</v>
          </cell>
          <cell r="B716">
            <v>303936</v>
          </cell>
          <cell r="C716">
            <v>-23.136057430000001</v>
          </cell>
          <cell r="D716">
            <v>-46.467870750000003</v>
          </cell>
        </row>
        <row r="717">
          <cell r="A717" t="str">
            <v>Bom Lugar</v>
          </cell>
          <cell r="B717">
            <v>302439</v>
          </cell>
          <cell r="C717">
            <v>-4.3733560750000002</v>
          </cell>
          <cell r="D717">
            <v>-45.039879059999997</v>
          </cell>
        </row>
        <row r="718">
          <cell r="A718" t="str">
            <v>Bom Princípio</v>
          </cell>
          <cell r="B718">
            <v>305486</v>
          </cell>
          <cell r="C718">
            <v>-29.48611292</v>
          </cell>
          <cell r="D718">
            <v>-51.355215610000002</v>
          </cell>
        </row>
        <row r="719">
          <cell r="A719" t="str">
            <v>Bom Princípio do Piauí</v>
          </cell>
          <cell r="B719">
            <v>300720</v>
          </cell>
          <cell r="C719">
            <v>-3.1911880579999998</v>
          </cell>
          <cell r="D719">
            <v>-41.644366849999997</v>
          </cell>
        </row>
        <row r="720">
          <cell r="A720" t="str">
            <v>Bom Progresso</v>
          </cell>
          <cell r="B720">
            <v>305423</v>
          </cell>
          <cell r="C720">
            <v>-27.540323269999998</v>
          </cell>
          <cell r="D720">
            <v>-53.872068120000002</v>
          </cell>
        </row>
        <row r="721">
          <cell r="A721" t="str">
            <v>Bom Repouso</v>
          </cell>
          <cell r="B721">
            <v>303535</v>
          </cell>
          <cell r="C721">
            <v>-22.46797114</v>
          </cell>
          <cell r="D721">
            <v>-46.144428619999999</v>
          </cell>
        </row>
        <row r="722">
          <cell r="A722" t="str">
            <v>Bom Retiro</v>
          </cell>
          <cell r="B722">
            <v>304090</v>
          </cell>
          <cell r="C722">
            <v>-27.799474889999999</v>
          </cell>
          <cell r="D722">
            <v>-49.487427160000003</v>
          </cell>
        </row>
        <row r="723">
          <cell r="A723" t="str">
            <v>Bom Retiro do Sul</v>
          </cell>
          <cell r="B723">
            <v>305788</v>
          </cell>
          <cell r="C723">
            <v>-29.59718634</v>
          </cell>
          <cell r="D723">
            <v>-51.937460999999999</v>
          </cell>
        </row>
        <row r="724">
          <cell r="A724" t="str">
            <v>Bom Sucesso</v>
          </cell>
          <cell r="B724">
            <v>303162</v>
          </cell>
          <cell r="C724">
            <v>-21.033350540000001</v>
          </cell>
          <cell r="D724">
            <v>-44.754124240000003</v>
          </cell>
        </row>
        <row r="725">
          <cell r="A725" t="str">
            <v>Bom Sucesso</v>
          </cell>
          <cell r="B725">
            <v>300929</v>
          </cell>
          <cell r="C725">
            <v>-6.4421744490000004</v>
          </cell>
          <cell r="D725">
            <v>-37.923718559999998</v>
          </cell>
        </row>
        <row r="726">
          <cell r="A726" t="str">
            <v>Bom Sucesso</v>
          </cell>
          <cell r="B726">
            <v>304774</v>
          </cell>
          <cell r="C726">
            <v>-23.706778910000001</v>
          </cell>
          <cell r="D726">
            <v>-51.767488970000002</v>
          </cell>
        </row>
        <row r="727">
          <cell r="A727" t="str">
            <v>Bom Sucesso de Itararé</v>
          </cell>
          <cell r="B727">
            <v>304953</v>
          </cell>
          <cell r="C727">
            <v>-24.317986919999999</v>
          </cell>
          <cell r="D727">
            <v>-49.143948170000002</v>
          </cell>
        </row>
        <row r="728">
          <cell r="A728" t="str">
            <v>Bom Sucesso do Sul</v>
          </cell>
          <cell r="B728">
            <v>305639</v>
          </cell>
          <cell r="C728">
            <v>-26.07358095</v>
          </cell>
          <cell r="D728">
            <v>-52.835744939999998</v>
          </cell>
        </row>
        <row r="729">
          <cell r="A729" t="str">
            <v>Bombinhas</v>
          </cell>
          <cell r="B729">
            <v>304006</v>
          </cell>
          <cell r="C729">
            <v>-27.138728449999999</v>
          </cell>
          <cell r="D729">
            <v>-48.51498505</v>
          </cell>
        </row>
        <row r="730">
          <cell r="A730" t="str">
            <v>Bonfim</v>
          </cell>
          <cell r="B730">
            <v>302925</v>
          </cell>
          <cell r="C730">
            <v>-20.33068913</v>
          </cell>
          <cell r="D730">
            <v>-44.236938930000001</v>
          </cell>
        </row>
        <row r="731">
          <cell r="A731" t="str">
            <v>Bonfim</v>
          </cell>
          <cell r="B731">
            <v>305880</v>
          </cell>
          <cell r="C731">
            <v>3.3612588780000001</v>
          </cell>
          <cell r="D731">
            <v>-59.833738930000003</v>
          </cell>
        </row>
        <row r="732">
          <cell r="A732" t="str">
            <v>Bonfim do Piauí</v>
          </cell>
          <cell r="B732">
            <v>302051</v>
          </cell>
          <cell r="C732">
            <v>-9.1602061609999996</v>
          </cell>
          <cell r="D732">
            <v>-42.883590040000001</v>
          </cell>
        </row>
        <row r="733">
          <cell r="A733" t="str">
            <v>Bonfinópolis</v>
          </cell>
          <cell r="B733">
            <v>302403</v>
          </cell>
          <cell r="C733">
            <v>-16.61772173</v>
          </cell>
          <cell r="D733">
            <v>-48.961966789999998</v>
          </cell>
        </row>
        <row r="734">
          <cell r="A734" t="str">
            <v>Bonfinópolis de Minas</v>
          </cell>
          <cell r="B734">
            <v>302590</v>
          </cell>
          <cell r="C734">
            <v>-16.565957990000001</v>
          </cell>
          <cell r="D734">
            <v>-45.988062110000001</v>
          </cell>
        </row>
        <row r="735">
          <cell r="A735" t="str">
            <v>Boninal</v>
          </cell>
          <cell r="B735">
            <v>301579</v>
          </cell>
          <cell r="C735">
            <v>-12.70733201</v>
          </cell>
          <cell r="D735">
            <v>-41.828947139999997</v>
          </cell>
        </row>
        <row r="736">
          <cell r="A736" t="str">
            <v>Bonito</v>
          </cell>
          <cell r="B736">
            <v>301104</v>
          </cell>
          <cell r="C736">
            <v>-8.4720555169999994</v>
          </cell>
          <cell r="D736">
            <v>-35.729543909999997</v>
          </cell>
        </row>
        <row r="737">
          <cell r="A737" t="str">
            <v>Bonito</v>
          </cell>
          <cell r="B737">
            <v>301499</v>
          </cell>
          <cell r="C737">
            <v>-11.967209950000001</v>
          </cell>
          <cell r="D737">
            <v>-41.265036260000002</v>
          </cell>
        </row>
        <row r="738">
          <cell r="A738" t="str">
            <v>Bonito</v>
          </cell>
          <cell r="B738">
            <v>301905</v>
          </cell>
          <cell r="C738">
            <v>-1.367829929</v>
          </cell>
          <cell r="D738">
            <v>-47.306942360000001</v>
          </cell>
        </row>
        <row r="739">
          <cell r="A739" t="str">
            <v>Bonito</v>
          </cell>
          <cell r="B739">
            <v>305230</v>
          </cell>
          <cell r="C739">
            <v>-21.12654298</v>
          </cell>
          <cell r="D739">
            <v>-56.48401715</v>
          </cell>
        </row>
        <row r="740">
          <cell r="A740" t="str">
            <v>Bonito de Minas</v>
          </cell>
          <cell r="B740">
            <v>302176</v>
          </cell>
          <cell r="C740">
            <v>-15.321420549999999</v>
          </cell>
          <cell r="D740">
            <v>-44.757206689999997</v>
          </cell>
        </row>
        <row r="741">
          <cell r="A741" t="str">
            <v>Bonito de Santa Fé</v>
          </cell>
          <cell r="B741">
            <v>300804</v>
          </cell>
          <cell r="C741">
            <v>-7.3138254160000002</v>
          </cell>
          <cell r="D741">
            <v>-38.513649360000002</v>
          </cell>
        </row>
        <row r="742">
          <cell r="A742" t="str">
            <v>Bonópolis</v>
          </cell>
          <cell r="B742">
            <v>302801</v>
          </cell>
          <cell r="C742">
            <v>-13.65088111</v>
          </cell>
          <cell r="D742">
            <v>-49.834196290000001</v>
          </cell>
        </row>
        <row r="743">
          <cell r="A743" t="str">
            <v>Boqueirão</v>
          </cell>
          <cell r="B743">
            <v>301322</v>
          </cell>
          <cell r="C743">
            <v>-7.4826459549999997</v>
          </cell>
          <cell r="D743">
            <v>-36.132283090000001</v>
          </cell>
        </row>
        <row r="744">
          <cell r="A744" t="str">
            <v>Boqueirão do Leão</v>
          </cell>
          <cell r="B744">
            <v>305626</v>
          </cell>
          <cell r="C744">
            <v>-29.305094960000002</v>
          </cell>
          <cell r="D744">
            <v>-52.428890750000001</v>
          </cell>
        </row>
        <row r="745">
          <cell r="A745" t="str">
            <v>Boqueirão do Piauí</v>
          </cell>
          <cell r="B745">
            <v>301771</v>
          </cell>
          <cell r="C745">
            <v>-4.4885729049999998</v>
          </cell>
          <cell r="D745">
            <v>-42.104757890000002</v>
          </cell>
        </row>
        <row r="746">
          <cell r="A746" t="str">
            <v>Boquim</v>
          </cell>
          <cell r="B746">
            <v>301262</v>
          </cell>
          <cell r="C746">
            <v>-11.146326159999999</v>
          </cell>
          <cell r="D746">
            <v>-37.620559579999998</v>
          </cell>
        </row>
        <row r="747">
          <cell r="A747" t="str">
            <v>Boquira</v>
          </cell>
          <cell r="B747">
            <v>302101</v>
          </cell>
          <cell r="C747">
            <v>-12.820980390000001</v>
          </cell>
          <cell r="D747">
            <v>-42.732703520000001</v>
          </cell>
        </row>
        <row r="748">
          <cell r="A748" t="str">
            <v>Borá</v>
          </cell>
          <cell r="B748">
            <v>304491</v>
          </cell>
          <cell r="C748">
            <v>-22.26949084</v>
          </cell>
          <cell r="D748">
            <v>-50.544600510000002</v>
          </cell>
        </row>
        <row r="749">
          <cell r="A749" t="str">
            <v>Boracéia</v>
          </cell>
          <cell r="B749">
            <v>303840</v>
          </cell>
          <cell r="C749">
            <v>-22.193114770000001</v>
          </cell>
          <cell r="D749">
            <v>-48.781160380000003</v>
          </cell>
        </row>
        <row r="750">
          <cell r="A750" t="str">
            <v>Borba</v>
          </cell>
          <cell r="B750">
            <v>304245</v>
          </cell>
          <cell r="C750">
            <v>-4.39192844</v>
          </cell>
          <cell r="D750">
            <v>-59.587818319999997</v>
          </cell>
        </row>
        <row r="751">
          <cell r="A751" t="str">
            <v>Borborema</v>
          </cell>
          <cell r="B751">
            <v>300444</v>
          </cell>
          <cell r="C751">
            <v>-6.8024121180000003</v>
          </cell>
          <cell r="D751">
            <v>-35.619020949999999</v>
          </cell>
        </row>
        <row r="752">
          <cell r="A752" t="str">
            <v>Borborema</v>
          </cell>
          <cell r="B752">
            <v>304587</v>
          </cell>
          <cell r="C752">
            <v>-21.62183533</v>
          </cell>
          <cell r="D752">
            <v>-49.074498640000002</v>
          </cell>
        </row>
        <row r="753">
          <cell r="A753" t="str">
            <v>Borda da Mata</v>
          </cell>
          <cell r="B753">
            <v>303532</v>
          </cell>
          <cell r="C753">
            <v>-22.27117745</v>
          </cell>
          <cell r="D753">
            <v>-46.165741220000001</v>
          </cell>
        </row>
        <row r="754">
          <cell r="A754" t="str">
            <v>Borebi</v>
          </cell>
          <cell r="B754">
            <v>303847</v>
          </cell>
          <cell r="C754">
            <v>-22.56898941</v>
          </cell>
          <cell r="D754">
            <v>-48.97094912</v>
          </cell>
        </row>
        <row r="755">
          <cell r="A755" t="str">
            <v>Borrazópolis</v>
          </cell>
          <cell r="B755">
            <v>304772</v>
          </cell>
          <cell r="C755">
            <v>-23.93707397</v>
          </cell>
          <cell r="D755">
            <v>-51.58793962</v>
          </cell>
        </row>
        <row r="756">
          <cell r="A756" t="str">
            <v>Bossoroca</v>
          </cell>
          <cell r="B756">
            <v>305805</v>
          </cell>
          <cell r="C756">
            <v>-28.72955455</v>
          </cell>
          <cell r="D756">
            <v>-54.903978500000001</v>
          </cell>
        </row>
        <row r="757">
          <cell r="A757" t="str">
            <v>Botelhos</v>
          </cell>
          <cell r="B757">
            <v>303507</v>
          </cell>
          <cell r="C757">
            <v>-21.64163087</v>
          </cell>
          <cell r="D757">
            <v>-46.391398019999997</v>
          </cell>
        </row>
        <row r="758">
          <cell r="A758" t="str">
            <v>Botucatu</v>
          </cell>
          <cell r="B758">
            <v>303836</v>
          </cell>
          <cell r="C758">
            <v>-22.88416965</v>
          </cell>
          <cell r="D758">
            <v>-48.44411522</v>
          </cell>
        </row>
        <row r="759">
          <cell r="A759" t="str">
            <v>Botumirim</v>
          </cell>
          <cell r="B759">
            <v>302700</v>
          </cell>
          <cell r="C759">
            <v>-16.866203630000001</v>
          </cell>
          <cell r="D759">
            <v>-43.008935999999999</v>
          </cell>
        </row>
        <row r="760">
          <cell r="A760" t="str">
            <v>Botuporã</v>
          </cell>
          <cell r="B760">
            <v>302143</v>
          </cell>
          <cell r="C760">
            <v>-13.379598809999999</v>
          </cell>
          <cell r="D760">
            <v>-42.524546219999998</v>
          </cell>
        </row>
        <row r="761">
          <cell r="A761" t="str">
            <v>Botuverá</v>
          </cell>
          <cell r="B761">
            <v>304028</v>
          </cell>
          <cell r="C761">
            <v>-27.201230899999999</v>
          </cell>
          <cell r="D761">
            <v>-49.06932003</v>
          </cell>
        </row>
        <row r="762">
          <cell r="A762" t="str">
            <v>Bozano</v>
          </cell>
          <cell r="B762">
            <v>300404</v>
          </cell>
          <cell r="C762">
            <v>-28.366374860000001</v>
          </cell>
          <cell r="D762">
            <v>-53.772427870000001</v>
          </cell>
        </row>
        <row r="763">
          <cell r="A763" t="str">
            <v>Braço do Norte</v>
          </cell>
          <cell r="B763">
            <v>304066</v>
          </cell>
          <cell r="C763">
            <v>-28.268565859999999</v>
          </cell>
          <cell r="D763">
            <v>-49.170488910000003</v>
          </cell>
        </row>
        <row r="764">
          <cell r="A764" t="str">
            <v>Braço do Trombudo</v>
          </cell>
          <cell r="B764">
            <v>304093</v>
          </cell>
          <cell r="C764">
            <v>-27.359057740000001</v>
          </cell>
          <cell r="D764">
            <v>-49.882579059999998</v>
          </cell>
        </row>
        <row r="765">
          <cell r="A765" t="str">
            <v>Braga</v>
          </cell>
          <cell r="B765">
            <v>305421</v>
          </cell>
          <cell r="C765">
            <v>-27.617815830000001</v>
          </cell>
          <cell r="D765">
            <v>-53.740973650000001</v>
          </cell>
        </row>
        <row r="766">
          <cell r="A766" t="str">
            <v>Bragança</v>
          </cell>
          <cell r="B766">
            <v>301886</v>
          </cell>
          <cell r="C766">
            <v>-1.0530027799999999</v>
          </cell>
          <cell r="D766">
            <v>-46.771041050000001</v>
          </cell>
        </row>
        <row r="767">
          <cell r="A767" t="str">
            <v>Bragança Paulista</v>
          </cell>
          <cell r="B767">
            <v>303634</v>
          </cell>
          <cell r="C767">
            <v>-22.953158680000001</v>
          </cell>
          <cell r="D767">
            <v>-46.542276719999997</v>
          </cell>
        </row>
        <row r="768">
          <cell r="A768" t="str">
            <v>Braganey</v>
          </cell>
          <cell r="B768">
            <v>305064</v>
          </cell>
          <cell r="C768">
            <v>-24.817804509999998</v>
          </cell>
          <cell r="D768">
            <v>-53.122232060000002</v>
          </cell>
        </row>
        <row r="769">
          <cell r="A769" t="str">
            <v>Branquinha</v>
          </cell>
          <cell r="B769">
            <v>301476</v>
          </cell>
          <cell r="C769">
            <v>-9.2338519340000005</v>
          </cell>
          <cell r="D769">
            <v>-36.016449649999998</v>
          </cell>
        </row>
        <row r="770">
          <cell r="A770" t="str">
            <v>Brás Pires</v>
          </cell>
          <cell r="B770">
            <v>302842</v>
          </cell>
          <cell r="C770">
            <v>-20.842390160000001</v>
          </cell>
          <cell r="D770">
            <v>-43.24092418</v>
          </cell>
        </row>
        <row r="771">
          <cell r="A771" t="str">
            <v>Brasil Novo</v>
          </cell>
          <cell r="B771">
            <v>304149</v>
          </cell>
          <cell r="C771">
            <v>-3.2979226430000002</v>
          </cell>
          <cell r="D771">
            <v>-52.539283830000002</v>
          </cell>
        </row>
        <row r="772">
          <cell r="A772" t="str">
            <v>Brasilândia</v>
          </cell>
          <cell r="B772">
            <v>304800</v>
          </cell>
          <cell r="C772">
            <v>-21.254886880000001</v>
          </cell>
          <cell r="D772">
            <v>-52.036946039999997</v>
          </cell>
        </row>
        <row r="773">
          <cell r="A773" t="str">
            <v>Brasilândia de Minas</v>
          </cell>
          <cell r="B773">
            <v>302959</v>
          </cell>
          <cell r="C773">
            <v>-16.997641089999998</v>
          </cell>
          <cell r="D773">
            <v>-46.012338710000002</v>
          </cell>
        </row>
        <row r="774">
          <cell r="A774" t="str">
            <v>Brasilândia do Sul</v>
          </cell>
          <cell r="B774">
            <v>305002</v>
          </cell>
          <cell r="C774">
            <v>-24.198224</v>
          </cell>
          <cell r="D774">
            <v>-53.527972310000003</v>
          </cell>
        </row>
        <row r="775">
          <cell r="A775" t="str">
            <v>Brasilândia do Tocantins</v>
          </cell>
          <cell r="B775">
            <v>302226</v>
          </cell>
          <cell r="C775">
            <v>-8.3895980269999999</v>
          </cell>
          <cell r="D775">
            <v>-48.482594489999997</v>
          </cell>
        </row>
        <row r="776">
          <cell r="A776" t="str">
            <v>Brasiléia</v>
          </cell>
          <cell r="B776">
            <v>305861</v>
          </cell>
          <cell r="C776">
            <v>-10.99539307</v>
          </cell>
          <cell r="D776">
            <v>-68.750178770000005</v>
          </cell>
        </row>
        <row r="777">
          <cell r="A777" t="str">
            <v>Brasileira</v>
          </cell>
          <cell r="B777">
            <v>300728</v>
          </cell>
          <cell r="C777">
            <v>-4.1340931769999996</v>
          </cell>
          <cell r="D777">
            <v>-41.78619037</v>
          </cell>
        </row>
        <row r="778">
          <cell r="A778" t="str">
            <v>Brasília</v>
          </cell>
          <cell r="B778">
            <v>295763</v>
          </cell>
          <cell r="C778">
            <v>-15.78042086</v>
          </cell>
          <cell r="D778">
            <v>-47.930434269999999</v>
          </cell>
        </row>
        <row r="779">
          <cell r="A779" t="str">
            <v>Brasília de Minas</v>
          </cell>
          <cell r="B779">
            <v>302187</v>
          </cell>
          <cell r="C779">
            <v>-16.211907459999999</v>
          </cell>
          <cell r="D779">
            <v>-44.427983859999998</v>
          </cell>
        </row>
        <row r="780">
          <cell r="A780" t="str">
            <v>Brasnorte</v>
          </cell>
          <cell r="B780">
            <v>304229</v>
          </cell>
          <cell r="C780">
            <v>-12.1210901</v>
          </cell>
          <cell r="D780">
            <v>-58.002925679999997</v>
          </cell>
        </row>
        <row r="781">
          <cell r="A781" t="str">
            <v>Braúna</v>
          </cell>
          <cell r="B781">
            <v>303882</v>
          </cell>
          <cell r="C781">
            <v>-21.499502889999999</v>
          </cell>
          <cell r="D781">
            <v>-50.317906180000001</v>
          </cell>
        </row>
        <row r="782">
          <cell r="A782" t="str">
            <v>Braúnas</v>
          </cell>
          <cell r="B782">
            <v>303055</v>
          </cell>
          <cell r="C782">
            <v>-19.056632329999999</v>
          </cell>
          <cell r="D782">
            <v>-42.710256340000001</v>
          </cell>
        </row>
        <row r="783">
          <cell r="A783" t="str">
            <v>Brazabrantes</v>
          </cell>
          <cell r="B783">
            <v>302602</v>
          </cell>
          <cell r="C783">
            <v>-16.431565020000001</v>
          </cell>
          <cell r="D783">
            <v>-49.385708690000001</v>
          </cell>
        </row>
        <row r="784">
          <cell r="A784" t="str">
            <v>Brazópolis</v>
          </cell>
          <cell r="B784">
            <v>303454</v>
          </cell>
          <cell r="C784">
            <v>-22.470497430000002</v>
          </cell>
          <cell r="D784">
            <v>-45.613383990000003</v>
          </cell>
        </row>
        <row r="785">
          <cell r="A785" t="str">
            <v>Brejão</v>
          </cell>
          <cell r="B785">
            <v>301135</v>
          </cell>
          <cell r="C785">
            <v>-9.0281298420000002</v>
          </cell>
          <cell r="D785">
            <v>-36.567855710000003</v>
          </cell>
        </row>
        <row r="786">
          <cell r="A786" t="str">
            <v>Brejetuba</v>
          </cell>
          <cell r="B786">
            <v>302547</v>
          </cell>
          <cell r="C786">
            <v>-20.13996848</v>
          </cell>
          <cell r="D786">
            <v>-41.295762600000003</v>
          </cell>
        </row>
        <row r="787">
          <cell r="A787" t="str">
            <v>Brejinho</v>
          </cell>
          <cell r="B787">
            <v>300778</v>
          </cell>
          <cell r="C787">
            <v>-7.3473594660000003</v>
          </cell>
          <cell r="D787">
            <v>-37.286798539999999</v>
          </cell>
        </row>
        <row r="788">
          <cell r="A788" t="str">
            <v>Brejinho</v>
          </cell>
          <cell r="B788">
            <v>302322</v>
          </cell>
          <cell r="C788">
            <v>-6.1953788090000002</v>
          </cell>
          <cell r="D788">
            <v>-35.356123609999997</v>
          </cell>
        </row>
        <row r="789">
          <cell r="A789" t="str">
            <v>Brejinho de Nazaré</v>
          </cell>
          <cell r="B789">
            <v>302253</v>
          </cell>
          <cell r="C789">
            <v>-11.02085787</v>
          </cell>
          <cell r="D789">
            <v>-48.568332910000002</v>
          </cell>
        </row>
        <row r="790">
          <cell r="A790" t="str">
            <v>Brejo</v>
          </cell>
          <cell r="B790">
            <v>301645</v>
          </cell>
          <cell r="C790">
            <v>-3.6783510009999998</v>
          </cell>
          <cell r="D790">
            <v>-42.75304569</v>
          </cell>
        </row>
        <row r="791">
          <cell r="A791" t="str">
            <v>Brejo Alegre</v>
          </cell>
          <cell r="B791">
            <v>303874</v>
          </cell>
          <cell r="C791">
            <v>-21.16599184</v>
          </cell>
          <cell r="D791">
            <v>-50.184947780000002</v>
          </cell>
        </row>
        <row r="792">
          <cell r="A792" t="str">
            <v>Brejo da Madre de Deus</v>
          </cell>
          <cell r="B792">
            <v>300602</v>
          </cell>
          <cell r="C792">
            <v>-8.1441544760000006</v>
          </cell>
          <cell r="D792">
            <v>-36.371045889999998</v>
          </cell>
        </row>
        <row r="793">
          <cell r="A793" t="str">
            <v>Brejo de Areia</v>
          </cell>
          <cell r="B793">
            <v>303191</v>
          </cell>
          <cell r="C793">
            <v>-4.3305560070000002</v>
          </cell>
          <cell r="D793">
            <v>-45.584059619999998</v>
          </cell>
        </row>
        <row r="794">
          <cell r="A794" t="str">
            <v>Brejo do Cruz</v>
          </cell>
          <cell r="B794">
            <v>300608</v>
          </cell>
          <cell r="C794">
            <v>-6.342266081</v>
          </cell>
          <cell r="D794">
            <v>-37.494646410000001</v>
          </cell>
        </row>
        <row r="795">
          <cell r="A795" t="str">
            <v>Brejo do Piauí</v>
          </cell>
          <cell r="B795">
            <v>301837</v>
          </cell>
          <cell r="C795">
            <v>-8.2078214840000001</v>
          </cell>
          <cell r="D795">
            <v>-42.835639780000001</v>
          </cell>
        </row>
        <row r="796">
          <cell r="A796" t="str">
            <v>Brejo dos Santos</v>
          </cell>
          <cell r="B796">
            <v>300927</v>
          </cell>
          <cell r="C796">
            <v>-6.3710650649999998</v>
          </cell>
          <cell r="D796">
            <v>-37.825619809999999</v>
          </cell>
        </row>
        <row r="797">
          <cell r="A797" t="str">
            <v>Brejo Grande</v>
          </cell>
          <cell r="B797">
            <v>301187</v>
          </cell>
          <cell r="C797">
            <v>-10.43015164</v>
          </cell>
          <cell r="D797">
            <v>-36.461404029999997</v>
          </cell>
        </row>
        <row r="798">
          <cell r="A798" t="str">
            <v>Brejo Grande do Araguaia</v>
          </cell>
          <cell r="B798">
            <v>302583</v>
          </cell>
          <cell r="C798">
            <v>-5.6986624880000001</v>
          </cell>
          <cell r="D798">
            <v>-48.40266664</v>
          </cell>
        </row>
        <row r="799">
          <cell r="A799" t="str">
            <v>Brejo Santo</v>
          </cell>
          <cell r="B799">
            <v>300838</v>
          </cell>
          <cell r="C799">
            <v>-7.4889761769999996</v>
          </cell>
          <cell r="D799">
            <v>-38.986414119999999</v>
          </cell>
        </row>
        <row r="800">
          <cell r="A800" t="str">
            <v>Brejões</v>
          </cell>
          <cell r="B800">
            <v>301728</v>
          </cell>
          <cell r="C800">
            <v>-13.103992099999999</v>
          </cell>
          <cell r="D800">
            <v>-39.794178770000002</v>
          </cell>
        </row>
        <row r="801">
          <cell r="A801" t="str">
            <v>Brejolândia</v>
          </cell>
          <cell r="B801">
            <v>302282</v>
          </cell>
          <cell r="C801">
            <v>-12.486348810000001</v>
          </cell>
          <cell r="D801">
            <v>-43.961593329999999</v>
          </cell>
        </row>
        <row r="802">
          <cell r="A802" t="str">
            <v>Breu Branco</v>
          </cell>
          <cell r="B802">
            <v>301949</v>
          </cell>
          <cell r="C802">
            <v>-3.7722997110000001</v>
          </cell>
          <cell r="D802">
            <v>-49.573843789999998</v>
          </cell>
        </row>
        <row r="803">
          <cell r="A803" t="str">
            <v>Breves</v>
          </cell>
          <cell r="B803">
            <v>304669</v>
          </cell>
          <cell r="C803">
            <v>-1.6807401390000001</v>
          </cell>
          <cell r="D803">
            <v>-50.479474430000003</v>
          </cell>
        </row>
        <row r="804">
          <cell r="A804" t="str">
            <v>Britânia</v>
          </cell>
          <cell r="B804">
            <v>304546</v>
          </cell>
          <cell r="C804">
            <v>-15.24287419</v>
          </cell>
          <cell r="D804">
            <v>-51.165387860000003</v>
          </cell>
        </row>
        <row r="805">
          <cell r="A805" t="str">
            <v>Brochier</v>
          </cell>
          <cell r="B805">
            <v>305767</v>
          </cell>
          <cell r="C805">
            <v>-29.550614209999999</v>
          </cell>
          <cell r="D805">
            <v>-51.594970459999999</v>
          </cell>
        </row>
        <row r="806">
          <cell r="A806" t="str">
            <v>Brodowski</v>
          </cell>
          <cell r="B806">
            <v>303657</v>
          </cell>
          <cell r="C806">
            <v>-20.98500074</v>
          </cell>
          <cell r="D806">
            <v>-47.657615700000001</v>
          </cell>
        </row>
        <row r="807">
          <cell r="A807" t="str">
            <v>Brotas</v>
          </cell>
          <cell r="B807">
            <v>303919</v>
          </cell>
          <cell r="C807">
            <v>-22.279947669999999</v>
          </cell>
          <cell r="D807">
            <v>-48.125520350000002</v>
          </cell>
        </row>
        <row r="808">
          <cell r="A808" t="str">
            <v>Brotas de Macaúbas</v>
          </cell>
          <cell r="B808">
            <v>302274</v>
          </cell>
          <cell r="C808">
            <v>-11.99505742</v>
          </cell>
          <cell r="D808">
            <v>-42.630238599999998</v>
          </cell>
        </row>
        <row r="809">
          <cell r="A809" t="str">
            <v>Brumadinho</v>
          </cell>
          <cell r="B809">
            <v>302922</v>
          </cell>
          <cell r="C809">
            <v>-20.151462540000001</v>
          </cell>
          <cell r="D809">
            <v>-44.201048249999999</v>
          </cell>
        </row>
        <row r="810">
          <cell r="A810" t="str">
            <v>Brumado</v>
          </cell>
          <cell r="B810">
            <v>301590</v>
          </cell>
          <cell r="C810">
            <v>-14.20257958</v>
          </cell>
          <cell r="D810">
            <v>-41.669936159999999</v>
          </cell>
        </row>
        <row r="811">
          <cell r="A811" t="str">
            <v>Brunópolis</v>
          </cell>
          <cell r="B811">
            <v>305134</v>
          </cell>
          <cell r="C811">
            <v>-27.306257540000001</v>
          </cell>
          <cell r="D811">
            <v>-50.868810310000001</v>
          </cell>
        </row>
        <row r="812">
          <cell r="A812" t="str">
            <v>Brusque</v>
          </cell>
          <cell r="B812">
            <v>304022</v>
          </cell>
          <cell r="C812">
            <v>-27.098188159999999</v>
          </cell>
          <cell r="D812">
            <v>-48.911089570000001</v>
          </cell>
        </row>
        <row r="813">
          <cell r="A813" t="str">
            <v>Buena Vista</v>
          </cell>
          <cell r="B813">
            <v>314335</v>
          </cell>
          <cell r="C813">
            <v>-26.162042899999999</v>
          </cell>
          <cell r="D813">
            <v>-56.049664329999999</v>
          </cell>
        </row>
        <row r="814">
          <cell r="A814" t="str">
            <v>Bueno Brandão</v>
          </cell>
          <cell r="B814">
            <v>303537</v>
          </cell>
          <cell r="C814">
            <v>-22.438797539999999</v>
          </cell>
          <cell r="D814">
            <v>-46.349495939999997</v>
          </cell>
        </row>
        <row r="815">
          <cell r="A815" t="str">
            <v>Buenópolis</v>
          </cell>
          <cell r="B815">
            <v>302948</v>
          </cell>
          <cell r="C815">
            <v>-17.87489673</v>
          </cell>
          <cell r="D815">
            <v>-44.177872049999998</v>
          </cell>
        </row>
        <row r="816">
          <cell r="A816" t="str">
            <v>Buenos Aires</v>
          </cell>
          <cell r="B816">
            <v>300486</v>
          </cell>
          <cell r="C816">
            <v>-7.721757684</v>
          </cell>
          <cell r="D816">
            <v>-35.327279699999998</v>
          </cell>
        </row>
        <row r="817">
          <cell r="A817" t="str">
            <v>Buenos Aires</v>
          </cell>
          <cell r="B817">
            <v>295796</v>
          </cell>
          <cell r="C817">
            <v>-34.580912820000002</v>
          </cell>
          <cell r="D817">
            <v>-58.411046949999999</v>
          </cell>
        </row>
        <row r="818">
          <cell r="A818" t="str">
            <v>Buerarema</v>
          </cell>
          <cell r="B818">
            <v>301748</v>
          </cell>
          <cell r="C818">
            <v>-14.9560584</v>
          </cell>
          <cell r="D818">
            <v>-39.302713529999998</v>
          </cell>
        </row>
        <row r="819">
          <cell r="A819" t="str">
            <v>Bugre</v>
          </cell>
          <cell r="B819">
            <v>302901</v>
          </cell>
          <cell r="C819">
            <v>-19.423538140000002</v>
          </cell>
          <cell r="D819">
            <v>-42.25554193</v>
          </cell>
        </row>
        <row r="820">
          <cell r="A820" t="str">
            <v>Buíque</v>
          </cell>
          <cell r="B820">
            <v>301197</v>
          </cell>
          <cell r="C820">
            <v>-8.6230262940000006</v>
          </cell>
          <cell r="D820">
            <v>-37.155778789999999</v>
          </cell>
        </row>
        <row r="821">
          <cell r="A821" t="str">
            <v>Bujari</v>
          </cell>
          <cell r="B821">
            <v>305894</v>
          </cell>
          <cell r="C821">
            <v>-9.8339526589999995</v>
          </cell>
          <cell r="D821">
            <v>-67.952297020000003</v>
          </cell>
        </row>
        <row r="822">
          <cell r="A822" t="str">
            <v>Bujaru</v>
          </cell>
          <cell r="B822">
            <v>301916</v>
          </cell>
          <cell r="C822">
            <v>-1.517995682</v>
          </cell>
          <cell r="D822">
            <v>-48.038437870000003</v>
          </cell>
        </row>
        <row r="823">
          <cell r="A823" t="str">
            <v>Buri</v>
          </cell>
          <cell r="B823">
            <v>304663</v>
          </cell>
          <cell r="C823">
            <v>-23.79816383</v>
          </cell>
          <cell r="D823">
            <v>-48.596224030000002</v>
          </cell>
        </row>
        <row r="824">
          <cell r="A824" t="str">
            <v>Buritama</v>
          </cell>
          <cell r="B824">
            <v>303873</v>
          </cell>
          <cell r="C824">
            <v>-21.06652704</v>
          </cell>
          <cell r="D824">
            <v>-50.147908899999997</v>
          </cell>
        </row>
        <row r="825">
          <cell r="A825" t="str">
            <v>Buriti</v>
          </cell>
          <cell r="B825">
            <v>301646</v>
          </cell>
          <cell r="C825">
            <v>-3.9420875350000002</v>
          </cell>
          <cell r="D825">
            <v>-42.918278899999997</v>
          </cell>
        </row>
        <row r="826">
          <cell r="A826" t="str">
            <v>Buriti Alegre</v>
          </cell>
          <cell r="B826">
            <v>303368</v>
          </cell>
          <cell r="C826">
            <v>-18.138244069999999</v>
          </cell>
          <cell r="D826">
            <v>-49.040841569999998</v>
          </cell>
        </row>
        <row r="827">
          <cell r="A827" t="str">
            <v>Buriti Bravo</v>
          </cell>
          <cell r="B827">
            <v>302572</v>
          </cell>
          <cell r="C827">
            <v>-5.8327981690000001</v>
          </cell>
          <cell r="D827">
            <v>-43.835637949999999</v>
          </cell>
        </row>
        <row r="828">
          <cell r="A828" t="str">
            <v>Buriti de Goiás</v>
          </cell>
          <cell r="B828">
            <v>304547</v>
          </cell>
          <cell r="C828">
            <v>-16.176589010000001</v>
          </cell>
          <cell r="D828">
            <v>-50.434612219999998</v>
          </cell>
        </row>
        <row r="829">
          <cell r="A829" t="str">
            <v>Buriti do Tocantins</v>
          </cell>
          <cell r="B829">
            <v>301984</v>
          </cell>
          <cell r="C829">
            <v>-5.3148836060000004</v>
          </cell>
          <cell r="D829">
            <v>-48.227511499999999</v>
          </cell>
        </row>
        <row r="830">
          <cell r="A830" t="str">
            <v>Buriti dos Lopes</v>
          </cell>
          <cell r="B830">
            <v>300723</v>
          </cell>
          <cell r="C830">
            <v>-3.178883087</v>
          </cell>
          <cell r="D830">
            <v>-41.87028402</v>
          </cell>
        </row>
        <row r="831">
          <cell r="A831" t="str">
            <v>Buriti dos Montes</v>
          </cell>
          <cell r="B831">
            <v>301002</v>
          </cell>
          <cell r="C831">
            <v>-5.3062446559999996</v>
          </cell>
          <cell r="D831">
            <v>-41.093680200000001</v>
          </cell>
        </row>
        <row r="832">
          <cell r="A832" t="str">
            <v>Buriticupu</v>
          </cell>
          <cell r="B832">
            <v>301951</v>
          </cell>
          <cell r="C832">
            <v>-4.3214237000000004</v>
          </cell>
          <cell r="D832">
            <v>-46.45420919</v>
          </cell>
        </row>
        <row r="833">
          <cell r="A833" t="str">
            <v>Buritinópolis</v>
          </cell>
          <cell r="B833">
            <v>302866</v>
          </cell>
          <cell r="C833">
            <v>-14.456057830000001</v>
          </cell>
          <cell r="D833">
            <v>-46.43134869</v>
          </cell>
        </row>
        <row r="834">
          <cell r="A834" t="str">
            <v>Buritirama</v>
          </cell>
          <cell r="B834">
            <v>302277</v>
          </cell>
          <cell r="C834">
            <v>-10.71757435</v>
          </cell>
          <cell r="D834">
            <v>-43.63395131</v>
          </cell>
        </row>
        <row r="835">
          <cell r="A835" t="str">
            <v>Buritirana</v>
          </cell>
          <cell r="B835">
            <v>301955</v>
          </cell>
          <cell r="C835">
            <v>-5.5986358760000003</v>
          </cell>
          <cell r="D835">
            <v>-47.013458190000001</v>
          </cell>
        </row>
        <row r="836">
          <cell r="A836" t="str">
            <v>Buritis</v>
          </cell>
          <cell r="B836">
            <v>302762</v>
          </cell>
          <cell r="C836">
            <v>-15.62225344</v>
          </cell>
          <cell r="D836">
            <v>-46.422456650000001</v>
          </cell>
        </row>
        <row r="837">
          <cell r="A837" t="str">
            <v>Buritis</v>
          </cell>
          <cell r="B837">
            <v>304325</v>
          </cell>
          <cell r="C837">
            <v>-10.20598858</v>
          </cell>
          <cell r="D837">
            <v>-63.831182159999997</v>
          </cell>
        </row>
        <row r="838">
          <cell r="A838" t="str">
            <v>Buritizal</v>
          </cell>
          <cell r="B838">
            <v>303338</v>
          </cell>
          <cell r="C838">
            <v>-20.191549999999999</v>
          </cell>
          <cell r="D838">
            <v>-47.710032980000001</v>
          </cell>
        </row>
        <row r="839">
          <cell r="A839" t="str">
            <v>Buritizeiro</v>
          </cell>
          <cell r="B839">
            <v>302947</v>
          </cell>
          <cell r="C839">
            <v>-17.35099615</v>
          </cell>
          <cell r="D839">
            <v>-44.961956819999997</v>
          </cell>
        </row>
        <row r="840">
          <cell r="A840" t="str">
            <v>Butiá</v>
          </cell>
          <cell r="B840">
            <v>305513</v>
          </cell>
          <cell r="C840">
            <v>-30.118397819999998</v>
          </cell>
          <cell r="D840">
            <v>-51.960516429999998</v>
          </cell>
        </row>
        <row r="841">
          <cell r="A841" t="str">
            <v>Caacupé</v>
          </cell>
          <cell r="B841">
            <v>314470</v>
          </cell>
          <cell r="C841">
            <v>-25.396346250000001</v>
          </cell>
          <cell r="D841">
            <v>-57.116443310000001</v>
          </cell>
        </row>
        <row r="842">
          <cell r="A842" t="str">
            <v>Caaguazú</v>
          </cell>
          <cell r="B842">
            <v>314327</v>
          </cell>
          <cell r="C842">
            <v>-25.457076870000002</v>
          </cell>
          <cell r="D842">
            <v>-56.007716340000002</v>
          </cell>
        </row>
        <row r="843">
          <cell r="A843" t="str">
            <v>Caapiranga</v>
          </cell>
          <cell r="B843">
            <v>304639</v>
          </cell>
          <cell r="C843">
            <v>-3.31575635</v>
          </cell>
          <cell r="D843">
            <v>-61.221002210000002</v>
          </cell>
        </row>
        <row r="844">
          <cell r="A844" t="str">
            <v>Caaporã</v>
          </cell>
          <cell r="B844">
            <v>300677</v>
          </cell>
          <cell r="C844">
            <v>-7.5139301009999997</v>
          </cell>
          <cell r="D844">
            <v>-34.905802090000002</v>
          </cell>
        </row>
        <row r="845">
          <cell r="A845" t="str">
            <v>Caapucú</v>
          </cell>
          <cell r="B845">
            <v>314511</v>
          </cell>
          <cell r="C845">
            <v>-26.228432439999999</v>
          </cell>
          <cell r="D845">
            <v>-57.139119729999997</v>
          </cell>
        </row>
        <row r="846">
          <cell r="A846" t="str">
            <v>Caarapó</v>
          </cell>
          <cell r="B846">
            <v>305611</v>
          </cell>
          <cell r="C846">
            <v>-22.63721889</v>
          </cell>
          <cell r="D846">
            <v>-54.821375619999998</v>
          </cell>
        </row>
        <row r="847">
          <cell r="A847" t="str">
            <v>Caatiba</v>
          </cell>
          <cell r="B847">
            <v>301605</v>
          </cell>
          <cell r="C847">
            <v>-14.978236430000001</v>
          </cell>
          <cell r="D847">
            <v>-40.409190449999997</v>
          </cell>
        </row>
        <row r="848">
          <cell r="A848" t="str">
            <v>Caazapá</v>
          </cell>
          <cell r="B848">
            <v>314348</v>
          </cell>
          <cell r="C848">
            <v>-26.180636920000001</v>
          </cell>
          <cell r="D848">
            <v>-56.359657169999998</v>
          </cell>
        </row>
        <row r="849">
          <cell r="A849" t="str">
            <v>Cabaceiras</v>
          </cell>
          <cell r="B849">
            <v>300592</v>
          </cell>
          <cell r="C849">
            <v>-7.4918827830000003</v>
          </cell>
          <cell r="D849">
            <v>-36.288103</v>
          </cell>
        </row>
        <row r="850">
          <cell r="A850" t="str">
            <v>Cabaceiras do Paraguaçu</v>
          </cell>
          <cell r="B850">
            <v>301419</v>
          </cell>
          <cell r="C850">
            <v>-12.5321414</v>
          </cell>
          <cell r="D850">
            <v>-39.190555269999997</v>
          </cell>
        </row>
        <row r="851">
          <cell r="A851" t="str">
            <v>Caballero</v>
          </cell>
          <cell r="B851">
            <v>314476</v>
          </cell>
          <cell r="C851">
            <v>-25.69137959</v>
          </cell>
          <cell r="D851">
            <v>-56.842862940000003</v>
          </cell>
        </row>
        <row r="852">
          <cell r="A852" t="str">
            <v>Cabeceira Grande</v>
          </cell>
          <cell r="B852">
            <v>302768</v>
          </cell>
          <cell r="C852">
            <v>-16.027048669999999</v>
          </cell>
          <cell r="D852">
            <v>-47.087853789999997</v>
          </cell>
        </row>
        <row r="853">
          <cell r="A853" t="str">
            <v>Cabeceiras</v>
          </cell>
          <cell r="B853">
            <v>302767</v>
          </cell>
          <cell r="C853">
            <v>-15.806221499999999</v>
          </cell>
          <cell r="D853">
            <v>-46.923728449999999</v>
          </cell>
        </row>
        <row r="854">
          <cell r="A854" t="str">
            <v>Cabeceiras do Piauí</v>
          </cell>
          <cell r="B854">
            <v>301774</v>
          </cell>
          <cell r="C854">
            <v>-4.4725565410000003</v>
          </cell>
          <cell r="D854">
            <v>-42.306407129999997</v>
          </cell>
        </row>
        <row r="855">
          <cell r="A855" t="str">
            <v>Cabedelo</v>
          </cell>
          <cell r="B855">
            <v>302338</v>
          </cell>
          <cell r="C855">
            <v>-6.9877327850000004</v>
          </cell>
          <cell r="D855">
            <v>-34.828696180000001</v>
          </cell>
        </row>
        <row r="856">
          <cell r="A856" t="str">
            <v>Cabixi</v>
          </cell>
          <cell r="B856">
            <v>304311</v>
          </cell>
          <cell r="C856">
            <v>-13.4951037</v>
          </cell>
          <cell r="D856">
            <v>-60.544601479999997</v>
          </cell>
        </row>
        <row r="857">
          <cell r="A857" t="str">
            <v>Cabo de Santo Agostinho</v>
          </cell>
          <cell r="B857">
            <v>300476</v>
          </cell>
          <cell r="C857">
            <v>-8.2826068629999998</v>
          </cell>
          <cell r="D857">
            <v>-35.02558252</v>
          </cell>
        </row>
        <row r="858">
          <cell r="A858" t="str">
            <v>Cabo Frio</v>
          </cell>
          <cell r="B858">
            <v>303066</v>
          </cell>
          <cell r="C858">
            <v>-22.889918290000001</v>
          </cell>
          <cell r="D858">
            <v>-42.028959690000001</v>
          </cell>
        </row>
        <row r="859">
          <cell r="A859" t="str">
            <v>Cabo Verde</v>
          </cell>
          <cell r="B859">
            <v>303499</v>
          </cell>
          <cell r="C859">
            <v>-21.470418299999999</v>
          </cell>
          <cell r="D859">
            <v>-46.39224857</v>
          </cell>
        </row>
        <row r="860">
          <cell r="A860" t="str">
            <v>Cabrália Paulista</v>
          </cell>
          <cell r="B860">
            <v>303887</v>
          </cell>
          <cell r="C860">
            <v>-22.458029119999999</v>
          </cell>
          <cell r="D860">
            <v>-49.339750760000001</v>
          </cell>
        </row>
        <row r="861">
          <cell r="A861" t="str">
            <v>Cabreúva</v>
          </cell>
          <cell r="B861">
            <v>303741</v>
          </cell>
          <cell r="C861">
            <v>-23.30580724</v>
          </cell>
          <cell r="D861">
            <v>-47.136652789999999</v>
          </cell>
        </row>
        <row r="862">
          <cell r="A862" t="str">
            <v>Cabrobó</v>
          </cell>
          <cell r="B862">
            <v>301293</v>
          </cell>
          <cell r="C862">
            <v>-8.5059088910000007</v>
          </cell>
          <cell r="D862">
            <v>-39.309704940000003</v>
          </cell>
        </row>
        <row r="863">
          <cell r="A863" t="str">
            <v>Caçador</v>
          </cell>
          <cell r="B863">
            <v>305624</v>
          </cell>
          <cell r="C863">
            <v>-26.776145020000001</v>
          </cell>
          <cell r="D863">
            <v>-51.012443169999997</v>
          </cell>
        </row>
        <row r="864">
          <cell r="A864" t="str">
            <v>Caçapava</v>
          </cell>
          <cell r="B864">
            <v>303289</v>
          </cell>
          <cell r="C864">
            <v>-23.099684209999999</v>
          </cell>
          <cell r="D864">
            <v>-45.708036440000001</v>
          </cell>
        </row>
        <row r="865">
          <cell r="A865" t="str">
            <v>Caçapava do Sul</v>
          </cell>
          <cell r="B865">
            <v>305714</v>
          </cell>
          <cell r="C865">
            <v>-30.514832949999999</v>
          </cell>
          <cell r="D865">
            <v>-53.483155060000001</v>
          </cell>
        </row>
        <row r="866">
          <cell r="A866" t="str">
            <v>Cacaulândia</v>
          </cell>
          <cell r="B866">
            <v>304280</v>
          </cell>
          <cell r="C866">
            <v>-10.33872712</v>
          </cell>
          <cell r="D866">
            <v>-62.900277129999999</v>
          </cell>
        </row>
        <row r="867">
          <cell r="A867" t="str">
            <v>Cacequi</v>
          </cell>
          <cell r="B867">
            <v>305821</v>
          </cell>
          <cell r="C867">
            <v>-29.883942749999999</v>
          </cell>
          <cell r="D867">
            <v>-54.824904869999997</v>
          </cell>
        </row>
        <row r="868">
          <cell r="A868" t="str">
            <v>Cáceres</v>
          </cell>
          <cell r="B868">
            <v>304626</v>
          </cell>
          <cell r="C868">
            <v>-16.076845540000001</v>
          </cell>
          <cell r="D868">
            <v>-57.682243219999997</v>
          </cell>
        </row>
        <row r="869">
          <cell r="A869" t="str">
            <v>Cachoeira</v>
          </cell>
          <cell r="B869">
            <v>301523</v>
          </cell>
          <cell r="C869">
            <v>-12.599891039999999</v>
          </cell>
          <cell r="D869">
            <v>-38.959017690000003</v>
          </cell>
        </row>
        <row r="870">
          <cell r="A870" t="str">
            <v>Cachoeira Alta</v>
          </cell>
          <cell r="B870">
            <v>304343</v>
          </cell>
          <cell r="C870">
            <v>-18.76228107</v>
          </cell>
          <cell r="D870">
            <v>-50.943656799999999</v>
          </cell>
        </row>
        <row r="871">
          <cell r="A871" t="str">
            <v>Cachoeira da Prata</v>
          </cell>
          <cell r="B871">
            <v>304404</v>
          </cell>
          <cell r="C871">
            <v>-19.52499272</v>
          </cell>
          <cell r="D871">
            <v>-44.45395706</v>
          </cell>
        </row>
        <row r="872">
          <cell r="A872" t="str">
            <v>Cachoeira de Goiás</v>
          </cell>
          <cell r="B872">
            <v>304978</v>
          </cell>
          <cell r="C872">
            <v>-16.666872940000001</v>
          </cell>
          <cell r="D872">
            <v>-50.643578380000001</v>
          </cell>
        </row>
        <row r="873">
          <cell r="A873" t="str">
            <v>Cachoeira de Minas</v>
          </cell>
          <cell r="B873">
            <v>303469</v>
          </cell>
          <cell r="C873">
            <v>-22.351584639999999</v>
          </cell>
          <cell r="D873">
            <v>-45.781255819999998</v>
          </cell>
        </row>
        <row r="874">
          <cell r="A874" t="str">
            <v>Cachoeira de Pajeú</v>
          </cell>
          <cell r="B874">
            <v>301635</v>
          </cell>
          <cell r="C874">
            <v>-15.96928917</v>
          </cell>
          <cell r="D874">
            <v>-41.495111780000002</v>
          </cell>
        </row>
        <row r="875">
          <cell r="A875" t="str">
            <v>Cachoeira do Arari</v>
          </cell>
          <cell r="B875">
            <v>301927</v>
          </cell>
          <cell r="C875">
            <v>-1.011117469</v>
          </cell>
          <cell r="D875">
            <v>-48.960273489999999</v>
          </cell>
        </row>
        <row r="876">
          <cell r="A876" t="str">
            <v>Cachoeira do Piriá</v>
          </cell>
          <cell r="B876">
            <v>301885</v>
          </cell>
          <cell r="C876">
            <v>-1.7601193740000001</v>
          </cell>
          <cell r="D876">
            <v>-46.546295700000002</v>
          </cell>
        </row>
        <row r="877">
          <cell r="A877" t="str">
            <v>Cachoeira do Sul</v>
          </cell>
          <cell r="B877">
            <v>305559</v>
          </cell>
          <cell r="C877">
            <v>-30.038980339999998</v>
          </cell>
          <cell r="D877">
            <v>-52.893939459999999</v>
          </cell>
        </row>
        <row r="878">
          <cell r="A878" t="str">
            <v>Cachoeira dos Índios</v>
          </cell>
          <cell r="B878">
            <v>300807</v>
          </cell>
          <cell r="C878">
            <v>-6.9188930329999998</v>
          </cell>
          <cell r="D878">
            <v>-38.678634180000003</v>
          </cell>
        </row>
        <row r="879">
          <cell r="A879" t="str">
            <v>Cachoeira Dourada</v>
          </cell>
          <cell r="B879">
            <v>303394</v>
          </cell>
          <cell r="C879">
            <v>-18.486349350000001</v>
          </cell>
          <cell r="D879">
            <v>-49.477007110000002</v>
          </cell>
        </row>
        <row r="880">
          <cell r="A880" t="str">
            <v>Cachoeira Dourada</v>
          </cell>
          <cell r="B880">
            <v>303395</v>
          </cell>
          <cell r="C880">
            <v>-18.516603400000001</v>
          </cell>
          <cell r="D880">
            <v>-49.504280350000002</v>
          </cell>
        </row>
        <row r="881">
          <cell r="A881" t="str">
            <v>Cachoeira Grande</v>
          </cell>
          <cell r="B881">
            <v>301679</v>
          </cell>
          <cell r="C881">
            <v>-2.9311340129999999</v>
          </cell>
          <cell r="D881">
            <v>-44.053113029999999</v>
          </cell>
        </row>
        <row r="882">
          <cell r="A882" t="str">
            <v>Cachoeira Paulista</v>
          </cell>
          <cell r="B882">
            <v>303618</v>
          </cell>
          <cell r="C882">
            <v>-22.66697851</v>
          </cell>
          <cell r="D882">
            <v>-45.015769409999997</v>
          </cell>
        </row>
        <row r="883">
          <cell r="A883" t="str">
            <v>Cachoeiras de Macacu</v>
          </cell>
          <cell r="B883">
            <v>303075</v>
          </cell>
          <cell r="C883">
            <v>-22.46628737</v>
          </cell>
          <cell r="D883">
            <v>-42.652714099999997</v>
          </cell>
        </row>
        <row r="884">
          <cell r="A884" t="str">
            <v>Cachoeirinha</v>
          </cell>
          <cell r="B884">
            <v>301480</v>
          </cell>
          <cell r="C884">
            <v>-8.4883697970000007</v>
          </cell>
          <cell r="D884">
            <v>-36.236984110000002</v>
          </cell>
        </row>
        <row r="885">
          <cell r="A885" t="str">
            <v>Cachoeirinha</v>
          </cell>
          <cell r="B885">
            <v>301986</v>
          </cell>
          <cell r="C885">
            <v>-6.1179507370000001</v>
          </cell>
          <cell r="D885">
            <v>-47.920637280000001</v>
          </cell>
        </row>
        <row r="886">
          <cell r="A886" t="str">
            <v>Cachoeirinha</v>
          </cell>
          <cell r="B886">
            <v>305497</v>
          </cell>
          <cell r="C886">
            <v>-29.947702540000002</v>
          </cell>
          <cell r="D886">
            <v>-51.102059019999999</v>
          </cell>
        </row>
        <row r="887">
          <cell r="A887" t="str">
            <v>Cachoeiro de Itapemirim</v>
          </cell>
          <cell r="B887">
            <v>302551</v>
          </cell>
          <cell r="C887">
            <v>-20.846694639999999</v>
          </cell>
          <cell r="D887">
            <v>-41.120181930000001</v>
          </cell>
        </row>
        <row r="888">
          <cell r="A888" t="str">
            <v>Cachuela Esperanza</v>
          </cell>
          <cell r="B888">
            <v>314444</v>
          </cell>
          <cell r="C888">
            <v>-10.555469990000001</v>
          </cell>
          <cell r="D888">
            <v>-65.583287440000007</v>
          </cell>
        </row>
        <row r="889">
          <cell r="A889" t="str">
            <v>Cacimba de Areia</v>
          </cell>
          <cell r="B889">
            <v>300794</v>
          </cell>
          <cell r="C889">
            <v>-7.1288013540000001</v>
          </cell>
          <cell r="D889">
            <v>-37.156562790000002</v>
          </cell>
        </row>
        <row r="890">
          <cell r="A890" t="str">
            <v>Cacimba de Dentro</v>
          </cell>
          <cell r="B890">
            <v>300566</v>
          </cell>
          <cell r="C890">
            <v>-6.63993638</v>
          </cell>
          <cell r="D890">
            <v>-35.793476509999998</v>
          </cell>
        </row>
        <row r="891">
          <cell r="A891" t="str">
            <v>Cacimbas</v>
          </cell>
          <cell r="B891">
            <v>300792</v>
          </cell>
          <cell r="C891">
            <v>-7.2116133080000004</v>
          </cell>
          <cell r="D891">
            <v>-37.057393670000003</v>
          </cell>
        </row>
        <row r="892">
          <cell r="A892" t="str">
            <v>Cacimbinhas</v>
          </cell>
          <cell r="B892">
            <v>302554</v>
          </cell>
          <cell r="C892">
            <v>-9.4016441119999996</v>
          </cell>
          <cell r="D892">
            <v>-36.991386990000002</v>
          </cell>
        </row>
        <row r="893">
          <cell r="A893" t="str">
            <v>Cacique Doble</v>
          </cell>
          <cell r="B893">
            <v>305587</v>
          </cell>
          <cell r="C893">
            <v>-27.76751891</v>
          </cell>
          <cell r="D893">
            <v>-51.660118259999997</v>
          </cell>
        </row>
        <row r="894">
          <cell r="A894" t="str">
            <v>Cacoal</v>
          </cell>
          <cell r="B894">
            <v>304283</v>
          </cell>
          <cell r="C894">
            <v>-11.43468259</v>
          </cell>
          <cell r="D894">
            <v>-61.456621470000002</v>
          </cell>
        </row>
        <row r="895">
          <cell r="A895" t="str">
            <v>Caconde</v>
          </cell>
          <cell r="B895">
            <v>303510</v>
          </cell>
          <cell r="C895">
            <v>-21.528467899999999</v>
          </cell>
          <cell r="D895">
            <v>-46.644052420000001</v>
          </cell>
        </row>
        <row r="896">
          <cell r="A896" t="str">
            <v>Caçu</v>
          </cell>
          <cell r="B896">
            <v>304344</v>
          </cell>
          <cell r="C896">
            <v>-18.55983501</v>
          </cell>
          <cell r="D896">
            <v>-51.133212460000003</v>
          </cell>
        </row>
        <row r="897">
          <cell r="A897" t="str">
            <v>Caculé</v>
          </cell>
          <cell r="B897">
            <v>303196</v>
          </cell>
          <cell r="C897">
            <v>-14.5007342</v>
          </cell>
          <cell r="D897">
            <v>-42.223220480000002</v>
          </cell>
        </row>
        <row r="898">
          <cell r="A898" t="str">
            <v>Caém</v>
          </cell>
          <cell r="B898">
            <v>301452</v>
          </cell>
          <cell r="C898">
            <v>-11.06813116</v>
          </cell>
          <cell r="D898">
            <v>-40.432370370000001</v>
          </cell>
        </row>
        <row r="899">
          <cell r="A899" t="str">
            <v>Caetanópolis</v>
          </cell>
          <cell r="B899">
            <v>304396</v>
          </cell>
          <cell r="C899">
            <v>-19.297544859999999</v>
          </cell>
          <cell r="D899">
            <v>-44.419243780000002</v>
          </cell>
        </row>
        <row r="900">
          <cell r="A900" t="str">
            <v>Caetanos</v>
          </cell>
          <cell r="B900">
            <v>301586</v>
          </cell>
          <cell r="C900">
            <v>-14.33890734</v>
          </cell>
          <cell r="D900">
            <v>-40.910019380000001</v>
          </cell>
        </row>
        <row r="901">
          <cell r="A901" t="str">
            <v>Caeté</v>
          </cell>
          <cell r="B901">
            <v>302821</v>
          </cell>
          <cell r="C901">
            <v>-19.883083639999999</v>
          </cell>
          <cell r="D901">
            <v>-43.670721929999999</v>
          </cell>
        </row>
        <row r="902">
          <cell r="A902" t="str">
            <v>Caetés</v>
          </cell>
          <cell r="B902">
            <v>301128</v>
          </cell>
          <cell r="C902">
            <v>-8.7724641069999993</v>
          </cell>
          <cell r="D902">
            <v>-36.626261759999998</v>
          </cell>
        </row>
        <row r="903">
          <cell r="A903" t="str">
            <v>Caetité</v>
          </cell>
          <cell r="B903">
            <v>303198</v>
          </cell>
          <cell r="C903">
            <v>-14.06887276</v>
          </cell>
          <cell r="D903">
            <v>-42.486482629999998</v>
          </cell>
        </row>
        <row r="904">
          <cell r="A904" t="str">
            <v>Cafarnaum</v>
          </cell>
          <cell r="B904">
            <v>301504</v>
          </cell>
          <cell r="C904">
            <v>-11.69183928</v>
          </cell>
          <cell r="D904">
            <v>-41.469162339999997</v>
          </cell>
        </row>
        <row r="905">
          <cell r="A905" t="str">
            <v>Cafeara</v>
          </cell>
          <cell r="B905">
            <v>304698</v>
          </cell>
          <cell r="C905">
            <v>-22.789513769999999</v>
          </cell>
          <cell r="D905">
            <v>-51.714624690000001</v>
          </cell>
        </row>
        <row r="906">
          <cell r="A906" t="str">
            <v>Cafelândia</v>
          </cell>
          <cell r="B906">
            <v>303866</v>
          </cell>
          <cell r="C906">
            <v>-21.80357854</v>
          </cell>
          <cell r="D906">
            <v>-49.609626579999997</v>
          </cell>
        </row>
        <row r="907">
          <cell r="A907" t="str">
            <v>Cafelândia</v>
          </cell>
          <cell r="B907">
            <v>305059</v>
          </cell>
          <cell r="C907">
            <v>-24.619325499999999</v>
          </cell>
          <cell r="D907">
            <v>-53.321150549999999</v>
          </cell>
        </row>
        <row r="908">
          <cell r="A908" t="str">
            <v>Cafezal do Sul</v>
          </cell>
          <cell r="B908">
            <v>304875</v>
          </cell>
          <cell r="C908">
            <v>-23.90096939</v>
          </cell>
          <cell r="D908">
            <v>-53.512862200000001</v>
          </cell>
        </row>
        <row r="909">
          <cell r="A909" t="str">
            <v>Caiabu</v>
          </cell>
          <cell r="B909">
            <v>304490</v>
          </cell>
          <cell r="C909">
            <v>-22.012003620000002</v>
          </cell>
          <cell r="D909">
            <v>-51.235999640000003</v>
          </cell>
        </row>
        <row r="910">
          <cell r="A910" t="str">
            <v>Caiana</v>
          </cell>
          <cell r="B910">
            <v>302628</v>
          </cell>
          <cell r="C910">
            <v>-20.696059380000001</v>
          </cell>
          <cell r="D910">
            <v>-41.929566459999997</v>
          </cell>
        </row>
        <row r="911">
          <cell r="A911" t="str">
            <v>Caiapônia</v>
          </cell>
          <cell r="B911">
            <v>304346</v>
          </cell>
          <cell r="C911">
            <v>-16.954324310000001</v>
          </cell>
          <cell r="D911">
            <v>-51.809490799999999</v>
          </cell>
        </row>
        <row r="912">
          <cell r="A912" t="str">
            <v>Caibaté</v>
          </cell>
          <cell r="B912">
            <v>305728</v>
          </cell>
          <cell r="C912">
            <v>-28.287983530000002</v>
          </cell>
          <cell r="D912">
            <v>-54.637937829999998</v>
          </cell>
        </row>
        <row r="913">
          <cell r="A913" t="str">
            <v>Caibi</v>
          </cell>
          <cell r="B913">
            <v>305318</v>
          </cell>
          <cell r="C913">
            <v>-27.074570520000002</v>
          </cell>
          <cell r="D913">
            <v>-53.24620539</v>
          </cell>
        </row>
        <row r="914">
          <cell r="A914" t="str">
            <v>Caiçara</v>
          </cell>
          <cell r="B914">
            <v>300436</v>
          </cell>
          <cell r="C914">
            <v>-6.6215670549999999</v>
          </cell>
          <cell r="D914">
            <v>-35.458418649999999</v>
          </cell>
        </row>
        <row r="915">
          <cell r="A915" t="str">
            <v>Caiçara</v>
          </cell>
          <cell r="B915">
            <v>305680</v>
          </cell>
          <cell r="C915">
            <v>-27.279589300000001</v>
          </cell>
          <cell r="D915">
            <v>-53.426126320000002</v>
          </cell>
        </row>
        <row r="916">
          <cell r="A916" t="str">
            <v>Caiçara do Norte</v>
          </cell>
          <cell r="B916">
            <v>301358</v>
          </cell>
          <cell r="C916">
            <v>-5.0638513100000004</v>
          </cell>
          <cell r="D916">
            <v>-36.053431340000003</v>
          </cell>
        </row>
        <row r="917">
          <cell r="A917" t="str">
            <v>Caiçara do Rio do Vento</v>
          </cell>
          <cell r="B917">
            <v>301171</v>
          </cell>
          <cell r="C917">
            <v>-5.757456124</v>
          </cell>
          <cell r="D917">
            <v>-36.001141189999998</v>
          </cell>
        </row>
        <row r="918">
          <cell r="A918" t="str">
            <v>Caicó</v>
          </cell>
          <cell r="B918">
            <v>300966</v>
          </cell>
          <cell r="C918">
            <v>-6.4625747840000001</v>
          </cell>
          <cell r="D918">
            <v>-37.095580939999998</v>
          </cell>
        </row>
        <row r="919">
          <cell r="A919" t="str">
            <v>Caieiras</v>
          </cell>
          <cell r="B919">
            <v>303732</v>
          </cell>
          <cell r="C919">
            <v>-23.36120742</v>
          </cell>
          <cell r="D919">
            <v>-46.74013927</v>
          </cell>
        </row>
        <row r="920">
          <cell r="A920" t="str">
            <v>Cairu</v>
          </cell>
          <cell r="B920">
            <v>301537</v>
          </cell>
          <cell r="C920">
            <v>-13.4908296</v>
          </cell>
          <cell r="D920">
            <v>-39.046849479999999</v>
          </cell>
        </row>
        <row r="921">
          <cell r="A921" t="str">
            <v>Caiuá</v>
          </cell>
          <cell r="B921">
            <v>305570</v>
          </cell>
          <cell r="C921">
            <v>-21.83171973</v>
          </cell>
          <cell r="D921">
            <v>-51.989805240000003</v>
          </cell>
        </row>
        <row r="922">
          <cell r="A922" t="str">
            <v>Cajamar</v>
          </cell>
          <cell r="B922">
            <v>303734</v>
          </cell>
          <cell r="C922">
            <v>-23.355492049999999</v>
          </cell>
          <cell r="D922">
            <v>-46.878546200000002</v>
          </cell>
        </row>
        <row r="923">
          <cell r="A923" t="str">
            <v>Cajapió</v>
          </cell>
          <cell r="B923">
            <v>301689</v>
          </cell>
          <cell r="C923">
            <v>-2.8736504730000001</v>
          </cell>
          <cell r="D923">
            <v>-44.674451060000003</v>
          </cell>
        </row>
        <row r="924">
          <cell r="A924" t="str">
            <v>Cajari</v>
          </cell>
          <cell r="B924">
            <v>301707</v>
          </cell>
          <cell r="C924">
            <v>-3.3278070550000001</v>
          </cell>
          <cell r="D924">
            <v>-45.014854409999998</v>
          </cell>
        </row>
        <row r="925">
          <cell r="A925" t="str">
            <v>Cajatambo</v>
          </cell>
          <cell r="B925">
            <v>314399</v>
          </cell>
          <cell r="C925">
            <v>-10.463098260000001</v>
          </cell>
          <cell r="D925">
            <v>-76.990166220000006</v>
          </cell>
        </row>
        <row r="926">
          <cell r="A926" t="str">
            <v>Cajati</v>
          </cell>
          <cell r="B926">
            <v>303799</v>
          </cell>
          <cell r="C926">
            <v>-24.727823090000001</v>
          </cell>
          <cell r="D926">
            <v>-48.110942080000001</v>
          </cell>
        </row>
        <row r="927">
          <cell r="A927" t="str">
            <v>Cajazeiras</v>
          </cell>
          <cell r="B927">
            <v>300805</v>
          </cell>
          <cell r="C927">
            <v>-6.88045975</v>
          </cell>
          <cell r="D927">
            <v>-38.558036379999997</v>
          </cell>
        </row>
        <row r="928">
          <cell r="A928" t="str">
            <v>Cajazeiras do Piauí</v>
          </cell>
          <cell r="B928">
            <v>301819</v>
          </cell>
          <cell r="C928">
            <v>-6.7970796470000003</v>
          </cell>
          <cell r="D928">
            <v>-42.390618949999997</v>
          </cell>
        </row>
        <row r="929">
          <cell r="A929" t="str">
            <v>Cajazeirinhas</v>
          </cell>
          <cell r="B929">
            <v>300980</v>
          </cell>
          <cell r="C929">
            <v>-6.960580738</v>
          </cell>
          <cell r="D929">
            <v>-37.801237999999998</v>
          </cell>
        </row>
        <row r="930">
          <cell r="A930" t="str">
            <v>Cajobi</v>
          </cell>
          <cell r="B930">
            <v>303700</v>
          </cell>
          <cell r="C930">
            <v>-20.877752690000001</v>
          </cell>
          <cell r="D930">
            <v>-48.806741870000003</v>
          </cell>
        </row>
        <row r="931">
          <cell r="A931" t="str">
            <v>Cajueiro</v>
          </cell>
          <cell r="B931">
            <v>301479</v>
          </cell>
          <cell r="C931">
            <v>-9.3998348150000002</v>
          </cell>
          <cell r="D931">
            <v>-36.15623583</v>
          </cell>
        </row>
        <row r="932">
          <cell r="A932" t="str">
            <v>Cajueiro da Praia</v>
          </cell>
          <cell r="B932">
            <v>300713</v>
          </cell>
          <cell r="C932">
            <v>-2.931503846</v>
          </cell>
          <cell r="D932">
            <v>-41.341132909999999</v>
          </cell>
        </row>
        <row r="933">
          <cell r="A933" t="str">
            <v>Cajuri</v>
          </cell>
          <cell r="B933">
            <v>302756</v>
          </cell>
          <cell r="C933">
            <v>-20.790779929999999</v>
          </cell>
          <cell r="D933">
            <v>-42.79286888</v>
          </cell>
        </row>
        <row r="934">
          <cell r="A934" t="str">
            <v>Cajuru</v>
          </cell>
          <cell r="B934">
            <v>303654</v>
          </cell>
          <cell r="C934">
            <v>-21.275404519999999</v>
          </cell>
          <cell r="D934">
            <v>-47.303419130000002</v>
          </cell>
        </row>
        <row r="935">
          <cell r="A935" t="str">
            <v>Calçado</v>
          </cell>
          <cell r="B935">
            <v>301121</v>
          </cell>
          <cell r="C935">
            <v>-8.7409926949999992</v>
          </cell>
          <cell r="D935">
            <v>-36.335944140000002</v>
          </cell>
        </row>
        <row r="936">
          <cell r="A936" t="str">
            <v>Calçoene</v>
          </cell>
          <cell r="B936">
            <v>305868</v>
          </cell>
          <cell r="C936">
            <v>2.4947268760000001</v>
          </cell>
          <cell r="D936">
            <v>-50.950487590000002</v>
          </cell>
        </row>
        <row r="937">
          <cell r="A937" t="str">
            <v>Caldas</v>
          </cell>
          <cell r="B937">
            <v>303509</v>
          </cell>
          <cell r="C937">
            <v>-21.918783789999999</v>
          </cell>
          <cell r="D937">
            <v>-46.384706729999998</v>
          </cell>
        </row>
        <row r="938">
          <cell r="A938" t="str">
            <v>Caldas Brandão</v>
          </cell>
          <cell r="B938">
            <v>300456</v>
          </cell>
          <cell r="C938">
            <v>-7.1033076030000002</v>
          </cell>
          <cell r="D938">
            <v>-35.325007419999999</v>
          </cell>
        </row>
        <row r="939">
          <cell r="A939" t="str">
            <v>Caldas Novas</v>
          </cell>
          <cell r="B939">
            <v>304575</v>
          </cell>
          <cell r="C939">
            <v>-17.74451552</v>
          </cell>
          <cell r="D939">
            <v>-48.624976070000002</v>
          </cell>
        </row>
        <row r="940">
          <cell r="A940" t="str">
            <v>Caldazinha</v>
          </cell>
          <cell r="B940">
            <v>302404</v>
          </cell>
          <cell r="C940">
            <v>-16.715522270000001</v>
          </cell>
          <cell r="D940">
            <v>-48.999187550000002</v>
          </cell>
        </row>
        <row r="941">
          <cell r="A941" t="str">
            <v>Caldeirão Grande</v>
          </cell>
          <cell r="B941">
            <v>301446</v>
          </cell>
          <cell r="C941">
            <v>-11.027944829999999</v>
          </cell>
          <cell r="D941">
            <v>-40.297465780000003</v>
          </cell>
        </row>
        <row r="942">
          <cell r="A942" t="str">
            <v>Caldeirão Grande do Piauí</v>
          </cell>
          <cell r="B942">
            <v>301021</v>
          </cell>
          <cell r="C942">
            <v>-7.3318210050000001</v>
          </cell>
          <cell r="D942">
            <v>-40.636929330000001</v>
          </cell>
        </row>
        <row r="943">
          <cell r="A943" t="str">
            <v>Califórnia</v>
          </cell>
          <cell r="B943">
            <v>304742</v>
          </cell>
          <cell r="C943">
            <v>-23.65705393</v>
          </cell>
          <cell r="D943">
            <v>-51.357797269999999</v>
          </cell>
        </row>
        <row r="944">
          <cell r="A944" t="str">
            <v>Calmon</v>
          </cell>
          <cell r="B944">
            <v>305621</v>
          </cell>
          <cell r="C944">
            <v>-26.594715390000001</v>
          </cell>
          <cell r="D944">
            <v>-51.095456009999999</v>
          </cell>
        </row>
        <row r="945">
          <cell r="A945" t="str">
            <v>Calumbi</v>
          </cell>
          <cell r="B945">
            <v>300826</v>
          </cell>
          <cell r="C945">
            <v>-7.9392847990000002</v>
          </cell>
          <cell r="D945">
            <v>-38.152701039999997</v>
          </cell>
        </row>
        <row r="946">
          <cell r="A946" t="str">
            <v>Camacan</v>
          </cell>
          <cell r="B946">
            <v>301762</v>
          </cell>
          <cell r="C946">
            <v>-15.41461864</v>
          </cell>
          <cell r="D946">
            <v>-39.492267519999999</v>
          </cell>
        </row>
        <row r="947">
          <cell r="A947" t="str">
            <v>Camaçari</v>
          </cell>
          <cell r="B947">
            <v>301512</v>
          </cell>
          <cell r="C947">
            <v>-12.70008734</v>
          </cell>
          <cell r="D947">
            <v>-38.326583220000003</v>
          </cell>
        </row>
        <row r="948">
          <cell r="A948" t="str">
            <v>Camacho</v>
          </cell>
          <cell r="B948">
            <v>303026</v>
          </cell>
          <cell r="C948">
            <v>-20.629840210000001</v>
          </cell>
          <cell r="D948">
            <v>-45.159708019999997</v>
          </cell>
        </row>
        <row r="949">
          <cell r="A949" t="str">
            <v>Camalaú</v>
          </cell>
          <cell r="B949">
            <v>300772</v>
          </cell>
          <cell r="C949">
            <v>-7.8854541009999997</v>
          </cell>
          <cell r="D949">
            <v>-36.82449355</v>
          </cell>
        </row>
        <row r="950">
          <cell r="A950" t="str">
            <v>Camamu</v>
          </cell>
          <cell r="B950">
            <v>301740</v>
          </cell>
          <cell r="C950">
            <v>-13.94022783</v>
          </cell>
          <cell r="D950">
            <v>-39.107407539999997</v>
          </cell>
        </row>
        <row r="951">
          <cell r="A951" t="str">
            <v>Camanducaia</v>
          </cell>
          <cell r="B951">
            <v>303546</v>
          </cell>
          <cell r="C951">
            <v>-22.752012029999999</v>
          </cell>
          <cell r="D951">
            <v>-46.149837470000001</v>
          </cell>
        </row>
        <row r="952">
          <cell r="A952" t="str">
            <v>Camapuã</v>
          </cell>
          <cell r="B952">
            <v>305735</v>
          </cell>
          <cell r="C952">
            <v>-19.535121220000001</v>
          </cell>
          <cell r="D952">
            <v>-54.04349903</v>
          </cell>
        </row>
        <row r="953">
          <cell r="A953" t="str">
            <v>Camaquã</v>
          </cell>
          <cell r="B953">
            <v>305543</v>
          </cell>
          <cell r="C953">
            <v>-30.84937643</v>
          </cell>
          <cell r="D953">
            <v>-51.804771850000002</v>
          </cell>
        </row>
        <row r="954">
          <cell r="A954" t="str">
            <v>Camaragibe</v>
          </cell>
          <cell r="B954">
            <v>300473</v>
          </cell>
          <cell r="C954">
            <v>-8.0239302759999998</v>
          </cell>
          <cell r="D954">
            <v>-34.978440980000002</v>
          </cell>
        </row>
        <row r="955">
          <cell r="A955" t="str">
            <v>Camargo</v>
          </cell>
          <cell r="B955">
            <v>305213</v>
          </cell>
          <cell r="C955">
            <v>-28.588453579999999</v>
          </cell>
          <cell r="D955">
            <v>-52.200717150000003</v>
          </cell>
        </row>
        <row r="956">
          <cell r="A956" t="str">
            <v>Cambará</v>
          </cell>
          <cell r="B956">
            <v>303904</v>
          </cell>
          <cell r="C956">
            <v>-23.04274182</v>
          </cell>
          <cell r="D956">
            <v>-50.075701240000001</v>
          </cell>
        </row>
        <row r="957">
          <cell r="A957" t="str">
            <v>Cambará do Sul</v>
          </cell>
          <cell r="B957">
            <v>304130</v>
          </cell>
          <cell r="C957">
            <v>-29.047890209999998</v>
          </cell>
          <cell r="D957">
            <v>-50.146949710000001</v>
          </cell>
        </row>
        <row r="958">
          <cell r="A958" t="str">
            <v>Cambé</v>
          </cell>
          <cell r="B958">
            <v>304739</v>
          </cell>
          <cell r="C958">
            <v>-23.277041189999998</v>
          </cell>
          <cell r="D958">
            <v>-51.280260560000002</v>
          </cell>
        </row>
        <row r="959">
          <cell r="A959" t="str">
            <v>Cambira</v>
          </cell>
          <cell r="B959">
            <v>304761</v>
          </cell>
          <cell r="C959">
            <v>-23.589484150000001</v>
          </cell>
          <cell r="D959">
            <v>-51.579583419999999</v>
          </cell>
        </row>
        <row r="960">
          <cell r="A960" t="str">
            <v>Camboriú</v>
          </cell>
          <cell r="B960">
            <v>304008</v>
          </cell>
          <cell r="C960">
            <v>-27.024560780000002</v>
          </cell>
          <cell r="D960">
            <v>-48.650762540000002</v>
          </cell>
        </row>
        <row r="961">
          <cell r="A961" t="str">
            <v>Cambuci</v>
          </cell>
          <cell r="B961">
            <v>302644</v>
          </cell>
          <cell r="C961">
            <v>-21.569541730000001</v>
          </cell>
          <cell r="D961">
            <v>-41.919083489999998</v>
          </cell>
        </row>
        <row r="962">
          <cell r="A962" t="str">
            <v>Cambuí</v>
          </cell>
          <cell r="B962">
            <v>303941</v>
          </cell>
          <cell r="C962">
            <v>-22.612014810000002</v>
          </cell>
          <cell r="D962">
            <v>-46.057620440000001</v>
          </cell>
        </row>
        <row r="963">
          <cell r="A963" t="str">
            <v>Cambuquira</v>
          </cell>
          <cell r="B963">
            <v>303220</v>
          </cell>
          <cell r="C963">
            <v>-21.854462160000001</v>
          </cell>
          <cell r="D963">
            <v>-45.289957080000001</v>
          </cell>
        </row>
        <row r="964">
          <cell r="A964" t="str">
            <v>Cametá</v>
          </cell>
          <cell r="B964">
            <v>302142</v>
          </cell>
          <cell r="C964">
            <v>-2.243332455</v>
          </cell>
          <cell r="D964">
            <v>-49.498268799999998</v>
          </cell>
        </row>
        <row r="965">
          <cell r="A965" t="str">
            <v>Camocim</v>
          </cell>
          <cell r="B965">
            <v>300703</v>
          </cell>
          <cell r="C965">
            <v>-2.898735898</v>
          </cell>
          <cell r="D965">
            <v>-40.848013029999997</v>
          </cell>
        </row>
        <row r="966">
          <cell r="A966" t="str">
            <v>Camocim de São Félix</v>
          </cell>
          <cell r="B966">
            <v>300584</v>
          </cell>
          <cell r="C966">
            <v>-8.3590757930000006</v>
          </cell>
          <cell r="D966">
            <v>-35.765627100000003</v>
          </cell>
        </row>
        <row r="967">
          <cell r="A967" t="str">
            <v>Camopi</v>
          </cell>
          <cell r="B967">
            <v>314428</v>
          </cell>
          <cell r="C967">
            <v>3.187945112</v>
          </cell>
          <cell r="D967">
            <v>-52.340233480000002</v>
          </cell>
        </row>
        <row r="968">
          <cell r="A968" t="str">
            <v>Campanário</v>
          </cell>
          <cell r="B968">
            <v>302876</v>
          </cell>
          <cell r="C968">
            <v>-18.243180800000001</v>
          </cell>
          <cell r="D968">
            <v>-41.735857729999999</v>
          </cell>
        </row>
        <row r="969">
          <cell r="A969" t="str">
            <v>Campanha</v>
          </cell>
          <cell r="B969">
            <v>303226</v>
          </cell>
          <cell r="C969">
            <v>-21.836453840000001</v>
          </cell>
          <cell r="D969">
            <v>-45.400779800000002</v>
          </cell>
        </row>
        <row r="970">
          <cell r="A970" t="str">
            <v>Campestre</v>
          </cell>
          <cell r="B970">
            <v>301090</v>
          </cell>
          <cell r="C970">
            <v>-8.8476579470000001</v>
          </cell>
          <cell r="D970">
            <v>-35.568764010000002</v>
          </cell>
        </row>
        <row r="971">
          <cell r="A971" t="str">
            <v>Campestre</v>
          </cell>
          <cell r="B971">
            <v>303506</v>
          </cell>
          <cell r="C971">
            <v>-21.708348449999999</v>
          </cell>
          <cell r="D971">
            <v>-46.238471169999997</v>
          </cell>
        </row>
        <row r="972">
          <cell r="A972" t="str">
            <v>Campestre da Serra</v>
          </cell>
          <cell r="B972">
            <v>305147</v>
          </cell>
          <cell r="C972">
            <v>-28.793063620000002</v>
          </cell>
          <cell r="D972">
            <v>-51.094595890000001</v>
          </cell>
        </row>
        <row r="973">
          <cell r="A973" t="str">
            <v>Campestre de Goiás</v>
          </cell>
          <cell r="B973">
            <v>302611</v>
          </cell>
          <cell r="C973">
            <v>-16.76340561</v>
          </cell>
          <cell r="D973">
            <v>-49.694192209999997</v>
          </cell>
        </row>
        <row r="974">
          <cell r="A974" t="str">
            <v>Campestre do Maranhão</v>
          </cell>
          <cell r="B974">
            <v>301974</v>
          </cell>
          <cell r="C974">
            <v>-6.1711526980000002</v>
          </cell>
          <cell r="D974">
            <v>-47.362840749999997</v>
          </cell>
        </row>
        <row r="975">
          <cell r="A975" t="str">
            <v>Campina da Lagoa</v>
          </cell>
          <cell r="B975">
            <v>305047</v>
          </cell>
          <cell r="C975">
            <v>-24.589787980000001</v>
          </cell>
          <cell r="D975">
            <v>-52.798032290000002</v>
          </cell>
        </row>
        <row r="976">
          <cell r="A976" t="str">
            <v>Campina das Missões</v>
          </cell>
          <cell r="B976">
            <v>305793</v>
          </cell>
          <cell r="C976">
            <v>-27.98929772</v>
          </cell>
          <cell r="D976">
            <v>-54.842115870000001</v>
          </cell>
        </row>
        <row r="977">
          <cell r="A977" t="str">
            <v>Campina do Monte Alegre</v>
          </cell>
          <cell r="B977">
            <v>304658</v>
          </cell>
          <cell r="C977">
            <v>-23.591987759999999</v>
          </cell>
          <cell r="D977">
            <v>-48.476949490000003</v>
          </cell>
        </row>
        <row r="978">
          <cell r="A978" t="str">
            <v>Campina do Simão</v>
          </cell>
          <cell r="B978">
            <v>304832</v>
          </cell>
          <cell r="C978">
            <v>-25.08063993</v>
          </cell>
          <cell r="D978">
            <v>-51.824148030000003</v>
          </cell>
        </row>
        <row r="979">
          <cell r="A979" t="str">
            <v>Campina Grande</v>
          </cell>
          <cell r="B979">
            <v>300632</v>
          </cell>
          <cell r="C979">
            <v>-7.2223776239999999</v>
          </cell>
          <cell r="D979">
            <v>-35.873439099999999</v>
          </cell>
        </row>
        <row r="980">
          <cell r="A980" t="str">
            <v>Campina Grande do Sul</v>
          </cell>
          <cell r="B980">
            <v>303987</v>
          </cell>
          <cell r="C980">
            <v>-25.3048675</v>
          </cell>
          <cell r="D980">
            <v>-49.055517039999998</v>
          </cell>
        </row>
        <row r="981">
          <cell r="A981" t="str">
            <v>Campina Verde</v>
          </cell>
          <cell r="B981">
            <v>303412</v>
          </cell>
          <cell r="C981">
            <v>-19.534326270000001</v>
          </cell>
          <cell r="D981">
            <v>-49.487643050000003</v>
          </cell>
        </row>
        <row r="982">
          <cell r="A982" t="str">
            <v>Campinaçu</v>
          </cell>
          <cell r="B982">
            <v>302784</v>
          </cell>
          <cell r="C982">
            <v>-13.79108514</v>
          </cell>
          <cell r="D982">
            <v>-48.569055030000001</v>
          </cell>
        </row>
        <row r="983">
          <cell r="A983" t="str">
            <v>Campinápolis</v>
          </cell>
          <cell r="B983">
            <v>304528</v>
          </cell>
          <cell r="C983">
            <v>-14.516194280000001</v>
          </cell>
          <cell r="D983">
            <v>-52.892981689999999</v>
          </cell>
        </row>
        <row r="984">
          <cell r="A984" t="str">
            <v>Campinas</v>
          </cell>
          <cell r="B984">
            <v>303652</v>
          </cell>
          <cell r="C984">
            <v>-22.905822220000001</v>
          </cell>
          <cell r="D984">
            <v>-47.066350129999996</v>
          </cell>
        </row>
        <row r="985">
          <cell r="A985" t="str">
            <v>Campinas do Piauí</v>
          </cell>
          <cell r="B985">
            <v>301071</v>
          </cell>
          <cell r="C985">
            <v>-7.6597169540000003</v>
          </cell>
          <cell r="D985">
            <v>-41.877825119999997</v>
          </cell>
        </row>
        <row r="986">
          <cell r="A986" t="str">
            <v>Campinas do Sul</v>
          </cell>
          <cell r="B986">
            <v>305366</v>
          </cell>
          <cell r="C986">
            <v>-27.71789768</v>
          </cell>
          <cell r="D986">
            <v>-52.625261160000001</v>
          </cell>
        </row>
        <row r="987">
          <cell r="A987" t="str">
            <v>Campinorte</v>
          </cell>
          <cell r="B987">
            <v>302791</v>
          </cell>
          <cell r="C987">
            <v>-14.31411149</v>
          </cell>
          <cell r="D987">
            <v>-49.151486589999998</v>
          </cell>
        </row>
        <row r="988">
          <cell r="A988" t="str">
            <v>Campo Alegre</v>
          </cell>
          <cell r="B988">
            <v>301160</v>
          </cell>
          <cell r="C988">
            <v>-9.7849469419999995</v>
          </cell>
          <cell r="D988">
            <v>-36.352761620000003</v>
          </cell>
        </row>
        <row r="989">
          <cell r="A989" t="str">
            <v>Campo Alegre</v>
          </cell>
          <cell r="B989">
            <v>303995</v>
          </cell>
          <cell r="C989">
            <v>-26.19550602</v>
          </cell>
          <cell r="D989">
            <v>-49.268013609999997</v>
          </cell>
        </row>
        <row r="990">
          <cell r="A990" t="str">
            <v>Campo Alegre de Goiás</v>
          </cell>
          <cell r="B990">
            <v>304939</v>
          </cell>
          <cell r="C990">
            <v>-17.636802830000001</v>
          </cell>
          <cell r="D990">
            <v>-47.77720643</v>
          </cell>
        </row>
        <row r="991">
          <cell r="A991" t="str">
            <v>Campo Alegre de Lourdes</v>
          </cell>
          <cell r="B991">
            <v>302062</v>
          </cell>
          <cell r="C991">
            <v>-9.5160243970000007</v>
          </cell>
          <cell r="D991">
            <v>-43.008845360000002</v>
          </cell>
        </row>
        <row r="992">
          <cell r="A992" t="str">
            <v>Campo Alegre do Fidalgo</v>
          </cell>
          <cell r="B992">
            <v>301076</v>
          </cell>
          <cell r="C992">
            <v>-8.3773185310000002</v>
          </cell>
          <cell r="D992">
            <v>-41.836868690000003</v>
          </cell>
        </row>
        <row r="993">
          <cell r="A993" t="str">
            <v>Campo Azul</v>
          </cell>
          <cell r="B993">
            <v>302195</v>
          </cell>
          <cell r="C993">
            <v>-16.50599957</v>
          </cell>
          <cell r="D993">
            <v>-44.811359590000002</v>
          </cell>
        </row>
        <row r="994">
          <cell r="A994" t="str">
            <v>Campo Belo</v>
          </cell>
          <cell r="B994">
            <v>303238</v>
          </cell>
          <cell r="C994">
            <v>-20.893655899999999</v>
          </cell>
          <cell r="D994">
            <v>-45.270274440000001</v>
          </cell>
        </row>
        <row r="995">
          <cell r="A995" t="str">
            <v>Campo Belo do Sul</v>
          </cell>
          <cell r="B995">
            <v>305133</v>
          </cell>
          <cell r="C995">
            <v>-27.898018050000001</v>
          </cell>
          <cell r="D995">
            <v>-50.759991970000002</v>
          </cell>
        </row>
        <row r="996">
          <cell r="A996" t="str">
            <v>Campo Bom</v>
          </cell>
          <cell r="B996">
            <v>305475</v>
          </cell>
          <cell r="C996">
            <v>-29.67517423</v>
          </cell>
          <cell r="D996">
            <v>-51.061052519999997</v>
          </cell>
        </row>
        <row r="997">
          <cell r="A997" t="str">
            <v>Campo Bonito</v>
          </cell>
          <cell r="B997">
            <v>305065</v>
          </cell>
          <cell r="C997">
            <v>-25.029910340000001</v>
          </cell>
          <cell r="D997">
            <v>-52.994378050000002</v>
          </cell>
        </row>
        <row r="998">
          <cell r="A998" t="str">
            <v>Campo do Brito</v>
          </cell>
          <cell r="B998">
            <v>301254</v>
          </cell>
          <cell r="C998">
            <v>-10.74581573</v>
          </cell>
          <cell r="D998">
            <v>-37.493453770000002</v>
          </cell>
        </row>
        <row r="999">
          <cell r="A999" t="str">
            <v>Campo do Meio</v>
          </cell>
          <cell r="B999">
            <v>303228</v>
          </cell>
          <cell r="C999">
            <v>-21.113208400000001</v>
          </cell>
          <cell r="D999">
            <v>-45.827719809999998</v>
          </cell>
        </row>
        <row r="1000">
          <cell r="A1000" t="str">
            <v>Campo do Tenente</v>
          </cell>
          <cell r="B1000">
            <v>304043</v>
          </cell>
          <cell r="C1000">
            <v>-25.98049129</v>
          </cell>
          <cell r="D1000">
            <v>-49.684791580000002</v>
          </cell>
        </row>
        <row r="1001">
          <cell r="A1001" t="str">
            <v>Campo Erê</v>
          </cell>
          <cell r="B1001">
            <v>305531</v>
          </cell>
          <cell r="C1001">
            <v>-26.393523779999999</v>
          </cell>
          <cell r="D1001">
            <v>-53.086064710000002</v>
          </cell>
        </row>
        <row r="1002">
          <cell r="A1002" t="str">
            <v>Campo Florido</v>
          </cell>
          <cell r="B1002">
            <v>303406</v>
          </cell>
          <cell r="C1002">
            <v>-19.763547630000001</v>
          </cell>
          <cell r="D1002">
            <v>-48.572024480000003</v>
          </cell>
        </row>
        <row r="1003">
          <cell r="A1003" t="str">
            <v>Campo Formoso</v>
          </cell>
          <cell r="B1003">
            <v>301441</v>
          </cell>
          <cell r="C1003">
            <v>-10.51098526</v>
          </cell>
          <cell r="D1003">
            <v>-40.320360970000003</v>
          </cell>
        </row>
        <row r="1004">
          <cell r="A1004" t="str">
            <v>Campo Grande</v>
          </cell>
          <cell r="B1004">
            <v>301205</v>
          </cell>
          <cell r="C1004">
            <v>-9.9558585550000007</v>
          </cell>
          <cell r="D1004">
            <v>-36.792912029999997</v>
          </cell>
        </row>
        <row r="1005">
          <cell r="A1005" t="str">
            <v>Campo Grande</v>
          </cell>
          <cell r="B1005">
            <v>295785</v>
          </cell>
          <cell r="C1005">
            <v>-20.449489369999998</v>
          </cell>
          <cell r="D1005">
            <v>-54.630342769999999</v>
          </cell>
        </row>
        <row r="1006">
          <cell r="A1006" t="str">
            <v>Campo Grande do Piauí</v>
          </cell>
          <cell r="B1006">
            <v>301037</v>
          </cell>
          <cell r="C1006">
            <v>-7.1286895320000001</v>
          </cell>
          <cell r="D1006">
            <v>-41.031817910000001</v>
          </cell>
        </row>
        <row r="1007">
          <cell r="A1007" t="str">
            <v>Campo Largo</v>
          </cell>
          <cell r="B1007">
            <v>304035</v>
          </cell>
          <cell r="C1007">
            <v>-25.453011499999999</v>
          </cell>
          <cell r="D1007">
            <v>-49.529450679999997</v>
          </cell>
        </row>
        <row r="1008">
          <cell r="A1008" t="str">
            <v>Campo Largo do Piauí</v>
          </cell>
          <cell r="B1008">
            <v>301642</v>
          </cell>
          <cell r="C1008">
            <v>-3.8109556960000002</v>
          </cell>
          <cell r="D1008">
            <v>-42.629802480000002</v>
          </cell>
        </row>
        <row r="1009">
          <cell r="A1009" t="str">
            <v>Campo Limpo de Goiás</v>
          </cell>
          <cell r="B1009">
            <v>300366</v>
          </cell>
          <cell r="C1009">
            <v>-16.292426450000001</v>
          </cell>
          <cell r="D1009">
            <v>-49.092254179999998</v>
          </cell>
        </row>
        <row r="1010">
          <cell r="A1010" t="str">
            <v>Campo Limpo Paulista</v>
          </cell>
          <cell r="B1010">
            <v>303727</v>
          </cell>
          <cell r="C1010">
            <v>-23.208268839999999</v>
          </cell>
          <cell r="D1010">
            <v>-46.78931815</v>
          </cell>
        </row>
        <row r="1011">
          <cell r="A1011" t="str">
            <v>Campo Magro</v>
          </cell>
          <cell r="B1011">
            <v>304032</v>
          </cell>
          <cell r="C1011">
            <v>-25.369161519999999</v>
          </cell>
          <cell r="D1011">
            <v>-49.450515869999997</v>
          </cell>
        </row>
        <row r="1012">
          <cell r="A1012" t="str">
            <v>Campo Maior</v>
          </cell>
          <cell r="B1012">
            <v>301775</v>
          </cell>
          <cell r="C1012">
            <v>-4.8263368729999998</v>
          </cell>
          <cell r="D1012">
            <v>-42.164673890000003</v>
          </cell>
        </row>
        <row r="1013">
          <cell r="A1013" t="str">
            <v>Campo Mourão</v>
          </cell>
          <cell r="B1013">
            <v>304821</v>
          </cell>
          <cell r="C1013">
            <v>-24.04679398</v>
          </cell>
          <cell r="D1013">
            <v>-52.378457859999997</v>
          </cell>
        </row>
        <row r="1014">
          <cell r="A1014" t="str">
            <v>Campo Novo</v>
          </cell>
          <cell r="B1014">
            <v>305422</v>
          </cell>
          <cell r="C1014">
            <v>-27.679667720000001</v>
          </cell>
          <cell r="D1014">
            <v>-53.805669299999998</v>
          </cell>
        </row>
        <row r="1015">
          <cell r="A1015" t="str">
            <v>Campo Novo de Rondônia</v>
          </cell>
          <cell r="B1015">
            <v>304326</v>
          </cell>
          <cell r="C1015">
            <v>-10.569889209999999</v>
          </cell>
          <cell r="D1015">
            <v>-63.62121844</v>
          </cell>
        </row>
        <row r="1016">
          <cell r="A1016" t="str">
            <v>Campo Novo do Parecis</v>
          </cell>
          <cell r="B1016">
            <v>304241</v>
          </cell>
          <cell r="C1016">
            <v>-13.65915912</v>
          </cell>
          <cell r="D1016">
            <v>-57.891164340000003</v>
          </cell>
        </row>
        <row r="1017">
          <cell r="A1017" t="str">
            <v>Campo Redondo</v>
          </cell>
          <cell r="B1017">
            <v>300524</v>
          </cell>
          <cell r="C1017">
            <v>-6.2426700970000004</v>
          </cell>
          <cell r="D1017">
            <v>-36.183211059999998</v>
          </cell>
        </row>
        <row r="1018">
          <cell r="A1018" t="str">
            <v>Campo Verde</v>
          </cell>
          <cell r="B1018">
            <v>304237</v>
          </cell>
          <cell r="C1018">
            <v>-15.545413050000001</v>
          </cell>
          <cell r="D1018">
            <v>-55.163012799999997</v>
          </cell>
        </row>
        <row r="1019">
          <cell r="A1019" t="str">
            <v>Campos Altos</v>
          </cell>
          <cell r="B1019">
            <v>303311</v>
          </cell>
          <cell r="C1019">
            <v>-19.694583309999999</v>
          </cell>
          <cell r="D1019">
            <v>-46.16896217</v>
          </cell>
        </row>
        <row r="1020">
          <cell r="A1020" t="str">
            <v>Campos Belos</v>
          </cell>
          <cell r="B1020">
            <v>303049</v>
          </cell>
          <cell r="C1020">
            <v>-13.03542378</v>
          </cell>
          <cell r="D1020">
            <v>-46.768488550000001</v>
          </cell>
        </row>
        <row r="1021">
          <cell r="A1021" t="str">
            <v>Campos Borges</v>
          </cell>
          <cell r="B1021">
            <v>305402</v>
          </cell>
          <cell r="C1021">
            <v>-28.887620349999999</v>
          </cell>
          <cell r="D1021">
            <v>-53.001272520000001</v>
          </cell>
        </row>
        <row r="1022">
          <cell r="A1022" t="str">
            <v>Campos de Júlio</v>
          </cell>
          <cell r="B1022">
            <v>304307</v>
          </cell>
          <cell r="C1022">
            <v>-13.691782290000001</v>
          </cell>
          <cell r="D1022">
            <v>-59.257182919999998</v>
          </cell>
        </row>
        <row r="1023">
          <cell r="A1023" t="str">
            <v>Campos do Jordão</v>
          </cell>
          <cell r="B1023">
            <v>303461</v>
          </cell>
          <cell r="C1023">
            <v>-22.73009734</v>
          </cell>
          <cell r="D1023">
            <v>-45.583726519999999</v>
          </cell>
        </row>
        <row r="1024">
          <cell r="A1024" t="str">
            <v>Campos dos Goytacazes</v>
          </cell>
          <cell r="B1024">
            <v>302635</v>
          </cell>
          <cell r="C1024">
            <v>-21.762656750000001</v>
          </cell>
          <cell r="D1024">
            <v>-41.318411580000003</v>
          </cell>
        </row>
        <row r="1025">
          <cell r="A1025" t="str">
            <v>Campos Gerais</v>
          </cell>
          <cell r="B1025">
            <v>303229</v>
          </cell>
          <cell r="C1025">
            <v>-21.237498989999999</v>
          </cell>
          <cell r="D1025">
            <v>-45.757286649999998</v>
          </cell>
        </row>
        <row r="1026">
          <cell r="A1026" t="str">
            <v>Campos Lindos</v>
          </cell>
          <cell r="B1026">
            <v>301996</v>
          </cell>
          <cell r="C1026">
            <v>-7.974128855</v>
          </cell>
          <cell r="D1026">
            <v>-46.802198699999998</v>
          </cell>
        </row>
        <row r="1027">
          <cell r="A1027" t="str">
            <v>Campos Novos</v>
          </cell>
          <cell r="B1027">
            <v>305137</v>
          </cell>
          <cell r="C1027">
            <v>-27.400659600000001</v>
          </cell>
          <cell r="D1027">
            <v>-51.228031999999999</v>
          </cell>
        </row>
        <row r="1028">
          <cell r="A1028" t="str">
            <v>Campos Novos Paulista</v>
          </cell>
          <cell r="B1028">
            <v>304439</v>
          </cell>
          <cell r="C1028">
            <v>-22.602419820000001</v>
          </cell>
          <cell r="D1028">
            <v>-49.99914441</v>
          </cell>
        </row>
        <row r="1029">
          <cell r="A1029" t="str">
            <v>Campos Sales</v>
          </cell>
          <cell r="B1029">
            <v>301016</v>
          </cell>
          <cell r="C1029">
            <v>-7.0721703119999999</v>
          </cell>
          <cell r="D1029">
            <v>-40.375823320000002</v>
          </cell>
        </row>
        <row r="1030">
          <cell r="A1030" t="str">
            <v>Campos Verdes</v>
          </cell>
          <cell r="B1030">
            <v>302799</v>
          </cell>
          <cell r="C1030">
            <v>-14.266352830000001</v>
          </cell>
          <cell r="D1030">
            <v>-49.659066799999998</v>
          </cell>
        </row>
        <row r="1031">
          <cell r="A1031" t="str">
            <v>Camutanga</v>
          </cell>
          <cell r="B1031">
            <v>300479</v>
          </cell>
          <cell r="C1031">
            <v>-7.4098945140000003</v>
          </cell>
          <cell r="D1031">
            <v>-35.273131749999997</v>
          </cell>
        </row>
        <row r="1032">
          <cell r="A1032" t="str">
            <v>Cana Verde</v>
          </cell>
          <cell r="B1032">
            <v>303621</v>
          </cell>
          <cell r="C1032">
            <v>-21.02368156</v>
          </cell>
          <cell r="D1032">
            <v>-45.18044416</v>
          </cell>
        </row>
        <row r="1033">
          <cell r="A1033" t="str">
            <v>Canaã</v>
          </cell>
          <cell r="B1033">
            <v>302750</v>
          </cell>
          <cell r="C1033">
            <v>-20.687367909999999</v>
          </cell>
          <cell r="D1033">
            <v>-42.617039370000001</v>
          </cell>
        </row>
        <row r="1034">
          <cell r="A1034" t="str">
            <v>Canaã dos Carajás</v>
          </cell>
          <cell r="B1034">
            <v>301981</v>
          </cell>
          <cell r="C1034">
            <v>-6.4970000040000002</v>
          </cell>
          <cell r="D1034">
            <v>-49.878</v>
          </cell>
        </row>
        <row r="1035">
          <cell r="A1035" t="str">
            <v>Canabrava do Norte</v>
          </cell>
          <cell r="B1035">
            <v>304192</v>
          </cell>
          <cell r="C1035">
            <v>-11.050021170000001</v>
          </cell>
          <cell r="D1035">
            <v>-51.826530740000003</v>
          </cell>
        </row>
        <row r="1036">
          <cell r="A1036" t="str">
            <v>Cananéia</v>
          </cell>
          <cell r="B1036">
            <v>303797</v>
          </cell>
          <cell r="C1036">
            <v>-25.014907910000002</v>
          </cell>
          <cell r="D1036">
            <v>-47.934486579999998</v>
          </cell>
        </row>
        <row r="1037">
          <cell r="A1037" t="str">
            <v>Canapi</v>
          </cell>
          <cell r="B1037">
            <v>302563</v>
          </cell>
          <cell r="C1037">
            <v>-9.1197489259999998</v>
          </cell>
          <cell r="D1037">
            <v>-37.597009159999999</v>
          </cell>
        </row>
        <row r="1038">
          <cell r="A1038" t="str">
            <v>Canápolis</v>
          </cell>
          <cell r="B1038">
            <v>302158</v>
          </cell>
          <cell r="C1038">
            <v>-13.072897599999999</v>
          </cell>
          <cell r="D1038">
            <v>-44.20130881</v>
          </cell>
        </row>
        <row r="1039">
          <cell r="A1039" t="str">
            <v>Canápolis</v>
          </cell>
          <cell r="B1039">
            <v>303373</v>
          </cell>
          <cell r="C1039">
            <v>-18.721686739999999</v>
          </cell>
          <cell r="D1039">
            <v>-49.203952950000001</v>
          </cell>
        </row>
        <row r="1040">
          <cell r="A1040" t="str">
            <v>Canarana</v>
          </cell>
          <cell r="B1040">
            <v>304200</v>
          </cell>
          <cell r="C1040">
            <v>-13.552363039999999</v>
          </cell>
          <cell r="D1040">
            <v>-52.27001336</v>
          </cell>
        </row>
        <row r="1041">
          <cell r="A1041" t="str">
            <v>Canarana</v>
          </cell>
          <cell r="B1041">
            <v>301506</v>
          </cell>
          <cell r="C1041">
            <v>-11.686270889999999</v>
          </cell>
          <cell r="D1041">
            <v>-41.768046409999997</v>
          </cell>
        </row>
        <row r="1042">
          <cell r="A1042" t="str">
            <v>Canas</v>
          </cell>
          <cell r="B1042">
            <v>303619</v>
          </cell>
          <cell r="C1042">
            <v>-22.700824539999999</v>
          </cell>
          <cell r="D1042">
            <v>-45.052502760000003</v>
          </cell>
        </row>
        <row r="1043">
          <cell r="A1043" t="str">
            <v>Canavieira</v>
          </cell>
          <cell r="B1043">
            <v>301850</v>
          </cell>
          <cell r="C1043">
            <v>-7.6925377629999998</v>
          </cell>
          <cell r="D1043">
            <v>-43.717370690000003</v>
          </cell>
        </row>
        <row r="1044">
          <cell r="A1044" t="str">
            <v>Canavieiras</v>
          </cell>
          <cell r="B1044">
            <v>301749</v>
          </cell>
          <cell r="C1044">
            <v>-15.672668699999999</v>
          </cell>
          <cell r="D1044">
            <v>-38.953975010000001</v>
          </cell>
        </row>
        <row r="1045">
          <cell r="A1045" t="str">
            <v>Candeal</v>
          </cell>
          <cell r="B1045">
            <v>301411</v>
          </cell>
          <cell r="C1045">
            <v>-11.8052946</v>
          </cell>
          <cell r="D1045">
            <v>-39.120599890000001</v>
          </cell>
        </row>
        <row r="1046">
          <cell r="A1046" t="str">
            <v>Candeias</v>
          </cell>
          <cell r="B1046">
            <v>301515</v>
          </cell>
          <cell r="C1046">
            <v>-12.671135380000001</v>
          </cell>
          <cell r="D1046">
            <v>-38.540478280000002</v>
          </cell>
        </row>
        <row r="1047">
          <cell r="A1047" t="str">
            <v>Candeias</v>
          </cell>
          <cell r="B1047">
            <v>303237</v>
          </cell>
          <cell r="C1047">
            <v>-20.76969545</v>
          </cell>
          <cell r="D1047">
            <v>-45.276847170000003</v>
          </cell>
        </row>
        <row r="1048">
          <cell r="A1048" t="str">
            <v>Candeias do Jamari</v>
          </cell>
          <cell r="B1048">
            <v>304321</v>
          </cell>
          <cell r="C1048">
            <v>-8.7910970679999991</v>
          </cell>
          <cell r="D1048">
            <v>-63.700962230000002</v>
          </cell>
        </row>
        <row r="1049">
          <cell r="A1049" t="str">
            <v>Candelária</v>
          </cell>
          <cell r="B1049">
            <v>305556</v>
          </cell>
          <cell r="C1049">
            <v>-29.66886526</v>
          </cell>
          <cell r="D1049">
            <v>-52.789957690000001</v>
          </cell>
        </row>
        <row r="1050">
          <cell r="A1050" t="str">
            <v>Candelária</v>
          </cell>
          <cell r="B1050">
            <v>314516</v>
          </cell>
          <cell r="C1050">
            <v>-27.46855292</v>
          </cell>
          <cell r="D1050">
            <v>-55.735679900000001</v>
          </cell>
        </row>
        <row r="1051">
          <cell r="A1051" t="str">
            <v>Candiba</v>
          </cell>
          <cell r="B1051">
            <v>303202</v>
          </cell>
          <cell r="C1051">
            <v>-14.413827769999999</v>
          </cell>
          <cell r="D1051">
            <v>-42.871014629999998</v>
          </cell>
        </row>
        <row r="1052">
          <cell r="A1052" t="str">
            <v>Cândido de Abreu</v>
          </cell>
          <cell r="B1052">
            <v>304754</v>
          </cell>
          <cell r="C1052">
            <v>-24.565364169999999</v>
          </cell>
          <cell r="D1052">
            <v>-51.337623190000002</v>
          </cell>
        </row>
        <row r="1053">
          <cell r="A1053" t="str">
            <v>Cândido Godói</v>
          </cell>
          <cell r="B1053">
            <v>305726</v>
          </cell>
          <cell r="C1053">
            <v>-27.951973970000001</v>
          </cell>
          <cell r="D1053">
            <v>-54.752189170000001</v>
          </cell>
        </row>
        <row r="1054">
          <cell r="A1054" t="str">
            <v>Cândido Mendes</v>
          </cell>
          <cell r="B1054">
            <v>301672</v>
          </cell>
          <cell r="C1054">
            <v>-1.4330295669999999</v>
          </cell>
          <cell r="D1054">
            <v>-45.716472400000001</v>
          </cell>
        </row>
        <row r="1055">
          <cell r="A1055" t="str">
            <v>Cândido Mota</v>
          </cell>
          <cell r="B1055">
            <v>304497</v>
          </cell>
          <cell r="C1055">
            <v>-22.747560199999999</v>
          </cell>
          <cell r="D1055">
            <v>-50.387747310000002</v>
          </cell>
        </row>
        <row r="1056">
          <cell r="A1056" t="str">
            <v>Cândido Rodrigues</v>
          </cell>
          <cell r="B1056">
            <v>303810</v>
          </cell>
          <cell r="C1056">
            <v>-21.324991130000001</v>
          </cell>
          <cell r="D1056">
            <v>-48.630950079999998</v>
          </cell>
        </row>
        <row r="1057">
          <cell r="A1057" t="str">
            <v>Cândido Sales</v>
          </cell>
          <cell r="B1057">
            <v>301624</v>
          </cell>
          <cell r="C1057">
            <v>-15.50641439</v>
          </cell>
          <cell r="D1057">
            <v>-41.238132059999998</v>
          </cell>
        </row>
        <row r="1058">
          <cell r="A1058" t="str">
            <v>Candiota</v>
          </cell>
          <cell r="B1058">
            <v>305718</v>
          </cell>
          <cell r="C1058">
            <v>-31.557902639999998</v>
          </cell>
          <cell r="D1058">
            <v>-53.672930219999998</v>
          </cell>
        </row>
        <row r="1059">
          <cell r="A1059" t="str">
            <v>Candói</v>
          </cell>
          <cell r="B1059">
            <v>305090</v>
          </cell>
          <cell r="C1059">
            <v>-25.576316810000002</v>
          </cell>
          <cell r="D1059">
            <v>-52.04131709</v>
          </cell>
        </row>
        <row r="1060">
          <cell r="A1060" t="str">
            <v>Canela</v>
          </cell>
          <cell r="B1060">
            <v>305145</v>
          </cell>
          <cell r="C1060">
            <v>-29.35647354</v>
          </cell>
          <cell r="D1060">
            <v>-50.81236947</v>
          </cell>
        </row>
        <row r="1061">
          <cell r="A1061" t="str">
            <v>Canelinha</v>
          </cell>
          <cell r="B1061">
            <v>304021</v>
          </cell>
          <cell r="C1061">
            <v>-27.262091959999999</v>
          </cell>
          <cell r="D1061">
            <v>-48.766217220000001</v>
          </cell>
        </row>
        <row r="1062">
          <cell r="A1062" t="str">
            <v>Canguaretama</v>
          </cell>
          <cell r="B1062">
            <v>300420</v>
          </cell>
          <cell r="C1062">
            <v>-6.3814128520000004</v>
          </cell>
          <cell r="D1062">
            <v>-35.129328190000003</v>
          </cell>
        </row>
        <row r="1063">
          <cell r="A1063" t="str">
            <v>Canguçu</v>
          </cell>
          <cell r="B1063">
            <v>305698</v>
          </cell>
          <cell r="C1063">
            <v>-31.39645698</v>
          </cell>
          <cell r="D1063">
            <v>-52.67872423</v>
          </cell>
        </row>
        <row r="1064">
          <cell r="A1064" t="str">
            <v>Canhoba</v>
          </cell>
          <cell r="B1064">
            <v>302371</v>
          </cell>
          <cell r="C1064">
            <v>-10.136901440000001</v>
          </cell>
          <cell r="D1064">
            <v>-36.980944579999999</v>
          </cell>
        </row>
        <row r="1065">
          <cell r="A1065" t="str">
            <v>Canhotinho</v>
          </cell>
          <cell r="B1065">
            <v>301118</v>
          </cell>
          <cell r="C1065">
            <v>-8.8769486270000009</v>
          </cell>
          <cell r="D1065">
            <v>-36.198233700000003</v>
          </cell>
        </row>
        <row r="1066">
          <cell r="A1066" t="str">
            <v>Canindé</v>
          </cell>
          <cell r="B1066">
            <v>300847</v>
          </cell>
          <cell r="C1066">
            <v>-4.3520175849999996</v>
          </cell>
          <cell r="D1066">
            <v>-39.315823389999998</v>
          </cell>
        </row>
        <row r="1067">
          <cell r="A1067" t="str">
            <v>Canindé de São Francisco</v>
          </cell>
          <cell r="B1067">
            <v>301284</v>
          </cell>
          <cell r="C1067">
            <v>-9.6605549570000004</v>
          </cell>
          <cell r="D1067">
            <v>-37.789080079999998</v>
          </cell>
        </row>
        <row r="1068">
          <cell r="A1068" t="str">
            <v>Canitar</v>
          </cell>
          <cell r="B1068">
            <v>304428</v>
          </cell>
          <cell r="C1068">
            <v>-23.005989039999999</v>
          </cell>
          <cell r="D1068">
            <v>-49.782947710000002</v>
          </cell>
        </row>
        <row r="1069">
          <cell r="A1069" t="str">
            <v>Canoas</v>
          </cell>
          <cell r="B1069">
            <v>305500</v>
          </cell>
          <cell r="C1069">
            <v>-29.913238190000001</v>
          </cell>
          <cell r="D1069">
            <v>-51.186134420000002</v>
          </cell>
        </row>
        <row r="1070">
          <cell r="A1070" t="str">
            <v>Canoinhas</v>
          </cell>
          <cell r="B1070">
            <v>305250</v>
          </cell>
          <cell r="C1070">
            <v>-26.177066620000002</v>
          </cell>
          <cell r="D1070">
            <v>-50.395433930000003</v>
          </cell>
        </row>
        <row r="1071">
          <cell r="A1071" t="str">
            <v>Cansanção</v>
          </cell>
          <cell r="B1071">
            <v>301395</v>
          </cell>
          <cell r="C1071">
            <v>-10.66514997</v>
          </cell>
          <cell r="D1071">
            <v>-39.494712290000002</v>
          </cell>
        </row>
        <row r="1072">
          <cell r="A1072" t="str">
            <v>Canta</v>
          </cell>
          <cell r="B1072">
            <v>314418</v>
          </cell>
          <cell r="C1072">
            <v>-11.4540296</v>
          </cell>
          <cell r="D1072">
            <v>-76.62070507</v>
          </cell>
        </row>
        <row r="1073">
          <cell r="A1073" t="str">
            <v>Cantá</v>
          </cell>
          <cell r="B1073">
            <v>305881</v>
          </cell>
          <cell r="C1073">
            <v>2.6104730190000001</v>
          </cell>
          <cell r="D1073">
            <v>-60.60287563</v>
          </cell>
        </row>
        <row r="1074">
          <cell r="A1074" t="str">
            <v>Cantagalo</v>
          </cell>
          <cell r="B1074">
            <v>302693</v>
          </cell>
          <cell r="C1074">
            <v>-18.522789240000002</v>
          </cell>
          <cell r="D1074">
            <v>-42.625290069999998</v>
          </cell>
        </row>
        <row r="1075">
          <cell r="A1075" t="str">
            <v>Cantagalo</v>
          </cell>
          <cell r="B1075">
            <v>304927</v>
          </cell>
          <cell r="C1075">
            <v>-21.980220259999999</v>
          </cell>
          <cell r="D1075">
            <v>-42.366789769999997</v>
          </cell>
        </row>
        <row r="1076">
          <cell r="A1076" t="str">
            <v>Cantagalo</v>
          </cell>
          <cell r="B1076">
            <v>305089</v>
          </cell>
          <cell r="C1076">
            <v>-25.373827689999999</v>
          </cell>
          <cell r="D1076">
            <v>-52.120258929999999</v>
          </cell>
        </row>
        <row r="1077">
          <cell r="A1077" t="str">
            <v>Cantanhede</v>
          </cell>
          <cell r="B1077">
            <v>301698</v>
          </cell>
          <cell r="C1077">
            <v>-3.6344625759999998</v>
          </cell>
          <cell r="D1077">
            <v>-44.380615730000002</v>
          </cell>
        </row>
        <row r="1078">
          <cell r="A1078" t="str">
            <v>Canto do Buriti</v>
          </cell>
          <cell r="B1078">
            <v>301836</v>
          </cell>
          <cell r="C1078">
            <v>-8.1115206050000008</v>
          </cell>
          <cell r="D1078">
            <v>-42.952066760000001</v>
          </cell>
        </row>
        <row r="1079">
          <cell r="A1079" t="str">
            <v>Canudos</v>
          </cell>
          <cell r="B1079">
            <v>301299</v>
          </cell>
          <cell r="C1079">
            <v>-9.9068491670000007</v>
          </cell>
          <cell r="D1079">
            <v>-39.145309810000001</v>
          </cell>
        </row>
        <row r="1080">
          <cell r="A1080" t="str">
            <v>Canudos do Vale</v>
          </cell>
          <cell r="B1080">
            <v>300392</v>
          </cell>
          <cell r="C1080">
            <v>-29.327744790000001</v>
          </cell>
          <cell r="D1080">
            <v>-52.239590569999997</v>
          </cell>
        </row>
        <row r="1081">
          <cell r="A1081" t="str">
            <v>Canutama</v>
          </cell>
          <cell r="B1081">
            <v>304267</v>
          </cell>
          <cell r="C1081">
            <v>-6.526213372</v>
          </cell>
          <cell r="D1081">
            <v>-64.395740840000002</v>
          </cell>
        </row>
        <row r="1082">
          <cell r="A1082" t="str">
            <v>Capanema</v>
          </cell>
          <cell r="B1082">
            <v>301889</v>
          </cell>
          <cell r="C1082">
            <v>-1.205668993</v>
          </cell>
          <cell r="D1082">
            <v>-47.178147539999998</v>
          </cell>
        </row>
        <row r="1083">
          <cell r="A1083" t="str">
            <v>Capanema</v>
          </cell>
          <cell r="B1083">
            <v>305327</v>
          </cell>
          <cell r="C1083">
            <v>-25.669563149999998</v>
          </cell>
          <cell r="D1083">
            <v>-53.805960300000002</v>
          </cell>
        </row>
        <row r="1084">
          <cell r="A1084" t="str">
            <v>Capão Alto</v>
          </cell>
          <cell r="B1084">
            <v>305132</v>
          </cell>
          <cell r="C1084">
            <v>-27.939414930000002</v>
          </cell>
          <cell r="D1084">
            <v>-50.510228499999997</v>
          </cell>
        </row>
        <row r="1085">
          <cell r="A1085" t="str">
            <v>Capão Bonito</v>
          </cell>
          <cell r="B1085">
            <v>304661</v>
          </cell>
          <cell r="C1085">
            <v>-24.00598711</v>
          </cell>
          <cell r="D1085">
            <v>-48.348949529999999</v>
          </cell>
        </row>
        <row r="1086">
          <cell r="A1086" t="str">
            <v>Capão Bonito do Sul</v>
          </cell>
          <cell r="B1086">
            <v>300385</v>
          </cell>
          <cell r="C1086">
            <v>-28.125916879999998</v>
          </cell>
          <cell r="D1086">
            <v>-51.396539570000002</v>
          </cell>
        </row>
        <row r="1087">
          <cell r="A1087" t="str">
            <v>Capão da Canoa</v>
          </cell>
          <cell r="B1087">
            <v>304135</v>
          </cell>
          <cell r="C1087">
            <v>-29.76472588</v>
          </cell>
          <cell r="D1087">
            <v>-50.028688029999998</v>
          </cell>
        </row>
        <row r="1088">
          <cell r="A1088" t="str">
            <v>Capão do Cipó</v>
          </cell>
          <cell r="B1088">
            <v>300942</v>
          </cell>
          <cell r="C1088">
            <v>-28.931709640000001</v>
          </cell>
          <cell r="D1088">
            <v>-54.556252540000003</v>
          </cell>
        </row>
        <row r="1089">
          <cell r="A1089" t="str">
            <v>Capão do Leão</v>
          </cell>
          <cell r="B1089">
            <v>305813</v>
          </cell>
          <cell r="C1089">
            <v>-31.756938120000001</v>
          </cell>
          <cell r="D1089">
            <v>-52.48934981</v>
          </cell>
        </row>
        <row r="1090">
          <cell r="A1090" t="str">
            <v>Caparaó</v>
          </cell>
          <cell r="B1090">
            <v>302625</v>
          </cell>
          <cell r="C1090">
            <v>-20.52937678</v>
          </cell>
          <cell r="D1090">
            <v>-41.906420900000001</v>
          </cell>
        </row>
        <row r="1091">
          <cell r="A1091" t="str">
            <v>Capela</v>
          </cell>
          <cell r="B1091">
            <v>301232</v>
          </cell>
          <cell r="C1091">
            <v>-10.50632459</v>
          </cell>
          <cell r="D1091">
            <v>-37.053921969999998</v>
          </cell>
        </row>
        <row r="1092">
          <cell r="A1092" t="str">
            <v>Capela</v>
          </cell>
          <cell r="B1092">
            <v>301478</v>
          </cell>
          <cell r="C1092">
            <v>-9.4154739710000008</v>
          </cell>
          <cell r="D1092">
            <v>-36.082881299999997</v>
          </cell>
        </row>
        <row r="1093">
          <cell r="A1093" t="str">
            <v>Capela de Santana</v>
          </cell>
          <cell r="B1093">
            <v>305494</v>
          </cell>
          <cell r="C1093">
            <v>-29.69200201</v>
          </cell>
          <cell r="D1093">
            <v>-51.318054140000001</v>
          </cell>
        </row>
        <row r="1094">
          <cell r="A1094" t="str">
            <v>Capela do Alto</v>
          </cell>
          <cell r="B1094">
            <v>303777</v>
          </cell>
          <cell r="C1094">
            <v>-23.468947159999999</v>
          </cell>
          <cell r="D1094">
            <v>-47.739240330000001</v>
          </cell>
        </row>
        <row r="1095">
          <cell r="A1095" t="str">
            <v>Capela do Alto Alegre</v>
          </cell>
          <cell r="B1095">
            <v>301423</v>
          </cell>
          <cell r="C1095">
            <v>-11.666239040000001</v>
          </cell>
          <cell r="D1095">
            <v>-39.835239829999999</v>
          </cell>
        </row>
        <row r="1096">
          <cell r="A1096" t="str">
            <v>Capela Nova</v>
          </cell>
          <cell r="B1096">
            <v>302856</v>
          </cell>
          <cell r="C1096">
            <v>-20.91838362</v>
          </cell>
          <cell r="D1096">
            <v>-43.622332059999998</v>
          </cell>
        </row>
        <row r="1097">
          <cell r="A1097" t="str">
            <v>Capelinha</v>
          </cell>
          <cell r="B1097">
            <v>302662</v>
          </cell>
          <cell r="C1097">
            <v>-17.689259029999999</v>
          </cell>
          <cell r="D1097">
            <v>-42.51506114</v>
          </cell>
        </row>
        <row r="1098">
          <cell r="A1098" t="str">
            <v>Capetinga</v>
          </cell>
          <cell r="B1098">
            <v>303945</v>
          </cell>
          <cell r="C1098">
            <v>-20.616782910000001</v>
          </cell>
          <cell r="D1098">
            <v>-47.057534779999997</v>
          </cell>
        </row>
        <row r="1099">
          <cell r="A1099" t="str">
            <v>Capim</v>
          </cell>
          <cell r="B1099">
            <v>300446</v>
          </cell>
          <cell r="C1099">
            <v>-6.9202015360000004</v>
          </cell>
          <cell r="D1099">
            <v>-35.166920220000002</v>
          </cell>
        </row>
        <row r="1100">
          <cell r="A1100" t="str">
            <v>Capim Branco</v>
          </cell>
          <cell r="B1100">
            <v>304399</v>
          </cell>
          <cell r="C1100">
            <v>-19.547538410000001</v>
          </cell>
          <cell r="D1100">
            <v>-44.130722349999999</v>
          </cell>
        </row>
        <row r="1101">
          <cell r="A1101" t="str">
            <v>Capim Grosso</v>
          </cell>
          <cell r="B1101">
            <v>301445</v>
          </cell>
          <cell r="C1101">
            <v>-11.38009931</v>
          </cell>
          <cell r="D1101">
            <v>-40.009279739999997</v>
          </cell>
        </row>
        <row r="1102">
          <cell r="A1102" t="str">
            <v>Capinópolis</v>
          </cell>
          <cell r="B1102">
            <v>303396</v>
          </cell>
          <cell r="C1102">
            <v>-18.686677830000001</v>
          </cell>
          <cell r="D1102">
            <v>-49.571023169999997</v>
          </cell>
        </row>
        <row r="1103">
          <cell r="A1103" t="str">
            <v>Capinzal</v>
          </cell>
          <cell r="B1103">
            <v>305577</v>
          </cell>
          <cell r="C1103">
            <v>-27.347769289999999</v>
          </cell>
          <cell r="D1103">
            <v>-51.606147210000003</v>
          </cell>
        </row>
        <row r="1104">
          <cell r="A1104" t="str">
            <v>Capinzal do Norte</v>
          </cell>
          <cell r="B1104">
            <v>302430</v>
          </cell>
          <cell r="C1104">
            <v>-4.7240025120000002</v>
          </cell>
          <cell r="D1104">
            <v>-44.328397559999999</v>
          </cell>
        </row>
        <row r="1105">
          <cell r="A1105" t="str">
            <v>Capistrano</v>
          </cell>
          <cell r="B1105">
            <v>300907</v>
          </cell>
          <cell r="C1105">
            <v>-4.4560884229999997</v>
          </cell>
          <cell r="D1105">
            <v>-38.905157529999997</v>
          </cell>
        </row>
        <row r="1106">
          <cell r="A1106" t="str">
            <v>Capitán Bado</v>
          </cell>
          <cell r="B1106">
            <v>314257</v>
          </cell>
          <cell r="C1106">
            <v>-23.263291160000001</v>
          </cell>
          <cell r="D1106">
            <v>-55.548105820000004</v>
          </cell>
        </row>
        <row r="1107">
          <cell r="A1107" t="str">
            <v>Capitán Meza</v>
          </cell>
          <cell r="B1107">
            <v>314321</v>
          </cell>
          <cell r="C1107">
            <v>-26.939794920000001</v>
          </cell>
          <cell r="D1107">
            <v>-55.197679549999997</v>
          </cell>
        </row>
        <row r="1108">
          <cell r="A1108" t="str">
            <v>Capitán Miranda</v>
          </cell>
          <cell r="B1108">
            <v>314358</v>
          </cell>
          <cell r="C1108">
            <v>-27.217607359999999</v>
          </cell>
          <cell r="D1108">
            <v>-55.79585719</v>
          </cell>
        </row>
        <row r="1109">
          <cell r="A1109" t="str">
            <v>Capitão</v>
          </cell>
          <cell r="B1109">
            <v>305220</v>
          </cell>
          <cell r="C1109">
            <v>-29.26786242</v>
          </cell>
          <cell r="D1109">
            <v>-51.985735740000003</v>
          </cell>
        </row>
        <row r="1110">
          <cell r="A1110" t="str">
            <v>Capitão Andrade</v>
          </cell>
          <cell r="B1110">
            <v>302538</v>
          </cell>
          <cell r="C1110">
            <v>-19.075309050000001</v>
          </cell>
          <cell r="D1110">
            <v>-41.861768349999998</v>
          </cell>
        </row>
        <row r="1111">
          <cell r="A1111" t="str">
            <v>Capitão de Campos</v>
          </cell>
          <cell r="B1111">
            <v>300892</v>
          </cell>
          <cell r="C1111">
            <v>-4.4573992049999998</v>
          </cell>
          <cell r="D1111">
            <v>-41.944335930000001</v>
          </cell>
        </row>
        <row r="1112">
          <cell r="A1112" t="str">
            <v>Capitão Enéas</v>
          </cell>
          <cell r="B1112">
            <v>302155</v>
          </cell>
          <cell r="C1112">
            <v>-16.326999090000001</v>
          </cell>
          <cell r="D1112">
            <v>-43.708804819999997</v>
          </cell>
        </row>
        <row r="1113">
          <cell r="A1113" t="str">
            <v>Capitão Gervásio Oliveira</v>
          </cell>
          <cell r="B1113">
            <v>301437</v>
          </cell>
          <cell r="C1113">
            <v>-8.4962692559999997</v>
          </cell>
          <cell r="D1113">
            <v>-41.816664719999999</v>
          </cell>
        </row>
        <row r="1114">
          <cell r="A1114" t="str">
            <v>Capitão Leônidas Marques</v>
          </cell>
          <cell r="B1114">
            <v>305325</v>
          </cell>
          <cell r="C1114">
            <v>-25.482109390000002</v>
          </cell>
          <cell r="D1114">
            <v>-53.611688430000001</v>
          </cell>
        </row>
        <row r="1115">
          <cell r="A1115" t="str">
            <v>Capitão Poço</v>
          </cell>
          <cell r="B1115">
            <v>301891</v>
          </cell>
          <cell r="C1115">
            <v>-1.748228202</v>
          </cell>
          <cell r="D1115">
            <v>-47.063298920000001</v>
          </cell>
        </row>
        <row r="1116">
          <cell r="A1116" t="str">
            <v>Capitólio</v>
          </cell>
          <cell r="B1116">
            <v>303249</v>
          </cell>
          <cell r="C1116">
            <v>-20.616844189999998</v>
          </cell>
          <cell r="D1116">
            <v>-46.049644039999997</v>
          </cell>
        </row>
        <row r="1117">
          <cell r="A1117" t="str">
            <v>Capivari</v>
          </cell>
          <cell r="B1117">
            <v>303911</v>
          </cell>
          <cell r="C1117">
            <v>-22.99561937</v>
          </cell>
          <cell r="D1117">
            <v>-47.507553350000002</v>
          </cell>
        </row>
        <row r="1118">
          <cell r="A1118" t="str">
            <v>Capivari de Baixo</v>
          </cell>
          <cell r="B1118">
            <v>304070</v>
          </cell>
          <cell r="C1118">
            <v>-28.450257879999999</v>
          </cell>
          <cell r="D1118">
            <v>-48.963576240000002</v>
          </cell>
        </row>
        <row r="1119">
          <cell r="A1119" t="str">
            <v>Capivari do Sul</v>
          </cell>
          <cell r="B1119">
            <v>305465</v>
          </cell>
          <cell r="C1119">
            <v>-30.144979129999999</v>
          </cell>
          <cell r="D1119">
            <v>-50.514943180000003</v>
          </cell>
        </row>
        <row r="1120">
          <cell r="A1120" t="str">
            <v>Capixaba</v>
          </cell>
          <cell r="B1120">
            <v>305859</v>
          </cell>
          <cell r="C1120">
            <v>-10.574902310000001</v>
          </cell>
          <cell r="D1120">
            <v>-67.676758820000003</v>
          </cell>
        </row>
        <row r="1121">
          <cell r="A1121" t="str">
            <v>Capoeiras</v>
          </cell>
          <cell r="B1121">
            <v>301127</v>
          </cell>
          <cell r="C1121">
            <v>-8.7405981019999999</v>
          </cell>
          <cell r="D1121">
            <v>-36.627951629999998</v>
          </cell>
        </row>
        <row r="1122">
          <cell r="A1122" t="str">
            <v>Caputira</v>
          </cell>
          <cell r="B1122">
            <v>303573</v>
          </cell>
          <cell r="C1122">
            <v>-20.170819640000001</v>
          </cell>
          <cell r="D1122">
            <v>-42.268679679999998</v>
          </cell>
        </row>
        <row r="1123">
          <cell r="A1123" t="str">
            <v>Caraá</v>
          </cell>
          <cell r="B1123">
            <v>305656</v>
          </cell>
          <cell r="C1123">
            <v>-29.789907540000002</v>
          </cell>
          <cell r="D1123">
            <v>-50.435015129999996</v>
          </cell>
        </row>
        <row r="1124">
          <cell r="A1124" t="str">
            <v>Caracaraí</v>
          </cell>
          <cell r="B1124">
            <v>305890</v>
          </cell>
          <cell r="C1124">
            <v>1.819852982</v>
          </cell>
          <cell r="D1124">
            <v>-61.128161519999999</v>
          </cell>
        </row>
        <row r="1125">
          <cell r="A1125" t="str">
            <v>Caracas</v>
          </cell>
          <cell r="B1125">
            <v>295800</v>
          </cell>
          <cell r="C1125">
            <v>10.49934389</v>
          </cell>
          <cell r="D1125">
            <v>-66.92095089</v>
          </cell>
        </row>
        <row r="1126">
          <cell r="A1126" t="str">
            <v>Caracol</v>
          </cell>
          <cell r="B1126">
            <v>302059</v>
          </cell>
          <cell r="C1126">
            <v>-9.2797585869999999</v>
          </cell>
          <cell r="D1126">
            <v>-43.32934736</v>
          </cell>
        </row>
        <row r="1127">
          <cell r="A1127" t="str">
            <v>Caracol</v>
          </cell>
          <cell r="B1127">
            <v>305241</v>
          </cell>
          <cell r="C1127">
            <v>-22.01146439</v>
          </cell>
          <cell r="D1127">
            <v>-57.028129849999999</v>
          </cell>
        </row>
        <row r="1128">
          <cell r="A1128" t="str">
            <v>Caraguatatuba</v>
          </cell>
          <cell r="B1128">
            <v>303286</v>
          </cell>
          <cell r="C1128">
            <v>-23.613017549999999</v>
          </cell>
          <cell r="D1128">
            <v>-45.412923890000002</v>
          </cell>
        </row>
        <row r="1129">
          <cell r="A1129" t="str">
            <v>Caraí</v>
          </cell>
          <cell r="B1129">
            <v>302484</v>
          </cell>
          <cell r="C1129">
            <v>-17.186627300000001</v>
          </cell>
          <cell r="D1129">
            <v>-41.700708429999999</v>
          </cell>
        </row>
        <row r="1130">
          <cell r="A1130" t="str">
            <v>Caraíbas</v>
          </cell>
          <cell r="B1130">
            <v>301619</v>
          </cell>
          <cell r="C1130">
            <v>-14.72546049</v>
          </cell>
          <cell r="D1130">
            <v>-41.255727479999997</v>
          </cell>
        </row>
        <row r="1131">
          <cell r="A1131" t="str">
            <v>Carambeí</v>
          </cell>
          <cell r="B1131">
            <v>303976</v>
          </cell>
          <cell r="C1131">
            <v>-24.94829176</v>
          </cell>
          <cell r="D1131">
            <v>-50.110202219999998</v>
          </cell>
        </row>
        <row r="1132">
          <cell r="A1132" t="str">
            <v>Caranaíba</v>
          </cell>
          <cell r="B1132">
            <v>302858</v>
          </cell>
          <cell r="C1132">
            <v>-20.871140189999998</v>
          </cell>
          <cell r="D1132">
            <v>-43.742087789999999</v>
          </cell>
        </row>
        <row r="1133">
          <cell r="A1133" t="str">
            <v>Carandaí</v>
          </cell>
          <cell r="B1133">
            <v>302936</v>
          </cell>
          <cell r="C1133">
            <v>-20.957081349999999</v>
          </cell>
          <cell r="D1133">
            <v>-43.811374479999998</v>
          </cell>
        </row>
        <row r="1134">
          <cell r="A1134" t="str">
            <v>Carangola</v>
          </cell>
          <cell r="B1134">
            <v>302912</v>
          </cell>
          <cell r="C1134">
            <v>-20.734828319999998</v>
          </cell>
          <cell r="D1134">
            <v>-42.03170729</v>
          </cell>
        </row>
        <row r="1135">
          <cell r="A1135" t="str">
            <v>Carapebus</v>
          </cell>
          <cell r="B1135">
            <v>302646</v>
          </cell>
          <cell r="C1135">
            <v>-22.182598559999999</v>
          </cell>
          <cell r="D1135">
            <v>-41.663370159999999</v>
          </cell>
        </row>
        <row r="1136">
          <cell r="A1136" t="str">
            <v>Carapeguá</v>
          </cell>
          <cell r="B1136">
            <v>314503</v>
          </cell>
          <cell r="C1136">
            <v>-25.765022500000001</v>
          </cell>
          <cell r="D1136">
            <v>-57.215752299999998</v>
          </cell>
        </row>
        <row r="1137">
          <cell r="A1137" t="str">
            <v>Carapicuíba</v>
          </cell>
          <cell r="B1137">
            <v>303736</v>
          </cell>
          <cell r="C1137">
            <v>-23.523949649999999</v>
          </cell>
          <cell r="D1137">
            <v>-46.841076450000003</v>
          </cell>
        </row>
        <row r="1138">
          <cell r="A1138" t="str">
            <v>Caratinga</v>
          </cell>
          <cell r="B1138">
            <v>302898</v>
          </cell>
          <cell r="C1138">
            <v>-19.787281400000001</v>
          </cell>
          <cell r="D1138">
            <v>-42.129574810000001</v>
          </cell>
        </row>
        <row r="1139">
          <cell r="A1139" t="str">
            <v>Carauari</v>
          </cell>
          <cell r="B1139">
            <v>304269</v>
          </cell>
          <cell r="C1139">
            <v>-4.8823048509999998</v>
          </cell>
          <cell r="D1139">
            <v>-66.909527240000003</v>
          </cell>
        </row>
        <row r="1140">
          <cell r="A1140" t="str">
            <v>Caraúbas</v>
          </cell>
          <cell r="B1140">
            <v>300556</v>
          </cell>
          <cell r="C1140">
            <v>-5.7842765250000001</v>
          </cell>
          <cell r="D1140">
            <v>-37.558935560000002</v>
          </cell>
        </row>
        <row r="1141">
          <cell r="A1141" t="str">
            <v>Caraúbas</v>
          </cell>
          <cell r="B1141">
            <v>300597</v>
          </cell>
          <cell r="C1141">
            <v>-7.7282999810000002</v>
          </cell>
          <cell r="D1141">
            <v>-36.493452810000001</v>
          </cell>
        </row>
        <row r="1142">
          <cell r="A1142" t="str">
            <v>Caraúbas do Piauí</v>
          </cell>
          <cell r="B1142">
            <v>300724</v>
          </cell>
          <cell r="C1142">
            <v>-3.4756420920000002</v>
          </cell>
          <cell r="D1142">
            <v>-41.842852499999999</v>
          </cell>
        </row>
        <row r="1143">
          <cell r="A1143" t="str">
            <v>Caravelas</v>
          </cell>
          <cell r="B1143">
            <v>302414</v>
          </cell>
          <cell r="C1143">
            <v>-17.7273119</v>
          </cell>
          <cell r="D1143">
            <v>-39.26001179</v>
          </cell>
        </row>
        <row r="1144">
          <cell r="A1144" t="str">
            <v>Carayaó</v>
          </cell>
          <cell r="B1144">
            <v>314339</v>
          </cell>
          <cell r="C1144">
            <v>-25.19959622</v>
          </cell>
          <cell r="D1144">
            <v>-56.392765529999998</v>
          </cell>
        </row>
        <row r="1145">
          <cell r="A1145" t="str">
            <v>Caraz</v>
          </cell>
          <cell r="B1145">
            <v>314422</v>
          </cell>
          <cell r="C1145">
            <v>-9.0347009239999991</v>
          </cell>
          <cell r="D1145">
            <v>-77.801576800000007</v>
          </cell>
        </row>
        <row r="1146">
          <cell r="A1146" t="str">
            <v>Carazinho</v>
          </cell>
          <cell r="B1146">
            <v>305379</v>
          </cell>
          <cell r="C1146">
            <v>-28.296316109999999</v>
          </cell>
          <cell r="D1146">
            <v>-52.79371665</v>
          </cell>
        </row>
        <row r="1147">
          <cell r="A1147" t="str">
            <v>Carbonita</v>
          </cell>
          <cell r="B1147">
            <v>302702</v>
          </cell>
          <cell r="C1147">
            <v>-17.525957429999998</v>
          </cell>
          <cell r="D1147">
            <v>-43.014047310000002</v>
          </cell>
        </row>
        <row r="1148">
          <cell r="A1148" t="str">
            <v>Cardeal da Silva</v>
          </cell>
          <cell r="B1148">
            <v>301367</v>
          </cell>
          <cell r="C1148">
            <v>-11.9418367</v>
          </cell>
          <cell r="D1148">
            <v>-37.94872264</v>
          </cell>
        </row>
        <row r="1149">
          <cell r="A1149" t="str">
            <v>Cardoso</v>
          </cell>
          <cell r="B1149">
            <v>303436</v>
          </cell>
          <cell r="C1149">
            <v>-20.08199333</v>
          </cell>
          <cell r="D1149">
            <v>-49.913948550000001</v>
          </cell>
        </row>
        <row r="1150">
          <cell r="A1150" t="str">
            <v>Cardoso Moreira</v>
          </cell>
          <cell r="B1150">
            <v>302639</v>
          </cell>
          <cell r="C1150">
            <v>-21.48507906</v>
          </cell>
          <cell r="D1150">
            <v>-41.616854080000003</v>
          </cell>
        </row>
        <row r="1151">
          <cell r="A1151" t="str">
            <v>Careaçu</v>
          </cell>
          <cell r="B1151">
            <v>303465</v>
          </cell>
          <cell r="C1151">
            <v>-22.042855830000001</v>
          </cell>
          <cell r="D1151">
            <v>-45.696399380000003</v>
          </cell>
        </row>
        <row r="1152">
          <cell r="A1152" t="str">
            <v>Careiro</v>
          </cell>
          <cell r="B1152">
            <v>304637</v>
          </cell>
          <cell r="C1152">
            <v>-3.7684132099999998</v>
          </cell>
          <cell r="D1152">
            <v>-60.369487399999997</v>
          </cell>
        </row>
        <row r="1153">
          <cell r="A1153" t="str">
            <v>Careiro da Várzea</v>
          </cell>
          <cell r="B1153">
            <v>304633</v>
          </cell>
          <cell r="C1153">
            <v>-3.1973635040000001</v>
          </cell>
          <cell r="D1153">
            <v>-59.796828689999998</v>
          </cell>
        </row>
        <row r="1154">
          <cell r="A1154" t="str">
            <v>Carhuaz</v>
          </cell>
          <cell r="B1154">
            <v>314424</v>
          </cell>
          <cell r="C1154">
            <v>-9.2741583460000001</v>
          </cell>
          <cell r="D1154">
            <v>-77.638651800000005</v>
          </cell>
        </row>
        <row r="1155">
          <cell r="A1155" t="str">
            <v>Cariacica</v>
          </cell>
          <cell r="B1155">
            <v>302515</v>
          </cell>
          <cell r="C1155">
            <v>-20.26368373</v>
          </cell>
          <cell r="D1155">
            <v>-40.416895449999998</v>
          </cell>
        </row>
        <row r="1156">
          <cell r="A1156" t="str">
            <v>Caridade</v>
          </cell>
          <cell r="B1156">
            <v>300912</v>
          </cell>
          <cell r="C1156">
            <v>-4.2255398309999999</v>
          </cell>
          <cell r="D1156">
            <v>-39.191483460000001</v>
          </cell>
        </row>
        <row r="1157">
          <cell r="A1157" t="str">
            <v>Caridade do Piauí</v>
          </cell>
          <cell r="B1157">
            <v>301061</v>
          </cell>
          <cell r="C1157">
            <v>-7.7347680800000003</v>
          </cell>
          <cell r="D1157">
            <v>-40.985095049999998</v>
          </cell>
        </row>
        <row r="1158">
          <cell r="A1158" t="str">
            <v>Carinhanha</v>
          </cell>
          <cell r="B1158">
            <v>302113</v>
          </cell>
          <cell r="C1158">
            <v>-14.29897394</v>
          </cell>
          <cell r="D1158">
            <v>-43.772707779999998</v>
          </cell>
        </row>
        <row r="1159">
          <cell r="A1159" t="str">
            <v>Carira</v>
          </cell>
          <cell r="B1159">
            <v>301229</v>
          </cell>
          <cell r="C1159">
            <v>-10.35700892</v>
          </cell>
          <cell r="D1159">
            <v>-37.703159730000003</v>
          </cell>
        </row>
        <row r="1160">
          <cell r="A1160" t="str">
            <v>Cariré</v>
          </cell>
          <cell r="B1160">
            <v>301336</v>
          </cell>
          <cell r="C1160">
            <v>-3.950908171</v>
          </cell>
          <cell r="D1160">
            <v>-40.475886610000003</v>
          </cell>
        </row>
        <row r="1161">
          <cell r="A1161" t="str">
            <v>Cariri do Tocantins</v>
          </cell>
          <cell r="B1161">
            <v>302294</v>
          </cell>
          <cell r="C1161">
            <v>-11.88851234</v>
          </cell>
          <cell r="D1161">
            <v>-49.161265819999997</v>
          </cell>
        </row>
        <row r="1162">
          <cell r="A1162" t="str">
            <v>Caririaçu</v>
          </cell>
          <cell r="B1162">
            <v>301175</v>
          </cell>
          <cell r="C1162">
            <v>-7.0343864299999996</v>
          </cell>
          <cell r="D1162">
            <v>-39.282531779999999</v>
          </cell>
        </row>
        <row r="1163">
          <cell r="A1163" t="str">
            <v>Cariús</v>
          </cell>
          <cell r="B1163">
            <v>301179</v>
          </cell>
          <cell r="C1163">
            <v>-6.533337757</v>
          </cell>
          <cell r="D1163">
            <v>-39.496577989999999</v>
          </cell>
        </row>
        <row r="1164">
          <cell r="A1164" t="str">
            <v>Carlinda</v>
          </cell>
          <cell r="B1164">
            <v>304552</v>
          </cell>
          <cell r="C1164">
            <v>-9.9495325650000002</v>
          </cell>
          <cell r="D1164">
            <v>-55.842096009999999</v>
          </cell>
        </row>
        <row r="1165">
          <cell r="A1165" t="str">
            <v>Carlópolis</v>
          </cell>
          <cell r="B1165">
            <v>304203</v>
          </cell>
          <cell r="C1165">
            <v>-23.424988410000001</v>
          </cell>
          <cell r="D1165">
            <v>-49.720947639999999</v>
          </cell>
        </row>
        <row r="1166">
          <cell r="A1166" t="str">
            <v>Carlos Barbosa</v>
          </cell>
          <cell r="B1166">
            <v>305188</v>
          </cell>
          <cell r="C1166">
            <v>-29.297427110000001</v>
          </cell>
          <cell r="D1166">
            <v>-51.503299740000003</v>
          </cell>
        </row>
        <row r="1167">
          <cell r="A1167" t="str">
            <v>Carlos Chagas</v>
          </cell>
          <cell r="B1167">
            <v>303597</v>
          </cell>
          <cell r="C1167">
            <v>-17.697805169999999</v>
          </cell>
          <cell r="D1167">
            <v>-40.772619749999997</v>
          </cell>
        </row>
        <row r="1168">
          <cell r="A1168" t="str">
            <v>Carlos Gomes</v>
          </cell>
          <cell r="B1168">
            <v>305669</v>
          </cell>
          <cell r="C1168">
            <v>-27.717153</v>
          </cell>
          <cell r="D1168">
            <v>-51.912575660000002</v>
          </cell>
        </row>
        <row r="1169">
          <cell r="A1169" t="str">
            <v>Carmen del Paraná</v>
          </cell>
          <cell r="B1169">
            <v>314363</v>
          </cell>
          <cell r="C1169">
            <v>-27.233308350000001</v>
          </cell>
          <cell r="D1169">
            <v>-56.100341020000002</v>
          </cell>
        </row>
        <row r="1170">
          <cell r="A1170" t="str">
            <v>Carmésia</v>
          </cell>
          <cell r="B1170">
            <v>304895</v>
          </cell>
          <cell r="C1170">
            <v>-19.088189610000001</v>
          </cell>
          <cell r="D1170">
            <v>-43.138611419999997</v>
          </cell>
        </row>
        <row r="1171">
          <cell r="A1171" t="str">
            <v>Carmo</v>
          </cell>
          <cell r="B1171">
            <v>304407</v>
          </cell>
          <cell r="C1171">
            <v>-21.931440559999999</v>
          </cell>
          <cell r="D1171">
            <v>-42.60500236</v>
          </cell>
        </row>
        <row r="1172">
          <cell r="A1172" t="str">
            <v>Carmo da Cachoeira</v>
          </cell>
          <cell r="B1172">
            <v>303214</v>
          </cell>
          <cell r="C1172">
            <v>-21.46376699</v>
          </cell>
          <cell r="D1172">
            <v>-45.220448570000002</v>
          </cell>
        </row>
        <row r="1173">
          <cell r="A1173" t="str">
            <v>Carmo da Mata</v>
          </cell>
          <cell r="B1173">
            <v>302998</v>
          </cell>
          <cell r="C1173">
            <v>-20.55800558</v>
          </cell>
          <cell r="D1173">
            <v>-44.873878879999999</v>
          </cell>
        </row>
        <row r="1174">
          <cell r="A1174" t="str">
            <v>Carmo de Minas</v>
          </cell>
          <cell r="B1174">
            <v>304422</v>
          </cell>
          <cell r="C1174">
            <v>-22.120844429999998</v>
          </cell>
          <cell r="D1174">
            <v>-45.131074699999999</v>
          </cell>
        </row>
        <row r="1175">
          <cell r="A1175" t="str">
            <v>Carmo do Cajuru</v>
          </cell>
          <cell r="B1175">
            <v>302991</v>
          </cell>
          <cell r="C1175">
            <v>-20.191642479999999</v>
          </cell>
          <cell r="D1175">
            <v>-44.766807249999999</v>
          </cell>
        </row>
        <row r="1176">
          <cell r="A1176" t="str">
            <v>Carmo do Paranaíba</v>
          </cell>
          <cell r="B1176">
            <v>303309</v>
          </cell>
          <cell r="C1176">
            <v>-18.99789698</v>
          </cell>
          <cell r="D1176">
            <v>-46.313395890000002</v>
          </cell>
        </row>
        <row r="1177">
          <cell r="A1177" t="str">
            <v>Carmo do Rio Claro</v>
          </cell>
          <cell r="B1177">
            <v>303231</v>
          </cell>
          <cell r="C1177">
            <v>-20.974081269999999</v>
          </cell>
          <cell r="D1177">
            <v>-46.115313389999997</v>
          </cell>
        </row>
        <row r="1178">
          <cell r="A1178" t="str">
            <v>Carmo do Rio Verde</v>
          </cell>
          <cell r="B1178">
            <v>304884</v>
          </cell>
          <cell r="C1178">
            <v>-15.355358600000001</v>
          </cell>
          <cell r="D1178">
            <v>-49.708373899999998</v>
          </cell>
        </row>
        <row r="1179">
          <cell r="A1179" t="str">
            <v>Carmolândia</v>
          </cell>
          <cell r="B1179">
            <v>302024</v>
          </cell>
          <cell r="C1179">
            <v>-7.0330253709999999</v>
          </cell>
          <cell r="D1179">
            <v>-48.398188769999997</v>
          </cell>
        </row>
        <row r="1180">
          <cell r="A1180" t="str">
            <v>Carmópolis</v>
          </cell>
          <cell r="B1180">
            <v>301233</v>
          </cell>
          <cell r="C1180">
            <v>-10.64897869</v>
          </cell>
          <cell r="D1180">
            <v>-36.984218519999999</v>
          </cell>
        </row>
        <row r="1181">
          <cell r="A1181" t="str">
            <v>Carmópolis de Minas</v>
          </cell>
          <cell r="B1181">
            <v>302997</v>
          </cell>
          <cell r="C1181">
            <v>-20.54003604</v>
          </cell>
          <cell r="D1181">
            <v>-44.633935180000002</v>
          </cell>
        </row>
        <row r="1182">
          <cell r="A1182" t="str">
            <v>Carnaíba</v>
          </cell>
          <cell r="B1182">
            <v>300814</v>
          </cell>
          <cell r="C1182">
            <v>-7.804814081</v>
          </cell>
          <cell r="D1182">
            <v>-37.795694730000001</v>
          </cell>
        </row>
        <row r="1183">
          <cell r="A1183" t="str">
            <v>Carnaúba dos Dantas</v>
          </cell>
          <cell r="B1183">
            <v>300644</v>
          </cell>
          <cell r="C1183">
            <v>-6.5571929769999997</v>
          </cell>
          <cell r="D1183">
            <v>-36.591182969999998</v>
          </cell>
        </row>
        <row r="1184">
          <cell r="A1184" t="str">
            <v>Carnaubais</v>
          </cell>
          <cell r="B1184">
            <v>300540</v>
          </cell>
          <cell r="C1184">
            <v>-5.3385772500000002</v>
          </cell>
          <cell r="D1184">
            <v>-36.834562640000001</v>
          </cell>
        </row>
        <row r="1185">
          <cell r="A1185" t="str">
            <v>Carnaubal</v>
          </cell>
          <cell r="B1185">
            <v>300718</v>
          </cell>
          <cell r="C1185">
            <v>-4.1602436950000001</v>
          </cell>
          <cell r="D1185">
            <v>-40.941633609999997</v>
          </cell>
        </row>
        <row r="1186">
          <cell r="A1186" t="str">
            <v>Carnaubeira da Penha</v>
          </cell>
          <cell r="B1186">
            <v>300859</v>
          </cell>
          <cell r="C1186">
            <v>-8.3197420690000001</v>
          </cell>
          <cell r="D1186">
            <v>-38.743806470000003</v>
          </cell>
        </row>
        <row r="1187">
          <cell r="A1187" t="str">
            <v>Carneirinho</v>
          </cell>
          <cell r="B1187">
            <v>304354</v>
          </cell>
          <cell r="C1187">
            <v>-19.699158600000001</v>
          </cell>
          <cell r="D1187">
            <v>-50.689855600000001</v>
          </cell>
        </row>
        <row r="1188">
          <cell r="A1188" t="str">
            <v>Carneiros</v>
          </cell>
          <cell r="B1188">
            <v>301217</v>
          </cell>
          <cell r="C1188">
            <v>-9.4837100400000001</v>
          </cell>
          <cell r="D1188">
            <v>-37.375910580000003</v>
          </cell>
        </row>
        <row r="1189">
          <cell r="A1189" t="str">
            <v>Caroebe</v>
          </cell>
          <cell r="B1189">
            <v>305882</v>
          </cell>
          <cell r="C1189">
            <v>0.87665389500000002</v>
          </cell>
          <cell r="D1189">
            <v>-59.696849729999997</v>
          </cell>
        </row>
        <row r="1190">
          <cell r="A1190" t="str">
            <v>Carolina</v>
          </cell>
          <cell r="B1190">
            <v>302003</v>
          </cell>
          <cell r="C1190">
            <v>-7.33625068</v>
          </cell>
          <cell r="D1190">
            <v>-47.463796270000003</v>
          </cell>
        </row>
        <row r="1191">
          <cell r="A1191" t="str">
            <v>Carpina</v>
          </cell>
          <cell r="B1191">
            <v>300484</v>
          </cell>
          <cell r="C1191">
            <v>-7.8481300340000004</v>
          </cell>
          <cell r="D1191">
            <v>-35.256612480000001</v>
          </cell>
        </row>
        <row r="1192">
          <cell r="A1192" t="str">
            <v>Carrancas</v>
          </cell>
          <cell r="B1192">
            <v>303165</v>
          </cell>
          <cell r="C1192">
            <v>-21.4902424</v>
          </cell>
          <cell r="D1192">
            <v>-44.644949660000002</v>
          </cell>
        </row>
        <row r="1193">
          <cell r="A1193" t="str">
            <v>Carrapateira</v>
          </cell>
          <cell r="B1193">
            <v>300800</v>
          </cell>
          <cell r="C1193">
            <v>-7.0380890479999998</v>
          </cell>
          <cell r="D1193">
            <v>-38.346004890000003</v>
          </cell>
        </row>
        <row r="1194">
          <cell r="A1194" t="str">
            <v>Carrasco Bonito</v>
          </cell>
          <cell r="B1194">
            <v>301982</v>
          </cell>
          <cell r="C1194">
            <v>-5.3181599229999996</v>
          </cell>
          <cell r="D1194">
            <v>-48.036328330000003</v>
          </cell>
        </row>
        <row r="1195">
          <cell r="A1195" t="str">
            <v>Caruaru</v>
          </cell>
          <cell r="B1195">
            <v>300590</v>
          </cell>
          <cell r="C1195">
            <v>-8.284973184</v>
          </cell>
          <cell r="D1195">
            <v>-35.970159559999999</v>
          </cell>
        </row>
        <row r="1196">
          <cell r="A1196" t="str">
            <v>Carutapera</v>
          </cell>
          <cell r="B1196">
            <v>302394</v>
          </cell>
          <cell r="C1196">
            <v>-1.2012872509999999</v>
          </cell>
          <cell r="D1196">
            <v>-46.018826199999999</v>
          </cell>
        </row>
        <row r="1197">
          <cell r="A1197" t="str">
            <v>Carvalhópolis</v>
          </cell>
          <cell r="B1197">
            <v>304417</v>
          </cell>
          <cell r="C1197">
            <v>-21.774009599999999</v>
          </cell>
          <cell r="D1197">
            <v>-45.842515650000003</v>
          </cell>
        </row>
        <row r="1198">
          <cell r="A1198" t="str">
            <v>Carvalhos</v>
          </cell>
          <cell r="B1198">
            <v>303159</v>
          </cell>
          <cell r="C1198">
            <v>-22.00048258</v>
          </cell>
          <cell r="D1198">
            <v>-44.463543729999998</v>
          </cell>
        </row>
        <row r="1199">
          <cell r="A1199" t="str">
            <v>Casa Branca</v>
          </cell>
          <cell r="B1199">
            <v>303529</v>
          </cell>
          <cell r="C1199">
            <v>-21.771282630000002</v>
          </cell>
          <cell r="D1199">
            <v>-47.085642030000002</v>
          </cell>
        </row>
        <row r="1200">
          <cell r="A1200" t="str">
            <v>Casa Grande</v>
          </cell>
          <cell r="B1200">
            <v>302937</v>
          </cell>
          <cell r="C1200">
            <v>-20.79299748</v>
          </cell>
          <cell r="D1200">
            <v>-43.934678939999998</v>
          </cell>
        </row>
        <row r="1201">
          <cell r="A1201" t="str">
            <v>Casa Nova</v>
          </cell>
          <cell r="B1201">
            <v>301435</v>
          </cell>
          <cell r="C1201">
            <v>-9.1742944350000002</v>
          </cell>
          <cell r="D1201">
            <v>-40.973658919999998</v>
          </cell>
        </row>
        <row r="1202">
          <cell r="A1202" t="str">
            <v>Casca</v>
          </cell>
          <cell r="B1202">
            <v>305206</v>
          </cell>
          <cell r="C1202">
            <v>-28.560991260000002</v>
          </cell>
          <cell r="D1202">
            <v>-51.981904630000002</v>
          </cell>
        </row>
        <row r="1203">
          <cell r="A1203" t="str">
            <v>Cascalho Rico</v>
          </cell>
          <cell r="B1203">
            <v>303306</v>
          </cell>
          <cell r="C1203">
            <v>-18.577299620000002</v>
          </cell>
          <cell r="D1203">
            <v>-47.872165459999998</v>
          </cell>
        </row>
        <row r="1204">
          <cell r="A1204" t="str">
            <v>Cascavel</v>
          </cell>
          <cell r="B1204">
            <v>302344</v>
          </cell>
          <cell r="C1204">
            <v>-4.1300645979999997</v>
          </cell>
          <cell r="D1204">
            <v>-38.241488689999997</v>
          </cell>
        </row>
        <row r="1205">
          <cell r="A1205" t="str">
            <v>Cascavel</v>
          </cell>
          <cell r="B1205">
            <v>305068</v>
          </cell>
          <cell r="C1205">
            <v>-24.9577648</v>
          </cell>
          <cell r="D1205">
            <v>-53.459452589999998</v>
          </cell>
        </row>
        <row r="1206">
          <cell r="A1206" t="str">
            <v>Caseara</v>
          </cell>
          <cell r="B1206">
            <v>302250</v>
          </cell>
          <cell r="C1206">
            <v>-9.2743151420000007</v>
          </cell>
          <cell r="D1206">
            <v>-49.95587862</v>
          </cell>
        </row>
        <row r="1207">
          <cell r="A1207" t="str">
            <v>Caseiros</v>
          </cell>
          <cell r="B1207">
            <v>305662</v>
          </cell>
          <cell r="C1207">
            <v>-28.25863571</v>
          </cell>
          <cell r="D1207">
            <v>-51.686557460000003</v>
          </cell>
        </row>
        <row r="1208">
          <cell r="A1208" t="str">
            <v>Casimiro de Abreu</v>
          </cell>
          <cell r="B1208">
            <v>303065</v>
          </cell>
          <cell r="C1208">
            <v>-22.48172143</v>
          </cell>
          <cell r="D1208">
            <v>-42.206953900000002</v>
          </cell>
        </row>
        <row r="1209">
          <cell r="A1209" t="str">
            <v>Casinhas</v>
          </cell>
          <cell r="B1209">
            <v>300662</v>
          </cell>
          <cell r="C1209">
            <v>-7.7451351800000001</v>
          </cell>
          <cell r="D1209">
            <v>-35.723689800000002</v>
          </cell>
        </row>
        <row r="1210">
          <cell r="A1210" t="str">
            <v>Casserengue</v>
          </cell>
          <cell r="B1210">
            <v>300567</v>
          </cell>
          <cell r="C1210">
            <v>-6.7799548539999996</v>
          </cell>
          <cell r="D1210">
            <v>-35.818169410000003</v>
          </cell>
        </row>
        <row r="1211">
          <cell r="A1211" t="str">
            <v>Cássia</v>
          </cell>
          <cell r="B1211">
            <v>303327</v>
          </cell>
          <cell r="C1211">
            <v>-20.583530110000002</v>
          </cell>
          <cell r="D1211">
            <v>-46.920514779999998</v>
          </cell>
        </row>
        <row r="1212">
          <cell r="A1212" t="str">
            <v>Cássia dos Coqueiros</v>
          </cell>
          <cell r="B1212">
            <v>303521</v>
          </cell>
          <cell r="C1212">
            <v>-21.28055286</v>
          </cell>
          <cell r="D1212">
            <v>-47.16472323</v>
          </cell>
        </row>
        <row r="1213">
          <cell r="A1213" t="str">
            <v>Cassilândia</v>
          </cell>
          <cell r="B1213">
            <v>304449</v>
          </cell>
          <cell r="C1213">
            <v>-19.11832042</v>
          </cell>
          <cell r="D1213">
            <v>-51.731728439999998</v>
          </cell>
        </row>
        <row r="1214">
          <cell r="A1214" t="str">
            <v>Castanhal</v>
          </cell>
          <cell r="B1214">
            <v>301912</v>
          </cell>
          <cell r="C1214">
            <v>-1.29834943</v>
          </cell>
          <cell r="D1214">
            <v>-47.917116100000001</v>
          </cell>
        </row>
        <row r="1215">
          <cell r="A1215" t="str">
            <v>Castanheira</v>
          </cell>
          <cell r="B1215">
            <v>304228</v>
          </cell>
          <cell r="C1215">
            <v>-11.14038463</v>
          </cell>
          <cell r="D1215">
            <v>-58.608138009999998</v>
          </cell>
        </row>
        <row r="1216">
          <cell r="A1216" t="str">
            <v>Castanheiras</v>
          </cell>
          <cell r="B1216">
            <v>304296</v>
          </cell>
          <cell r="C1216">
            <v>-11.42571493</v>
          </cell>
          <cell r="D1216">
            <v>-61.948684219999997</v>
          </cell>
        </row>
        <row r="1217">
          <cell r="A1217" t="str">
            <v>Castelândia</v>
          </cell>
          <cell r="B1217">
            <v>303398</v>
          </cell>
          <cell r="C1217">
            <v>-18.088654630000001</v>
          </cell>
          <cell r="D1217">
            <v>-50.213674490000002</v>
          </cell>
        </row>
        <row r="1218">
          <cell r="A1218" t="str">
            <v>Castelo</v>
          </cell>
          <cell r="B1218">
            <v>302552</v>
          </cell>
          <cell r="C1218">
            <v>-20.603736520000002</v>
          </cell>
          <cell r="D1218">
            <v>-41.203485980000004</v>
          </cell>
        </row>
        <row r="1219">
          <cell r="A1219" t="str">
            <v>Castelo do Piauí</v>
          </cell>
          <cell r="B1219">
            <v>301006</v>
          </cell>
          <cell r="C1219">
            <v>-5.3190974869999996</v>
          </cell>
          <cell r="D1219">
            <v>-41.550199329999998</v>
          </cell>
        </row>
        <row r="1220">
          <cell r="A1220" t="str">
            <v>Castilho</v>
          </cell>
          <cell r="B1220">
            <v>304454</v>
          </cell>
          <cell r="C1220">
            <v>-20.869383169999999</v>
          </cell>
          <cell r="D1220">
            <v>-51.488816630000002</v>
          </cell>
        </row>
        <row r="1221">
          <cell r="A1221" t="str">
            <v>Castillos</v>
          </cell>
          <cell r="B1221">
            <v>314366</v>
          </cell>
          <cell r="C1221">
            <v>-34.203751140000001</v>
          </cell>
          <cell r="D1221">
            <v>-53.862854069999997</v>
          </cell>
        </row>
        <row r="1222">
          <cell r="A1222" t="str">
            <v>Castro</v>
          </cell>
          <cell r="B1222">
            <v>303975</v>
          </cell>
          <cell r="C1222">
            <v>-24.789559499999999</v>
          </cell>
          <cell r="D1222">
            <v>-50.011192520000002</v>
          </cell>
        </row>
        <row r="1223">
          <cell r="A1223" t="str">
            <v>Castro Alves</v>
          </cell>
          <cell r="B1223">
            <v>301541</v>
          </cell>
          <cell r="C1223">
            <v>-12.76761759</v>
          </cell>
          <cell r="D1223">
            <v>-39.426634589999999</v>
          </cell>
        </row>
        <row r="1224">
          <cell r="A1224" t="str">
            <v>Cataguases</v>
          </cell>
          <cell r="B1224">
            <v>303258</v>
          </cell>
          <cell r="C1224">
            <v>-21.392871400000001</v>
          </cell>
          <cell r="D1224">
            <v>-42.690012609999997</v>
          </cell>
        </row>
        <row r="1225">
          <cell r="A1225" t="str">
            <v>Catalão</v>
          </cell>
          <cell r="B1225">
            <v>303300</v>
          </cell>
          <cell r="C1225">
            <v>-18.166091430000002</v>
          </cell>
          <cell r="D1225">
            <v>-47.944436670000002</v>
          </cell>
        </row>
        <row r="1226">
          <cell r="A1226" t="str">
            <v>Catanduva</v>
          </cell>
          <cell r="B1226">
            <v>303823</v>
          </cell>
          <cell r="C1226">
            <v>-21.13184708</v>
          </cell>
          <cell r="D1226">
            <v>-48.977422660000002</v>
          </cell>
        </row>
        <row r="1227">
          <cell r="A1227" t="str">
            <v>Catanduvas</v>
          </cell>
          <cell r="B1227">
            <v>305105</v>
          </cell>
          <cell r="C1227">
            <v>-27.06944558</v>
          </cell>
          <cell r="D1227">
            <v>-51.66060246</v>
          </cell>
        </row>
        <row r="1228">
          <cell r="A1228" t="str">
            <v>Catanduvas</v>
          </cell>
          <cell r="B1228">
            <v>305640</v>
          </cell>
          <cell r="C1228">
            <v>-25.204821219999999</v>
          </cell>
          <cell r="D1228">
            <v>-53.155272660000001</v>
          </cell>
        </row>
        <row r="1229">
          <cell r="A1229" t="str">
            <v>Catarina</v>
          </cell>
          <cell r="B1229">
            <v>300880</v>
          </cell>
          <cell r="C1229">
            <v>-6.1233213080000004</v>
          </cell>
          <cell r="D1229">
            <v>-39.873967210000004</v>
          </cell>
        </row>
        <row r="1230">
          <cell r="A1230" t="str">
            <v>Catas Altas</v>
          </cell>
          <cell r="B1230">
            <v>303058</v>
          </cell>
          <cell r="C1230">
            <v>-20.073877920000001</v>
          </cell>
          <cell r="D1230">
            <v>-43.406482519999997</v>
          </cell>
        </row>
        <row r="1231">
          <cell r="A1231" t="str">
            <v>Catas Altas da Noruega</v>
          </cell>
          <cell r="B1231">
            <v>302844</v>
          </cell>
          <cell r="C1231">
            <v>-20.690550049999999</v>
          </cell>
          <cell r="D1231">
            <v>-43.494245599999999</v>
          </cell>
        </row>
        <row r="1232">
          <cell r="A1232" t="str">
            <v>Catende</v>
          </cell>
          <cell r="B1232">
            <v>301107</v>
          </cell>
          <cell r="C1232">
            <v>-8.6755147879999992</v>
          </cell>
          <cell r="D1232">
            <v>-35.702680870000002</v>
          </cell>
        </row>
        <row r="1233">
          <cell r="A1233" t="str">
            <v>Catiguá</v>
          </cell>
          <cell r="B1233">
            <v>303825</v>
          </cell>
          <cell r="C1233">
            <v>-21.05232663</v>
          </cell>
          <cell r="D1233">
            <v>-49.062027980000003</v>
          </cell>
        </row>
        <row r="1234">
          <cell r="A1234" t="str">
            <v>Catingueira</v>
          </cell>
          <cell r="B1234">
            <v>300624</v>
          </cell>
          <cell r="C1234">
            <v>-7.12557945</v>
          </cell>
          <cell r="D1234">
            <v>-37.606491759999997</v>
          </cell>
        </row>
        <row r="1235">
          <cell r="A1235" t="str">
            <v>Catolândia</v>
          </cell>
          <cell r="B1235">
            <v>302088</v>
          </cell>
          <cell r="C1235">
            <v>-12.31581006</v>
          </cell>
          <cell r="D1235">
            <v>-44.863157600000001</v>
          </cell>
        </row>
        <row r="1236">
          <cell r="A1236" t="str">
            <v>Catolé do Rocha</v>
          </cell>
          <cell r="B1236">
            <v>300609</v>
          </cell>
          <cell r="C1236">
            <v>-6.3410379240000001</v>
          </cell>
          <cell r="D1236">
            <v>-37.74727523</v>
          </cell>
        </row>
        <row r="1237">
          <cell r="A1237" t="str">
            <v>Catu</v>
          </cell>
          <cell r="B1237">
            <v>301381</v>
          </cell>
          <cell r="C1237">
            <v>-12.354055020000001</v>
          </cell>
          <cell r="D1237">
            <v>-38.375444940000001</v>
          </cell>
        </row>
        <row r="1238">
          <cell r="A1238" t="str">
            <v>Catuípe</v>
          </cell>
          <cell r="B1238">
            <v>305448</v>
          </cell>
          <cell r="C1238">
            <v>-28.255823929999998</v>
          </cell>
          <cell r="D1238">
            <v>-54.013679019999998</v>
          </cell>
        </row>
        <row r="1239">
          <cell r="A1239" t="str">
            <v>Catuji</v>
          </cell>
          <cell r="B1239">
            <v>302485</v>
          </cell>
          <cell r="C1239">
            <v>-17.302274109999999</v>
          </cell>
          <cell r="D1239">
            <v>-41.52798842</v>
          </cell>
        </row>
        <row r="1240">
          <cell r="A1240" t="str">
            <v>Catunda</v>
          </cell>
          <cell r="B1240">
            <v>300871</v>
          </cell>
          <cell r="C1240">
            <v>-4.6437610300000003</v>
          </cell>
          <cell r="D1240">
            <v>-40.200312699999998</v>
          </cell>
        </row>
        <row r="1241">
          <cell r="A1241" t="str">
            <v>Caturaí</v>
          </cell>
          <cell r="B1241">
            <v>302605</v>
          </cell>
          <cell r="C1241">
            <v>-16.4471019</v>
          </cell>
          <cell r="D1241">
            <v>-49.495861040000001</v>
          </cell>
        </row>
        <row r="1242">
          <cell r="A1242" t="str">
            <v>Caturama</v>
          </cell>
          <cell r="B1242">
            <v>302097</v>
          </cell>
          <cell r="C1242">
            <v>-13.33032817</v>
          </cell>
          <cell r="D1242">
            <v>-42.291779830000003</v>
          </cell>
        </row>
        <row r="1243">
          <cell r="A1243" t="str">
            <v>Caturité</v>
          </cell>
          <cell r="B1243">
            <v>301320</v>
          </cell>
          <cell r="C1243">
            <v>-7.4200226330000003</v>
          </cell>
          <cell r="D1243">
            <v>-36.020902499999998</v>
          </cell>
        </row>
        <row r="1244">
          <cell r="A1244" t="str">
            <v>Catuti</v>
          </cell>
          <cell r="B1244">
            <v>302130</v>
          </cell>
          <cell r="C1244">
            <v>-15.36203005</v>
          </cell>
          <cell r="D1244">
            <v>-42.963059000000001</v>
          </cell>
        </row>
        <row r="1245">
          <cell r="A1245" t="str">
            <v>Caucaia</v>
          </cell>
          <cell r="B1245">
            <v>302351</v>
          </cell>
          <cell r="C1245">
            <v>-3.7283618340000002</v>
          </cell>
          <cell r="D1245">
            <v>-38.662244530000002</v>
          </cell>
        </row>
        <row r="1246">
          <cell r="A1246" t="str">
            <v>Cavalcante</v>
          </cell>
          <cell r="B1246">
            <v>302300</v>
          </cell>
          <cell r="C1246">
            <v>-13.79208519</v>
          </cell>
          <cell r="D1246">
            <v>-47.457002369999998</v>
          </cell>
        </row>
        <row r="1247">
          <cell r="A1247" t="str">
            <v>Caxambu</v>
          </cell>
          <cell r="B1247">
            <v>303178</v>
          </cell>
          <cell r="C1247">
            <v>-21.975731410000002</v>
          </cell>
          <cell r="D1247">
            <v>-44.932237929999999</v>
          </cell>
        </row>
        <row r="1248">
          <cell r="A1248" t="str">
            <v>Caxambu do Sul</v>
          </cell>
          <cell r="B1248">
            <v>305300</v>
          </cell>
          <cell r="C1248">
            <v>-27.162870860000002</v>
          </cell>
          <cell r="D1248">
            <v>-52.881170490000002</v>
          </cell>
        </row>
        <row r="1249">
          <cell r="A1249" t="str">
            <v>Caxias</v>
          </cell>
          <cell r="B1249">
            <v>301803</v>
          </cell>
          <cell r="C1249">
            <v>-4.865453832</v>
          </cell>
          <cell r="D1249">
            <v>-43.362095279999998</v>
          </cell>
        </row>
        <row r="1250">
          <cell r="A1250" t="str">
            <v>Caxias do Sul</v>
          </cell>
          <cell r="B1250">
            <v>305574</v>
          </cell>
          <cell r="C1250">
            <v>-29.163383979999999</v>
          </cell>
          <cell r="D1250">
            <v>-51.179611039999998</v>
          </cell>
        </row>
        <row r="1251">
          <cell r="A1251" t="str">
            <v>Caxingó</v>
          </cell>
          <cell r="B1251">
            <v>300725</v>
          </cell>
          <cell r="C1251">
            <v>-3.4208445250000001</v>
          </cell>
          <cell r="D1251">
            <v>-41.892509050000001</v>
          </cell>
        </row>
        <row r="1252">
          <cell r="A1252" t="str">
            <v>Cayenne</v>
          </cell>
          <cell r="B1252">
            <v>295798</v>
          </cell>
          <cell r="C1252">
            <v>4.9293147460000002</v>
          </cell>
          <cell r="D1252">
            <v>-52.330802579999997</v>
          </cell>
        </row>
        <row r="1253">
          <cell r="A1253" t="str">
            <v>Ceará-Mirim</v>
          </cell>
          <cell r="B1253">
            <v>302311</v>
          </cell>
          <cell r="C1253">
            <v>-5.6404707099999998</v>
          </cell>
          <cell r="D1253">
            <v>-35.42003184</v>
          </cell>
        </row>
        <row r="1254">
          <cell r="A1254" t="str">
            <v>Cebollatí</v>
          </cell>
          <cell r="B1254">
            <v>314305</v>
          </cell>
          <cell r="C1254">
            <v>-33.270776669999996</v>
          </cell>
          <cell r="D1254">
            <v>-53.799595359999998</v>
          </cell>
        </row>
        <row r="1255">
          <cell r="A1255" t="str">
            <v>Cedral</v>
          </cell>
          <cell r="B1255">
            <v>301663</v>
          </cell>
          <cell r="C1255">
            <v>-2.0006522360000001</v>
          </cell>
          <cell r="D1255">
            <v>-44.528466880000003</v>
          </cell>
        </row>
        <row r="1256">
          <cell r="A1256" t="str">
            <v>Cedral</v>
          </cell>
          <cell r="B1256">
            <v>303706</v>
          </cell>
          <cell r="C1256">
            <v>-20.90299194</v>
          </cell>
          <cell r="D1256">
            <v>-49.267949250000001</v>
          </cell>
        </row>
        <row r="1257">
          <cell r="A1257" t="str">
            <v>Cedro</v>
          </cell>
          <cell r="B1257">
            <v>300831</v>
          </cell>
          <cell r="C1257">
            <v>-6.6007557180000003</v>
          </cell>
          <cell r="D1257">
            <v>-39.06118678</v>
          </cell>
        </row>
        <row r="1258">
          <cell r="A1258" t="str">
            <v>Cedro</v>
          </cell>
          <cell r="B1258">
            <v>300843</v>
          </cell>
          <cell r="C1258">
            <v>-7.712210282</v>
          </cell>
          <cell r="D1258">
            <v>-39.23705279</v>
          </cell>
        </row>
        <row r="1259">
          <cell r="A1259" t="str">
            <v>Cedro de São João</v>
          </cell>
          <cell r="B1259">
            <v>302364</v>
          </cell>
          <cell r="C1259">
            <v>-10.251732219999999</v>
          </cell>
          <cell r="D1259">
            <v>-36.881166190000002</v>
          </cell>
        </row>
        <row r="1260">
          <cell r="A1260" t="str">
            <v>Cedro do Abaeté</v>
          </cell>
          <cell r="B1260">
            <v>303009</v>
          </cell>
          <cell r="C1260">
            <v>-19.148544909999998</v>
          </cell>
          <cell r="D1260">
            <v>-45.712301060000001</v>
          </cell>
        </row>
        <row r="1261">
          <cell r="A1261" t="str">
            <v>Celso Ramos</v>
          </cell>
          <cell r="B1261">
            <v>305139</v>
          </cell>
          <cell r="C1261">
            <v>-27.6331837</v>
          </cell>
          <cell r="D1261">
            <v>-51.335447629999997</v>
          </cell>
        </row>
        <row r="1262">
          <cell r="A1262" t="str">
            <v>Centenário</v>
          </cell>
          <cell r="B1262">
            <v>302594</v>
          </cell>
          <cell r="C1262">
            <v>-8.9616147910000006</v>
          </cell>
          <cell r="D1262">
            <v>-47.338033809999999</v>
          </cell>
        </row>
        <row r="1263">
          <cell r="A1263" t="str">
            <v>Centenário</v>
          </cell>
          <cell r="B1263">
            <v>305670</v>
          </cell>
          <cell r="C1263">
            <v>-27.762020799999998</v>
          </cell>
          <cell r="D1263">
            <v>-51.998857389999998</v>
          </cell>
        </row>
        <row r="1264">
          <cell r="A1264" t="str">
            <v>Centenário do Sul</v>
          </cell>
          <cell r="B1264">
            <v>304696</v>
          </cell>
          <cell r="C1264">
            <v>-22.819228160000002</v>
          </cell>
          <cell r="D1264">
            <v>-51.597697070000002</v>
          </cell>
        </row>
        <row r="1265">
          <cell r="A1265" t="str">
            <v>Central</v>
          </cell>
          <cell r="B1265">
            <v>302265</v>
          </cell>
          <cell r="C1265">
            <v>-11.13801265</v>
          </cell>
          <cell r="D1265">
            <v>-42.11196812</v>
          </cell>
        </row>
        <row r="1266">
          <cell r="A1266" t="str">
            <v>Central de Minas</v>
          </cell>
          <cell r="B1266">
            <v>302872</v>
          </cell>
          <cell r="C1266">
            <v>-18.761668780000001</v>
          </cell>
          <cell r="D1266">
            <v>-41.314680770000002</v>
          </cell>
        </row>
        <row r="1267">
          <cell r="A1267" t="str">
            <v>Central do Maranhão</v>
          </cell>
          <cell r="B1267">
            <v>301685</v>
          </cell>
          <cell r="C1267">
            <v>-2.1986963720000001</v>
          </cell>
          <cell r="D1267">
            <v>-44.825739849999998</v>
          </cell>
        </row>
        <row r="1268">
          <cell r="A1268" t="str">
            <v>Centralina</v>
          </cell>
          <cell r="B1268">
            <v>303372</v>
          </cell>
          <cell r="C1268">
            <v>-18.585674279999999</v>
          </cell>
          <cell r="D1268">
            <v>-49.201799620000003</v>
          </cell>
        </row>
        <row r="1269">
          <cell r="A1269" t="str">
            <v>Centro do Guilherme</v>
          </cell>
          <cell r="B1269">
            <v>301721</v>
          </cell>
          <cell r="C1269">
            <v>-2.450539563</v>
          </cell>
          <cell r="D1269">
            <v>-46.03866266</v>
          </cell>
        </row>
        <row r="1270">
          <cell r="A1270" t="str">
            <v>Centro Novo do Maranhão</v>
          </cell>
          <cell r="B1270">
            <v>301719</v>
          </cell>
          <cell r="C1270">
            <v>-2.1409525870000001</v>
          </cell>
          <cell r="D1270">
            <v>-46.123336469999998</v>
          </cell>
        </row>
        <row r="1271">
          <cell r="A1271" t="str">
            <v>Cerejeiras</v>
          </cell>
          <cell r="B1271">
            <v>304312</v>
          </cell>
          <cell r="C1271">
            <v>-13.18740455</v>
          </cell>
          <cell r="D1271">
            <v>-60.817290569999997</v>
          </cell>
        </row>
        <row r="1272">
          <cell r="A1272" t="str">
            <v>Ceres</v>
          </cell>
          <cell r="B1272">
            <v>304883</v>
          </cell>
          <cell r="C1272">
            <v>-15.30655361</v>
          </cell>
          <cell r="D1272">
            <v>-49.600404150000003</v>
          </cell>
        </row>
        <row r="1273">
          <cell r="A1273" t="str">
            <v>Cerqueira César</v>
          </cell>
          <cell r="B1273">
            <v>303850</v>
          </cell>
          <cell r="C1273">
            <v>-23.035988799999998</v>
          </cell>
          <cell r="D1273">
            <v>-49.165948640000003</v>
          </cell>
        </row>
        <row r="1274">
          <cell r="A1274" t="str">
            <v>Cerquilho</v>
          </cell>
          <cell r="B1274">
            <v>303773</v>
          </cell>
          <cell r="C1274">
            <v>-23.166962269999999</v>
          </cell>
          <cell r="D1274">
            <v>-47.746267459999999</v>
          </cell>
        </row>
        <row r="1275">
          <cell r="A1275" t="str">
            <v>Cerrito</v>
          </cell>
          <cell r="B1275">
            <v>305814</v>
          </cell>
          <cell r="C1275">
            <v>-31.84239406</v>
          </cell>
          <cell r="D1275">
            <v>-52.800915279999998</v>
          </cell>
        </row>
        <row r="1276">
          <cell r="A1276" t="str">
            <v>Cerro Azul</v>
          </cell>
          <cell r="B1276">
            <v>304958</v>
          </cell>
          <cell r="C1276">
            <v>-24.823986229999999</v>
          </cell>
          <cell r="D1276">
            <v>-49.260947780000002</v>
          </cell>
        </row>
        <row r="1277">
          <cell r="A1277" t="str">
            <v>Cerro Branco</v>
          </cell>
          <cell r="B1277">
            <v>305557</v>
          </cell>
          <cell r="C1277">
            <v>-29.657459719999999</v>
          </cell>
          <cell r="D1277">
            <v>-52.941073600000003</v>
          </cell>
        </row>
        <row r="1278">
          <cell r="A1278" t="str">
            <v>Cerro Corá</v>
          </cell>
          <cell r="B1278">
            <v>300525</v>
          </cell>
          <cell r="C1278">
            <v>-6.0354417839999996</v>
          </cell>
          <cell r="D1278">
            <v>-36.350575900000003</v>
          </cell>
        </row>
        <row r="1279">
          <cell r="A1279" t="str">
            <v>Cerro de Pasco</v>
          </cell>
          <cell r="B1279">
            <v>314413</v>
          </cell>
          <cell r="C1279">
            <v>-10.675425600000001</v>
          </cell>
          <cell r="D1279">
            <v>-76.254565900000003</v>
          </cell>
        </row>
        <row r="1280">
          <cell r="A1280" t="str">
            <v>Cerro Grande</v>
          </cell>
          <cell r="B1280">
            <v>305674</v>
          </cell>
          <cell r="C1280">
            <v>-27.611090709999999</v>
          </cell>
          <cell r="D1280">
            <v>-53.167689099999997</v>
          </cell>
        </row>
        <row r="1281">
          <cell r="A1281" t="str">
            <v>Cerro Grande do Sul</v>
          </cell>
          <cell r="B1281">
            <v>305521</v>
          </cell>
          <cell r="C1281">
            <v>-30.595346639999999</v>
          </cell>
          <cell r="D1281">
            <v>-51.74869194</v>
          </cell>
        </row>
        <row r="1282">
          <cell r="A1282" t="str">
            <v>Cerro Largo</v>
          </cell>
          <cell r="B1282">
            <v>305729</v>
          </cell>
          <cell r="C1282">
            <v>-28.146716290000001</v>
          </cell>
          <cell r="D1282">
            <v>-54.743258959999999</v>
          </cell>
        </row>
        <row r="1283">
          <cell r="A1283" t="str">
            <v>Cerro Negro</v>
          </cell>
          <cell r="B1283">
            <v>305140</v>
          </cell>
          <cell r="C1283">
            <v>-27.794682510000001</v>
          </cell>
          <cell r="D1283">
            <v>-50.867706249999998</v>
          </cell>
        </row>
        <row r="1284">
          <cell r="A1284" t="str">
            <v>Cesário Lange</v>
          </cell>
          <cell r="B1284">
            <v>303776</v>
          </cell>
          <cell r="C1284">
            <v>-23.2265099</v>
          </cell>
          <cell r="D1284">
            <v>-47.954860019999998</v>
          </cell>
        </row>
        <row r="1285">
          <cell r="A1285" t="str">
            <v>Céu Azul</v>
          </cell>
          <cell r="B1285">
            <v>305013</v>
          </cell>
          <cell r="C1285">
            <v>-25.14933903</v>
          </cell>
          <cell r="D1285">
            <v>-53.84192358</v>
          </cell>
        </row>
        <row r="1286">
          <cell r="A1286" t="str">
            <v>Cezarina</v>
          </cell>
          <cell r="B1286">
            <v>303378</v>
          </cell>
          <cell r="C1286">
            <v>-16.972279449999998</v>
          </cell>
          <cell r="D1286">
            <v>-49.776216580000003</v>
          </cell>
        </row>
        <row r="1287">
          <cell r="A1287" t="str">
            <v>Chã de Alegria</v>
          </cell>
          <cell r="B1287">
            <v>300497</v>
          </cell>
          <cell r="C1287">
            <v>-8.0072200119999994</v>
          </cell>
          <cell r="D1287">
            <v>-35.20429266</v>
          </cell>
        </row>
        <row r="1288">
          <cell r="A1288" t="str">
            <v>Chã Grande</v>
          </cell>
          <cell r="B1288">
            <v>301353</v>
          </cell>
          <cell r="C1288">
            <v>-8.2386972749999998</v>
          </cell>
          <cell r="D1288">
            <v>-35.457440720000001</v>
          </cell>
        </row>
        <row r="1289">
          <cell r="A1289" t="str">
            <v>Chã Preta</v>
          </cell>
          <cell r="B1289">
            <v>301132</v>
          </cell>
          <cell r="C1289">
            <v>-9.2560368329999996</v>
          </cell>
          <cell r="D1289">
            <v>-36.298633760000001</v>
          </cell>
        </row>
        <row r="1290">
          <cell r="A1290" t="str">
            <v>Chácara</v>
          </cell>
          <cell r="B1290">
            <v>303104</v>
          </cell>
          <cell r="C1290">
            <v>-21.67373727</v>
          </cell>
          <cell r="D1290">
            <v>-43.215360070000003</v>
          </cell>
        </row>
        <row r="1291">
          <cell r="A1291" t="str">
            <v>Chacas</v>
          </cell>
          <cell r="B1291">
            <v>314393</v>
          </cell>
          <cell r="C1291">
            <v>-9.1533816140000006</v>
          </cell>
          <cell r="D1291">
            <v>-77.374429070000005</v>
          </cell>
        </row>
        <row r="1292">
          <cell r="A1292" t="str">
            <v>Chachapoyas</v>
          </cell>
          <cell r="B1292">
            <v>314508</v>
          </cell>
          <cell r="C1292">
            <v>-6.2182261250000002</v>
          </cell>
          <cell r="D1292">
            <v>-77.842885589999995</v>
          </cell>
        </row>
        <row r="1293">
          <cell r="A1293" t="str">
            <v>Chalé</v>
          </cell>
          <cell r="B1293">
            <v>302668</v>
          </cell>
          <cell r="C1293">
            <v>-20.045806320000001</v>
          </cell>
          <cell r="D1293">
            <v>-41.69006924</v>
          </cell>
        </row>
        <row r="1294">
          <cell r="A1294" t="str">
            <v>Chapada</v>
          </cell>
          <cell r="B1294">
            <v>305688</v>
          </cell>
          <cell r="C1294">
            <v>-28.056335799999999</v>
          </cell>
          <cell r="D1294">
            <v>-53.066976339999997</v>
          </cell>
        </row>
        <row r="1295">
          <cell r="A1295" t="str">
            <v>Chapada da Natividade</v>
          </cell>
          <cell r="B1295">
            <v>302224</v>
          </cell>
          <cell r="C1295">
            <v>-11.61793905</v>
          </cell>
          <cell r="D1295">
            <v>-47.748994719999999</v>
          </cell>
        </row>
        <row r="1296">
          <cell r="A1296" t="str">
            <v>Chapada de Areia</v>
          </cell>
          <cell r="B1296">
            <v>302246</v>
          </cell>
          <cell r="C1296">
            <v>-10.13785092</v>
          </cell>
          <cell r="D1296">
            <v>-49.148060260000001</v>
          </cell>
        </row>
        <row r="1297">
          <cell r="A1297" t="str">
            <v>Chapada do Norte</v>
          </cell>
          <cell r="B1297">
            <v>302658</v>
          </cell>
          <cell r="C1297">
            <v>-17.088583409999998</v>
          </cell>
          <cell r="D1297">
            <v>-42.539542150000003</v>
          </cell>
        </row>
        <row r="1298">
          <cell r="A1298" t="str">
            <v>Chapada dos Guimarães</v>
          </cell>
          <cell r="B1298">
            <v>304646</v>
          </cell>
          <cell r="C1298">
            <v>-15.464776649999999</v>
          </cell>
          <cell r="D1298">
            <v>-55.750290800000002</v>
          </cell>
        </row>
        <row r="1299">
          <cell r="A1299" t="str">
            <v>Chapada Gaúcha</v>
          </cell>
          <cell r="B1299">
            <v>302198</v>
          </cell>
          <cell r="C1299">
            <v>-15.298130520000001</v>
          </cell>
          <cell r="D1299">
            <v>-45.624187470000003</v>
          </cell>
        </row>
        <row r="1300">
          <cell r="A1300" t="str">
            <v>Chapadão do Céu</v>
          </cell>
          <cell r="B1300">
            <v>304790</v>
          </cell>
          <cell r="C1300">
            <v>-18.394573149999999</v>
          </cell>
          <cell r="D1300">
            <v>-52.664846169999997</v>
          </cell>
        </row>
        <row r="1301">
          <cell r="A1301" t="str">
            <v>Chapadão do Lageado</v>
          </cell>
          <cell r="B1301">
            <v>304088</v>
          </cell>
          <cell r="C1301">
            <v>-27.590988249999999</v>
          </cell>
          <cell r="D1301">
            <v>-49.554311779999999</v>
          </cell>
        </row>
        <row r="1302">
          <cell r="A1302" t="str">
            <v>Chapadão do Sul</v>
          </cell>
          <cell r="B1302">
            <v>304456</v>
          </cell>
          <cell r="C1302">
            <v>-18.788485380000001</v>
          </cell>
          <cell r="D1302">
            <v>-52.626760910000002</v>
          </cell>
        </row>
        <row r="1303">
          <cell r="A1303" t="str">
            <v>Chapadinha</v>
          </cell>
          <cell r="B1303">
            <v>301657</v>
          </cell>
          <cell r="C1303">
            <v>-3.7391481350000002</v>
          </cell>
          <cell r="D1303">
            <v>-43.354193719999998</v>
          </cell>
        </row>
        <row r="1304">
          <cell r="A1304" t="str">
            <v>Chapecó</v>
          </cell>
          <cell r="B1304">
            <v>305292</v>
          </cell>
          <cell r="C1304">
            <v>-27.1009186</v>
          </cell>
          <cell r="D1304">
            <v>-52.615640589999998</v>
          </cell>
        </row>
        <row r="1305">
          <cell r="A1305" t="str">
            <v>Charqueada</v>
          </cell>
          <cell r="B1305">
            <v>303917</v>
          </cell>
          <cell r="C1305">
            <v>-22.510053240000001</v>
          </cell>
          <cell r="D1305">
            <v>-47.775871709999997</v>
          </cell>
        </row>
        <row r="1306">
          <cell r="A1306" t="str">
            <v>Charqueadas</v>
          </cell>
          <cell r="B1306">
            <v>305777</v>
          </cell>
          <cell r="C1306">
            <v>-29.962956739999999</v>
          </cell>
          <cell r="D1306">
            <v>-51.629328549999997</v>
          </cell>
        </row>
        <row r="1307">
          <cell r="A1307" t="str">
            <v>Charrua</v>
          </cell>
          <cell r="B1307">
            <v>305161</v>
          </cell>
          <cell r="C1307">
            <v>-27.94974208</v>
          </cell>
          <cell r="D1307">
            <v>-52.015455269999997</v>
          </cell>
        </row>
        <row r="1308">
          <cell r="A1308" t="str">
            <v>Chaval</v>
          </cell>
          <cell r="B1308">
            <v>300712</v>
          </cell>
          <cell r="C1308">
            <v>-3.036098537</v>
          </cell>
          <cell r="D1308">
            <v>-41.243791280000003</v>
          </cell>
        </row>
        <row r="1309">
          <cell r="A1309" t="str">
            <v>Chavantes</v>
          </cell>
          <cell r="B1309">
            <v>304427</v>
          </cell>
          <cell r="C1309">
            <v>-23.03710178</v>
          </cell>
          <cell r="D1309">
            <v>-49.710033889999998</v>
          </cell>
        </row>
        <row r="1310">
          <cell r="A1310" t="str">
            <v>Chaves</v>
          </cell>
          <cell r="B1310">
            <v>301939</v>
          </cell>
          <cell r="C1310">
            <v>-0.16452572900000001</v>
          </cell>
          <cell r="D1310">
            <v>-49.987392399999997</v>
          </cell>
        </row>
        <row r="1311">
          <cell r="A1311" t="str">
            <v>Chiador</v>
          </cell>
          <cell r="B1311">
            <v>303107</v>
          </cell>
          <cell r="C1311">
            <v>-22.000054779999999</v>
          </cell>
          <cell r="D1311">
            <v>-43.06204082</v>
          </cell>
        </row>
        <row r="1312">
          <cell r="A1312" t="str">
            <v>Chiapetta</v>
          </cell>
          <cell r="B1312">
            <v>305432</v>
          </cell>
          <cell r="C1312">
            <v>-27.92348466</v>
          </cell>
          <cell r="D1312">
            <v>-53.942333159999997</v>
          </cell>
        </row>
        <row r="1313">
          <cell r="A1313" t="str">
            <v>Chiquian</v>
          </cell>
          <cell r="B1313">
            <v>314405</v>
          </cell>
          <cell r="C1313">
            <v>-10.140733750000001</v>
          </cell>
          <cell r="D1313">
            <v>-77.15552907</v>
          </cell>
        </row>
        <row r="1314">
          <cell r="A1314" t="str">
            <v>Chopinzinho</v>
          </cell>
          <cell r="B1314">
            <v>305631</v>
          </cell>
          <cell r="C1314">
            <v>-25.852014480000001</v>
          </cell>
          <cell r="D1314">
            <v>-52.51773815</v>
          </cell>
        </row>
        <row r="1315">
          <cell r="A1315" t="str">
            <v>Choró</v>
          </cell>
          <cell r="B1315">
            <v>300849</v>
          </cell>
          <cell r="C1315">
            <v>-4.8394647519999996</v>
          </cell>
          <cell r="D1315">
            <v>-39.134714330000001</v>
          </cell>
        </row>
        <row r="1316">
          <cell r="A1316" t="str">
            <v>Chorozinho</v>
          </cell>
          <cell r="B1316">
            <v>300737</v>
          </cell>
          <cell r="C1316">
            <v>-4.300183101</v>
          </cell>
          <cell r="D1316">
            <v>-38.500611710000001</v>
          </cell>
        </row>
        <row r="1317">
          <cell r="A1317" t="str">
            <v>Chorrochó</v>
          </cell>
          <cell r="B1317">
            <v>301296</v>
          </cell>
          <cell r="C1317">
            <v>-8.9699257630000009</v>
          </cell>
          <cell r="D1317">
            <v>-39.098261829999998</v>
          </cell>
        </row>
        <row r="1318">
          <cell r="A1318" t="str">
            <v>Chuí</v>
          </cell>
          <cell r="B1318">
            <v>305831</v>
          </cell>
          <cell r="C1318">
            <v>-33.687106350000001</v>
          </cell>
          <cell r="D1318">
            <v>-53.459856479999999</v>
          </cell>
        </row>
        <row r="1319">
          <cell r="A1319" t="str">
            <v>Chupinguaia</v>
          </cell>
          <cell r="B1319">
            <v>304286</v>
          </cell>
          <cell r="C1319">
            <v>-12.55326333</v>
          </cell>
          <cell r="D1319">
            <v>-60.902577389999998</v>
          </cell>
        </row>
        <row r="1320">
          <cell r="A1320" t="str">
            <v>Chuvisca</v>
          </cell>
          <cell r="B1320">
            <v>305839</v>
          </cell>
          <cell r="C1320">
            <v>-30.750888679999999</v>
          </cell>
          <cell r="D1320">
            <v>-51.974121490000002</v>
          </cell>
        </row>
        <row r="1321">
          <cell r="A1321" t="str">
            <v>Chuy</v>
          </cell>
          <cell r="B1321">
            <v>314360</v>
          </cell>
          <cell r="C1321">
            <v>-33.704862339999998</v>
          </cell>
          <cell r="D1321">
            <v>-53.467506630000003</v>
          </cell>
        </row>
        <row r="1322">
          <cell r="A1322" t="str">
            <v>Cianorte</v>
          </cell>
          <cell r="B1322">
            <v>305031</v>
          </cell>
          <cell r="C1322">
            <v>-23.660322440000002</v>
          </cell>
          <cell r="D1322">
            <v>-52.605881940000003</v>
          </cell>
        </row>
        <row r="1323">
          <cell r="A1323" t="str">
            <v>Cícero Dantas</v>
          </cell>
          <cell r="B1323">
            <v>301311</v>
          </cell>
          <cell r="C1323">
            <v>-10.59519173</v>
          </cell>
          <cell r="D1323">
            <v>-38.382936489999999</v>
          </cell>
        </row>
        <row r="1324">
          <cell r="A1324" t="str">
            <v>Cidade Gaúcha</v>
          </cell>
          <cell r="B1324">
            <v>304874</v>
          </cell>
          <cell r="C1324">
            <v>-23.377647830000001</v>
          </cell>
          <cell r="D1324">
            <v>-52.944014039999999</v>
          </cell>
        </row>
        <row r="1325">
          <cell r="A1325" t="str">
            <v>Cidade Ocidental</v>
          </cell>
          <cell r="B1325">
            <v>302776</v>
          </cell>
          <cell r="C1325">
            <v>-16.079154639999999</v>
          </cell>
          <cell r="D1325">
            <v>-47.933921640000001</v>
          </cell>
        </row>
        <row r="1326">
          <cell r="A1326" t="str">
            <v>Cidelândia</v>
          </cell>
          <cell r="B1326">
            <v>301963</v>
          </cell>
          <cell r="C1326">
            <v>-5.1772332719999996</v>
          </cell>
          <cell r="D1326">
            <v>-47.783778959999999</v>
          </cell>
        </row>
        <row r="1327">
          <cell r="A1327" t="str">
            <v>Cidreira</v>
          </cell>
          <cell r="B1327">
            <v>304142</v>
          </cell>
          <cell r="C1327">
            <v>-30.1701762</v>
          </cell>
          <cell r="D1327">
            <v>-50.215087220000001</v>
          </cell>
        </row>
        <row r="1328">
          <cell r="A1328" t="str">
            <v>Cipó</v>
          </cell>
          <cell r="B1328">
            <v>301362</v>
          </cell>
          <cell r="C1328">
            <v>-11.103612419999999</v>
          </cell>
          <cell r="D1328">
            <v>-38.518259759999999</v>
          </cell>
        </row>
        <row r="1329">
          <cell r="A1329" t="str">
            <v>Cipotânea</v>
          </cell>
          <cell r="B1329">
            <v>302846</v>
          </cell>
          <cell r="C1329">
            <v>-20.903076129999999</v>
          </cell>
          <cell r="D1329">
            <v>-43.363273200000002</v>
          </cell>
        </row>
        <row r="1330">
          <cell r="A1330" t="str">
            <v>Ciríaco</v>
          </cell>
          <cell r="B1330">
            <v>305177</v>
          </cell>
          <cell r="C1330">
            <v>-28.342388239999998</v>
          </cell>
          <cell r="D1330">
            <v>-51.874594020000004</v>
          </cell>
        </row>
        <row r="1331">
          <cell r="A1331" t="str">
            <v>Ciudad del Este</v>
          </cell>
          <cell r="B1331">
            <v>314311</v>
          </cell>
          <cell r="C1331">
            <v>-25.53182636</v>
          </cell>
          <cell r="D1331">
            <v>-54.622641629999997</v>
          </cell>
        </row>
        <row r="1332">
          <cell r="A1332" t="str">
            <v>Claraval</v>
          </cell>
          <cell r="B1332">
            <v>303333</v>
          </cell>
          <cell r="C1332">
            <v>-20.397478670000002</v>
          </cell>
          <cell r="D1332">
            <v>-47.27722267</v>
          </cell>
        </row>
        <row r="1333">
          <cell r="A1333" t="str">
            <v>Claro dos Poções</v>
          </cell>
          <cell r="B1333">
            <v>302938</v>
          </cell>
          <cell r="C1333">
            <v>-17.07999641</v>
          </cell>
          <cell r="D1333">
            <v>-44.208958039999999</v>
          </cell>
        </row>
        <row r="1334">
          <cell r="A1334" t="str">
            <v>Cláudia</v>
          </cell>
          <cell r="B1334">
            <v>304555</v>
          </cell>
          <cell r="C1334">
            <v>-11.50699081</v>
          </cell>
          <cell r="D1334">
            <v>-54.877716849999999</v>
          </cell>
        </row>
        <row r="1335">
          <cell r="A1335" t="str">
            <v>Cláudio</v>
          </cell>
          <cell r="B1335">
            <v>302992</v>
          </cell>
          <cell r="C1335">
            <v>-20.4441454</v>
          </cell>
          <cell r="D1335">
            <v>-44.767709869999997</v>
          </cell>
        </row>
        <row r="1336">
          <cell r="A1336" t="str">
            <v>Clementina</v>
          </cell>
          <cell r="B1336">
            <v>304463</v>
          </cell>
          <cell r="C1336">
            <v>-21.559991350000001</v>
          </cell>
          <cell r="D1336">
            <v>-50.448947240000003</v>
          </cell>
        </row>
        <row r="1337">
          <cell r="A1337" t="str">
            <v>Clevelândia</v>
          </cell>
          <cell r="B1337">
            <v>305112</v>
          </cell>
          <cell r="C1337">
            <v>-26.40475811</v>
          </cell>
          <cell r="D1337">
            <v>-52.35124021</v>
          </cell>
        </row>
        <row r="1338">
          <cell r="A1338" t="str">
            <v>Clorinda</v>
          </cell>
          <cell r="B1338">
            <v>314384</v>
          </cell>
          <cell r="C1338">
            <v>-25.291200140000001</v>
          </cell>
          <cell r="D1338">
            <v>-57.724631219999999</v>
          </cell>
        </row>
        <row r="1339">
          <cell r="A1339" t="str">
            <v>Cnel. Bogado</v>
          </cell>
          <cell r="B1339">
            <v>314365</v>
          </cell>
          <cell r="C1339">
            <v>-27.189697020000001</v>
          </cell>
          <cell r="D1339">
            <v>-56.181033300000003</v>
          </cell>
        </row>
        <row r="1340">
          <cell r="A1340" t="str">
            <v>Cnel. Oviedo</v>
          </cell>
          <cell r="B1340">
            <v>314341</v>
          </cell>
          <cell r="C1340">
            <v>-25.440935509999999</v>
          </cell>
          <cell r="D1340">
            <v>-56.429499659999998</v>
          </cell>
        </row>
        <row r="1341">
          <cell r="A1341" t="str">
            <v>Coaraci</v>
          </cell>
          <cell r="B1341">
            <v>301743</v>
          </cell>
          <cell r="C1341">
            <v>-14.637453730000001</v>
          </cell>
          <cell r="D1341">
            <v>-39.555938789999999</v>
          </cell>
        </row>
        <row r="1342">
          <cell r="A1342" t="str">
            <v>Coari</v>
          </cell>
          <cell r="B1342">
            <v>304251</v>
          </cell>
          <cell r="C1342">
            <v>-4.0945072629999997</v>
          </cell>
          <cell r="D1342">
            <v>-63.14454491</v>
          </cell>
        </row>
        <row r="1343">
          <cell r="A1343" t="str">
            <v>Cobija</v>
          </cell>
          <cell r="B1343">
            <v>314520</v>
          </cell>
          <cell r="C1343">
            <v>-11.0241591</v>
          </cell>
          <cell r="D1343">
            <v>-68.764157870000005</v>
          </cell>
        </row>
        <row r="1344">
          <cell r="A1344" t="str">
            <v>Cocal</v>
          </cell>
          <cell r="B1344">
            <v>300722</v>
          </cell>
          <cell r="C1344">
            <v>-3.4731851790000001</v>
          </cell>
          <cell r="D1344">
            <v>-41.554956539999999</v>
          </cell>
        </row>
        <row r="1345">
          <cell r="A1345" t="str">
            <v>Cocal de Telha</v>
          </cell>
          <cell r="B1345">
            <v>301770</v>
          </cell>
          <cell r="C1345">
            <v>-4.554605456</v>
          </cell>
          <cell r="D1345">
            <v>-41.968325929999999</v>
          </cell>
        </row>
        <row r="1346">
          <cell r="A1346" t="str">
            <v>Cocal do Sul</v>
          </cell>
          <cell r="B1346">
            <v>304106</v>
          </cell>
          <cell r="C1346">
            <v>-28.599053000000001</v>
          </cell>
          <cell r="D1346">
            <v>-49.33397136</v>
          </cell>
        </row>
        <row r="1347">
          <cell r="A1347" t="str">
            <v>Cocal dos Alves</v>
          </cell>
          <cell r="B1347">
            <v>300721</v>
          </cell>
          <cell r="C1347">
            <v>-3.6208651409999999</v>
          </cell>
          <cell r="D1347">
            <v>-41.440529810000001</v>
          </cell>
        </row>
        <row r="1348">
          <cell r="A1348" t="str">
            <v>Cocalinho</v>
          </cell>
          <cell r="B1348">
            <v>304197</v>
          </cell>
          <cell r="C1348">
            <v>-14.391006429999999</v>
          </cell>
          <cell r="D1348">
            <v>-51.004924269999997</v>
          </cell>
        </row>
        <row r="1349">
          <cell r="A1349" t="str">
            <v>Cocalzinho de Goiás</v>
          </cell>
          <cell r="B1349">
            <v>302397</v>
          </cell>
          <cell r="C1349">
            <v>-15.77637217</v>
          </cell>
          <cell r="D1349">
            <v>-48.76905627</v>
          </cell>
        </row>
        <row r="1350">
          <cell r="A1350" t="str">
            <v>Cocos</v>
          </cell>
          <cell r="B1350">
            <v>302166</v>
          </cell>
          <cell r="C1350">
            <v>-14.18180825</v>
          </cell>
          <cell r="D1350">
            <v>-44.535583729999999</v>
          </cell>
        </row>
        <row r="1351">
          <cell r="A1351" t="str">
            <v>Codajás</v>
          </cell>
          <cell r="B1351">
            <v>304244</v>
          </cell>
          <cell r="C1351">
            <v>-3.8369598730000001</v>
          </cell>
          <cell r="D1351">
            <v>-62.05922983</v>
          </cell>
        </row>
        <row r="1352">
          <cell r="A1352" t="str">
            <v>Codó</v>
          </cell>
          <cell r="B1352">
            <v>302564</v>
          </cell>
          <cell r="C1352">
            <v>-4.456021163</v>
          </cell>
          <cell r="D1352">
            <v>-43.892703580000003</v>
          </cell>
        </row>
        <row r="1353">
          <cell r="A1353" t="str">
            <v>Coelho Neto</v>
          </cell>
          <cell r="B1353">
            <v>301801</v>
          </cell>
          <cell r="C1353">
            <v>-4.2528513639999996</v>
          </cell>
          <cell r="D1353">
            <v>-43.011123650000002</v>
          </cell>
        </row>
        <row r="1354">
          <cell r="A1354" t="str">
            <v>Coimbra</v>
          </cell>
          <cell r="B1354">
            <v>302757</v>
          </cell>
          <cell r="C1354">
            <v>-20.853984149999999</v>
          </cell>
          <cell r="D1354">
            <v>-42.801172090000001</v>
          </cell>
        </row>
        <row r="1355">
          <cell r="A1355" t="str">
            <v>Coité do Nóia</v>
          </cell>
          <cell r="B1355">
            <v>301165</v>
          </cell>
          <cell r="C1355">
            <v>-9.6339178420000007</v>
          </cell>
          <cell r="D1355">
            <v>-36.584795200000002</v>
          </cell>
        </row>
        <row r="1356">
          <cell r="A1356" t="str">
            <v>Coivaras</v>
          </cell>
          <cell r="B1356">
            <v>301776</v>
          </cell>
          <cell r="C1356">
            <v>-5.0926447789999996</v>
          </cell>
          <cell r="D1356">
            <v>-42.20828968</v>
          </cell>
        </row>
        <row r="1357">
          <cell r="A1357" t="str">
            <v>Colares</v>
          </cell>
          <cell r="B1357">
            <v>301924</v>
          </cell>
          <cell r="C1357">
            <v>-0.93281022199999997</v>
          </cell>
          <cell r="D1357">
            <v>-48.280779369999998</v>
          </cell>
        </row>
        <row r="1358">
          <cell r="A1358" t="str">
            <v>Colatina</v>
          </cell>
          <cell r="B1358">
            <v>302504</v>
          </cell>
          <cell r="C1358">
            <v>-19.549794380000002</v>
          </cell>
          <cell r="D1358">
            <v>-40.627244439999998</v>
          </cell>
        </row>
        <row r="1359">
          <cell r="A1359" t="str">
            <v>Colíder</v>
          </cell>
          <cell r="B1359">
            <v>304557</v>
          </cell>
          <cell r="C1359">
            <v>-10.81387131</v>
          </cell>
          <cell r="D1359">
            <v>-55.46140518</v>
          </cell>
        </row>
        <row r="1360">
          <cell r="A1360" t="str">
            <v>Colina</v>
          </cell>
          <cell r="B1360">
            <v>303628</v>
          </cell>
          <cell r="C1360">
            <v>-20.7119088</v>
          </cell>
          <cell r="D1360">
            <v>-48.539073709999997</v>
          </cell>
        </row>
        <row r="1361">
          <cell r="A1361" t="str">
            <v>Colinas</v>
          </cell>
          <cell r="B1361">
            <v>302451</v>
          </cell>
          <cell r="C1361">
            <v>-6.0321594120000004</v>
          </cell>
          <cell r="D1361">
            <v>-44.247347449999999</v>
          </cell>
        </row>
        <row r="1362">
          <cell r="A1362" t="str">
            <v>Colinas</v>
          </cell>
          <cell r="B1362">
            <v>305773</v>
          </cell>
          <cell r="C1362">
            <v>-29.395568969999999</v>
          </cell>
          <cell r="D1362">
            <v>-51.853949</v>
          </cell>
        </row>
        <row r="1363">
          <cell r="A1363" t="str">
            <v>Colinas do Sul</v>
          </cell>
          <cell r="B1363">
            <v>302302</v>
          </cell>
          <cell r="C1363">
            <v>-14.15325859</v>
          </cell>
          <cell r="D1363">
            <v>-48.076374629999997</v>
          </cell>
        </row>
        <row r="1364">
          <cell r="A1364" t="str">
            <v>Colinas do Tocantins</v>
          </cell>
          <cell r="B1364">
            <v>302031</v>
          </cell>
          <cell r="C1364">
            <v>-8.0580544110000005</v>
          </cell>
          <cell r="D1364">
            <v>-48.476109129999998</v>
          </cell>
        </row>
        <row r="1365">
          <cell r="A1365" t="str">
            <v>Colméia</v>
          </cell>
          <cell r="B1365">
            <v>302233</v>
          </cell>
          <cell r="C1365">
            <v>-8.7316866710000003</v>
          </cell>
          <cell r="D1365">
            <v>-48.756154850000001</v>
          </cell>
        </row>
        <row r="1366">
          <cell r="A1366" t="str">
            <v>Colniza</v>
          </cell>
          <cell r="B1366">
            <v>300378</v>
          </cell>
          <cell r="C1366">
            <v>-9.4616150809999997</v>
          </cell>
          <cell r="D1366">
            <v>-59.225630670000001</v>
          </cell>
        </row>
        <row r="1367">
          <cell r="A1367" t="str">
            <v>Colômbia</v>
          </cell>
          <cell r="B1367">
            <v>303411</v>
          </cell>
          <cell r="C1367">
            <v>-20.177234729999999</v>
          </cell>
          <cell r="D1367">
            <v>-48.686871259999997</v>
          </cell>
        </row>
        <row r="1368">
          <cell r="A1368" t="str">
            <v>Colombo</v>
          </cell>
          <cell r="B1368">
            <v>303989</v>
          </cell>
          <cell r="C1368">
            <v>-25.29296398</v>
          </cell>
          <cell r="D1368">
            <v>-49.226582129999997</v>
          </cell>
        </row>
        <row r="1369">
          <cell r="A1369" t="str">
            <v>Colônia do Gurguéia</v>
          </cell>
          <cell r="B1369">
            <v>301855</v>
          </cell>
          <cell r="C1369">
            <v>-8.1841162769999993</v>
          </cell>
          <cell r="D1369">
            <v>-43.794350440000002</v>
          </cell>
        </row>
        <row r="1370">
          <cell r="A1370" t="str">
            <v>Colônia do Piauí</v>
          </cell>
          <cell r="B1370">
            <v>301821</v>
          </cell>
          <cell r="C1370">
            <v>-7.2269272620000002</v>
          </cell>
          <cell r="D1370">
            <v>-42.175894810000003</v>
          </cell>
        </row>
        <row r="1371">
          <cell r="A1371" t="str">
            <v>Colônia Leopoldina</v>
          </cell>
          <cell r="B1371">
            <v>301469</v>
          </cell>
          <cell r="C1371">
            <v>-8.9184882600000002</v>
          </cell>
          <cell r="D1371">
            <v>-35.721709199999999</v>
          </cell>
        </row>
        <row r="1372">
          <cell r="A1372" t="str">
            <v>Colorado</v>
          </cell>
          <cell r="B1372">
            <v>304710</v>
          </cell>
          <cell r="C1372">
            <v>-22.837885190000002</v>
          </cell>
          <cell r="D1372">
            <v>-51.974732439999997</v>
          </cell>
        </row>
        <row r="1373">
          <cell r="A1373" t="str">
            <v>Colorado</v>
          </cell>
          <cell r="B1373">
            <v>305541</v>
          </cell>
          <cell r="C1373">
            <v>-28.526313810000001</v>
          </cell>
          <cell r="D1373">
            <v>-52.993278889999999</v>
          </cell>
        </row>
        <row r="1374">
          <cell r="A1374" t="str">
            <v>Colorado do Oeste</v>
          </cell>
          <cell r="B1374">
            <v>304310</v>
          </cell>
          <cell r="C1374">
            <v>-13.117848840000001</v>
          </cell>
          <cell r="D1374">
            <v>-60.545881190000003</v>
          </cell>
        </row>
        <row r="1375">
          <cell r="A1375" t="str">
            <v>Coluna</v>
          </cell>
          <cell r="B1375">
            <v>302690</v>
          </cell>
          <cell r="C1375">
            <v>-18.23399427</v>
          </cell>
          <cell r="D1375">
            <v>-42.839961639999999</v>
          </cell>
        </row>
        <row r="1376">
          <cell r="A1376" t="str">
            <v>Com. Reserva</v>
          </cell>
          <cell r="B1376">
            <v>314442</v>
          </cell>
          <cell r="C1376">
            <v>-10.436364680000001</v>
          </cell>
          <cell r="D1376">
            <v>-66.277597929999999</v>
          </cell>
        </row>
        <row r="1377">
          <cell r="A1377" t="str">
            <v>Comandante Fontana</v>
          </cell>
          <cell r="B1377">
            <v>314320</v>
          </cell>
          <cell r="C1377">
            <v>-25.332279870000001</v>
          </cell>
          <cell r="D1377">
            <v>-59.673415679999998</v>
          </cell>
        </row>
        <row r="1378">
          <cell r="A1378" t="str">
            <v>Combinado</v>
          </cell>
          <cell r="B1378">
            <v>303045</v>
          </cell>
          <cell r="C1378">
            <v>-12.81221474</v>
          </cell>
          <cell r="D1378">
            <v>-46.548534629999999</v>
          </cell>
        </row>
        <row r="1379">
          <cell r="A1379" t="str">
            <v>Comendador Gomes</v>
          </cell>
          <cell r="B1379">
            <v>303409</v>
          </cell>
          <cell r="C1379">
            <v>-19.697993650000001</v>
          </cell>
          <cell r="D1379">
            <v>-49.080949920000002</v>
          </cell>
        </row>
        <row r="1380">
          <cell r="A1380" t="str">
            <v>Comendador Levy Gasparian</v>
          </cell>
          <cell r="B1380">
            <v>303133</v>
          </cell>
          <cell r="C1380">
            <v>-22.040908009999999</v>
          </cell>
          <cell r="D1380">
            <v>-43.21438886</v>
          </cell>
        </row>
        <row r="1381">
          <cell r="A1381" t="str">
            <v>Comercinho</v>
          </cell>
          <cell r="B1381">
            <v>302263</v>
          </cell>
          <cell r="C1381">
            <v>-16.29672017</v>
          </cell>
          <cell r="D1381">
            <v>-41.79488447</v>
          </cell>
        </row>
        <row r="1382">
          <cell r="A1382" t="str">
            <v>Comodoro</v>
          </cell>
          <cell r="B1382">
            <v>304313</v>
          </cell>
          <cell r="C1382">
            <v>-13.661856719999999</v>
          </cell>
          <cell r="D1382">
            <v>-59.785201620000002</v>
          </cell>
        </row>
        <row r="1383">
          <cell r="A1383" t="str">
            <v>Conceição</v>
          </cell>
          <cell r="B1383">
            <v>300853</v>
          </cell>
          <cell r="C1383">
            <v>-7.5563401580000003</v>
          </cell>
          <cell r="D1383">
            <v>-38.51012171</v>
          </cell>
        </row>
        <row r="1384">
          <cell r="A1384" t="str">
            <v>Conceição da Aparecida</v>
          </cell>
          <cell r="B1384">
            <v>303495</v>
          </cell>
          <cell r="C1384">
            <v>-21.096496479999999</v>
          </cell>
          <cell r="D1384">
            <v>-46.205299320000002</v>
          </cell>
        </row>
        <row r="1385">
          <cell r="A1385" t="str">
            <v>Conceição da Barra</v>
          </cell>
          <cell r="B1385">
            <v>302419</v>
          </cell>
          <cell r="C1385">
            <v>-18.588781919999999</v>
          </cell>
          <cell r="D1385">
            <v>-39.736536940000001</v>
          </cell>
        </row>
        <row r="1386">
          <cell r="A1386" t="str">
            <v>Conceição da Barra de Minas</v>
          </cell>
          <cell r="B1386">
            <v>304995</v>
          </cell>
          <cell r="C1386">
            <v>-21.132034520000001</v>
          </cell>
          <cell r="D1386">
            <v>-44.473278550000003</v>
          </cell>
        </row>
        <row r="1387">
          <cell r="A1387" t="str">
            <v>Conceição da Feira</v>
          </cell>
          <cell r="B1387">
            <v>301415</v>
          </cell>
          <cell r="C1387">
            <v>-12.508282510000001</v>
          </cell>
          <cell r="D1387">
            <v>-38.99814585</v>
          </cell>
        </row>
        <row r="1388">
          <cell r="A1388" t="str">
            <v>Conceição das Alagoas</v>
          </cell>
          <cell r="B1388">
            <v>303405</v>
          </cell>
          <cell r="C1388">
            <v>-19.917618560000001</v>
          </cell>
          <cell r="D1388">
            <v>-48.384340659999999</v>
          </cell>
        </row>
        <row r="1389">
          <cell r="A1389" t="str">
            <v>Conceição das Pedras</v>
          </cell>
          <cell r="B1389">
            <v>303444</v>
          </cell>
          <cell r="C1389">
            <v>-22.158124780000001</v>
          </cell>
          <cell r="D1389">
            <v>-45.45662505</v>
          </cell>
        </row>
        <row r="1390">
          <cell r="A1390" t="str">
            <v>Conceição de Ipanema</v>
          </cell>
          <cell r="B1390">
            <v>302667</v>
          </cell>
          <cell r="C1390">
            <v>-19.933061859999999</v>
          </cell>
          <cell r="D1390">
            <v>-41.691110989999999</v>
          </cell>
        </row>
        <row r="1391">
          <cell r="A1391" t="str">
            <v>Conceição de Macabu</v>
          </cell>
          <cell r="B1391">
            <v>302647</v>
          </cell>
          <cell r="C1391">
            <v>-22.083855740000001</v>
          </cell>
          <cell r="D1391">
            <v>-41.872239440000001</v>
          </cell>
        </row>
        <row r="1392">
          <cell r="A1392" t="str">
            <v>Conceição do Almeida</v>
          </cell>
          <cell r="B1392">
            <v>301532</v>
          </cell>
          <cell r="C1392">
            <v>-12.784027979999999</v>
          </cell>
          <cell r="D1392">
            <v>-39.17179058</v>
          </cell>
        </row>
        <row r="1393">
          <cell r="A1393" t="str">
            <v>Conceição do Araguaia</v>
          </cell>
          <cell r="B1393">
            <v>302036</v>
          </cell>
          <cell r="C1393">
            <v>-8.2617706490000007</v>
          </cell>
          <cell r="D1393">
            <v>-49.26929913</v>
          </cell>
        </row>
        <row r="1394">
          <cell r="A1394" t="str">
            <v>Conceição do Canindé</v>
          </cell>
          <cell r="B1394">
            <v>301073</v>
          </cell>
          <cell r="C1394">
            <v>-7.8767974110000001</v>
          </cell>
          <cell r="D1394">
            <v>-41.594529350000002</v>
          </cell>
        </row>
        <row r="1395">
          <cell r="A1395" t="str">
            <v>Conceição do Castelo</v>
          </cell>
          <cell r="B1395">
            <v>302548</v>
          </cell>
          <cell r="C1395">
            <v>-20.364377489999999</v>
          </cell>
          <cell r="D1395">
            <v>-41.242082709999998</v>
          </cell>
        </row>
        <row r="1396">
          <cell r="A1396" t="str">
            <v>Conceição do Coité</v>
          </cell>
          <cell r="B1396">
            <v>301410</v>
          </cell>
          <cell r="C1396">
            <v>-11.56039509</v>
          </cell>
          <cell r="D1396">
            <v>-39.281150760000003</v>
          </cell>
        </row>
        <row r="1397">
          <cell r="A1397" t="str">
            <v>Conceição do Jacuípe</v>
          </cell>
          <cell r="B1397">
            <v>301388</v>
          </cell>
          <cell r="C1397">
            <v>-12.327277820000001</v>
          </cell>
          <cell r="D1397">
            <v>-38.76875398</v>
          </cell>
        </row>
        <row r="1398">
          <cell r="A1398" t="str">
            <v>Conceição do Lago-Açu</v>
          </cell>
          <cell r="B1398">
            <v>301710</v>
          </cell>
          <cell r="C1398">
            <v>-3.837920918</v>
          </cell>
          <cell r="D1398">
            <v>-44.896961339999997</v>
          </cell>
        </row>
        <row r="1399">
          <cell r="A1399" t="str">
            <v>Conceição do Mato Dentro</v>
          </cell>
          <cell r="B1399">
            <v>304900</v>
          </cell>
          <cell r="C1399">
            <v>-19.03488084</v>
          </cell>
          <cell r="D1399">
            <v>-43.422447290000001</v>
          </cell>
        </row>
        <row r="1400">
          <cell r="A1400" t="str">
            <v>Conceição do Pará</v>
          </cell>
          <cell r="B1400">
            <v>302974</v>
          </cell>
          <cell r="C1400">
            <v>-19.747635389999999</v>
          </cell>
          <cell r="D1400">
            <v>-44.897238600000001</v>
          </cell>
        </row>
        <row r="1401">
          <cell r="A1401" t="str">
            <v>Conceição do Rio Verde</v>
          </cell>
          <cell r="B1401">
            <v>303179</v>
          </cell>
          <cell r="C1401">
            <v>-21.87831371</v>
          </cell>
          <cell r="D1401">
            <v>-45.087413750000003</v>
          </cell>
        </row>
        <row r="1402">
          <cell r="A1402" t="str">
            <v>Conceição do Tocantins</v>
          </cell>
          <cell r="B1402">
            <v>302223</v>
          </cell>
          <cell r="C1402">
            <v>-12.223659169999999</v>
          </cell>
          <cell r="D1402">
            <v>-47.29523013</v>
          </cell>
        </row>
        <row r="1403">
          <cell r="A1403" t="str">
            <v>Conceição dos Ouros</v>
          </cell>
          <cell r="B1403">
            <v>303470</v>
          </cell>
          <cell r="C1403">
            <v>-22.408322779999999</v>
          </cell>
          <cell r="D1403">
            <v>-45.799989099999998</v>
          </cell>
        </row>
        <row r="1404">
          <cell r="A1404" t="str">
            <v>Concepcion</v>
          </cell>
          <cell r="B1404">
            <v>314483</v>
          </cell>
          <cell r="C1404">
            <v>-11.908909250000001</v>
          </cell>
          <cell r="D1404">
            <v>-75.313468799999995</v>
          </cell>
        </row>
        <row r="1405">
          <cell r="A1405" t="str">
            <v>Concepción</v>
          </cell>
          <cell r="B1405">
            <v>314277</v>
          </cell>
          <cell r="C1405">
            <v>-23.400428909999999</v>
          </cell>
          <cell r="D1405">
            <v>-57.430196670000001</v>
          </cell>
        </row>
        <row r="1406">
          <cell r="A1406" t="str">
            <v>Concepción</v>
          </cell>
          <cell r="B1406">
            <v>314295</v>
          </cell>
          <cell r="C1406">
            <v>-28.38172058</v>
          </cell>
          <cell r="D1406">
            <v>-57.89029017</v>
          </cell>
        </row>
        <row r="1407">
          <cell r="A1407" t="str">
            <v>Conchal</v>
          </cell>
          <cell r="B1407">
            <v>303642</v>
          </cell>
          <cell r="C1407">
            <v>-22.33798621</v>
          </cell>
          <cell r="D1407">
            <v>-47.173326209999999</v>
          </cell>
        </row>
        <row r="1408">
          <cell r="A1408" t="str">
            <v>Conchas</v>
          </cell>
          <cell r="B1408">
            <v>303926</v>
          </cell>
          <cell r="C1408">
            <v>-23.01590414</v>
          </cell>
          <cell r="D1408">
            <v>-48.013797779999997</v>
          </cell>
        </row>
        <row r="1409">
          <cell r="A1409" t="str">
            <v>Concórdia</v>
          </cell>
          <cell r="B1409">
            <v>305119</v>
          </cell>
          <cell r="C1409">
            <v>-27.23393373</v>
          </cell>
          <cell r="D1409">
            <v>-52.026409430000001</v>
          </cell>
        </row>
        <row r="1410">
          <cell r="A1410" t="str">
            <v>Concórdia</v>
          </cell>
          <cell r="B1410">
            <v>314314</v>
          </cell>
          <cell r="C1410">
            <v>-31.381299680000001</v>
          </cell>
          <cell r="D1410">
            <v>-58.02322873</v>
          </cell>
        </row>
        <row r="1411">
          <cell r="A1411" t="str">
            <v>Concórdia do Pará</v>
          </cell>
          <cell r="B1411">
            <v>301918</v>
          </cell>
          <cell r="C1411">
            <v>-1.9927574299999999</v>
          </cell>
          <cell r="D1411">
            <v>-47.94257838</v>
          </cell>
        </row>
        <row r="1412">
          <cell r="A1412" t="str">
            <v>Condado</v>
          </cell>
          <cell r="B1412">
            <v>300622</v>
          </cell>
          <cell r="C1412">
            <v>-6.8987284820000001</v>
          </cell>
          <cell r="D1412">
            <v>-37.606343559999999</v>
          </cell>
        </row>
        <row r="1413">
          <cell r="A1413" t="str">
            <v>Condado</v>
          </cell>
          <cell r="B1413">
            <v>300681</v>
          </cell>
          <cell r="C1413">
            <v>-7.5882904450000002</v>
          </cell>
          <cell r="D1413">
            <v>-35.100229599999999</v>
          </cell>
        </row>
        <row r="1414">
          <cell r="A1414" t="str">
            <v>Conde</v>
          </cell>
          <cell r="B1414">
            <v>300418</v>
          </cell>
          <cell r="C1414">
            <v>-7.2578844729999998</v>
          </cell>
          <cell r="D1414">
            <v>-34.900163890000002</v>
          </cell>
        </row>
        <row r="1415">
          <cell r="A1415" t="str">
            <v>Conde</v>
          </cell>
          <cell r="B1415">
            <v>301268</v>
          </cell>
          <cell r="C1415">
            <v>-11.81838235</v>
          </cell>
          <cell r="D1415">
            <v>-37.613405970000002</v>
          </cell>
        </row>
        <row r="1416">
          <cell r="A1416" t="str">
            <v>Condeúba</v>
          </cell>
          <cell r="B1416">
            <v>302115</v>
          </cell>
          <cell r="C1416">
            <v>-14.90268247</v>
          </cell>
          <cell r="D1416">
            <v>-41.97217637</v>
          </cell>
        </row>
        <row r="1417">
          <cell r="A1417" t="str">
            <v>Condor</v>
          </cell>
          <cell r="B1417">
            <v>305427</v>
          </cell>
          <cell r="C1417">
            <v>-28.208002619999998</v>
          </cell>
          <cell r="D1417">
            <v>-53.491005610000002</v>
          </cell>
        </row>
        <row r="1418">
          <cell r="A1418" t="str">
            <v>Cônego Marinho</v>
          </cell>
          <cell r="B1418">
            <v>302173</v>
          </cell>
          <cell r="C1418">
            <v>-15.29870331</v>
          </cell>
          <cell r="D1418">
            <v>-44.412883919999999</v>
          </cell>
        </row>
        <row r="1419">
          <cell r="A1419" t="str">
            <v>Confins</v>
          </cell>
          <cell r="B1419">
            <v>302823</v>
          </cell>
          <cell r="C1419">
            <v>-19.628654999999998</v>
          </cell>
          <cell r="D1419">
            <v>-43.993518590000001</v>
          </cell>
        </row>
        <row r="1420">
          <cell r="A1420" t="str">
            <v>Confresa</v>
          </cell>
          <cell r="B1420">
            <v>304190</v>
          </cell>
          <cell r="C1420">
            <v>-10.644117809999999</v>
          </cell>
          <cell r="D1420">
            <v>-51.570275410000001</v>
          </cell>
        </row>
        <row r="1421">
          <cell r="A1421" t="str">
            <v>Congo</v>
          </cell>
          <cell r="B1421">
            <v>300599</v>
          </cell>
          <cell r="C1421">
            <v>-7.7912046400000001</v>
          </cell>
          <cell r="D1421">
            <v>-36.658360260000002</v>
          </cell>
        </row>
        <row r="1422">
          <cell r="A1422" t="str">
            <v>Congonhal</v>
          </cell>
          <cell r="B1422">
            <v>303473</v>
          </cell>
          <cell r="C1422">
            <v>-22.149229349999999</v>
          </cell>
          <cell r="D1422">
            <v>-46.043422049999997</v>
          </cell>
        </row>
        <row r="1423">
          <cell r="A1423" t="str">
            <v>Congonhas</v>
          </cell>
          <cell r="B1423">
            <v>302930</v>
          </cell>
          <cell r="C1423">
            <v>-20.496319570000001</v>
          </cell>
          <cell r="D1423">
            <v>-43.851383640000002</v>
          </cell>
        </row>
        <row r="1424">
          <cell r="A1424" t="str">
            <v>Congonhas do Norte</v>
          </cell>
          <cell r="B1424">
            <v>302724</v>
          </cell>
          <cell r="C1424">
            <v>-18.802522419999999</v>
          </cell>
          <cell r="D1424">
            <v>-43.677086549999999</v>
          </cell>
        </row>
        <row r="1425">
          <cell r="A1425" t="str">
            <v>Congonhinhas</v>
          </cell>
          <cell r="B1425">
            <v>304722</v>
          </cell>
          <cell r="C1425">
            <v>-23.55098851</v>
          </cell>
          <cell r="D1425">
            <v>-50.553946320000001</v>
          </cell>
        </row>
        <row r="1426">
          <cell r="A1426" t="str">
            <v>Conquista</v>
          </cell>
          <cell r="B1426">
            <v>303335</v>
          </cell>
          <cell r="C1426">
            <v>-19.93674159</v>
          </cell>
          <cell r="D1426">
            <v>-47.544875400000002</v>
          </cell>
        </row>
        <row r="1427">
          <cell r="A1427" t="str">
            <v>Conquista d'Oeste</v>
          </cell>
          <cell r="B1427">
            <v>300379</v>
          </cell>
          <cell r="C1427">
            <v>-14.54127989</v>
          </cell>
          <cell r="D1427">
            <v>-59.541267560000001</v>
          </cell>
        </row>
        <row r="1428">
          <cell r="A1428" t="str">
            <v>Conselheiro Lafaiete</v>
          </cell>
          <cell r="B1428">
            <v>302931</v>
          </cell>
          <cell r="C1428">
            <v>-20.663921330000001</v>
          </cell>
          <cell r="D1428">
            <v>-43.784980580000003</v>
          </cell>
        </row>
        <row r="1429">
          <cell r="A1429" t="str">
            <v>Conselheiro Mairinck</v>
          </cell>
          <cell r="B1429">
            <v>303966</v>
          </cell>
          <cell r="C1429">
            <v>-23.626852110000002</v>
          </cell>
          <cell r="D1429">
            <v>-50.17122569</v>
          </cell>
        </row>
        <row r="1430">
          <cell r="A1430" t="str">
            <v>Conselheiro Pena</v>
          </cell>
          <cell r="B1430">
            <v>302537</v>
          </cell>
          <cell r="C1430">
            <v>-19.179389220000001</v>
          </cell>
          <cell r="D1430">
            <v>-41.473905790000003</v>
          </cell>
        </row>
        <row r="1431">
          <cell r="A1431" t="str">
            <v>Consolação</v>
          </cell>
          <cell r="B1431">
            <v>303277</v>
          </cell>
          <cell r="C1431">
            <v>-22.549767930000002</v>
          </cell>
          <cell r="D1431">
            <v>-45.925850359999998</v>
          </cell>
        </row>
        <row r="1432">
          <cell r="A1432" t="str">
            <v>Constantina</v>
          </cell>
          <cell r="B1432">
            <v>305672</v>
          </cell>
          <cell r="C1432">
            <v>-27.732444489999999</v>
          </cell>
          <cell r="D1432">
            <v>-52.994254529999999</v>
          </cell>
        </row>
        <row r="1433">
          <cell r="A1433" t="str">
            <v>Contagem</v>
          </cell>
          <cell r="B1433">
            <v>304402</v>
          </cell>
          <cell r="C1433">
            <v>-19.932551870000001</v>
          </cell>
          <cell r="D1433">
            <v>-44.054292070000002</v>
          </cell>
        </row>
        <row r="1434">
          <cell r="A1434" t="str">
            <v>Contamana</v>
          </cell>
          <cell r="B1434">
            <v>314467</v>
          </cell>
          <cell r="C1434">
            <v>-7.3407704770000004</v>
          </cell>
          <cell r="D1434">
            <v>-75.013061339999993</v>
          </cell>
        </row>
        <row r="1435">
          <cell r="A1435" t="str">
            <v>Contenda</v>
          </cell>
          <cell r="B1435">
            <v>304036</v>
          </cell>
          <cell r="C1435">
            <v>-25.679288020000001</v>
          </cell>
          <cell r="D1435">
            <v>-49.535469519999999</v>
          </cell>
        </row>
        <row r="1436">
          <cell r="A1436" t="str">
            <v>Contendas do Sincorá</v>
          </cell>
          <cell r="B1436">
            <v>301583</v>
          </cell>
          <cell r="C1436">
            <v>-13.76278011</v>
          </cell>
          <cell r="D1436">
            <v>-41.042986659999997</v>
          </cell>
        </row>
        <row r="1437">
          <cell r="A1437" t="str">
            <v>Coqueiral</v>
          </cell>
          <cell r="B1437">
            <v>303215</v>
          </cell>
          <cell r="C1437">
            <v>-21.186231540000001</v>
          </cell>
          <cell r="D1437">
            <v>-45.436952329999997</v>
          </cell>
        </row>
        <row r="1438">
          <cell r="A1438" t="str">
            <v>Coqueiro Baixo</v>
          </cell>
          <cell r="B1438">
            <v>300390</v>
          </cell>
          <cell r="C1438">
            <v>-29.181090860000001</v>
          </cell>
          <cell r="D1438">
            <v>-52.095061139999999</v>
          </cell>
        </row>
        <row r="1439">
          <cell r="A1439" t="str">
            <v>Coqueiro Seco</v>
          </cell>
          <cell r="B1439">
            <v>301146</v>
          </cell>
          <cell r="C1439">
            <v>-9.6375815449999997</v>
          </cell>
          <cell r="D1439">
            <v>-35.799673390000002</v>
          </cell>
        </row>
        <row r="1440">
          <cell r="A1440" t="str">
            <v>Coqueiros do Sul</v>
          </cell>
          <cell r="B1440">
            <v>305378</v>
          </cell>
          <cell r="C1440">
            <v>-28.119892839999999</v>
          </cell>
          <cell r="D1440">
            <v>-52.784676840000003</v>
          </cell>
        </row>
        <row r="1441">
          <cell r="A1441" t="str">
            <v>Coração de Jesus</v>
          </cell>
          <cell r="B1441">
            <v>302189</v>
          </cell>
          <cell r="C1441">
            <v>-16.684526470000002</v>
          </cell>
          <cell r="D1441">
            <v>-44.363883950000002</v>
          </cell>
        </row>
        <row r="1442">
          <cell r="A1442" t="str">
            <v>Coração de Maria</v>
          </cell>
          <cell r="B1442">
            <v>301386</v>
          </cell>
          <cell r="C1442">
            <v>-12.24926103</v>
          </cell>
          <cell r="D1442">
            <v>-38.747707400000003</v>
          </cell>
        </row>
        <row r="1443">
          <cell r="A1443" t="str">
            <v>Corbélia</v>
          </cell>
          <cell r="B1443">
            <v>305067</v>
          </cell>
          <cell r="C1443">
            <v>-24.797585940000001</v>
          </cell>
          <cell r="D1443">
            <v>-53.301022070000002</v>
          </cell>
        </row>
        <row r="1444">
          <cell r="A1444" t="str">
            <v>Cordeiro</v>
          </cell>
          <cell r="B1444">
            <v>303063</v>
          </cell>
          <cell r="C1444">
            <v>-22.027210440000001</v>
          </cell>
          <cell r="D1444">
            <v>-42.36519887</v>
          </cell>
        </row>
        <row r="1445">
          <cell r="A1445" t="str">
            <v>Cordeirópolis</v>
          </cell>
          <cell r="B1445">
            <v>304579</v>
          </cell>
          <cell r="C1445">
            <v>-22.478251950000001</v>
          </cell>
          <cell r="D1445">
            <v>-47.452287470000002</v>
          </cell>
        </row>
        <row r="1446">
          <cell r="A1446" t="str">
            <v>Cordeiros</v>
          </cell>
          <cell r="B1446">
            <v>301628</v>
          </cell>
          <cell r="C1446">
            <v>-15.039163950000001</v>
          </cell>
          <cell r="D1446">
            <v>-41.931835829999997</v>
          </cell>
        </row>
        <row r="1447">
          <cell r="A1447" t="str">
            <v>Cordilheira Alta</v>
          </cell>
          <cell r="B1447">
            <v>305289</v>
          </cell>
          <cell r="C1447">
            <v>-26.984873409999999</v>
          </cell>
          <cell r="D1447">
            <v>-52.606032069999998</v>
          </cell>
        </row>
        <row r="1448">
          <cell r="A1448" t="str">
            <v>Cordisburgo</v>
          </cell>
          <cell r="B1448">
            <v>303060</v>
          </cell>
          <cell r="C1448">
            <v>-19.122862380000001</v>
          </cell>
          <cell r="D1448">
            <v>-44.322786720000003</v>
          </cell>
        </row>
        <row r="1449">
          <cell r="A1449" t="str">
            <v>Cordislândia</v>
          </cell>
          <cell r="B1449">
            <v>304415</v>
          </cell>
          <cell r="C1449">
            <v>-21.789574980000001</v>
          </cell>
          <cell r="D1449">
            <v>-45.700266720000002</v>
          </cell>
        </row>
        <row r="1450">
          <cell r="A1450" t="str">
            <v>Coreaú</v>
          </cell>
          <cell r="B1450">
            <v>301334</v>
          </cell>
          <cell r="C1450">
            <v>-3.5521511819999998</v>
          </cell>
          <cell r="D1450">
            <v>-40.653602939999999</v>
          </cell>
        </row>
        <row r="1451">
          <cell r="A1451" t="str">
            <v>Coremas</v>
          </cell>
          <cell r="B1451">
            <v>300981</v>
          </cell>
          <cell r="C1451">
            <v>-7.0075409390000001</v>
          </cell>
          <cell r="D1451">
            <v>-37.934947999999999</v>
          </cell>
        </row>
        <row r="1452">
          <cell r="A1452" t="str">
            <v>Corguinho</v>
          </cell>
          <cell r="B1452">
            <v>305594</v>
          </cell>
          <cell r="C1452">
            <v>-19.830134090000001</v>
          </cell>
          <cell r="D1452">
            <v>-54.831615710000001</v>
          </cell>
        </row>
        <row r="1453">
          <cell r="A1453" t="str">
            <v>Coribe</v>
          </cell>
          <cell r="B1453">
            <v>302163</v>
          </cell>
          <cell r="C1453">
            <v>-13.828093389999999</v>
          </cell>
          <cell r="D1453">
            <v>-44.456937840000002</v>
          </cell>
        </row>
        <row r="1454">
          <cell r="A1454" t="str">
            <v>Corinto</v>
          </cell>
          <cell r="B1454">
            <v>302953</v>
          </cell>
          <cell r="C1454">
            <v>-18.369433180000001</v>
          </cell>
          <cell r="D1454">
            <v>-44.454551979999998</v>
          </cell>
        </row>
        <row r="1455">
          <cell r="A1455" t="str">
            <v>Cornélio Procópio</v>
          </cell>
          <cell r="B1455">
            <v>304723</v>
          </cell>
          <cell r="C1455">
            <v>-23.183378659999999</v>
          </cell>
          <cell r="D1455">
            <v>-50.650194319999997</v>
          </cell>
        </row>
        <row r="1456">
          <cell r="A1456" t="str">
            <v>Coroaci</v>
          </cell>
          <cell r="B1456">
            <v>302680</v>
          </cell>
          <cell r="C1456">
            <v>-18.61604135</v>
          </cell>
          <cell r="D1456">
            <v>-42.279455349999999</v>
          </cell>
        </row>
        <row r="1457">
          <cell r="A1457" t="str">
            <v>Coroados</v>
          </cell>
          <cell r="B1457">
            <v>303876</v>
          </cell>
          <cell r="C1457">
            <v>-21.352545540000001</v>
          </cell>
          <cell r="D1457">
            <v>-50.286353560000002</v>
          </cell>
        </row>
        <row r="1458">
          <cell r="A1458" t="str">
            <v>Coroatá</v>
          </cell>
          <cell r="B1458">
            <v>301701</v>
          </cell>
          <cell r="C1458">
            <v>-4.1348181679999998</v>
          </cell>
          <cell r="D1458">
            <v>-44.124764949999999</v>
          </cell>
        </row>
        <row r="1459">
          <cell r="A1459" t="str">
            <v>Coromandel</v>
          </cell>
          <cell r="B1459">
            <v>304943</v>
          </cell>
          <cell r="C1459">
            <v>-18.473825089999998</v>
          </cell>
          <cell r="D1459">
            <v>-47.193737499999997</v>
          </cell>
        </row>
        <row r="1460">
          <cell r="A1460" t="str">
            <v>Coronel Barros</v>
          </cell>
          <cell r="B1460">
            <v>305647</v>
          </cell>
          <cell r="C1460">
            <v>-28.38298314</v>
          </cell>
          <cell r="D1460">
            <v>-54.065938639999999</v>
          </cell>
        </row>
        <row r="1461">
          <cell r="A1461" t="str">
            <v>Coronel Bicaco</v>
          </cell>
          <cell r="B1461">
            <v>305416</v>
          </cell>
          <cell r="C1461">
            <v>-27.722248870000001</v>
          </cell>
          <cell r="D1461">
            <v>-53.704595230000002</v>
          </cell>
        </row>
        <row r="1462">
          <cell r="A1462" t="str">
            <v>Coronel Domingos Soares</v>
          </cell>
          <cell r="B1462">
            <v>305110</v>
          </cell>
          <cell r="C1462">
            <v>-26.22815473</v>
          </cell>
          <cell r="D1462">
            <v>-52.036093569999998</v>
          </cell>
        </row>
        <row r="1463">
          <cell r="A1463" t="str">
            <v>Coronel Ezequiel</v>
          </cell>
          <cell r="B1463">
            <v>300636</v>
          </cell>
          <cell r="C1463">
            <v>-6.3858796959999999</v>
          </cell>
          <cell r="D1463">
            <v>-36.217483690000002</v>
          </cell>
        </row>
        <row r="1464">
          <cell r="A1464" t="str">
            <v>Coronel Fabriciano</v>
          </cell>
          <cell r="B1464">
            <v>303556</v>
          </cell>
          <cell r="C1464">
            <v>-19.518353340000001</v>
          </cell>
          <cell r="D1464">
            <v>-42.627945760000003</v>
          </cell>
        </row>
        <row r="1465">
          <cell r="A1465" t="str">
            <v>Coronel Freitas</v>
          </cell>
          <cell r="B1465">
            <v>305293</v>
          </cell>
          <cell r="C1465">
            <v>-26.906182959999999</v>
          </cell>
          <cell r="D1465">
            <v>-52.701572349999999</v>
          </cell>
        </row>
        <row r="1466">
          <cell r="A1466" t="str">
            <v>Coronel João Pessoa</v>
          </cell>
          <cell r="B1466">
            <v>300901</v>
          </cell>
          <cell r="C1466">
            <v>-6.250147943</v>
          </cell>
          <cell r="D1466">
            <v>-38.44446318</v>
          </cell>
        </row>
        <row r="1467">
          <cell r="A1467" t="str">
            <v>Coronel João Sá</v>
          </cell>
          <cell r="B1467">
            <v>301287</v>
          </cell>
          <cell r="C1467">
            <v>-10.284312979999999</v>
          </cell>
          <cell r="D1467">
            <v>-37.925416929999997</v>
          </cell>
        </row>
        <row r="1468">
          <cell r="A1468" t="str">
            <v>Coronel José Dias</v>
          </cell>
          <cell r="B1468">
            <v>302047</v>
          </cell>
          <cell r="C1468">
            <v>-8.8255186519999995</v>
          </cell>
          <cell r="D1468">
            <v>-42.477963080000002</v>
          </cell>
        </row>
        <row r="1469">
          <cell r="A1469" t="str">
            <v>Coronel Macedo</v>
          </cell>
          <cell r="B1469">
            <v>304204</v>
          </cell>
          <cell r="C1469">
            <v>-23.63098798</v>
          </cell>
          <cell r="D1469">
            <v>-49.313948179999997</v>
          </cell>
        </row>
        <row r="1470">
          <cell r="A1470" t="str">
            <v>Coronel Martins</v>
          </cell>
          <cell r="B1470">
            <v>305276</v>
          </cell>
          <cell r="C1470">
            <v>-26.511512320000001</v>
          </cell>
          <cell r="D1470">
            <v>-52.669809610000001</v>
          </cell>
        </row>
        <row r="1471">
          <cell r="A1471" t="str">
            <v>Coronel Murta</v>
          </cell>
          <cell r="B1471">
            <v>302147</v>
          </cell>
          <cell r="C1471">
            <v>-16.61530995</v>
          </cell>
          <cell r="D1471">
            <v>-42.18430378</v>
          </cell>
        </row>
        <row r="1472">
          <cell r="A1472" t="str">
            <v>Coronel Pacheco</v>
          </cell>
          <cell r="B1472">
            <v>303103</v>
          </cell>
          <cell r="C1472">
            <v>-21.590232199999999</v>
          </cell>
          <cell r="D1472">
            <v>-43.256358779999999</v>
          </cell>
        </row>
        <row r="1473">
          <cell r="A1473" t="str">
            <v>Coronel Pilar</v>
          </cell>
          <cell r="B1473">
            <v>300387</v>
          </cell>
          <cell r="C1473">
            <v>-29.269953409999999</v>
          </cell>
          <cell r="D1473">
            <v>-51.68518512</v>
          </cell>
        </row>
        <row r="1474">
          <cell r="A1474" t="str">
            <v>Coronel Sapucaia</v>
          </cell>
          <cell r="B1474">
            <v>305239</v>
          </cell>
          <cell r="C1474">
            <v>-23.272861240000001</v>
          </cell>
          <cell r="D1474">
            <v>-55.528264739999997</v>
          </cell>
        </row>
        <row r="1475">
          <cell r="A1475" t="str">
            <v>Coronel Vivida</v>
          </cell>
          <cell r="B1475">
            <v>305633</v>
          </cell>
          <cell r="C1475">
            <v>-25.977154590000001</v>
          </cell>
          <cell r="D1475">
            <v>-52.564499910000002</v>
          </cell>
        </row>
        <row r="1476">
          <cell r="A1476" t="str">
            <v>Coronel Xavier Chaves</v>
          </cell>
          <cell r="B1476">
            <v>304989</v>
          </cell>
          <cell r="C1476">
            <v>-21.02820071</v>
          </cell>
          <cell r="D1476">
            <v>-44.220975529999997</v>
          </cell>
        </row>
        <row r="1477">
          <cell r="A1477" t="str">
            <v>Corongo</v>
          </cell>
          <cell r="B1477">
            <v>314421</v>
          </cell>
          <cell r="C1477">
            <v>-8.5736634019999993</v>
          </cell>
          <cell r="D1477">
            <v>-77.903763389999995</v>
          </cell>
        </row>
        <row r="1478">
          <cell r="A1478" t="str">
            <v>Corpus Christi Nuevo</v>
          </cell>
          <cell r="B1478">
            <v>314290</v>
          </cell>
          <cell r="C1478">
            <v>-24.029111790000002</v>
          </cell>
          <cell r="D1478">
            <v>-54.838015409999997</v>
          </cell>
        </row>
        <row r="1479">
          <cell r="A1479" t="str">
            <v>Córrego D'anta</v>
          </cell>
          <cell r="B1479">
            <v>303017</v>
          </cell>
          <cell r="C1479">
            <v>-19.824606360000001</v>
          </cell>
          <cell r="D1479">
            <v>-45.904524590000001</v>
          </cell>
        </row>
        <row r="1480">
          <cell r="A1480" t="str">
            <v>Córrego do Bom Jesus</v>
          </cell>
          <cell r="B1480">
            <v>303278</v>
          </cell>
          <cell r="C1480">
            <v>-22.627359940000002</v>
          </cell>
          <cell r="D1480">
            <v>-46.024505259999998</v>
          </cell>
        </row>
        <row r="1481">
          <cell r="A1481" t="str">
            <v>Córrego do Ouro</v>
          </cell>
          <cell r="B1481">
            <v>304975</v>
          </cell>
          <cell r="C1481">
            <v>-16.295405840000001</v>
          </cell>
          <cell r="D1481">
            <v>-50.55253192</v>
          </cell>
        </row>
        <row r="1482">
          <cell r="A1482" t="str">
            <v>Córrego Fundo</v>
          </cell>
          <cell r="B1482">
            <v>300411</v>
          </cell>
          <cell r="C1482">
            <v>-20.447893189999998</v>
          </cell>
          <cell r="D1482">
            <v>-45.562125020000003</v>
          </cell>
        </row>
        <row r="1483">
          <cell r="A1483" t="str">
            <v>Córrego Novo</v>
          </cell>
          <cell r="B1483">
            <v>303053</v>
          </cell>
          <cell r="C1483">
            <v>-19.836572060000002</v>
          </cell>
          <cell r="D1483">
            <v>-42.399175849999999</v>
          </cell>
        </row>
        <row r="1484">
          <cell r="A1484" t="str">
            <v>Correia Pinto</v>
          </cell>
          <cell r="B1484">
            <v>305130</v>
          </cell>
          <cell r="C1484">
            <v>-27.588166709999999</v>
          </cell>
          <cell r="D1484">
            <v>-50.361886120000001</v>
          </cell>
        </row>
        <row r="1485">
          <cell r="A1485" t="str">
            <v>Corrente</v>
          </cell>
          <cell r="B1485">
            <v>302079</v>
          </cell>
          <cell r="C1485">
            <v>-10.433778589999999</v>
          </cell>
          <cell r="D1485">
            <v>-45.163710719999997</v>
          </cell>
        </row>
        <row r="1486">
          <cell r="A1486" t="str">
            <v>Correntes</v>
          </cell>
          <cell r="B1486">
            <v>301131</v>
          </cell>
          <cell r="C1486">
            <v>-9.1216050030000009</v>
          </cell>
          <cell r="D1486">
            <v>-36.324734839999998</v>
          </cell>
        </row>
        <row r="1487">
          <cell r="A1487" t="str">
            <v>Correntina</v>
          </cell>
          <cell r="B1487">
            <v>302162</v>
          </cell>
          <cell r="C1487">
            <v>-13.343150380000001</v>
          </cell>
          <cell r="D1487">
            <v>-44.634879419999997</v>
          </cell>
        </row>
        <row r="1488">
          <cell r="A1488" t="str">
            <v>Corrientes</v>
          </cell>
          <cell r="B1488">
            <v>314328</v>
          </cell>
          <cell r="C1488">
            <v>-27.47793931</v>
          </cell>
          <cell r="D1488">
            <v>-58.821421190000002</v>
          </cell>
        </row>
        <row r="1489">
          <cell r="A1489" t="str">
            <v>Cortês</v>
          </cell>
          <cell r="B1489">
            <v>301085</v>
          </cell>
          <cell r="C1489">
            <v>-8.4748616719999994</v>
          </cell>
          <cell r="D1489">
            <v>-35.54708256</v>
          </cell>
        </row>
        <row r="1490">
          <cell r="A1490" t="str">
            <v>Corumbá</v>
          </cell>
          <cell r="B1490">
            <v>305603</v>
          </cell>
          <cell r="C1490">
            <v>-19.008166119999999</v>
          </cell>
          <cell r="D1490">
            <v>-57.651488280000002</v>
          </cell>
        </row>
        <row r="1491">
          <cell r="A1491" t="str">
            <v>Corumbá de Goiás</v>
          </cell>
          <cell r="B1491">
            <v>302398</v>
          </cell>
          <cell r="C1491">
            <v>-15.928309970000001</v>
          </cell>
          <cell r="D1491">
            <v>-48.808968239999999</v>
          </cell>
        </row>
        <row r="1492">
          <cell r="A1492" t="str">
            <v>Corumbaíba</v>
          </cell>
          <cell r="B1492">
            <v>303365</v>
          </cell>
          <cell r="C1492">
            <v>-18.141995810000001</v>
          </cell>
          <cell r="D1492">
            <v>-48.56195117</v>
          </cell>
        </row>
        <row r="1493">
          <cell r="A1493" t="str">
            <v>Corumbataí</v>
          </cell>
          <cell r="B1493">
            <v>304577</v>
          </cell>
          <cell r="C1493">
            <v>-22.221806740000002</v>
          </cell>
          <cell r="D1493">
            <v>-47.621852859999997</v>
          </cell>
        </row>
        <row r="1494">
          <cell r="A1494" t="str">
            <v>Corumbataí do Sul</v>
          </cell>
          <cell r="B1494">
            <v>304817</v>
          </cell>
          <cell r="C1494">
            <v>-24.101421850000001</v>
          </cell>
          <cell r="D1494">
            <v>-52.118096450000003</v>
          </cell>
        </row>
        <row r="1495">
          <cell r="A1495" t="str">
            <v>Corumbiara</v>
          </cell>
          <cell r="B1495">
            <v>304318</v>
          </cell>
          <cell r="C1495">
            <v>-12.99820777</v>
          </cell>
          <cell r="D1495">
            <v>-60.942088890000001</v>
          </cell>
        </row>
        <row r="1496">
          <cell r="A1496" t="str">
            <v>Corupá</v>
          </cell>
          <cell r="B1496">
            <v>304016</v>
          </cell>
          <cell r="C1496">
            <v>-26.42511962</v>
          </cell>
          <cell r="D1496">
            <v>-49.246394299999999</v>
          </cell>
        </row>
        <row r="1497">
          <cell r="A1497" t="str">
            <v>Coruripe</v>
          </cell>
          <cell r="B1497">
            <v>301153</v>
          </cell>
          <cell r="C1497">
            <v>-10.12806913</v>
          </cell>
          <cell r="D1497">
            <v>-36.172023600000003</v>
          </cell>
        </row>
        <row r="1498">
          <cell r="A1498" t="str">
            <v>Cosmópolis</v>
          </cell>
          <cell r="B1498">
            <v>304581</v>
          </cell>
          <cell r="C1498">
            <v>-22.642381100000001</v>
          </cell>
          <cell r="D1498">
            <v>-47.19297821</v>
          </cell>
        </row>
        <row r="1499">
          <cell r="A1499" t="str">
            <v>Cosmorama</v>
          </cell>
          <cell r="B1499">
            <v>303430</v>
          </cell>
          <cell r="C1499">
            <v>-20.477992709999999</v>
          </cell>
          <cell r="D1499">
            <v>-49.777948619999997</v>
          </cell>
        </row>
        <row r="1500">
          <cell r="A1500" t="str">
            <v>Costa Marques</v>
          </cell>
          <cell r="B1500">
            <v>304329</v>
          </cell>
          <cell r="C1500">
            <v>-12.437124669999999</v>
          </cell>
          <cell r="D1500">
            <v>-64.228438120000007</v>
          </cell>
        </row>
        <row r="1501">
          <cell r="A1501" t="str">
            <v>Costa Rica</v>
          </cell>
          <cell r="B1501">
            <v>305730</v>
          </cell>
          <cell r="C1501">
            <v>-18.543650509999999</v>
          </cell>
          <cell r="D1501">
            <v>-53.129158230000002</v>
          </cell>
        </row>
        <row r="1502">
          <cell r="A1502" t="str">
            <v>Cotegipe</v>
          </cell>
          <cell r="B1502">
            <v>302083</v>
          </cell>
          <cell r="C1502">
            <v>-12.02916916</v>
          </cell>
          <cell r="D1502">
            <v>-44.261161039999998</v>
          </cell>
        </row>
        <row r="1503">
          <cell r="A1503" t="str">
            <v>Cotia</v>
          </cell>
          <cell r="B1503">
            <v>303750</v>
          </cell>
          <cell r="C1503">
            <v>-23.602655680000002</v>
          </cell>
          <cell r="D1503">
            <v>-46.919421219999997</v>
          </cell>
        </row>
        <row r="1504">
          <cell r="A1504" t="str">
            <v>Cotiporã</v>
          </cell>
          <cell r="B1504">
            <v>305193</v>
          </cell>
          <cell r="C1504">
            <v>-28.989582939999998</v>
          </cell>
          <cell r="D1504">
            <v>-51.697519649999997</v>
          </cell>
        </row>
        <row r="1505">
          <cell r="A1505" t="str">
            <v>Cotriguaçu</v>
          </cell>
          <cell r="B1505">
            <v>304222</v>
          </cell>
          <cell r="C1505">
            <v>-9.8547810699999996</v>
          </cell>
          <cell r="D1505">
            <v>-58.429704579999999</v>
          </cell>
        </row>
        <row r="1506">
          <cell r="A1506" t="str">
            <v>Couto de Magalhães de Minas</v>
          </cell>
          <cell r="B1506">
            <v>302713</v>
          </cell>
          <cell r="C1506">
            <v>-18.073186880000002</v>
          </cell>
          <cell r="D1506">
            <v>-43.465184540000003</v>
          </cell>
        </row>
        <row r="1507">
          <cell r="A1507" t="str">
            <v>Couto Magalhães</v>
          </cell>
          <cell r="B1507">
            <v>302035</v>
          </cell>
          <cell r="C1507">
            <v>-8.2832347730000002</v>
          </cell>
          <cell r="D1507">
            <v>-49.247033020000003</v>
          </cell>
        </row>
        <row r="1508">
          <cell r="A1508" t="str">
            <v>Coxilha</v>
          </cell>
          <cell r="B1508">
            <v>305172</v>
          </cell>
          <cell r="C1508">
            <v>-28.128443449999999</v>
          </cell>
          <cell r="D1508">
            <v>-52.302795840000002</v>
          </cell>
        </row>
        <row r="1509">
          <cell r="A1509" t="str">
            <v>Coxim</v>
          </cell>
          <cell r="B1509">
            <v>305028</v>
          </cell>
          <cell r="C1509">
            <v>-18.501743699999999</v>
          </cell>
          <cell r="D1509">
            <v>-54.751426330000001</v>
          </cell>
        </row>
        <row r="1510">
          <cell r="A1510" t="str">
            <v>Coxixola</v>
          </cell>
          <cell r="B1510">
            <v>300598</v>
          </cell>
          <cell r="C1510">
            <v>-7.6274913450000001</v>
          </cell>
          <cell r="D1510">
            <v>-36.605766729999999</v>
          </cell>
        </row>
        <row r="1511">
          <cell r="A1511" t="str">
            <v>Craíbas</v>
          </cell>
          <cell r="B1511">
            <v>301203</v>
          </cell>
          <cell r="C1511">
            <v>-9.6182315870000004</v>
          </cell>
          <cell r="D1511">
            <v>-36.770029549999997</v>
          </cell>
        </row>
        <row r="1512">
          <cell r="A1512" t="str">
            <v>Crateús</v>
          </cell>
          <cell r="B1512">
            <v>300878</v>
          </cell>
          <cell r="C1512">
            <v>-5.1680870460000001</v>
          </cell>
          <cell r="D1512">
            <v>-40.653963099999999</v>
          </cell>
        </row>
        <row r="1513">
          <cell r="A1513" t="str">
            <v>Crato</v>
          </cell>
          <cell r="B1513">
            <v>301183</v>
          </cell>
          <cell r="C1513">
            <v>-7.2289747430000002</v>
          </cell>
          <cell r="D1513">
            <v>-39.410237989999999</v>
          </cell>
        </row>
        <row r="1514">
          <cell r="A1514" t="str">
            <v>Cravinhos</v>
          </cell>
          <cell r="B1514">
            <v>303670</v>
          </cell>
          <cell r="C1514">
            <v>-21.338428700000001</v>
          </cell>
          <cell r="D1514">
            <v>-47.732827139999998</v>
          </cell>
        </row>
        <row r="1515">
          <cell r="A1515" t="str">
            <v>Cravolândia</v>
          </cell>
          <cell r="B1515">
            <v>301736</v>
          </cell>
          <cell r="C1515">
            <v>-13.35558812</v>
          </cell>
          <cell r="D1515">
            <v>-39.813042529999997</v>
          </cell>
        </row>
        <row r="1516">
          <cell r="A1516" t="str">
            <v>Criciúma</v>
          </cell>
          <cell r="B1516">
            <v>304107</v>
          </cell>
          <cell r="C1516">
            <v>-28.67275102</v>
          </cell>
          <cell r="D1516">
            <v>-49.37332293</v>
          </cell>
        </row>
        <row r="1517">
          <cell r="A1517" t="str">
            <v>Crisólita</v>
          </cell>
          <cell r="B1517">
            <v>302479</v>
          </cell>
          <cell r="C1517">
            <v>-17.23859187</v>
          </cell>
          <cell r="D1517">
            <v>-40.918735939999998</v>
          </cell>
        </row>
        <row r="1518">
          <cell r="A1518" t="str">
            <v>Crisópolis</v>
          </cell>
          <cell r="B1518">
            <v>301310</v>
          </cell>
          <cell r="C1518">
            <v>-11.50637204</v>
          </cell>
          <cell r="D1518">
            <v>-38.151795550000003</v>
          </cell>
        </row>
        <row r="1519">
          <cell r="A1519" t="str">
            <v>Crissiumal</v>
          </cell>
          <cell r="B1519">
            <v>305435</v>
          </cell>
          <cell r="C1519">
            <v>-27.500356450000002</v>
          </cell>
          <cell r="D1519">
            <v>-54.099833340000004</v>
          </cell>
        </row>
        <row r="1520">
          <cell r="A1520" t="str">
            <v>Cristais</v>
          </cell>
          <cell r="B1520">
            <v>303241</v>
          </cell>
          <cell r="C1520">
            <v>-20.873753279999999</v>
          </cell>
          <cell r="D1520">
            <v>-45.517111079999999</v>
          </cell>
        </row>
        <row r="1521">
          <cell r="A1521" t="str">
            <v>Cristais Paulista</v>
          </cell>
          <cell r="B1521">
            <v>303334</v>
          </cell>
          <cell r="C1521">
            <v>-20.40403637</v>
          </cell>
          <cell r="D1521">
            <v>-47.421310630000001</v>
          </cell>
        </row>
        <row r="1522">
          <cell r="A1522" t="str">
            <v>Cristal</v>
          </cell>
          <cell r="B1522">
            <v>305545</v>
          </cell>
          <cell r="C1522">
            <v>-31.004071849999999</v>
          </cell>
          <cell r="D1522">
            <v>-52.046225630000002</v>
          </cell>
        </row>
        <row r="1523">
          <cell r="A1523" t="str">
            <v>Cristal do Sul</v>
          </cell>
          <cell r="B1523">
            <v>305678</v>
          </cell>
          <cell r="C1523">
            <v>-27.452464190000001</v>
          </cell>
          <cell r="D1523">
            <v>-53.242682909999999</v>
          </cell>
        </row>
        <row r="1524">
          <cell r="A1524" t="str">
            <v>Cristalândia</v>
          </cell>
          <cell r="B1524">
            <v>302259</v>
          </cell>
          <cell r="C1524">
            <v>-10.5989056</v>
          </cell>
          <cell r="D1524">
            <v>-49.194590290000001</v>
          </cell>
        </row>
        <row r="1525">
          <cell r="A1525" t="str">
            <v>Cristalândia do Piauí</v>
          </cell>
          <cell r="B1525">
            <v>302091</v>
          </cell>
          <cell r="C1525">
            <v>-10.644741610000001</v>
          </cell>
          <cell r="D1525">
            <v>-45.189625139999997</v>
          </cell>
        </row>
        <row r="1526">
          <cell r="A1526" t="str">
            <v>Cristália</v>
          </cell>
          <cell r="B1526">
            <v>302181</v>
          </cell>
          <cell r="C1526">
            <v>-16.716476239999999</v>
          </cell>
          <cell r="D1526">
            <v>-42.857476669999997</v>
          </cell>
        </row>
        <row r="1527">
          <cell r="A1527" t="str">
            <v>Cristalina</v>
          </cell>
          <cell r="B1527">
            <v>302775</v>
          </cell>
          <cell r="C1527">
            <v>-16.76806186</v>
          </cell>
          <cell r="D1527">
            <v>-47.613516560000001</v>
          </cell>
        </row>
        <row r="1528">
          <cell r="A1528" t="str">
            <v>Cristiano Otoni</v>
          </cell>
          <cell r="B1528">
            <v>302934</v>
          </cell>
          <cell r="C1528">
            <v>-20.832897880000001</v>
          </cell>
          <cell r="D1528">
            <v>-43.816924219999997</v>
          </cell>
        </row>
        <row r="1529">
          <cell r="A1529" t="str">
            <v>Cristianópolis</v>
          </cell>
          <cell r="B1529">
            <v>304571</v>
          </cell>
          <cell r="C1529">
            <v>-17.19911638</v>
          </cell>
          <cell r="D1529">
            <v>-48.703843380000002</v>
          </cell>
        </row>
        <row r="1530">
          <cell r="A1530" t="str">
            <v>Cristina</v>
          </cell>
          <cell r="B1530">
            <v>303440</v>
          </cell>
          <cell r="C1530">
            <v>-22.2084604</v>
          </cell>
          <cell r="D1530">
            <v>-45.267651890000003</v>
          </cell>
        </row>
        <row r="1531">
          <cell r="A1531" t="str">
            <v>Cristinápolis</v>
          </cell>
          <cell r="B1531">
            <v>301307</v>
          </cell>
          <cell r="C1531">
            <v>-11.46032342</v>
          </cell>
          <cell r="D1531">
            <v>-37.763377220000002</v>
          </cell>
        </row>
        <row r="1532">
          <cell r="A1532" t="str">
            <v>Cristino Castro</v>
          </cell>
          <cell r="B1532">
            <v>302284</v>
          </cell>
          <cell r="C1532">
            <v>-8.8231533070000001</v>
          </cell>
          <cell r="D1532">
            <v>-44.22332686</v>
          </cell>
        </row>
        <row r="1533">
          <cell r="A1533" t="str">
            <v>Cristópolis</v>
          </cell>
          <cell r="B1533">
            <v>302084</v>
          </cell>
          <cell r="C1533">
            <v>-12.236460320000001</v>
          </cell>
          <cell r="D1533">
            <v>-44.419291549999997</v>
          </cell>
        </row>
        <row r="1534">
          <cell r="A1534" t="str">
            <v>Crixás</v>
          </cell>
          <cell r="B1534">
            <v>302805</v>
          </cell>
          <cell r="C1534">
            <v>-14.540518860000001</v>
          </cell>
          <cell r="D1534">
            <v>-49.975562050000001</v>
          </cell>
        </row>
        <row r="1535">
          <cell r="A1535" t="str">
            <v>Crixás do Tocantins</v>
          </cell>
          <cell r="B1535">
            <v>302287</v>
          </cell>
          <cell r="C1535">
            <v>-11.10489463</v>
          </cell>
          <cell r="D1535">
            <v>-48.91901069</v>
          </cell>
        </row>
        <row r="1536">
          <cell r="A1536" t="str">
            <v>Croatá</v>
          </cell>
          <cell r="B1536">
            <v>300885</v>
          </cell>
          <cell r="C1536">
            <v>-4.4125805219999998</v>
          </cell>
          <cell r="D1536">
            <v>-40.902837609999999</v>
          </cell>
        </row>
        <row r="1537">
          <cell r="A1537" t="str">
            <v>Cromínia</v>
          </cell>
          <cell r="B1537">
            <v>303376</v>
          </cell>
          <cell r="C1537">
            <v>-17.288774369999999</v>
          </cell>
          <cell r="D1537">
            <v>-49.380178809999997</v>
          </cell>
        </row>
        <row r="1538">
          <cell r="A1538" t="str">
            <v>Crucilândia</v>
          </cell>
          <cell r="B1538">
            <v>302979</v>
          </cell>
          <cell r="C1538">
            <v>-20.392788150000001</v>
          </cell>
          <cell r="D1538">
            <v>-44.333799749999997</v>
          </cell>
        </row>
        <row r="1539">
          <cell r="A1539" t="str">
            <v>Cruz</v>
          </cell>
          <cell r="B1539">
            <v>300699</v>
          </cell>
          <cell r="C1539">
            <v>-2.918518105</v>
          </cell>
          <cell r="D1539">
            <v>-40.176304889999997</v>
          </cell>
        </row>
        <row r="1540">
          <cell r="A1540" t="str">
            <v>Cruz Alta</v>
          </cell>
          <cell r="B1540">
            <v>305454</v>
          </cell>
          <cell r="C1540">
            <v>-28.645470920000001</v>
          </cell>
          <cell r="D1540">
            <v>-53.605294219999998</v>
          </cell>
        </row>
        <row r="1541">
          <cell r="A1541" t="str">
            <v>Cruz das Almas</v>
          </cell>
          <cell r="B1541">
            <v>301529</v>
          </cell>
          <cell r="C1541">
            <v>-12.667964230000001</v>
          </cell>
          <cell r="D1541">
            <v>-39.101110800000001</v>
          </cell>
        </row>
        <row r="1542">
          <cell r="A1542" t="str">
            <v>Cruz do Espírito Santo</v>
          </cell>
          <cell r="B1542">
            <v>300419</v>
          </cell>
          <cell r="C1542">
            <v>-7.1394415990000004</v>
          </cell>
          <cell r="D1542">
            <v>-35.086010199999997</v>
          </cell>
        </row>
        <row r="1543">
          <cell r="A1543" t="str">
            <v>Cruz Machado</v>
          </cell>
          <cell r="B1543">
            <v>305258</v>
          </cell>
          <cell r="C1543">
            <v>-26.017112409999999</v>
          </cell>
          <cell r="D1543">
            <v>-51.343403410000001</v>
          </cell>
        </row>
        <row r="1544">
          <cell r="A1544" t="str">
            <v>Cruzália</v>
          </cell>
          <cell r="B1544">
            <v>304501</v>
          </cell>
          <cell r="C1544">
            <v>-22.742304610000001</v>
          </cell>
          <cell r="D1544">
            <v>-50.792849480000001</v>
          </cell>
        </row>
        <row r="1545">
          <cell r="A1545" t="str">
            <v>Cruzaltense</v>
          </cell>
          <cell r="B1545">
            <v>300396</v>
          </cell>
          <cell r="C1545">
            <v>-27.667632130000001</v>
          </cell>
          <cell r="D1545">
            <v>-52.652621529999998</v>
          </cell>
        </row>
        <row r="1546">
          <cell r="A1546" t="str">
            <v>Cruzeiro</v>
          </cell>
          <cell r="B1546">
            <v>303617</v>
          </cell>
          <cell r="C1546">
            <v>-22.573244320000001</v>
          </cell>
          <cell r="D1546">
            <v>-44.969344820000003</v>
          </cell>
        </row>
        <row r="1547">
          <cell r="A1547" t="str">
            <v>Cruzeiro da Fortaleza</v>
          </cell>
          <cell r="B1547">
            <v>303314</v>
          </cell>
          <cell r="C1547">
            <v>-18.946104259999998</v>
          </cell>
          <cell r="D1547">
            <v>-46.672839949999997</v>
          </cell>
        </row>
        <row r="1548">
          <cell r="A1548" t="str">
            <v>Cruzeiro do Iguaçu</v>
          </cell>
          <cell r="B1548">
            <v>305642</v>
          </cell>
          <cell r="C1548">
            <v>-25.61968014</v>
          </cell>
          <cell r="D1548">
            <v>-53.128932030000001</v>
          </cell>
        </row>
        <row r="1549">
          <cell r="A1549" t="str">
            <v>Cruzeiro do Oeste</v>
          </cell>
          <cell r="B1549">
            <v>305036</v>
          </cell>
          <cell r="C1549">
            <v>-23.780405380000001</v>
          </cell>
          <cell r="D1549">
            <v>-53.077883190000001</v>
          </cell>
        </row>
        <row r="1550">
          <cell r="A1550" t="str">
            <v>Cruzeiro do Sul</v>
          </cell>
          <cell r="B1550">
            <v>304713</v>
          </cell>
          <cell r="C1550">
            <v>-22.96290299</v>
          </cell>
          <cell r="D1550">
            <v>-52.162642980000001</v>
          </cell>
        </row>
        <row r="1551">
          <cell r="A1551" t="str">
            <v>Cruzeiro do Sul</v>
          </cell>
          <cell r="B1551">
            <v>305789</v>
          </cell>
          <cell r="C1551">
            <v>-29.51298066</v>
          </cell>
          <cell r="D1551">
            <v>-51.984941200000002</v>
          </cell>
        </row>
        <row r="1552">
          <cell r="A1552" t="str">
            <v>Cruzeiro do Sul</v>
          </cell>
          <cell r="B1552">
            <v>305850</v>
          </cell>
          <cell r="C1552">
            <v>-7.6280125510000003</v>
          </cell>
          <cell r="D1552">
            <v>-72.676072450000007</v>
          </cell>
        </row>
        <row r="1553">
          <cell r="A1553" t="str">
            <v>Cruzeta</v>
          </cell>
          <cell r="B1553">
            <v>300959</v>
          </cell>
          <cell r="C1553">
            <v>-6.4110744190000002</v>
          </cell>
          <cell r="D1553">
            <v>-36.785006269999997</v>
          </cell>
        </row>
        <row r="1554">
          <cell r="A1554" t="str">
            <v>Cruzília</v>
          </cell>
          <cell r="B1554">
            <v>303173</v>
          </cell>
          <cell r="C1554">
            <v>-21.840463239999998</v>
          </cell>
          <cell r="D1554">
            <v>-44.807059700000003</v>
          </cell>
        </row>
        <row r="1555">
          <cell r="A1555" t="str">
            <v>Cruzmaltina</v>
          </cell>
          <cell r="B1555">
            <v>304771</v>
          </cell>
          <cell r="C1555">
            <v>-24.013685519999999</v>
          </cell>
          <cell r="D1555">
            <v>-51.45676306</v>
          </cell>
        </row>
        <row r="1556">
          <cell r="A1556" t="str">
            <v>Cubatão</v>
          </cell>
          <cell r="B1556">
            <v>303723</v>
          </cell>
          <cell r="C1556">
            <v>-23.891601820000002</v>
          </cell>
          <cell r="D1556">
            <v>-46.424366730000003</v>
          </cell>
        </row>
        <row r="1557">
          <cell r="A1557" t="str">
            <v>Cubati</v>
          </cell>
          <cell r="B1557">
            <v>300649</v>
          </cell>
          <cell r="C1557">
            <v>-6.8648913550000001</v>
          </cell>
          <cell r="D1557">
            <v>-36.35224805</v>
          </cell>
        </row>
        <row r="1558">
          <cell r="A1558" t="str">
            <v>Cuiabá</v>
          </cell>
          <cell r="B1558">
            <v>295782</v>
          </cell>
          <cell r="C1558">
            <v>-15.60184576</v>
          </cell>
          <cell r="D1558">
            <v>-56.098268869999998</v>
          </cell>
        </row>
        <row r="1559">
          <cell r="A1559" t="str">
            <v>Cuité</v>
          </cell>
          <cell r="B1559">
            <v>300570</v>
          </cell>
          <cell r="C1559">
            <v>-6.4857431930000002</v>
          </cell>
          <cell r="D1559">
            <v>-36.154877589999998</v>
          </cell>
        </row>
        <row r="1560">
          <cell r="A1560" t="str">
            <v>Cuité de Mamanguape</v>
          </cell>
          <cell r="B1560">
            <v>300448</v>
          </cell>
          <cell r="C1560">
            <v>-6.9133400509999996</v>
          </cell>
          <cell r="D1560">
            <v>-35.250509280000003</v>
          </cell>
        </row>
        <row r="1561">
          <cell r="A1561" t="str">
            <v>Cuitegi</v>
          </cell>
          <cell r="B1561">
            <v>300462</v>
          </cell>
          <cell r="C1561">
            <v>-6.8914375349999997</v>
          </cell>
          <cell r="D1561">
            <v>-35.521788620000002</v>
          </cell>
        </row>
        <row r="1562">
          <cell r="A1562" t="str">
            <v>Cujubim</v>
          </cell>
          <cell r="B1562">
            <v>304273</v>
          </cell>
          <cell r="C1562">
            <v>-9.3610589350000009</v>
          </cell>
          <cell r="D1562">
            <v>-62.585035439999999</v>
          </cell>
        </row>
        <row r="1563">
          <cell r="A1563" t="str">
            <v>Cumari</v>
          </cell>
          <cell r="B1563">
            <v>303302</v>
          </cell>
          <cell r="C1563">
            <v>-18.264895360000001</v>
          </cell>
          <cell r="D1563">
            <v>-48.15152922</v>
          </cell>
        </row>
        <row r="1564">
          <cell r="A1564" t="str">
            <v>Cumaru</v>
          </cell>
          <cell r="B1564">
            <v>301325</v>
          </cell>
          <cell r="C1564">
            <v>-8.0086906730000003</v>
          </cell>
          <cell r="D1564">
            <v>-35.696042319999997</v>
          </cell>
        </row>
        <row r="1565">
          <cell r="A1565" t="str">
            <v>Cumaru do Norte</v>
          </cell>
          <cell r="B1565">
            <v>304157</v>
          </cell>
          <cell r="C1565">
            <v>-7.8113789990000004</v>
          </cell>
          <cell r="D1565">
            <v>-50.770166189999998</v>
          </cell>
        </row>
        <row r="1566">
          <cell r="A1566" t="str">
            <v>Cumbe</v>
          </cell>
          <cell r="B1566">
            <v>302375</v>
          </cell>
          <cell r="C1566">
            <v>-10.35301943</v>
          </cell>
          <cell r="D1566">
            <v>-37.187837299999998</v>
          </cell>
        </row>
        <row r="1567">
          <cell r="A1567" t="str">
            <v>Cunha</v>
          </cell>
          <cell r="B1567">
            <v>303280</v>
          </cell>
          <cell r="C1567">
            <v>-23.07358198</v>
          </cell>
          <cell r="D1567">
            <v>-44.95794515</v>
          </cell>
        </row>
        <row r="1568">
          <cell r="A1568" t="str">
            <v>Cunha Porã</v>
          </cell>
          <cell r="B1568">
            <v>305311</v>
          </cell>
          <cell r="C1568">
            <v>-26.895487450000001</v>
          </cell>
          <cell r="D1568">
            <v>-53.16663818</v>
          </cell>
        </row>
        <row r="1569">
          <cell r="A1569" t="str">
            <v>Cunhataí</v>
          </cell>
          <cell r="B1569">
            <v>305310</v>
          </cell>
          <cell r="C1569">
            <v>-26.97139284</v>
          </cell>
          <cell r="D1569">
            <v>-53.089927009999997</v>
          </cell>
        </row>
        <row r="1570">
          <cell r="A1570" t="str">
            <v>Cuparaque</v>
          </cell>
          <cell r="B1570">
            <v>302526</v>
          </cell>
          <cell r="C1570">
            <v>-18.965302040000001</v>
          </cell>
          <cell r="D1570">
            <v>-41.098969629999999</v>
          </cell>
        </row>
        <row r="1571">
          <cell r="A1571" t="str">
            <v>Cupira</v>
          </cell>
          <cell r="B1571">
            <v>301112</v>
          </cell>
          <cell r="C1571">
            <v>-8.6247522839999995</v>
          </cell>
          <cell r="D1571">
            <v>-35.952131680000001</v>
          </cell>
        </row>
        <row r="1572">
          <cell r="A1572" t="str">
            <v>Curaçá</v>
          </cell>
          <cell r="B1572">
            <v>301486</v>
          </cell>
          <cell r="C1572">
            <v>-8.9919826680000003</v>
          </cell>
          <cell r="D1572">
            <v>-39.905206640000003</v>
          </cell>
        </row>
        <row r="1573">
          <cell r="A1573" t="str">
            <v>Curimatá</v>
          </cell>
          <cell r="B1573">
            <v>302067</v>
          </cell>
          <cell r="C1573">
            <v>-10.03303652</v>
          </cell>
          <cell r="D1573">
            <v>-44.300556610000001</v>
          </cell>
        </row>
        <row r="1574">
          <cell r="A1574" t="str">
            <v>Curionópolis</v>
          </cell>
          <cell r="B1574">
            <v>302018</v>
          </cell>
          <cell r="C1574">
            <v>-6.0950055369999996</v>
          </cell>
          <cell r="D1574">
            <v>-49.603303320000002</v>
          </cell>
        </row>
        <row r="1575">
          <cell r="A1575" t="str">
            <v>Curitiba</v>
          </cell>
          <cell r="B1575">
            <v>295780</v>
          </cell>
          <cell r="C1575">
            <v>-25.420501359999999</v>
          </cell>
          <cell r="D1575">
            <v>-49.265467659999999</v>
          </cell>
        </row>
        <row r="1576">
          <cell r="A1576" t="str">
            <v>Curitibanos</v>
          </cell>
          <cell r="B1576">
            <v>305129</v>
          </cell>
          <cell r="C1576">
            <v>-27.282850400000001</v>
          </cell>
          <cell r="D1576">
            <v>-50.582076350000001</v>
          </cell>
        </row>
        <row r="1577">
          <cell r="A1577" t="str">
            <v>Curiúva</v>
          </cell>
          <cell r="B1577">
            <v>304733</v>
          </cell>
          <cell r="C1577">
            <v>-24.036638369999999</v>
          </cell>
          <cell r="D1577">
            <v>-50.458063850000002</v>
          </cell>
        </row>
        <row r="1578">
          <cell r="A1578" t="str">
            <v>Currais</v>
          </cell>
          <cell r="B1578">
            <v>302286</v>
          </cell>
          <cell r="C1578">
            <v>-9.0142876669999996</v>
          </cell>
          <cell r="D1578">
            <v>-44.402868060000003</v>
          </cell>
        </row>
        <row r="1579">
          <cell r="A1579" t="str">
            <v>Currais Novos</v>
          </cell>
          <cell r="B1579">
            <v>300528</v>
          </cell>
          <cell r="C1579">
            <v>-6.2552560990000003</v>
          </cell>
          <cell r="D1579">
            <v>-36.514947229999997</v>
          </cell>
        </row>
        <row r="1580">
          <cell r="A1580" t="str">
            <v>Curral de Cima</v>
          </cell>
          <cell r="B1580">
            <v>300428</v>
          </cell>
          <cell r="C1580">
            <v>-6.7167477269999996</v>
          </cell>
          <cell r="D1580">
            <v>-35.26708017</v>
          </cell>
        </row>
        <row r="1581">
          <cell r="A1581" t="str">
            <v>Curral de Dentro</v>
          </cell>
          <cell r="B1581">
            <v>301637</v>
          </cell>
          <cell r="C1581">
            <v>-15.93316942</v>
          </cell>
          <cell r="D1581">
            <v>-41.85603227</v>
          </cell>
        </row>
        <row r="1582">
          <cell r="A1582" t="str">
            <v>Curral Novo do Piauí</v>
          </cell>
          <cell r="B1582">
            <v>301060</v>
          </cell>
          <cell r="C1582">
            <v>-7.8316363850000004</v>
          </cell>
          <cell r="D1582">
            <v>-40.900896240000002</v>
          </cell>
        </row>
        <row r="1583">
          <cell r="A1583" t="str">
            <v>Curral Velho</v>
          </cell>
          <cell r="B1583">
            <v>300821</v>
          </cell>
          <cell r="C1583">
            <v>-7.5393837719999999</v>
          </cell>
          <cell r="D1583">
            <v>-38.199020410000003</v>
          </cell>
        </row>
        <row r="1584">
          <cell r="A1584" t="str">
            <v>Curralinho</v>
          </cell>
          <cell r="B1584">
            <v>301943</v>
          </cell>
          <cell r="C1584">
            <v>-1.810253653</v>
          </cell>
          <cell r="D1584">
            <v>-49.798477910000003</v>
          </cell>
        </row>
        <row r="1585">
          <cell r="A1585" t="str">
            <v>Curralinhos</v>
          </cell>
          <cell r="B1585">
            <v>301817</v>
          </cell>
          <cell r="C1585">
            <v>-5.6182047969999998</v>
          </cell>
          <cell r="D1585">
            <v>-42.83093788</v>
          </cell>
        </row>
        <row r="1586">
          <cell r="A1586" t="str">
            <v>Curuá</v>
          </cell>
          <cell r="B1586">
            <v>304160</v>
          </cell>
          <cell r="C1586">
            <v>-1.8881341890000001</v>
          </cell>
          <cell r="D1586">
            <v>-55.117257119999998</v>
          </cell>
        </row>
        <row r="1587">
          <cell r="A1587" t="str">
            <v>Curuçá</v>
          </cell>
          <cell r="B1587">
            <v>301898</v>
          </cell>
          <cell r="C1587">
            <v>-0.73358913699999995</v>
          </cell>
          <cell r="D1587">
            <v>-47.851853630000001</v>
          </cell>
        </row>
        <row r="1588">
          <cell r="A1588" t="str">
            <v>Curuguaty</v>
          </cell>
          <cell r="B1588">
            <v>314264</v>
          </cell>
          <cell r="C1588">
            <v>-24.461271239999999</v>
          </cell>
          <cell r="D1588">
            <v>-55.638766529999998</v>
          </cell>
        </row>
        <row r="1589">
          <cell r="A1589" t="str">
            <v>Cururupu</v>
          </cell>
          <cell r="B1589">
            <v>301666</v>
          </cell>
          <cell r="C1589">
            <v>-1.824347546</v>
          </cell>
          <cell r="D1589">
            <v>-44.87333916</v>
          </cell>
        </row>
        <row r="1590">
          <cell r="A1590" t="str">
            <v>Curuzú Cuatiá</v>
          </cell>
          <cell r="B1590">
            <v>314462</v>
          </cell>
          <cell r="C1590">
            <v>-29.78125232</v>
          </cell>
          <cell r="D1590">
            <v>-58.059537749999997</v>
          </cell>
        </row>
        <row r="1591">
          <cell r="A1591" t="str">
            <v>Curvelândia</v>
          </cell>
          <cell r="B1591">
            <v>300376</v>
          </cell>
          <cell r="C1591">
            <v>-15.608819179999999</v>
          </cell>
          <cell r="D1591">
            <v>-57.913714040000002</v>
          </cell>
        </row>
        <row r="1592">
          <cell r="A1592" t="str">
            <v>Curvelo</v>
          </cell>
          <cell r="B1592">
            <v>302955</v>
          </cell>
          <cell r="C1592">
            <v>-18.753198730000001</v>
          </cell>
          <cell r="D1592">
            <v>-44.430630639999997</v>
          </cell>
        </row>
        <row r="1593">
          <cell r="A1593" t="str">
            <v>Custódia</v>
          </cell>
          <cell r="B1593">
            <v>302342</v>
          </cell>
          <cell r="C1593">
            <v>-8.0876630719999998</v>
          </cell>
          <cell r="D1593">
            <v>-37.641671000000002</v>
          </cell>
        </row>
        <row r="1594">
          <cell r="A1594" t="str">
            <v>Cutias</v>
          </cell>
          <cell r="B1594">
            <v>305871</v>
          </cell>
          <cell r="C1594">
            <v>0.96897791700000002</v>
          </cell>
          <cell r="D1594">
            <v>-50.79803794</v>
          </cell>
        </row>
        <row r="1595">
          <cell r="A1595" t="str">
            <v>Damianópolis</v>
          </cell>
          <cell r="B1595">
            <v>302865</v>
          </cell>
          <cell r="C1595">
            <v>-14.560228390000001</v>
          </cell>
          <cell r="D1595">
            <v>-46.17178689</v>
          </cell>
        </row>
        <row r="1596">
          <cell r="A1596" t="str">
            <v>Damião</v>
          </cell>
          <cell r="B1596">
            <v>300571</v>
          </cell>
          <cell r="C1596">
            <v>-6.632023244</v>
          </cell>
          <cell r="D1596">
            <v>-35.910430509999998</v>
          </cell>
        </row>
        <row r="1597">
          <cell r="A1597" t="str">
            <v>Damolândia</v>
          </cell>
          <cell r="B1597">
            <v>302600</v>
          </cell>
          <cell r="C1597">
            <v>-16.254573199999999</v>
          </cell>
          <cell r="D1597">
            <v>-49.366836239999998</v>
          </cell>
        </row>
        <row r="1598">
          <cell r="A1598" t="str">
            <v>Darcinópolis</v>
          </cell>
          <cell r="B1598">
            <v>302006</v>
          </cell>
          <cell r="C1598">
            <v>-6.7101413040000004</v>
          </cell>
          <cell r="D1598">
            <v>-47.753129780000002</v>
          </cell>
        </row>
        <row r="1599">
          <cell r="A1599" t="str">
            <v>Dário Meira</v>
          </cell>
          <cell r="B1599">
            <v>301565</v>
          </cell>
          <cell r="C1599">
            <v>-14.42955671</v>
          </cell>
          <cell r="D1599">
            <v>-39.904242140000001</v>
          </cell>
        </row>
        <row r="1600">
          <cell r="A1600" t="str">
            <v>Datas</v>
          </cell>
          <cell r="B1600">
            <v>302721</v>
          </cell>
          <cell r="C1600">
            <v>-18.44822903</v>
          </cell>
          <cell r="D1600">
            <v>-43.659450669999998</v>
          </cell>
        </row>
        <row r="1601">
          <cell r="A1601" t="str">
            <v>David Canabarro</v>
          </cell>
          <cell r="B1601">
            <v>305178</v>
          </cell>
          <cell r="C1601">
            <v>-28.385382400000001</v>
          </cell>
          <cell r="D1601">
            <v>-51.848656030000001</v>
          </cell>
        </row>
        <row r="1602">
          <cell r="A1602" t="str">
            <v>Davinópolis</v>
          </cell>
          <cell r="B1602">
            <v>304942</v>
          </cell>
          <cell r="C1602">
            <v>-18.15379021</v>
          </cell>
          <cell r="D1602">
            <v>-47.563122159999999</v>
          </cell>
        </row>
        <row r="1603">
          <cell r="A1603" t="str">
            <v>Davinópolis</v>
          </cell>
          <cell r="B1603">
            <v>301968</v>
          </cell>
          <cell r="C1603">
            <v>-5.5311517749999997</v>
          </cell>
          <cell r="D1603">
            <v>-47.3939807</v>
          </cell>
        </row>
        <row r="1604">
          <cell r="A1604" t="str">
            <v>Delfim Moreira</v>
          </cell>
          <cell r="B1604">
            <v>303443</v>
          </cell>
          <cell r="C1604">
            <v>-22.504111340000001</v>
          </cell>
          <cell r="D1604">
            <v>-45.279617780000002</v>
          </cell>
        </row>
        <row r="1605">
          <cell r="A1605" t="str">
            <v>Delfinópolis</v>
          </cell>
          <cell r="B1605">
            <v>303326</v>
          </cell>
          <cell r="C1605">
            <v>-20.347238470000001</v>
          </cell>
          <cell r="D1605">
            <v>-46.845945690000001</v>
          </cell>
        </row>
        <row r="1606">
          <cell r="A1606" t="str">
            <v>Delmiro Gouveia</v>
          </cell>
          <cell r="B1606">
            <v>301273</v>
          </cell>
          <cell r="C1606">
            <v>-9.3857671390000004</v>
          </cell>
          <cell r="D1606">
            <v>-37.998988310000001</v>
          </cell>
        </row>
        <row r="1607">
          <cell r="A1607" t="str">
            <v>Delta</v>
          </cell>
          <cell r="B1607">
            <v>303347</v>
          </cell>
          <cell r="C1607">
            <v>-19.974065329999998</v>
          </cell>
          <cell r="D1607">
            <v>-47.774568119999998</v>
          </cell>
        </row>
        <row r="1608">
          <cell r="A1608" t="str">
            <v>Demerval Lobão</v>
          </cell>
          <cell r="B1608">
            <v>301814</v>
          </cell>
          <cell r="C1608">
            <v>-5.3591561050000003</v>
          </cell>
          <cell r="D1608">
            <v>-42.67792498</v>
          </cell>
        </row>
        <row r="1609">
          <cell r="A1609" t="str">
            <v>Denise</v>
          </cell>
          <cell r="B1609">
            <v>304242</v>
          </cell>
          <cell r="C1609">
            <v>-14.72895052</v>
          </cell>
          <cell r="D1609">
            <v>-57.050738879999997</v>
          </cell>
        </row>
        <row r="1610">
          <cell r="A1610" t="str">
            <v>Deodápolis</v>
          </cell>
          <cell r="B1610">
            <v>305755</v>
          </cell>
          <cell r="C1610">
            <v>-22.276727869999998</v>
          </cell>
          <cell r="D1610">
            <v>-54.168605720000002</v>
          </cell>
        </row>
        <row r="1611">
          <cell r="A1611" t="str">
            <v>Deputado Irapuan Pinheiro</v>
          </cell>
          <cell r="B1611">
            <v>300920</v>
          </cell>
          <cell r="C1611">
            <v>-5.9152573979999996</v>
          </cell>
          <cell r="D1611">
            <v>-39.257328749999999</v>
          </cell>
        </row>
        <row r="1612">
          <cell r="A1612" t="str">
            <v>Derrubadas</v>
          </cell>
          <cell r="B1612">
            <v>305418</v>
          </cell>
          <cell r="C1612">
            <v>-27.26461784</v>
          </cell>
          <cell r="D1612">
            <v>-53.864993939999998</v>
          </cell>
        </row>
        <row r="1613">
          <cell r="A1613" t="str">
            <v>Descalvado</v>
          </cell>
          <cell r="B1613">
            <v>303667</v>
          </cell>
          <cell r="C1613">
            <v>-21.900682750000001</v>
          </cell>
          <cell r="D1613">
            <v>-47.618505929999998</v>
          </cell>
        </row>
        <row r="1614">
          <cell r="A1614" t="str">
            <v>Descanso</v>
          </cell>
          <cell r="B1614">
            <v>305349</v>
          </cell>
          <cell r="C1614">
            <v>-26.82743825</v>
          </cell>
          <cell r="D1614">
            <v>-53.503849969999997</v>
          </cell>
        </row>
        <row r="1615">
          <cell r="A1615" t="str">
            <v>Descoberto</v>
          </cell>
          <cell r="B1615">
            <v>303266</v>
          </cell>
          <cell r="C1615">
            <v>-21.460471049999999</v>
          </cell>
          <cell r="D1615">
            <v>-42.962133729999998</v>
          </cell>
        </row>
        <row r="1616">
          <cell r="A1616" t="str">
            <v>Desterro</v>
          </cell>
          <cell r="B1616">
            <v>300793</v>
          </cell>
          <cell r="C1616">
            <v>-7.2874152270000003</v>
          </cell>
          <cell r="D1616">
            <v>-37.092829090000002</v>
          </cell>
        </row>
        <row r="1617">
          <cell r="A1617" t="str">
            <v>Desterro de Entre Rios</v>
          </cell>
          <cell r="B1617">
            <v>302985</v>
          </cell>
          <cell r="C1617">
            <v>-20.665515150000001</v>
          </cell>
          <cell r="D1617">
            <v>-44.333763410000003</v>
          </cell>
        </row>
        <row r="1618">
          <cell r="A1618" t="str">
            <v>Desterro do Melo</v>
          </cell>
          <cell r="B1618">
            <v>303116</v>
          </cell>
          <cell r="C1618">
            <v>-21.143473669999999</v>
          </cell>
          <cell r="D1618">
            <v>-43.518204879999999</v>
          </cell>
        </row>
        <row r="1619">
          <cell r="A1619" t="str">
            <v>Dezesseis de Novembro</v>
          </cell>
          <cell r="B1619">
            <v>305801</v>
          </cell>
          <cell r="C1619">
            <v>-28.225154069999999</v>
          </cell>
          <cell r="D1619">
            <v>-55.048248090000001</v>
          </cell>
        </row>
        <row r="1620">
          <cell r="A1620" t="str">
            <v>Diadema</v>
          </cell>
          <cell r="B1620">
            <v>303722</v>
          </cell>
          <cell r="C1620">
            <v>-23.681826690000001</v>
          </cell>
          <cell r="D1620">
            <v>-46.620919430000001</v>
          </cell>
        </row>
        <row r="1621">
          <cell r="A1621" t="str">
            <v>Diamante</v>
          </cell>
          <cell r="B1621">
            <v>300820</v>
          </cell>
          <cell r="C1621">
            <v>-7.4279039449999997</v>
          </cell>
          <cell r="D1621">
            <v>-38.265936320000002</v>
          </cell>
        </row>
        <row r="1622">
          <cell r="A1622" t="str">
            <v>Diamante do Norte</v>
          </cell>
          <cell r="B1622">
            <v>304846</v>
          </cell>
          <cell r="C1622">
            <v>-22.6559633</v>
          </cell>
          <cell r="D1622">
            <v>-52.859988950000002</v>
          </cell>
        </row>
        <row r="1623">
          <cell r="A1623" t="str">
            <v>Diamante do Sul</v>
          </cell>
          <cell r="B1623">
            <v>305051</v>
          </cell>
          <cell r="C1623">
            <v>-25.0354733</v>
          </cell>
          <cell r="D1623">
            <v>-52.677225129999997</v>
          </cell>
        </row>
        <row r="1624">
          <cell r="A1624" t="str">
            <v>Diamante D'Oeste</v>
          </cell>
          <cell r="B1624">
            <v>305021</v>
          </cell>
          <cell r="C1624">
            <v>-24.942319820000002</v>
          </cell>
          <cell r="D1624">
            <v>-54.10560839</v>
          </cell>
        </row>
        <row r="1625">
          <cell r="A1625" t="str">
            <v>Diamantina</v>
          </cell>
          <cell r="B1625">
            <v>302720</v>
          </cell>
          <cell r="C1625">
            <v>-18.241782300000001</v>
          </cell>
          <cell r="D1625">
            <v>-43.603463849999997</v>
          </cell>
        </row>
        <row r="1626">
          <cell r="A1626" t="str">
            <v>Diamantino</v>
          </cell>
          <cell r="B1626">
            <v>304235</v>
          </cell>
          <cell r="C1626">
            <v>-14.40082166</v>
          </cell>
          <cell r="D1626">
            <v>-56.437529169999998</v>
          </cell>
        </row>
        <row r="1627">
          <cell r="A1627" t="str">
            <v>Dianópolis</v>
          </cell>
          <cell r="B1627">
            <v>302214</v>
          </cell>
          <cell r="C1627">
            <v>-11.624441300000001</v>
          </cell>
          <cell r="D1627">
            <v>-46.82016187</v>
          </cell>
        </row>
        <row r="1628">
          <cell r="A1628" t="str">
            <v>Dias d'Ávila</v>
          </cell>
          <cell r="B1628">
            <v>300956</v>
          </cell>
          <cell r="C1628">
            <v>-12.61919894</v>
          </cell>
          <cell r="D1628">
            <v>-38.292962879999997</v>
          </cell>
        </row>
        <row r="1629">
          <cell r="A1629" t="str">
            <v>Diciembre</v>
          </cell>
          <cell r="B1629">
            <v>314282</v>
          </cell>
          <cell r="C1629">
            <v>-24.76060644</v>
          </cell>
          <cell r="D1629">
            <v>-56.725760729999998</v>
          </cell>
        </row>
        <row r="1630">
          <cell r="A1630" t="str">
            <v>Dilermando de Aguiar</v>
          </cell>
          <cell r="B1630">
            <v>305711</v>
          </cell>
          <cell r="C1630">
            <v>-29.705862289999999</v>
          </cell>
          <cell r="D1630">
            <v>-54.212712770000003</v>
          </cell>
        </row>
        <row r="1631">
          <cell r="A1631" t="str">
            <v>Diogo de Vasconcelos</v>
          </cell>
          <cell r="B1631">
            <v>302839</v>
          </cell>
          <cell r="C1631">
            <v>-20.488379930000001</v>
          </cell>
          <cell r="D1631">
            <v>-43.195620009999999</v>
          </cell>
        </row>
        <row r="1632">
          <cell r="A1632" t="str">
            <v>Dionísio</v>
          </cell>
          <cell r="B1632">
            <v>303562</v>
          </cell>
          <cell r="C1632">
            <v>-19.84299176</v>
          </cell>
          <cell r="D1632">
            <v>-42.776963279999997</v>
          </cell>
        </row>
        <row r="1633">
          <cell r="A1633" t="str">
            <v>Dionísio Cerqueira</v>
          </cell>
          <cell r="B1633">
            <v>305345</v>
          </cell>
          <cell r="C1633">
            <v>-26.26524981</v>
          </cell>
          <cell r="D1633">
            <v>-53.635602560000002</v>
          </cell>
        </row>
        <row r="1634">
          <cell r="A1634" t="str">
            <v>Diorama</v>
          </cell>
          <cell r="B1634">
            <v>304513</v>
          </cell>
          <cell r="C1634">
            <v>-16.23387357</v>
          </cell>
          <cell r="D1634">
            <v>-51.2586315</v>
          </cell>
        </row>
        <row r="1635">
          <cell r="A1635" t="str">
            <v>Dirce Reis</v>
          </cell>
          <cell r="B1635">
            <v>304382</v>
          </cell>
          <cell r="C1635">
            <v>-20.462795929999999</v>
          </cell>
          <cell r="D1635">
            <v>-50.610245900000002</v>
          </cell>
        </row>
        <row r="1636">
          <cell r="A1636" t="str">
            <v>Dirceu Arcoverde</v>
          </cell>
          <cell r="B1636">
            <v>302046</v>
          </cell>
          <cell r="C1636">
            <v>-9.3398127780000006</v>
          </cell>
          <cell r="D1636">
            <v>-42.435135389999999</v>
          </cell>
        </row>
        <row r="1637">
          <cell r="A1637" t="str">
            <v>Divina Pastora</v>
          </cell>
          <cell r="B1637">
            <v>301238</v>
          </cell>
          <cell r="C1637">
            <v>-10.67860041</v>
          </cell>
          <cell r="D1637">
            <v>-37.15086436</v>
          </cell>
        </row>
        <row r="1638">
          <cell r="A1638" t="str">
            <v>Divinésia</v>
          </cell>
          <cell r="B1638">
            <v>303084</v>
          </cell>
          <cell r="C1638">
            <v>-20.992188240000001</v>
          </cell>
          <cell r="D1638">
            <v>-43.000629840000002</v>
          </cell>
        </row>
        <row r="1639">
          <cell r="A1639" t="str">
            <v>Divino</v>
          </cell>
          <cell r="B1639">
            <v>302911</v>
          </cell>
          <cell r="C1639">
            <v>-20.61388462</v>
          </cell>
          <cell r="D1639">
            <v>-42.144160810000002</v>
          </cell>
        </row>
        <row r="1640">
          <cell r="A1640" t="str">
            <v>Divino das Laranjeiras</v>
          </cell>
          <cell r="B1640">
            <v>302880</v>
          </cell>
          <cell r="C1640">
            <v>-18.77596453</v>
          </cell>
          <cell r="D1640">
            <v>-41.478431970000003</v>
          </cell>
        </row>
        <row r="1641">
          <cell r="A1641" t="str">
            <v>Divino de São Lourenço</v>
          </cell>
          <cell r="B1641">
            <v>302624</v>
          </cell>
          <cell r="C1641">
            <v>-20.623412590000001</v>
          </cell>
          <cell r="D1641">
            <v>-41.694081590000003</v>
          </cell>
        </row>
        <row r="1642">
          <cell r="A1642" t="str">
            <v>Divinolândia</v>
          </cell>
          <cell r="B1642">
            <v>303522</v>
          </cell>
          <cell r="C1642">
            <v>-21.66418212</v>
          </cell>
          <cell r="D1642">
            <v>-46.736522409999999</v>
          </cell>
        </row>
        <row r="1643">
          <cell r="A1643" t="str">
            <v>Divinolândia de Minas</v>
          </cell>
          <cell r="B1643">
            <v>302695</v>
          </cell>
          <cell r="C1643">
            <v>-18.805253409999999</v>
          </cell>
          <cell r="D1643">
            <v>-42.621780119999997</v>
          </cell>
        </row>
        <row r="1644">
          <cell r="A1644" t="str">
            <v>Divinópolis</v>
          </cell>
          <cell r="B1644">
            <v>302994</v>
          </cell>
          <cell r="C1644">
            <v>-20.14511804</v>
          </cell>
          <cell r="D1644">
            <v>-44.891601000000001</v>
          </cell>
        </row>
        <row r="1645">
          <cell r="A1645" t="str">
            <v>Divinópolis de Goiás</v>
          </cell>
          <cell r="B1645">
            <v>303048</v>
          </cell>
          <cell r="C1645">
            <v>-13.29167444</v>
          </cell>
          <cell r="D1645">
            <v>-46.395777019999997</v>
          </cell>
        </row>
        <row r="1646">
          <cell r="A1646" t="str">
            <v>Divinópolis do Tocantins</v>
          </cell>
          <cell r="B1646">
            <v>302242</v>
          </cell>
          <cell r="C1646">
            <v>-9.8006029380000008</v>
          </cell>
          <cell r="D1646">
            <v>-49.217236460000002</v>
          </cell>
        </row>
        <row r="1647">
          <cell r="A1647" t="str">
            <v>Divisa Alegre</v>
          </cell>
          <cell r="B1647">
            <v>301625</v>
          </cell>
          <cell r="C1647">
            <v>-15.72253126</v>
          </cell>
          <cell r="D1647">
            <v>-41.346635319999997</v>
          </cell>
        </row>
        <row r="1648">
          <cell r="A1648" t="str">
            <v>Divisa Nova</v>
          </cell>
          <cell r="B1648">
            <v>303505</v>
          </cell>
          <cell r="C1648">
            <v>-21.509633900000001</v>
          </cell>
          <cell r="D1648">
            <v>-46.190775309999999</v>
          </cell>
        </row>
        <row r="1649">
          <cell r="A1649" t="str">
            <v>Divisópolis</v>
          </cell>
          <cell r="B1649">
            <v>301623</v>
          </cell>
          <cell r="C1649">
            <v>-15.72581082</v>
          </cell>
          <cell r="D1649">
            <v>-41.00003186</v>
          </cell>
        </row>
        <row r="1650">
          <cell r="A1650" t="str">
            <v>Dobrada</v>
          </cell>
          <cell r="B1650">
            <v>303812</v>
          </cell>
          <cell r="C1650">
            <v>-21.516001670000001</v>
          </cell>
          <cell r="D1650">
            <v>-48.393880950000003</v>
          </cell>
        </row>
        <row r="1651">
          <cell r="A1651" t="str">
            <v>Doctor Cecílio Báez</v>
          </cell>
          <cell r="B1651">
            <v>314267</v>
          </cell>
          <cell r="C1651">
            <v>-25.072032449999998</v>
          </cell>
          <cell r="D1651">
            <v>-56.251557249999998</v>
          </cell>
        </row>
        <row r="1652">
          <cell r="A1652" t="str">
            <v>Dois Córregos</v>
          </cell>
          <cell r="B1652">
            <v>304592</v>
          </cell>
          <cell r="C1652">
            <v>-22.367762290000002</v>
          </cell>
          <cell r="D1652">
            <v>-48.382331290000003</v>
          </cell>
        </row>
        <row r="1653">
          <cell r="A1653" t="str">
            <v>Dois Irmãos</v>
          </cell>
          <cell r="B1653">
            <v>305473</v>
          </cell>
          <cell r="C1653">
            <v>-29.58403998</v>
          </cell>
          <cell r="D1653">
            <v>-51.090227310000003</v>
          </cell>
        </row>
        <row r="1654">
          <cell r="A1654" t="str">
            <v>Dois Irmãos das Missões</v>
          </cell>
          <cell r="B1654">
            <v>305414</v>
          </cell>
          <cell r="C1654">
            <v>-27.6625716</v>
          </cell>
          <cell r="D1654">
            <v>-53.530871550000001</v>
          </cell>
        </row>
        <row r="1655">
          <cell r="A1655" t="str">
            <v>Dois Irmãos do Buriti</v>
          </cell>
          <cell r="B1655">
            <v>305598</v>
          </cell>
          <cell r="C1655">
            <v>-20.690201299999998</v>
          </cell>
          <cell r="D1655">
            <v>-55.282409229999999</v>
          </cell>
        </row>
        <row r="1656">
          <cell r="A1656" t="str">
            <v>Dois Irmãos do Tocantins</v>
          </cell>
          <cell r="B1656">
            <v>302235</v>
          </cell>
          <cell r="C1656">
            <v>-9.2557555750000002</v>
          </cell>
          <cell r="D1656">
            <v>-49.064141919999997</v>
          </cell>
        </row>
        <row r="1657">
          <cell r="A1657" t="str">
            <v>Dois Lajeados</v>
          </cell>
          <cell r="B1657">
            <v>305196</v>
          </cell>
          <cell r="C1657">
            <v>-28.98348245</v>
          </cell>
          <cell r="D1657">
            <v>-51.840037549999998</v>
          </cell>
        </row>
        <row r="1658">
          <cell r="A1658" t="str">
            <v>Dois Riachos</v>
          </cell>
          <cell r="B1658">
            <v>302555</v>
          </cell>
          <cell r="C1658">
            <v>-9.3874438080000004</v>
          </cell>
          <cell r="D1658">
            <v>-37.089645259999998</v>
          </cell>
        </row>
        <row r="1659">
          <cell r="A1659" t="str">
            <v>Dois Vizinhos</v>
          </cell>
          <cell r="B1659">
            <v>305646</v>
          </cell>
          <cell r="C1659">
            <v>-25.741160600000001</v>
          </cell>
          <cell r="D1659">
            <v>-53.05746405</v>
          </cell>
        </row>
        <row r="1660">
          <cell r="A1660" t="str">
            <v>Dolcinópolis</v>
          </cell>
          <cell r="B1660">
            <v>304360</v>
          </cell>
          <cell r="C1660">
            <v>-20.122993449999999</v>
          </cell>
          <cell r="D1660">
            <v>-50.512947650000001</v>
          </cell>
        </row>
        <row r="1661">
          <cell r="A1661" t="str">
            <v>Dom Aquino</v>
          </cell>
          <cell r="B1661">
            <v>304441</v>
          </cell>
          <cell r="C1661">
            <v>-15.809899809999999</v>
          </cell>
          <cell r="D1661">
            <v>-54.922240680000002</v>
          </cell>
        </row>
        <row r="1662">
          <cell r="A1662" t="str">
            <v>Dom Basílio</v>
          </cell>
          <cell r="B1662">
            <v>301588</v>
          </cell>
          <cell r="C1662">
            <v>-13.761590269999999</v>
          </cell>
          <cell r="D1662">
            <v>-41.770735299999998</v>
          </cell>
        </row>
        <row r="1663">
          <cell r="A1663" t="str">
            <v>Dom Bosco</v>
          </cell>
          <cell r="B1663">
            <v>302765</v>
          </cell>
          <cell r="C1663">
            <v>-16.652063729999998</v>
          </cell>
          <cell r="D1663">
            <v>-46.265187869999998</v>
          </cell>
        </row>
        <row r="1664">
          <cell r="A1664" t="str">
            <v>Dom Cavati</v>
          </cell>
          <cell r="B1664">
            <v>302730</v>
          </cell>
          <cell r="C1664">
            <v>-19.369497119999998</v>
          </cell>
          <cell r="D1664">
            <v>-42.114174740000003</v>
          </cell>
        </row>
        <row r="1665">
          <cell r="A1665" t="str">
            <v>Dom Eliseu</v>
          </cell>
          <cell r="B1665">
            <v>301959</v>
          </cell>
          <cell r="C1665">
            <v>-4.2961537349999999</v>
          </cell>
          <cell r="D1665">
            <v>-47.551410150000002</v>
          </cell>
        </row>
        <row r="1666">
          <cell r="A1666" t="str">
            <v>Dom Expedito Lopes</v>
          </cell>
          <cell r="B1666">
            <v>301050</v>
          </cell>
          <cell r="C1666">
            <v>-6.9591300130000002</v>
          </cell>
          <cell r="D1666">
            <v>-41.64807914</v>
          </cell>
        </row>
        <row r="1667">
          <cell r="A1667" t="str">
            <v>Dom Feliciano</v>
          </cell>
          <cell r="B1667">
            <v>305840</v>
          </cell>
          <cell r="C1667">
            <v>-30.70083215</v>
          </cell>
          <cell r="D1667">
            <v>-52.1031081</v>
          </cell>
        </row>
        <row r="1668">
          <cell r="A1668" t="str">
            <v>Dom Inocêncio</v>
          </cell>
          <cell r="B1668">
            <v>302045</v>
          </cell>
          <cell r="C1668">
            <v>-9.0054044100000006</v>
          </cell>
          <cell r="D1668">
            <v>-41.973714399999999</v>
          </cell>
        </row>
        <row r="1669">
          <cell r="A1669" t="str">
            <v>Dom Joaquim</v>
          </cell>
          <cell r="B1669">
            <v>304899</v>
          </cell>
          <cell r="C1669">
            <v>-18.961506880000002</v>
          </cell>
          <cell r="D1669">
            <v>-43.25474595</v>
          </cell>
        </row>
        <row r="1670">
          <cell r="A1670" t="str">
            <v>Dom Macedo Costa</v>
          </cell>
          <cell r="B1670">
            <v>301534</v>
          </cell>
          <cell r="C1670">
            <v>-12.90596792</v>
          </cell>
          <cell r="D1670">
            <v>-39.192074570000003</v>
          </cell>
        </row>
        <row r="1671">
          <cell r="A1671" t="str">
            <v>Dom Pedrito</v>
          </cell>
          <cell r="B1671">
            <v>305825</v>
          </cell>
          <cell r="C1671">
            <v>-30.979340619999999</v>
          </cell>
          <cell r="D1671">
            <v>-54.670199179999997</v>
          </cell>
        </row>
        <row r="1672">
          <cell r="A1672" t="str">
            <v>Dom Pedro</v>
          </cell>
          <cell r="B1672">
            <v>302432</v>
          </cell>
          <cell r="C1672">
            <v>-5.0355832510000003</v>
          </cell>
          <cell r="D1672">
            <v>-44.441236459999999</v>
          </cell>
        </row>
        <row r="1673">
          <cell r="A1673" t="str">
            <v>Dom Pedro de Alcântara</v>
          </cell>
          <cell r="B1673">
            <v>304131</v>
          </cell>
          <cell r="C1673">
            <v>-29.369479399999999</v>
          </cell>
          <cell r="D1673">
            <v>-49.849699860000001</v>
          </cell>
        </row>
        <row r="1674">
          <cell r="A1674" t="str">
            <v>Dom Silvério</v>
          </cell>
          <cell r="B1674">
            <v>302740</v>
          </cell>
          <cell r="C1674">
            <v>-20.163202179999999</v>
          </cell>
          <cell r="D1674">
            <v>-42.9630376</v>
          </cell>
        </row>
        <row r="1675">
          <cell r="A1675" t="str">
            <v>Dom Viçoso</v>
          </cell>
          <cell r="B1675">
            <v>303438</v>
          </cell>
          <cell r="C1675">
            <v>-22.251588779999999</v>
          </cell>
          <cell r="D1675">
            <v>-45.164702290000001</v>
          </cell>
        </row>
        <row r="1676">
          <cell r="A1676" t="str">
            <v>Domingos Martins</v>
          </cell>
          <cell r="B1676">
            <v>302518</v>
          </cell>
          <cell r="C1676">
            <v>-20.360787640000002</v>
          </cell>
          <cell r="D1676">
            <v>-40.659773450000003</v>
          </cell>
        </row>
        <row r="1677">
          <cell r="A1677" t="str">
            <v>Domingos Mourão</v>
          </cell>
          <cell r="B1677">
            <v>300886</v>
          </cell>
          <cell r="C1677">
            <v>-4.2534618760000003</v>
          </cell>
          <cell r="D1677">
            <v>-41.271392380000002</v>
          </cell>
        </row>
        <row r="1678">
          <cell r="A1678" t="str">
            <v>Dona Emma</v>
          </cell>
          <cell r="B1678">
            <v>304219</v>
          </cell>
          <cell r="C1678">
            <v>-26.981454410000001</v>
          </cell>
          <cell r="D1678">
            <v>-49.726573569999999</v>
          </cell>
        </row>
        <row r="1679">
          <cell r="A1679" t="str">
            <v>Dona Eusébia</v>
          </cell>
          <cell r="B1679">
            <v>303263</v>
          </cell>
          <cell r="C1679">
            <v>-21.31948087</v>
          </cell>
          <cell r="D1679">
            <v>-42.807414270000002</v>
          </cell>
        </row>
        <row r="1680">
          <cell r="A1680" t="str">
            <v>Dona Francisca</v>
          </cell>
          <cell r="B1680">
            <v>305692</v>
          </cell>
          <cell r="C1680">
            <v>-29.621981120000001</v>
          </cell>
          <cell r="D1680">
            <v>-53.356938999999997</v>
          </cell>
        </row>
        <row r="1681">
          <cell r="A1681" t="str">
            <v>Dona Inês</v>
          </cell>
          <cell r="B1681">
            <v>300441</v>
          </cell>
          <cell r="C1681">
            <v>-6.6032257349999997</v>
          </cell>
          <cell r="D1681">
            <v>-35.627417479999998</v>
          </cell>
        </row>
        <row r="1682">
          <cell r="A1682" t="str">
            <v>Dores de Campos</v>
          </cell>
          <cell r="B1682">
            <v>303124</v>
          </cell>
          <cell r="C1682">
            <v>-21.114421459999999</v>
          </cell>
          <cell r="D1682">
            <v>-44.02105435</v>
          </cell>
        </row>
        <row r="1683">
          <cell r="A1683" t="str">
            <v>Dores de Guanhães</v>
          </cell>
          <cell r="B1683">
            <v>302837</v>
          </cell>
          <cell r="C1683">
            <v>-19.052078890000001</v>
          </cell>
          <cell r="D1683">
            <v>-42.925734839999997</v>
          </cell>
        </row>
        <row r="1684">
          <cell r="A1684" t="str">
            <v>Dores do Indaiá</v>
          </cell>
          <cell r="B1684">
            <v>303007</v>
          </cell>
          <cell r="C1684">
            <v>-19.464590009999998</v>
          </cell>
          <cell r="D1684">
            <v>-45.600066030000001</v>
          </cell>
        </row>
        <row r="1685">
          <cell r="A1685" t="str">
            <v>Dores do Rio Preto</v>
          </cell>
          <cell r="B1685">
            <v>302626</v>
          </cell>
          <cell r="C1685">
            <v>-20.693599559999999</v>
          </cell>
          <cell r="D1685">
            <v>-41.840895809999999</v>
          </cell>
        </row>
        <row r="1686">
          <cell r="A1686" t="str">
            <v>Dores do Turvo</v>
          </cell>
          <cell r="B1686">
            <v>303086</v>
          </cell>
          <cell r="C1686">
            <v>-20.978955790000001</v>
          </cell>
          <cell r="D1686">
            <v>-43.183798109999998</v>
          </cell>
        </row>
        <row r="1687">
          <cell r="A1687" t="str">
            <v>Doresópolis</v>
          </cell>
          <cell r="B1687">
            <v>303245</v>
          </cell>
          <cell r="C1687">
            <v>-20.287298360000001</v>
          </cell>
          <cell r="D1687">
            <v>-45.901110209999999</v>
          </cell>
        </row>
        <row r="1688">
          <cell r="A1688" t="str">
            <v>Dormentes</v>
          </cell>
          <cell r="B1688">
            <v>301488</v>
          </cell>
          <cell r="C1688">
            <v>-8.4415863049999995</v>
          </cell>
          <cell r="D1688">
            <v>-40.766499109999998</v>
          </cell>
        </row>
        <row r="1689">
          <cell r="A1689" t="str">
            <v>Douradina</v>
          </cell>
          <cell r="B1689">
            <v>305034</v>
          </cell>
          <cell r="C1689">
            <v>-23.381180860000001</v>
          </cell>
          <cell r="D1689">
            <v>-53.292235140000003</v>
          </cell>
        </row>
        <row r="1690">
          <cell r="A1690" t="str">
            <v>Douradina</v>
          </cell>
          <cell r="B1690">
            <v>305607</v>
          </cell>
          <cell r="C1690">
            <v>-22.039992080000001</v>
          </cell>
          <cell r="D1690">
            <v>-54.61294092</v>
          </cell>
        </row>
        <row r="1691">
          <cell r="A1691" t="str">
            <v>Dourado</v>
          </cell>
          <cell r="B1691">
            <v>304591</v>
          </cell>
          <cell r="C1691">
            <v>-22.112917110000001</v>
          </cell>
          <cell r="D1691">
            <v>-48.313796879999998</v>
          </cell>
        </row>
        <row r="1692">
          <cell r="A1692" t="str">
            <v>Douradoquara</v>
          </cell>
          <cell r="B1692">
            <v>304945</v>
          </cell>
          <cell r="C1692">
            <v>-18.434070649999999</v>
          </cell>
          <cell r="D1692">
            <v>-47.608473199999999</v>
          </cell>
        </row>
        <row r="1693">
          <cell r="A1693" t="str">
            <v>Dourados</v>
          </cell>
          <cell r="B1693">
            <v>305609</v>
          </cell>
          <cell r="C1693">
            <v>-22.223552980000001</v>
          </cell>
          <cell r="D1693">
            <v>-54.812489249999999</v>
          </cell>
        </row>
        <row r="1694">
          <cell r="A1694" t="str">
            <v>Doutor Camargo</v>
          </cell>
          <cell r="B1694">
            <v>304811</v>
          </cell>
          <cell r="C1694">
            <v>-23.55861629</v>
          </cell>
          <cell r="D1694">
            <v>-52.218245250000002</v>
          </cell>
        </row>
        <row r="1695">
          <cell r="A1695" t="str">
            <v>Doutor Maurício Cardoso</v>
          </cell>
          <cell r="B1695">
            <v>305440</v>
          </cell>
          <cell r="C1695">
            <v>-27.510774609999999</v>
          </cell>
          <cell r="D1695">
            <v>-54.358208939999997</v>
          </cell>
        </row>
        <row r="1696">
          <cell r="A1696" t="str">
            <v>Doutor Pedrinho</v>
          </cell>
          <cell r="B1696">
            <v>304607</v>
          </cell>
          <cell r="C1696">
            <v>-26.717849579999999</v>
          </cell>
          <cell r="D1696">
            <v>-49.479923939999999</v>
          </cell>
        </row>
        <row r="1697">
          <cell r="A1697" t="str">
            <v>Doutor Ricardo</v>
          </cell>
          <cell r="B1697">
            <v>305216</v>
          </cell>
          <cell r="C1697">
            <v>-29.08598125</v>
          </cell>
          <cell r="D1697">
            <v>-51.991941439999998</v>
          </cell>
        </row>
        <row r="1698">
          <cell r="A1698" t="str">
            <v>Doutor Severiano</v>
          </cell>
          <cell r="B1698">
            <v>300897</v>
          </cell>
          <cell r="C1698">
            <v>-6.0812299320000003</v>
          </cell>
          <cell r="D1698">
            <v>-38.379719610000002</v>
          </cell>
        </row>
        <row r="1699">
          <cell r="A1699" t="str">
            <v>Doutor Ulysses</v>
          </cell>
          <cell r="B1699">
            <v>303970</v>
          </cell>
          <cell r="C1699">
            <v>-24.567986659999999</v>
          </cell>
          <cell r="D1699">
            <v>-49.419947639999997</v>
          </cell>
        </row>
        <row r="1700">
          <cell r="A1700" t="str">
            <v>Doverlândia</v>
          </cell>
          <cell r="B1700">
            <v>304526</v>
          </cell>
          <cell r="C1700">
            <v>-16.72170844</v>
          </cell>
          <cell r="D1700">
            <v>-52.314147169999998</v>
          </cell>
        </row>
        <row r="1701">
          <cell r="A1701" t="str">
            <v>Dr. J. L. Mallorquén</v>
          </cell>
          <cell r="B1701">
            <v>314315</v>
          </cell>
          <cell r="C1701">
            <v>-25.41582408</v>
          </cell>
          <cell r="D1701">
            <v>-55.285212039999998</v>
          </cell>
        </row>
        <row r="1702">
          <cell r="A1702" t="str">
            <v>Dr. Juan M. Frutos</v>
          </cell>
          <cell r="B1702">
            <v>314325</v>
          </cell>
          <cell r="C1702">
            <v>-25.371589289999999</v>
          </cell>
          <cell r="D1702">
            <v>-55.828397989999999</v>
          </cell>
        </row>
        <row r="1703">
          <cell r="A1703" t="str">
            <v>Dracena</v>
          </cell>
          <cell r="B1703">
            <v>305746</v>
          </cell>
          <cell r="C1703">
            <v>-21.484771779999999</v>
          </cell>
          <cell r="D1703">
            <v>-51.535458660000003</v>
          </cell>
        </row>
        <row r="1704">
          <cell r="A1704" t="str">
            <v>Duartina</v>
          </cell>
          <cell r="B1704">
            <v>303888</v>
          </cell>
          <cell r="C1704">
            <v>-22.415030819999998</v>
          </cell>
          <cell r="D1704">
            <v>-49.408769079999999</v>
          </cell>
        </row>
        <row r="1705">
          <cell r="A1705" t="str">
            <v>Duas Barras</v>
          </cell>
          <cell r="B1705">
            <v>303072</v>
          </cell>
          <cell r="C1705">
            <v>-22.05412218</v>
          </cell>
          <cell r="D1705">
            <v>-42.523595090000001</v>
          </cell>
        </row>
        <row r="1706">
          <cell r="A1706" t="str">
            <v>Duas Estradas</v>
          </cell>
          <cell r="B1706">
            <v>300435</v>
          </cell>
          <cell r="C1706">
            <v>-6.688750948</v>
          </cell>
          <cell r="D1706">
            <v>-35.418411130000003</v>
          </cell>
        </row>
        <row r="1707">
          <cell r="A1707" t="str">
            <v>Dueré</v>
          </cell>
          <cell r="B1707">
            <v>302289</v>
          </cell>
          <cell r="C1707">
            <v>-11.34205981</v>
          </cell>
          <cell r="D1707">
            <v>-49.271955730000002</v>
          </cell>
        </row>
        <row r="1708">
          <cell r="A1708" t="str">
            <v>Dumont</v>
          </cell>
          <cell r="B1708">
            <v>303673</v>
          </cell>
          <cell r="C1708">
            <v>-21.232869789999999</v>
          </cell>
          <cell r="D1708">
            <v>-47.97602345</v>
          </cell>
        </row>
        <row r="1709">
          <cell r="A1709" t="str">
            <v>Duque Bacelar</v>
          </cell>
          <cell r="B1709">
            <v>301648</v>
          </cell>
          <cell r="C1709">
            <v>-4.1508361279999999</v>
          </cell>
          <cell r="D1709">
            <v>-42.944767380000002</v>
          </cell>
        </row>
        <row r="1710">
          <cell r="A1710" t="str">
            <v>Duque de Caxias</v>
          </cell>
          <cell r="B1710">
            <v>303142</v>
          </cell>
          <cell r="C1710">
            <v>-22.786285970000002</v>
          </cell>
          <cell r="D1710">
            <v>-43.305268650000002</v>
          </cell>
        </row>
        <row r="1711">
          <cell r="A1711" t="str">
            <v>Durandé</v>
          </cell>
          <cell r="B1711">
            <v>302671</v>
          </cell>
          <cell r="C1711">
            <v>-20.206295730000001</v>
          </cell>
          <cell r="D1711">
            <v>-41.798076379999998</v>
          </cell>
        </row>
        <row r="1712">
          <cell r="A1712" t="str">
            <v>Echaporã</v>
          </cell>
          <cell r="B1712">
            <v>304437</v>
          </cell>
          <cell r="C1712">
            <v>-22.42899001</v>
          </cell>
          <cell r="D1712">
            <v>-50.200947300000003</v>
          </cell>
        </row>
        <row r="1713">
          <cell r="A1713" t="str">
            <v>Ecoporanga</v>
          </cell>
          <cell r="B1713">
            <v>302476</v>
          </cell>
          <cell r="C1713">
            <v>-18.370703989999999</v>
          </cell>
          <cell r="D1713">
            <v>-40.836321519999998</v>
          </cell>
        </row>
        <row r="1714">
          <cell r="A1714" t="str">
            <v>Edealina</v>
          </cell>
          <cell r="B1714">
            <v>303382</v>
          </cell>
          <cell r="C1714">
            <v>-17.424394280000001</v>
          </cell>
          <cell r="D1714">
            <v>-49.66480387</v>
          </cell>
        </row>
        <row r="1715">
          <cell r="A1715" t="str">
            <v>Edéia</v>
          </cell>
          <cell r="B1715">
            <v>303389</v>
          </cell>
          <cell r="C1715">
            <v>-17.341052449999999</v>
          </cell>
          <cell r="D1715">
            <v>-49.929948320000001</v>
          </cell>
        </row>
        <row r="1716">
          <cell r="A1716" t="str">
            <v>Eirunepé</v>
          </cell>
          <cell r="B1716">
            <v>305847</v>
          </cell>
          <cell r="C1716">
            <v>-6.6571555570000003</v>
          </cell>
          <cell r="D1716">
            <v>-69.866640880000006</v>
          </cell>
        </row>
        <row r="1717">
          <cell r="A1717" t="str">
            <v>Eldorado</v>
          </cell>
          <cell r="B1717">
            <v>303795</v>
          </cell>
          <cell r="C1717">
            <v>-24.519986280000001</v>
          </cell>
          <cell r="D1717">
            <v>-48.107949699999999</v>
          </cell>
        </row>
        <row r="1718">
          <cell r="A1718" t="str">
            <v>Eldorado</v>
          </cell>
          <cell r="B1718">
            <v>305764</v>
          </cell>
          <cell r="C1718">
            <v>-23.787296919999999</v>
          </cell>
          <cell r="D1718">
            <v>-54.284223349999998</v>
          </cell>
        </row>
        <row r="1719">
          <cell r="A1719" t="str">
            <v>Eldorado</v>
          </cell>
          <cell r="B1719">
            <v>314319</v>
          </cell>
          <cell r="C1719">
            <v>-26.403184</v>
          </cell>
          <cell r="D1719">
            <v>-54.592881830000003</v>
          </cell>
        </row>
        <row r="1720">
          <cell r="A1720" t="str">
            <v>Eldorado do Sul</v>
          </cell>
          <cell r="B1720">
            <v>305778</v>
          </cell>
          <cell r="C1720">
            <v>-30.085154960000001</v>
          </cell>
          <cell r="D1720">
            <v>-51.61915905</v>
          </cell>
        </row>
        <row r="1721">
          <cell r="A1721" t="str">
            <v>Eldorado dos Carajás</v>
          </cell>
          <cell r="B1721">
            <v>302017</v>
          </cell>
          <cell r="C1721">
            <v>-6.1042949430000002</v>
          </cell>
          <cell r="D1721">
            <v>-49.35564583</v>
          </cell>
        </row>
        <row r="1722">
          <cell r="A1722" t="str">
            <v>Elesbão Veloso</v>
          </cell>
          <cell r="B1722">
            <v>301812</v>
          </cell>
          <cell r="C1722">
            <v>-6.1998843609999996</v>
          </cell>
          <cell r="D1722">
            <v>-42.135796829999997</v>
          </cell>
        </row>
        <row r="1723">
          <cell r="A1723" t="str">
            <v>Elias Fausto</v>
          </cell>
          <cell r="B1723">
            <v>303907</v>
          </cell>
          <cell r="C1723">
            <v>-23.04329787</v>
          </cell>
          <cell r="D1723">
            <v>-47.368555559999997</v>
          </cell>
        </row>
        <row r="1724">
          <cell r="A1724" t="str">
            <v>Eliseu Martins</v>
          </cell>
          <cell r="B1724">
            <v>301853</v>
          </cell>
          <cell r="C1724">
            <v>-8.1007296340000003</v>
          </cell>
          <cell r="D1724">
            <v>-43.658695870000003</v>
          </cell>
        </row>
        <row r="1725">
          <cell r="A1725" t="str">
            <v>Elisiário</v>
          </cell>
          <cell r="B1725">
            <v>303826</v>
          </cell>
          <cell r="C1725">
            <v>-21.165991510000001</v>
          </cell>
          <cell r="D1725">
            <v>-49.1119494</v>
          </cell>
        </row>
        <row r="1726">
          <cell r="A1726" t="str">
            <v>Elísio Medrado</v>
          </cell>
          <cell r="B1726">
            <v>301724</v>
          </cell>
          <cell r="C1726">
            <v>-12.94638443</v>
          </cell>
          <cell r="D1726">
            <v>-39.521033330000002</v>
          </cell>
        </row>
        <row r="1727">
          <cell r="A1727" t="str">
            <v>Elói Mendes</v>
          </cell>
          <cell r="B1727">
            <v>303224</v>
          </cell>
          <cell r="C1727">
            <v>-21.609281679999999</v>
          </cell>
          <cell r="D1727">
            <v>-45.569450349999997</v>
          </cell>
        </row>
        <row r="1728">
          <cell r="A1728" t="str">
            <v>Emas</v>
          </cell>
          <cell r="B1728">
            <v>300625</v>
          </cell>
          <cell r="C1728">
            <v>-7.1000526529999997</v>
          </cell>
          <cell r="D1728">
            <v>-37.716584490000002</v>
          </cell>
        </row>
        <row r="1729">
          <cell r="A1729" t="str">
            <v>Embaúba</v>
          </cell>
          <cell r="B1729">
            <v>303819</v>
          </cell>
          <cell r="C1729">
            <v>-20.980060949999999</v>
          </cell>
          <cell r="D1729">
            <v>-48.83285832</v>
          </cell>
        </row>
        <row r="1730">
          <cell r="A1730" t="str">
            <v>Embu</v>
          </cell>
          <cell r="B1730">
            <v>303748</v>
          </cell>
          <cell r="C1730">
            <v>-23.644195960000001</v>
          </cell>
          <cell r="D1730">
            <v>-46.858254930000001</v>
          </cell>
        </row>
        <row r="1731">
          <cell r="A1731" t="str">
            <v>Embu-Guaçu</v>
          </cell>
          <cell r="B1731">
            <v>303751</v>
          </cell>
          <cell r="C1731">
            <v>-23.830196619999999</v>
          </cell>
          <cell r="D1731">
            <v>-46.813994200000003</v>
          </cell>
        </row>
        <row r="1732">
          <cell r="A1732" t="str">
            <v>Emilianópolis</v>
          </cell>
          <cell r="B1732">
            <v>304793</v>
          </cell>
          <cell r="C1732">
            <v>-21.831897860000002</v>
          </cell>
          <cell r="D1732">
            <v>-51.48359336</v>
          </cell>
        </row>
        <row r="1733">
          <cell r="A1733" t="str">
            <v>Empedrado</v>
          </cell>
          <cell r="B1733">
            <v>314332</v>
          </cell>
          <cell r="C1733">
            <v>-27.95123289</v>
          </cell>
          <cell r="D1733">
            <v>-58.79968118</v>
          </cell>
        </row>
        <row r="1734">
          <cell r="A1734" t="str">
            <v>Encantado</v>
          </cell>
          <cell r="B1734">
            <v>305202</v>
          </cell>
          <cell r="C1734">
            <v>-29.23561776</v>
          </cell>
          <cell r="D1734">
            <v>-51.87073685</v>
          </cell>
        </row>
        <row r="1735">
          <cell r="A1735" t="str">
            <v>Encanto</v>
          </cell>
          <cell r="B1735">
            <v>300896</v>
          </cell>
          <cell r="C1735">
            <v>-6.1073231379999999</v>
          </cell>
          <cell r="D1735">
            <v>-38.303592090000002</v>
          </cell>
        </row>
        <row r="1736">
          <cell r="A1736" t="str">
            <v>Encarnación</v>
          </cell>
          <cell r="B1736">
            <v>314518</v>
          </cell>
          <cell r="C1736">
            <v>-27.336344329999999</v>
          </cell>
          <cell r="D1736">
            <v>-55.855316039999998</v>
          </cell>
        </row>
        <row r="1737">
          <cell r="A1737" t="str">
            <v>Encruzilhada</v>
          </cell>
          <cell r="B1737">
            <v>301622</v>
          </cell>
          <cell r="C1737">
            <v>-15.53246431</v>
          </cell>
          <cell r="D1737">
            <v>-40.90759619</v>
          </cell>
        </row>
        <row r="1738">
          <cell r="A1738" t="str">
            <v>Encruzilhada do Sul</v>
          </cell>
          <cell r="B1738">
            <v>305697</v>
          </cell>
          <cell r="C1738">
            <v>-30.543474450000001</v>
          </cell>
          <cell r="D1738">
            <v>-52.520846050000003</v>
          </cell>
        </row>
        <row r="1739">
          <cell r="A1739" t="str">
            <v>Enéas Marques</v>
          </cell>
          <cell r="B1739">
            <v>305261</v>
          </cell>
          <cell r="C1739">
            <v>-25.94499167</v>
          </cell>
          <cell r="D1739">
            <v>-53.166309480000002</v>
          </cell>
        </row>
        <row r="1740">
          <cell r="A1740" t="str">
            <v>Engenheiro Beltrão</v>
          </cell>
          <cell r="B1740">
            <v>304819</v>
          </cell>
          <cell r="C1740">
            <v>-23.797492720000001</v>
          </cell>
          <cell r="D1740">
            <v>-52.266313330000003</v>
          </cell>
        </row>
        <row r="1741">
          <cell r="A1741" t="str">
            <v>Engenheiro Caldas</v>
          </cell>
          <cell r="B1741">
            <v>302726</v>
          </cell>
          <cell r="C1741">
            <v>-19.20697122</v>
          </cell>
          <cell r="D1741">
            <v>-42.050660980000004</v>
          </cell>
        </row>
        <row r="1742">
          <cell r="A1742" t="str">
            <v>Engenheiro Coelho</v>
          </cell>
          <cell r="B1742">
            <v>303687</v>
          </cell>
          <cell r="C1742">
            <v>-22.484047570000001</v>
          </cell>
          <cell r="D1742">
            <v>-47.211444880000002</v>
          </cell>
        </row>
        <row r="1743">
          <cell r="A1743" t="str">
            <v>Engenheiro Navarro</v>
          </cell>
          <cell r="B1743">
            <v>302707</v>
          </cell>
          <cell r="C1743">
            <v>-17.283590719999999</v>
          </cell>
          <cell r="D1743">
            <v>-43.947331269999999</v>
          </cell>
        </row>
        <row r="1744">
          <cell r="A1744" t="str">
            <v>Engenheiro Paulo de Frontin</v>
          </cell>
          <cell r="B1744">
            <v>303155</v>
          </cell>
          <cell r="C1744">
            <v>-22.55026428</v>
          </cell>
          <cell r="D1744">
            <v>-43.683113710000001</v>
          </cell>
        </row>
        <row r="1745">
          <cell r="A1745" t="str">
            <v>Engenho Velho</v>
          </cell>
          <cell r="B1745">
            <v>305374</v>
          </cell>
          <cell r="C1745">
            <v>-27.70649671</v>
          </cell>
          <cell r="D1745">
            <v>-52.914994919999998</v>
          </cell>
        </row>
        <row r="1746">
          <cell r="A1746" t="str">
            <v>Entre Folhas</v>
          </cell>
          <cell r="B1746">
            <v>302902</v>
          </cell>
          <cell r="C1746">
            <v>-19.622286540000001</v>
          </cell>
          <cell r="D1746">
            <v>-42.230913170000001</v>
          </cell>
        </row>
        <row r="1747">
          <cell r="A1747" t="str">
            <v>Entre Rios</v>
          </cell>
          <cell r="B1747">
            <v>301370</v>
          </cell>
          <cell r="C1747">
            <v>-11.9396095</v>
          </cell>
          <cell r="D1747">
            <v>-38.087440569999998</v>
          </cell>
        </row>
        <row r="1748">
          <cell r="A1748" t="str">
            <v>Entre Rios</v>
          </cell>
          <cell r="B1748">
            <v>305275</v>
          </cell>
          <cell r="C1748">
            <v>-26.72294407</v>
          </cell>
          <cell r="D1748">
            <v>-52.558952740000002</v>
          </cell>
        </row>
        <row r="1749">
          <cell r="A1749" t="str">
            <v>Entre Rios de Minas</v>
          </cell>
          <cell r="B1749">
            <v>302981</v>
          </cell>
          <cell r="C1749">
            <v>-20.671105749999999</v>
          </cell>
          <cell r="D1749">
            <v>-44.065765560000003</v>
          </cell>
        </row>
        <row r="1750">
          <cell r="A1750" t="str">
            <v>Entre Rios do Oeste</v>
          </cell>
          <cell r="B1750">
            <v>305020</v>
          </cell>
          <cell r="C1750">
            <v>-24.70467094</v>
          </cell>
          <cell r="D1750">
            <v>-54.238958310000001</v>
          </cell>
        </row>
        <row r="1751">
          <cell r="A1751" t="str">
            <v>Entre Rios do Sul</v>
          </cell>
          <cell r="B1751">
            <v>305371</v>
          </cell>
          <cell r="C1751">
            <v>-27.53030699</v>
          </cell>
          <cell r="D1751">
            <v>-52.735161079999997</v>
          </cell>
        </row>
        <row r="1752">
          <cell r="A1752" t="str">
            <v>Entre-Ijuís</v>
          </cell>
          <cell r="B1752">
            <v>305650</v>
          </cell>
          <cell r="C1752">
            <v>-28.35998326</v>
          </cell>
          <cell r="D1752">
            <v>-54.267938350000001</v>
          </cell>
        </row>
        <row r="1753">
          <cell r="A1753" t="str">
            <v>Envira</v>
          </cell>
          <cell r="B1753">
            <v>305856</v>
          </cell>
          <cell r="C1753">
            <v>-7.4321834769999997</v>
          </cell>
          <cell r="D1753">
            <v>-70.023390840000005</v>
          </cell>
        </row>
        <row r="1754">
          <cell r="A1754" t="str">
            <v>Epitaciolândia</v>
          </cell>
          <cell r="B1754">
            <v>305862</v>
          </cell>
          <cell r="C1754">
            <v>-11.01917014</v>
          </cell>
          <cell r="D1754">
            <v>-68.734591760000001</v>
          </cell>
        </row>
        <row r="1755">
          <cell r="A1755" t="str">
            <v>Equador</v>
          </cell>
          <cell r="B1755">
            <v>300765</v>
          </cell>
          <cell r="C1755">
            <v>-6.9452381560000003</v>
          </cell>
          <cell r="D1755">
            <v>-36.717202610000001</v>
          </cell>
        </row>
        <row r="1756">
          <cell r="A1756" t="str">
            <v>Erebango</v>
          </cell>
          <cell r="B1756">
            <v>305169</v>
          </cell>
          <cell r="C1756">
            <v>-27.854858979999999</v>
          </cell>
          <cell r="D1756">
            <v>-52.300937689999998</v>
          </cell>
        </row>
        <row r="1757">
          <cell r="A1757" t="str">
            <v>Erechim</v>
          </cell>
          <cell r="B1757">
            <v>305159</v>
          </cell>
          <cell r="C1757">
            <v>-27.636852690000001</v>
          </cell>
          <cell r="D1757">
            <v>-52.270140599999998</v>
          </cell>
        </row>
        <row r="1758">
          <cell r="A1758" t="str">
            <v>Ererê</v>
          </cell>
          <cell r="B1758">
            <v>300979</v>
          </cell>
          <cell r="C1758">
            <v>-6.0279186190000003</v>
          </cell>
          <cell r="D1758">
            <v>-38.346425349999997</v>
          </cell>
        </row>
        <row r="1759">
          <cell r="A1759" t="str">
            <v>Érico Cardoso</v>
          </cell>
          <cell r="B1759">
            <v>302095</v>
          </cell>
          <cell r="C1759">
            <v>-13.417587259999999</v>
          </cell>
          <cell r="D1759">
            <v>-42.140680250000003</v>
          </cell>
        </row>
        <row r="1760">
          <cell r="A1760" t="str">
            <v>Ermo</v>
          </cell>
          <cell r="B1760">
            <v>304116</v>
          </cell>
          <cell r="C1760">
            <v>-28.987352749999999</v>
          </cell>
          <cell r="D1760">
            <v>-49.643452070000002</v>
          </cell>
        </row>
        <row r="1761">
          <cell r="A1761" t="str">
            <v>Ernestina</v>
          </cell>
          <cell r="B1761">
            <v>305384</v>
          </cell>
          <cell r="C1761">
            <v>-28.49829364</v>
          </cell>
          <cell r="D1761">
            <v>-52.584147469999998</v>
          </cell>
        </row>
        <row r="1762">
          <cell r="A1762" t="str">
            <v>Erval Grande</v>
          </cell>
          <cell r="B1762">
            <v>305360</v>
          </cell>
          <cell r="C1762">
            <v>-27.393070259999998</v>
          </cell>
          <cell r="D1762">
            <v>-52.574487509999997</v>
          </cell>
        </row>
        <row r="1763">
          <cell r="A1763" t="str">
            <v>Erval Seco</v>
          </cell>
          <cell r="B1763">
            <v>305413</v>
          </cell>
          <cell r="C1763">
            <v>-27.5447825</v>
          </cell>
          <cell r="D1763">
            <v>-53.500958869999998</v>
          </cell>
        </row>
        <row r="1764">
          <cell r="A1764" t="str">
            <v>Erval Velho</v>
          </cell>
          <cell r="B1764">
            <v>305576</v>
          </cell>
          <cell r="C1764">
            <v>-27.27479567</v>
          </cell>
          <cell r="D1764">
            <v>-51.443433880000001</v>
          </cell>
        </row>
        <row r="1765">
          <cell r="A1765" t="str">
            <v>Ervália</v>
          </cell>
          <cell r="B1765">
            <v>302753</v>
          </cell>
          <cell r="C1765">
            <v>-20.840737409999999</v>
          </cell>
          <cell r="D1765">
            <v>-42.654786010000002</v>
          </cell>
        </row>
        <row r="1766">
          <cell r="A1766" t="str">
            <v>Escada</v>
          </cell>
          <cell r="B1766">
            <v>300501</v>
          </cell>
          <cell r="C1766">
            <v>-8.3571441820000008</v>
          </cell>
          <cell r="D1766">
            <v>-35.224373059999998</v>
          </cell>
        </row>
        <row r="1767">
          <cell r="A1767" t="str">
            <v>Escobar</v>
          </cell>
          <cell r="B1767">
            <v>314472</v>
          </cell>
          <cell r="C1767">
            <v>-25.64659297</v>
          </cell>
          <cell r="D1767">
            <v>-57.013638710000002</v>
          </cell>
        </row>
        <row r="1768">
          <cell r="A1768" t="str">
            <v>Esmeralda</v>
          </cell>
          <cell r="B1768">
            <v>305141</v>
          </cell>
          <cell r="C1768">
            <v>-28.05223895</v>
          </cell>
          <cell r="D1768">
            <v>-51.193715419999997</v>
          </cell>
        </row>
        <row r="1769">
          <cell r="A1769" t="str">
            <v>Esmeraldas</v>
          </cell>
          <cell r="B1769">
            <v>303234</v>
          </cell>
          <cell r="C1769">
            <v>-19.762992319999999</v>
          </cell>
          <cell r="D1769">
            <v>-44.313957219999999</v>
          </cell>
        </row>
        <row r="1770">
          <cell r="A1770" t="str">
            <v>Espera Feliz</v>
          </cell>
          <cell r="B1770">
            <v>302627</v>
          </cell>
          <cell r="C1770">
            <v>-20.651242239999998</v>
          </cell>
          <cell r="D1770">
            <v>-41.912285230000002</v>
          </cell>
        </row>
        <row r="1771">
          <cell r="A1771" t="str">
            <v>Esperança</v>
          </cell>
          <cell r="B1771">
            <v>300577</v>
          </cell>
          <cell r="C1771">
            <v>-7.0186714730000004</v>
          </cell>
          <cell r="D1771">
            <v>-35.859479620000002</v>
          </cell>
        </row>
        <row r="1772">
          <cell r="A1772" t="str">
            <v>Esperança do Sul</v>
          </cell>
          <cell r="B1772">
            <v>305419</v>
          </cell>
          <cell r="C1772">
            <v>-27.360742590000001</v>
          </cell>
          <cell r="D1772">
            <v>-53.989541090000003</v>
          </cell>
        </row>
        <row r="1773">
          <cell r="A1773" t="str">
            <v>Esperança Nova</v>
          </cell>
          <cell r="B1773">
            <v>305758</v>
          </cell>
          <cell r="C1773">
            <v>-23.724242149999998</v>
          </cell>
          <cell r="D1773">
            <v>-53.811424359999997</v>
          </cell>
        </row>
        <row r="1774">
          <cell r="A1774" t="str">
            <v>Esperantina</v>
          </cell>
          <cell r="B1774">
            <v>302427</v>
          </cell>
          <cell r="C1774">
            <v>-3.8890264920000002</v>
          </cell>
          <cell r="D1774">
            <v>-42.232760290000002</v>
          </cell>
        </row>
        <row r="1775">
          <cell r="A1775" t="str">
            <v>Esperantina</v>
          </cell>
          <cell r="B1775">
            <v>302584</v>
          </cell>
          <cell r="C1775">
            <v>-5.3663283750000002</v>
          </cell>
          <cell r="D1775">
            <v>-48.538150340000001</v>
          </cell>
        </row>
        <row r="1776">
          <cell r="A1776" t="str">
            <v>Esperantinópolis</v>
          </cell>
          <cell r="B1776">
            <v>302135</v>
          </cell>
          <cell r="C1776">
            <v>-4.8797782219999997</v>
          </cell>
          <cell r="D1776">
            <v>-44.693004010000003</v>
          </cell>
        </row>
        <row r="1777">
          <cell r="A1777" t="str">
            <v>Esperanza</v>
          </cell>
          <cell r="B1777">
            <v>314468</v>
          </cell>
          <cell r="C1777">
            <v>-9.7942498409999992</v>
          </cell>
          <cell r="D1777">
            <v>-70.74648449</v>
          </cell>
        </row>
        <row r="1778">
          <cell r="A1778" t="str">
            <v>Espigão Alto do Iguaçu</v>
          </cell>
          <cell r="B1778">
            <v>305629</v>
          </cell>
          <cell r="C1778">
            <v>-25.422101640000001</v>
          </cell>
          <cell r="D1778">
            <v>-52.835243509999998</v>
          </cell>
        </row>
        <row r="1779">
          <cell r="A1779" t="str">
            <v>Espigão D'Oeste</v>
          </cell>
          <cell r="B1779">
            <v>304281</v>
          </cell>
          <cell r="C1779">
            <v>-11.52698653</v>
          </cell>
          <cell r="D1779">
            <v>-61.025639669999997</v>
          </cell>
        </row>
        <row r="1780">
          <cell r="A1780" t="str">
            <v>Espinosa</v>
          </cell>
          <cell r="B1780">
            <v>302124</v>
          </cell>
          <cell r="C1780">
            <v>-14.925402289999999</v>
          </cell>
          <cell r="D1780">
            <v>-42.809368210000002</v>
          </cell>
        </row>
        <row r="1781">
          <cell r="A1781" t="str">
            <v>Espírito Santo</v>
          </cell>
          <cell r="B1781">
            <v>300422</v>
          </cell>
          <cell r="C1781">
            <v>-6.3329125790000003</v>
          </cell>
          <cell r="D1781">
            <v>-35.311739350000003</v>
          </cell>
        </row>
        <row r="1782">
          <cell r="A1782" t="str">
            <v>Espírito Santo do Dourado</v>
          </cell>
          <cell r="B1782">
            <v>303471</v>
          </cell>
          <cell r="C1782">
            <v>-22.04584423</v>
          </cell>
          <cell r="D1782">
            <v>-45.955160159999998</v>
          </cell>
        </row>
        <row r="1783">
          <cell r="A1783" t="str">
            <v>Espírito Santo do Pinhal</v>
          </cell>
          <cell r="B1783">
            <v>303636</v>
          </cell>
          <cell r="C1783">
            <v>-22.19134579</v>
          </cell>
          <cell r="D1783">
            <v>-46.748065939999996</v>
          </cell>
        </row>
        <row r="1784">
          <cell r="A1784" t="str">
            <v>Espírito Santo do Turvo</v>
          </cell>
          <cell r="B1784">
            <v>303897</v>
          </cell>
          <cell r="C1784">
            <v>-22.691989379999999</v>
          </cell>
          <cell r="D1784">
            <v>-49.429948369999998</v>
          </cell>
        </row>
        <row r="1785">
          <cell r="A1785" t="str">
            <v>Esplanada</v>
          </cell>
          <cell r="B1785">
            <v>301366</v>
          </cell>
          <cell r="C1785">
            <v>-11.792996369999999</v>
          </cell>
          <cell r="D1785">
            <v>-37.950618310000003</v>
          </cell>
        </row>
        <row r="1786">
          <cell r="A1786" t="str">
            <v>Espumoso</v>
          </cell>
          <cell r="B1786">
            <v>305394</v>
          </cell>
          <cell r="C1786">
            <v>-28.729105629999999</v>
          </cell>
          <cell r="D1786">
            <v>-52.846538850000002</v>
          </cell>
        </row>
        <row r="1787">
          <cell r="A1787" t="str">
            <v>Esquina</v>
          </cell>
          <cell r="B1787">
            <v>314349</v>
          </cell>
          <cell r="C1787">
            <v>-30.014615939999999</v>
          </cell>
          <cell r="D1787">
            <v>-59.528877979999997</v>
          </cell>
        </row>
        <row r="1788">
          <cell r="A1788" t="str">
            <v>Estação</v>
          </cell>
          <cell r="B1788">
            <v>305167</v>
          </cell>
          <cell r="C1788">
            <v>-27.913941210000001</v>
          </cell>
          <cell r="D1788">
            <v>-52.263987700000001</v>
          </cell>
        </row>
        <row r="1789">
          <cell r="A1789" t="str">
            <v>Estância</v>
          </cell>
          <cell r="B1789">
            <v>301260</v>
          </cell>
          <cell r="C1789">
            <v>-11.268612790000001</v>
          </cell>
          <cell r="D1789">
            <v>-37.437599329999998</v>
          </cell>
        </row>
        <row r="1790">
          <cell r="A1790" t="str">
            <v>Estância Velha</v>
          </cell>
          <cell r="B1790">
            <v>305489</v>
          </cell>
          <cell r="C1790">
            <v>-29.654019779999999</v>
          </cell>
          <cell r="D1790">
            <v>-51.184791240000003</v>
          </cell>
        </row>
        <row r="1791">
          <cell r="A1791" t="str">
            <v>Esteio</v>
          </cell>
          <cell r="B1791">
            <v>305493</v>
          </cell>
          <cell r="C1791">
            <v>-29.852443099999999</v>
          </cell>
          <cell r="D1791">
            <v>-51.184518130000001</v>
          </cell>
        </row>
        <row r="1792">
          <cell r="A1792" t="str">
            <v>Estiva</v>
          </cell>
          <cell r="B1792">
            <v>303270</v>
          </cell>
          <cell r="C1792">
            <v>-22.458171409999999</v>
          </cell>
          <cell r="D1792">
            <v>-46.019441739999998</v>
          </cell>
        </row>
        <row r="1793">
          <cell r="A1793" t="str">
            <v>Estiva Gerbi</v>
          </cell>
          <cell r="B1793">
            <v>303639</v>
          </cell>
          <cell r="C1793">
            <v>-22.27178855</v>
          </cell>
          <cell r="D1793">
            <v>-46.948508510000003</v>
          </cell>
        </row>
        <row r="1794">
          <cell r="A1794" t="str">
            <v>Estreito</v>
          </cell>
          <cell r="B1794">
            <v>301999</v>
          </cell>
          <cell r="C1794">
            <v>-6.5611826879999997</v>
          </cell>
          <cell r="D1794">
            <v>-47.443445529999998</v>
          </cell>
        </row>
        <row r="1795">
          <cell r="A1795" t="str">
            <v>Estrela</v>
          </cell>
          <cell r="B1795">
            <v>305787</v>
          </cell>
          <cell r="C1795">
            <v>-29.48881098</v>
          </cell>
          <cell r="D1795">
            <v>-51.953114980000002</v>
          </cell>
        </row>
        <row r="1796">
          <cell r="A1796" t="str">
            <v>Estrela Dalva</v>
          </cell>
          <cell r="B1796">
            <v>304925</v>
          </cell>
          <cell r="C1796">
            <v>-21.74171419</v>
          </cell>
          <cell r="D1796">
            <v>-42.457794819999997</v>
          </cell>
        </row>
        <row r="1797">
          <cell r="A1797" t="str">
            <v>Estrela de Alagoas</v>
          </cell>
          <cell r="B1797">
            <v>301199</v>
          </cell>
          <cell r="C1797">
            <v>-9.3889748120000007</v>
          </cell>
          <cell r="D1797">
            <v>-36.759980900000002</v>
          </cell>
        </row>
        <row r="1798">
          <cell r="A1798" t="str">
            <v>Estrela do Indaiá</v>
          </cell>
          <cell r="B1798">
            <v>303014</v>
          </cell>
          <cell r="C1798">
            <v>-19.518751309999999</v>
          </cell>
          <cell r="D1798">
            <v>-45.789951209999998</v>
          </cell>
        </row>
        <row r="1799">
          <cell r="A1799" t="str">
            <v>Estrela do Norte</v>
          </cell>
          <cell r="B1799">
            <v>302788</v>
          </cell>
          <cell r="C1799">
            <v>-13.867592500000001</v>
          </cell>
          <cell r="D1799">
            <v>-49.068760519999998</v>
          </cell>
        </row>
        <row r="1800">
          <cell r="A1800" t="str">
            <v>Estrela do Norte</v>
          </cell>
          <cell r="B1800">
            <v>304691</v>
          </cell>
          <cell r="C1800">
            <v>-22.487927320000001</v>
          </cell>
          <cell r="D1800">
            <v>-51.65999635</v>
          </cell>
        </row>
        <row r="1801">
          <cell r="A1801" t="str">
            <v>Estrela do Sul</v>
          </cell>
          <cell r="B1801">
            <v>304947</v>
          </cell>
          <cell r="C1801">
            <v>-18.740401009999999</v>
          </cell>
          <cell r="D1801">
            <v>-47.696036370000002</v>
          </cell>
        </row>
        <row r="1802">
          <cell r="A1802" t="str">
            <v>Estrela d'Oeste</v>
          </cell>
          <cell r="B1802">
            <v>304362</v>
          </cell>
          <cell r="C1802">
            <v>-20.28799317</v>
          </cell>
          <cell r="D1802">
            <v>-50.400947760000001</v>
          </cell>
        </row>
        <row r="1803">
          <cell r="A1803" t="str">
            <v>Estrela Velha</v>
          </cell>
          <cell r="B1803">
            <v>305406</v>
          </cell>
          <cell r="C1803">
            <v>-29.176981640000001</v>
          </cell>
          <cell r="D1803">
            <v>-53.158939570000001</v>
          </cell>
        </row>
        <row r="1804">
          <cell r="A1804" t="str">
            <v>Euclides da Cunha</v>
          </cell>
          <cell r="B1804">
            <v>301391</v>
          </cell>
          <cell r="C1804">
            <v>-10.50819059</v>
          </cell>
          <cell r="D1804">
            <v>-39.01560671</v>
          </cell>
        </row>
        <row r="1805">
          <cell r="A1805" t="str">
            <v>Euclides da Cunha Paulista</v>
          </cell>
          <cell r="B1805">
            <v>304843</v>
          </cell>
          <cell r="C1805">
            <v>-22.55498081</v>
          </cell>
          <cell r="D1805">
            <v>-52.593213300000002</v>
          </cell>
        </row>
        <row r="1806">
          <cell r="A1806" t="str">
            <v>Eugênio de Castro</v>
          </cell>
          <cell r="B1806">
            <v>305648</v>
          </cell>
          <cell r="C1806">
            <v>-28.531934880000001</v>
          </cell>
          <cell r="D1806">
            <v>-54.151056070000003</v>
          </cell>
        </row>
        <row r="1807">
          <cell r="A1807" t="str">
            <v>Eugenópolis</v>
          </cell>
          <cell r="B1807">
            <v>303253</v>
          </cell>
          <cell r="C1807">
            <v>-21.10063439</v>
          </cell>
          <cell r="D1807">
            <v>-42.188195290000003</v>
          </cell>
        </row>
        <row r="1808">
          <cell r="A1808" t="str">
            <v>Eunápolis</v>
          </cell>
          <cell r="B1808">
            <v>301544</v>
          </cell>
          <cell r="C1808">
            <v>-16.371964089999999</v>
          </cell>
          <cell r="D1808">
            <v>-39.582454749999997</v>
          </cell>
        </row>
        <row r="1809">
          <cell r="A1809" t="str">
            <v>Eusébio</v>
          </cell>
          <cell r="B1809">
            <v>302346</v>
          </cell>
          <cell r="C1809">
            <v>-3.8928979770000001</v>
          </cell>
          <cell r="D1809">
            <v>-38.456187130000004</v>
          </cell>
        </row>
        <row r="1810">
          <cell r="A1810" t="str">
            <v>Eusebio Ayala</v>
          </cell>
          <cell r="B1810">
            <v>314525</v>
          </cell>
          <cell r="C1810">
            <v>-25.396379809999999</v>
          </cell>
          <cell r="D1810">
            <v>-56.939684329999999</v>
          </cell>
        </row>
        <row r="1811">
          <cell r="A1811" t="str">
            <v>Ewbank da Câmara</v>
          </cell>
          <cell r="B1811">
            <v>303110</v>
          </cell>
          <cell r="C1811">
            <v>-21.550299169999999</v>
          </cell>
          <cell r="D1811">
            <v>-43.507174829999997</v>
          </cell>
        </row>
        <row r="1812">
          <cell r="A1812" t="str">
            <v>Exaltacion</v>
          </cell>
          <cell r="B1812">
            <v>314456</v>
          </cell>
          <cell r="C1812">
            <v>-13.322872800000001</v>
          </cell>
          <cell r="D1812">
            <v>-65.254909929999997</v>
          </cell>
        </row>
        <row r="1813">
          <cell r="A1813" t="str">
            <v>Extrema</v>
          </cell>
          <cell r="B1813">
            <v>303550</v>
          </cell>
          <cell r="C1813">
            <v>-22.854468929999999</v>
          </cell>
          <cell r="D1813">
            <v>-46.318210909999998</v>
          </cell>
        </row>
        <row r="1814">
          <cell r="A1814" t="str">
            <v>Extremoz</v>
          </cell>
          <cell r="B1814">
            <v>302309</v>
          </cell>
          <cell r="C1814">
            <v>-5.7042610680000001</v>
          </cell>
          <cell r="D1814">
            <v>-35.28949033</v>
          </cell>
        </row>
        <row r="1815">
          <cell r="A1815" t="str">
            <v>Exu</v>
          </cell>
          <cell r="B1815">
            <v>300866</v>
          </cell>
          <cell r="C1815">
            <v>-7.5149831340000004</v>
          </cell>
          <cell r="D1815">
            <v>-39.723193680000001</v>
          </cell>
        </row>
        <row r="1816">
          <cell r="A1816" t="str">
            <v>Fagundes</v>
          </cell>
          <cell r="B1816">
            <v>300658</v>
          </cell>
          <cell r="C1816">
            <v>-7.3582199700000004</v>
          </cell>
          <cell r="D1816">
            <v>-35.785186860000003</v>
          </cell>
        </row>
        <row r="1817">
          <cell r="A1817" t="str">
            <v>Fagundes Varela</v>
          </cell>
          <cell r="B1817">
            <v>305192</v>
          </cell>
          <cell r="C1817">
            <v>-28.87986274</v>
          </cell>
          <cell r="D1817">
            <v>-51.701877209999999</v>
          </cell>
        </row>
        <row r="1818">
          <cell r="A1818" t="str">
            <v>Faina</v>
          </cell>
          <cell r="B1818">
            <v>304543</v>
          </cell>
          <cell r="C1818">
            <v>-15.447740769999999</v>
          </cell>
          <cell r="D1818">
            <v>-50.362608059999999</v>
          </cell>
        </row>
        <row r="1819">
          <cell r="A1819" t="str">
            <v>Fama</v>
          </cell>
          <cell r="B1819">
            <v>303230</v>
          </cell>
          <cell r="C1819">
            <v>-21.409372399999999</v>
          </cell>
          <cell r="D1819">
            <v>-45.829004589999997</v>
          </cell>
        </row>
        <row r="1820">
          <cell r="A1820" t="str">
            <v>Faria Lemos</v>
          </cell>
          <cell r="B1820">
            <v>302913</v>
          </cell>
          <cell r="C1820">
            <v>-20.810225630000001</v>
          </cell>
          <cell r="D1820">
            <v>-42.021676390000003</v>
          </cell>
        </row>
        <row r="1821">
          <cell r="A1821" t="str">
            <v>Farias Brito</v>
          </cell>
          <cell r="B1821">
            <v>301182</v>
          </cell>
          <cell r="C1821">
            <v>-6.9218753299999998</v>
          </cell>
          <cell r="D1821">
            <v>-39.565435549999997</v>
          </cell>
        </row>
        <row r="1822">
          <cell r="A1822" t="str">
            <v>Faro</v>
          </cell>
          <cell r="B1822">
            <v>304170</v>
          </cell>
          <cell r="C1822">
            <v>-2.1684280970000001</v>
          </cell>
          <cell r="D1822">
            <v>-56.740921540000002</v>
          </cell>
        </row>
        <row r="1823">
          <cell r="A1823" t="str">
            <v>Farol</v>
          </cell>
          <cell r="B1823">
            <v>305522</v>
          </cell>
          <cell r="C1823">
            <v>-24.0963064</v>
          </cell>
          <cell r="D1823">
            <v>-52.62213251</v>
          </cell>
        </row>
        <row r="1824">
          <cell r="A1824" t="str">
            <v>Farroupilha</v>
          </cell>
          <cell r="B1824">
            <v>305575</v>
          </cell>
          <cell r="C1824">
            <v>-29.223167530000001</v>
          </cell>
          <cell r="D1824">
            <v>-51.342304370000001</v>
          </cell>
        </row>
        <row r="1825">
          <cell r="A1825" t="str">
            <v>Fartura</v>
          </cell>
          <cell r="B1825">
            <v>304964</v>
          </cell>
          <cell r="C1825">
            <v>-23.39211427</v>
          </cell>
          <cell r="D1825">
            <v>-49.512820730000001</v>
          </cell>
        </row>
        <row r="1826">
          <cell r="A1826" t="str">
            <v>Fartura do Piauí</v>
          </cell>
          <cell r="B1826">
            <v>302054</v>
          </cell>
          <cell r="C1826">
            <v>-9.479067444</v>
          </cell>
          <cell r="D1826">
            <v>-42.790587029999998</v>
          </cell>
        </row>
        <row r="1827">
          <cell r="A1827" t="str">
            <v>Fátima</v>
          </cell>
          <cell r="B1827">
            <v>301302</v>
          </cell>
          <cell r="C1827">
            <v>-10.59401703</v>
          </cell>
          <cell r="D1827">
            <v>-38.211624520000001</v>
          </cell>
        </row>
        <row r="1828">
          <cell r="A1828" t="str">
            <v>Fátima</v>
          </cell>
          <cell r="B1828">
            <v>302257</v>
          </cell>
          <cell r="C1828">
            <v>-10.757879150000001</v>
          </cell>
          <cell r="D1828">
            <v>-48.903015859999996</v>
          </cell>
        </row>
        <row r="1829">
          <cell r="A1829" t="str">
            <v>Fátima do Sul</v>
          </cell>
          <cell r="B1829">
            <v>304859</v>
          </cell>
          <cell r="C1829">
            <v>-22.379379159999999</v>
          </cell>
          <cell r="D1829">
            <v>-54.513514030000003</v>
          </cell>
        </row>
        <row r="1830">
          <cell r="A1830" t="str">
            <v>Faxinal</v>
          </cell>
          <cell r="B1830">
            <v>304745</v>
          </cell>
          <cell r="C1830">
            <v>-24.008138880000001</v>
          </cell>
          <cell r="D1830">
            <v>-51.323096210000003</v>
          </cell>
        </row>
        <row r="1831">
          <cell r="A1831" t="str">
            <v>Faxinal do Soturno</v>
          </cell>
          <cell r="B1831">
            <v>305694</v>
          </cell>
          <cell r="C1831">
            <v>-29.574981229999999</v>
          </cell>
          <cell r="D1831">
            <v>-53.444938890000003</v>
          </cell>
        </row>
        <row r="1832">
          <cell r="A1832" t="str">
            <v>Faxinal dos Guedes</v>
          </cell>
          <cell r="B1832">
            <v>305123</v>
          </cell>
          <cell r="C1832">
            <v>-26.84557525</v>
          </cell>
          <cell r="D1832">
            <v>-52.260071359999998</v>
          </cell>
        </row>
        <row r="1833">
          <cell r="A1833" t="str">
            <v>Faxinalzinho</v>
          </cell>
          <cell r="B1833">
            <v>305362</v>
          </cell>
          <cell r="C1833">
            <v>-27.42424098</v>
          </cell>
          <cell r="D1833">
            <v>-52.679369299999998</v>
          </cell>
        </row>
        <row r="1834">
          <cell r="A1834" t="str">
            <v>Fazenda Nova</v>
          </cell>
          <cell r="B1834">
            <v>304550</v>
          </cell>
          <cell r="C1834">
            <v>-16.180027930000001</v>
          </cell>
          <cell r="D1834">
            <v>-50.782184270000002</v>
          </cell>
        </row>
        <row r="1835">
          <cell r="A1835" t="str">
            <v>Fazenda Rio Grande</v>
          </cell>
          <cell r="B1835">
            <v>304033</v>
          </cell>
          <cell r="C1835">
            <v>-25.662831650000001</v>
          </cell>
          <cell r="D1835">
            <v>-49.30773396</v>
          </cell>
        </row>
        <row r="1836">
          <cell r="A1836" t="str">
            <v>Fazenda Vilanova</v>
          </cell>
          <cell r="B1836">
            <v>305774</v>
          </cell>
          <cell r="C1836">
            <v>-29.588988489999998</v>
          </cell>
          <cell r="D1836">
            <v>-51.822170110000002</v>
          </cell>
        </row>
        <row r="1837">
          <cell r="A1837" t="str">
            <v>Federación</v>
          </cell>
          <cell r="B1837">
            <v>314310</v>
          </cell>
          <cell r="C1837">
            <v>-31.00252678</v>
          </cell>
          <cell r="D1837">
            <v>-57.930143209999997</v>
          </cell>
        </row>
        <row r="1838">
          <cell r="A1838" t="str">
            <v>Federal</v>
          </cell>
          <cell r="B1838">
            <v>314351</v>
          </cell>
          <cell r="C1838">
            <v>-30.942859410000001</v>
          </cell>
          <cell r="D1838">
            <v>-58.787285709999999</v>
          </cell>
        </row>
        <row r="1839">
          <cell r="A1839" t="str">
            <v>Feijó</v>
          </cell>
          <cell r="B1839">
            <v>305891</v>
          </cell>
          <cell r="C1839">
            <v>-8.1634877499999998</v>
          </cell>
          <cell r="D1839">
            <v>-70.353680929999996</v>
          </cell>
        </row>
        <row r="1840">
          <cell r="A1840" t="str">
            <v>Feira da Mata</v>
          </cell>
          <cell r="B1840">
            <v>302165</v>
          </cell>
          <cell r="C1840">
            <v>-14.210234639999999</v>
          </cell>
          <cell r="D1840">
            <v>-44.279536589999999</v>
          </cell>
        </row>
        <row r="1841">
          <cell r="A1841" t="str">
            <v>Feira de Santana</v>
          </cell>
          <cell r="B1841">
            <v>301413</v>
          </cell>
          <cell r="C1841">
            <v>-12.266875260000001</v>
          </cell>
          <cell r="D1841">
            <v>-38.966615330000003</v>
          </cell>
        </row>
        <row r="1842">
          <cell r="A1842" t="str">
            <v>Feira Grande</v>
          </cell>
          <cell r="B1842">
            <v>301348</v>
          </cell>
          <cell r="C1842">
            <v>-9.8986176199999996</v>
          </cell>
          <cell r="D1842">
            <v>-36.678986180000003</v>
          </cell>
        </row>
        <row r="1843">
          <cell r="A1843" t="str">
            <v>Feira Nova</v>
          </cell>
          <cell r="B1843">
            <v>300499</v>
          </cell>
          <cell r="C1843">
            <v>-7.948029666</v>
          </cell>
          <cell r="D1843">
            <v>-35.388795940000001</v>
          </cell>
        </row>
        <row r="1844">
          <cell r="A1844" t="str">
            <v>Feira Nova</v>
          </cell>
          <cell r="B1844">
            <v>301225</v>
          </cell>
          <cell r="C1844">
            <v>-10.26372814</v>
          </cell>
          <cell r="D1844">
            <v>-37.30947287</v>
          </cell>
        </row>
        <row r="1845">
          <cell r="A1845" t="str">
            <v>Feira Nova do Maranhão</v>
          </cell>
          <cell r="B1845">
            <v>301994</v>
          </cell>
          <cell r="C1845">
            <v>-6.9624410360000004</v>
          </cell>
          <cell r="D1845">
            <v>-46.68196081</v>
          </cell>
        </row>
        <row r="1846">
          <cell r="A1846" t="str">
            <v>Felício dos Santos</v>
          </cell>
          <cell r="B1846">
            <v>302710</v>
          </cell>
          <cell r="C1846">
            <v>-18.07601331</v>
          </cell>
          <cell r="D1846">
            <v>-43.242567999999999</v>
          </cell>
        </row>
        <row r="1847">
          <cell r="A1847" t="str">
            <v>Felipe Guerra</v>
          </cell>
          <cell r="B1847">
            <v>300552</v>
          </cell>
          <cell r="C1847">
            <v>-5.5931452430000004</v>
          </cell>
          <cell r="D1847">
            <v>-37.68782538</v>
          </cell>
        </row>
        <row r="1848">
          <cell r="A1848" t="str">
            <v>Felipe Matiauda</v>
          </cell>
          <cell r="B1848">
            <v>314269</v>
          </cell>
          <cell r="C1848">
            <v>-24.841203709999998</v>
          </cell>
          <cell r="D1848">
            <v>-56.361972000000002</v>
          </cell>
        </row>
        <row r="1849">
          <cell r="A1849" t="str">
            <v>Felisburgo</v>
          </cell>
          <cell r="B1849">
            <v>301618</v>
          </cell>
          <cell r="C1849">
            <v>-16.635293409999999</v>
          </cell>
          <cell r="D1849">
            <v>-40.760843719999997</v>
          </cell>
        </row>
        <row r="1850">
          <cell r="A1850" t="str">
            <v>Felixlândia</v>
          </cell>
          <cell r="B1850">
            <v>302958</v>
          </cell>
          <cell r="C1850">
            <v>-18.754564680000001</v>
          </cell>
          <cell r="D1850">
            <v>-44.900588110000001</v>
          </cell>
        </row>
        <row r="1851">
          <cell r="A1851" t="str">
            <v>Feliz</v>
          </cell>
          <cell r="B1851">
            <v>305484</v>
          </cell>
          <cell r="C1851">
            <v>-29.453182040000002</v>
          </cell>
          <cell r="D1851">
            <v>-51.303638130000003</v>
          </cell>
        </row>
        <row r="1852">
          <cell r="A1852" t="str">
            <v>Feliz Deserto</v>
          </cell>
          <cell r="B1852">
            <v>301184</v>
          </cell>
          <cell r="C1852">
            <v>-10.29392899</v>
          </cell>
          <cell r="D1852">
            <v>-36.303088719999998</v>
          </cell>
        </row>
        <row r="1853">
          <cell r="A1853" t="str">
            <v>Feliz Natal</v>
          </cell>
          <cell r="B1853">
            <v>304559</v>
          </cell>
          <cell r="C1853">
            <v>-12.382172779999999</v>
          </cell>
          <cell r="D1853">
            <v>-54.9389295</v>
          </cell>
        </row>
        <row r="1854">
          <cell r="A1854" t="str">
            <v>Fênix</v>
          </cell>
          <cell r="B1854">
            <v>304815</v>
          </cell>
          <cell r="C1854">
            <v>-23.914012799999998</v>
          </cell>
          <cell r="D1854">
            <v>-51.980956970000001</v>
          </cell>
        </row>
        <row r="1855">
          <cell r="A1855" t="str">
            <v>Fernandes Pinheiro</v>
          </cell>
          <cell r="B1855">
            <v>305244</v>
          </cell>
          <cell r="C1855">
            <v>-25.411215439999999</v>
          </cell>
          <cell r="D1855">
            <v>-50.54603212</v>
          </cell>
        </row>
        <row r="1856">
          <cell r="A1856" t="str">
            <v>Fernandes Tourinho</v>
          </cell>
          <cell r="B1856">
            <v>302728</v>
          </cell>
          <cell r="C1856">
            <v>-19.152479599999999</v>
          </cell>
          <cell r="D1856">
            <v>-42.080226699999997</v>
          </cell>
        </row>
        <row r="1857">
          <cell r="A1857" t="str">
            <v>Fernando de Noronha</v>
          </cell>
          <cell r="B1857">
            <v>305900</v>
          </cell>
          <cell r="C1857">
            <v>-3.8400000040000002</v>
          </cell>
          <cell r="D1857">
            <v>-32.411000000000001</v>
          </cell>
        </row>
        <row r="1858">
          <cell r="A1858" t="str">
            <v>Fernando Falcão</v>
          </cell>
          <cell r="B1858">
            <v>302453</v>
          </cell>
          <cell r="C1858">
            <v>-6.1624765200000002</v>
          </cell>
          <cell r="D1858">
            <v>-44.898233150000003</v>
          </cell>
        </row>
        <row r="1859">
          <cell r="A1859" t="str">
            <v>Fernando Pedroza</v>
          </cell>
          <cell r="B1859">
            <v>300521</v>
          </cell>
          <cell r="C1859">
            <v>-5.6913644760000004</v>
          </cell>
          <cell r="D1859">
            <v>-36.528492020000002</v>
          </cell>
        </row>
        <row r="1860">
          <cell r="A1860" t="str">
            <v>Fernando Prestes</v>
          </cell>
          <cell r="B1860">
            <v>303809</v>
          </cell>
          <cell r="C1860">
            <v>-21.266528189999999</v>
          </cell>
          <cell r="D1860">
            <v>-48.687790159999999</v>
          </cell>
        </row>
        <row r="1861">
          <cell r="A1861" t="str">
            <v>Fernandópolis</v>
          </cell>
          <cell r="B1861">
            <v>303482</v>
          </cell>
          <cell r="C1861">
            <v>-20.281016430000001</v>
          </cell>
          <cell r="D1861">
            <v>-50.247528389999999</v>
          </cell>
        </row>
        <row r="1862">
          <cell r="A1862" t="str">
            <v>Fernão</v>
          </cell>
          <cell r="B1862">
            <v>303889</v>
          </cell>
          <cell r="C1862">
            <v>-22.35935082</v>
          </cell>
          <cell r="D1862">
            <v>-49.522374429999999</v>
          </cell>
        </row>
        <row r="1863">
          <cell r="A1863" t="str">
            <v>Ferraz de Vasconcelos</v>
          </cell>
          <cell r="B1863">
            <v>303935</v>
          </cell>
          <cell r="C1863">
            <v>-23.54153591</v>
          </cell>
          <cell r="D1863">
            <v>-46.371367300000003</v>
          </cell>
        </row>
        <row r="1864">
          <cell r="A1864" t="str">
            <v>Ferreira Gomes</v>
          </cell>
          <cell r="B1864">
            <v>305873</v>
          </cell>
          <cell r="C1864">
            <v>0.85689002999999997</v>
          </cell>
          <cell r="D1864">
            <v>-51.179916349999999</v>
          </cell>
        </row>
        <row r="1865">
          <cell r="A1865" t="str">
            <v>Ferreiros</v>
          </cell>
          <cell r="B1865">
            <v>300478</v>
          </cell>
          <cell r="C1865">
            <v>-7.4500942910000001</v>
          </cell>
          <cell r="D1865">
            <v>-35.243425299999998</v>
          </cell>
        </row>
        <row r="1866">
          <cell r="A1866" t="str">
            <v>Ferros</v>
          </cell>
          <cell r="B1866">
            <v>304896</v>
          </cell>
          <cell r="C1866">
            <v>-19.234781430000002</v>
          </cell>
          <cell r="D1866">
            <v>-43.019594900000001</v>
          </cell>
        </row>
        <row r="1867">
          <cell r="A1867" t="str">
            <v>Fervedouro</v>
          </cell>
          <cell r="B1867">
            <v>300410</v>
          </cell>
          <cell r="C1867">
            <v>-20.726479359999999</v>
          </cell>
          <cell r="D1867">
            <v>-42.279358109999997</v>
          </cell>
        </row>
        <row r="1868">
          <cell r="A1868" t="str">
            <v>Figueira</v>
          </cell>
          <cell r="B1868">
            <v>304732</v>
          </cell>
          <cell r="C1868">
            <v>-23.848988030000001</v>
          </cell>
          <cell r="D1868">
            <v>-50.40294643</v>
          </cell>
        </row>
        <row r="1869">
          <cell r="A1869" t="str">
            <v>Figueirão</v>
          </cell>
          <cell r="B1869">
            <v>300381</v>
          </cell>
          <cell r="C1869">
            <v>-18.68327171</v>
          </cell>
          <cell r="D1869">
            <v>-53.641687359999999</v>
          </cell>
        </row>
        <row r="1870">
          <cell r="A1870" t="str">
            <v>Figueirópolis</v>
          </cell>
          <cell r="B1870">
            <v>302295</v>
          </cell>
          <cell r="C1870">
            <v>-12.13823657</v>
          </cell>
          <cell r="D1870">
            <v>-49.171162260000003</v>
          </cell>
        </row>
        <row r="1871">
          <cell r="A1871" t="str">
            <v>Figueirópolis D'Oeste</v>
          </cell>
          <cell r="B1871">
            <v>304314</v>
          </cell>
          <cell r="C1871">
            <v>-15.44901451</v>
          </cell>
          <cell r="D1871">
            <v>-58.738198109999999</v>
          </cell>
        </row>
        <row r="1872">
          <cell r="A1872" t="str">
            <v>Filadélfia</v>
          </cell>
          <cell r="B1872">
            <v>301439</v>
          </cell>
          <cell r="C1872">
            <v>-10.740353219999999</v>
          </cell>
          <cell r="D1872">
            <v>-40.132494450000003</v>
          </cell>
        </row>
        <row r="1873">
          <cell r="A1873" t="str">
            <v>Filadélfia</v>
          </cell>
          <cell r="B1873">
            <v>302004</v>
          </cell>
          <cell r="C1873">
            <v>-7.3354226499999999</v>
          </cell>
          <cell r="D1873">
            <v>-47.495820459999997</v>
          </cell>
        </row>
        <row r="1874">
          <cell r="A1874" t="str">
            <v>Firmino Alves</v>
          </cell>
          <cell r="B1874">
            <v>301597</v>
          </cell>
          <cell r="C1874">
            <v>-14.987538450000001</v>
          </cell>
          <cell r="D1874">
            <v>-39.923796379999999</v>
          </cell>
        </row>
        <row r="1875">
          <cell r="A1875" t="str">
            <v>Firminópolis</v>
          </cell>
          <cell r="B1875">
            <v>302411</v>
          </cell>
          <cell r="C1875">
            <v>-16.578227999999999</v>
          </cell>
          <cell r="D1875">
            <v>-50.304411979999998</v>
          </cell>
        </row>
        <row r="1876">
          <cell r="A1876" t="str">
            <v>Flexeiras</v>
          </cell>
          <cell r="B1876">
            <v>301471</v>
          </cell>
          <cell r="C1876">
            <v>-9.2732394219999996</v>
          </cell>
          <cell r="D1876">
            <v>-35.714228439999999</v>
          </cell>
        </row>
        <row r="1877">
          <cell r="A1877" t="str">
            <v>Flor da Serra do Sul</v>
          </cell>
          <cell r="B1877">
            <v>305538</v>
          </cell>
          <cell r="C1877">
            <v>-26.25279235</v>
          </cell>
          <cell r="D1877">
            <v>-53.309664069999997</v>
          </cell>
        </row>
        <row r="1878">
          <cell r="A1878" t="str">
            <v>Flor do Sertão</v>
          </cell>
          <cell r="B1878">
            <v>305317</v>
          </cell>
          <cell r="C1878">
            <v>-26.781610659999998</v>
          </cell>
          <cell r="D1878">
            <v>-53.350975859999998</v>
          </cell>
        </row>
        <row r="1879">
          <cell r="A1879" t="str">
            <v>Flora Rica</v>
          </cell>
          <cell r="B1879">
            <v>304791</v>
          </cell>
          <cell r="C1879">
            <v>-21.675963509999999</v>
          </cell>
          <cell r="D1879">
            <v>-51.380604609999999</v>
          </cell>
        </row>
        <row r="1880">
          <cell r="A1880" t="str">
            <v>Floraí</v>
          </cell>
          <cell r="B1880">
            <v>304808</v>
          </cell>
          <cell r="C1880">
            <v>-23.31827148</v>
          </cell>
          <cell r="D1880">
            <v>-52.303319979999998</v>
          </cell>
        </row>
        <row r="1881">
          <cell r="A1881" t="str">
            <v>Florânia</v>
          </cell>
          <cell r="B1881">
            <v>300546</v>
          </cell>
          <cell r="C1881">
            <v>-6.1235691839999999</v>
          </cell>
          <cell r="D1881">
            <v>-36.810626069999998</v>
          </cell>
        </row>
        <row r="1882">
          <cell r="A1882" t="str">
            <v>Floreal</v>
          </cell>
          <cell r="B1882">
            <v>303488</v>
          </cell>
          <cell r="C1882">
            <v>-20.67699253</v>
          </cell>
          <cell r="D1882">
            <v>-50.14494801</v>
          </cell>
        </row>
        <row r="1883">
          <cell r="A1883" t="str">
            <v>Flores</v>
          </cell>
          <cell r="B1883">
            <v>300816</v>
          </cell>
          <cell r="C1883">
            <v>-7.8588421000000004</v>
          </cell>
          <cell r="D1883">
            <v>-37.971821859999999</v>
          </cell>
        </row>
        <row r="1884">
          <cell r="A1884" t="str">
            <v>Flores da Cunha</v>
          </cell>
          <cell r="B1884">
            <v>305151</v>
          </cell>
          <cell r="C1884">
            <v>-29.026625710000001</v>
          </cell>
          <cell r="D1884">
            <v>-51.187906499999997</v>
          </cell>
        </row>
        <row r="1885">
          <cell r="A1885" t="str">
            <v>Flores de Goiás</v>
          </cell>
          <cell r="B1885">
            <v>302870</v>
          </cell>
          <cell r="C1885">
            <v>-14.444735959999999</v>
          </cell>
          <cell r="D1885">
            <v>-47.03689971</v>
          </cell>
        </row>
        <row r="1886">
          <cell r="A1886" t="str">
            <v>Flores do Piauí</v>
          </cell>
          <cell r="B1886">
            <v>301834</v>
          </cell>
          <cell r="C1886">
            <v>-7.7938198940000003</v>
          </cell>
          <cell r="D1886">
            <v>-42.924714340000001</v>
          </cell>
        </row>
        <row r="1887">
          <cell r="A1887" t="str">
            <v>Floresta</v>
          </cell>
          <cell r="B1887">
            <v>301278</v>
          </cell>
          <cell r="C1887">
            <v>-8.5993005629999999</v>
          </cell>
          <cell r="D1887">
            <v>-38.57198124</v>
          </cell>
        </row>
        <row r="1888">
          <cell r="A1888" t="str">
            <v>Floresta</v>
          </cell>
          <cell r="B1888">
            <v>304813</v>
          </cell>
          <cell r="C1888">
            <v>-23.603518780000002</v>
          </cell>
          <cell r="D1888">
            <v>-52.08109056</v>
          </cell>
        </row>
        <row r="1889">
          <cell r="A1889" t="str">
            <v>Floresta Azul</v>
          </cell>
          <cell r="B1889">
            <v>301757</v>
          </cell>
          <cell r="C1889">
            <v>-14.858577029999999</v>
          </cell>
          <cell r="D1889">
            <v>-39.656444860000001</v>
          </cell>
        </row>
        <row r="1890">
          <cell r="A1890" t="str">
            <v>Floresta do Araguaia</v>
          </cell>
          <cell r="B1890">
            <v>302041</v>
          </cell>
          <cell r="C1890">
            <v>-7.5572909189999997</v>
          </cell>
          <cell r="D1890">
            <v>-49.702198549999999</v>
          </cell>
        </row>
        <row r="1891">
          <cell r="A1891" t="str">
            <v>Floresta do Piauí</v>
          </cell>
          <cell r="B1891">
            <v>301069</v>
          </cell>
          <cell r="C1891">
            <v>-7.4669156689999996</v>
          </cell>
          <cell r="D1891">
            <v>-41.799679920000003</v>
          </cell>
        </row>
        <row r="1892">
          <cell r="A1892" t="str">
            <v>Florestal</v>
          </cell>
          <cell r="B1892">
            <v>303235</v>
          </cell>
          <cell r="C1892">
            <v>-19.88851507</v>
          </cell>
          <cell r="D1892">
            <v>-44.432132230000001</v>
          </cell>
        </row>
        <row r="1893">
          <cell r="A1893" t="str">
            <v>Florestópolis</v>
          </cell>
          <cell r="B1893">
            <v>304693</v>
          </cell>
          <cell r="C1893">
            <v>-22.862727840000002</v>
          </cell>
          <cell r="D1893">
            <v>-51.38858492</v>
          </cell>
        </row>
        <row r="1894">
          <cell r="A1894" t="str">
            <v>Floriano</v>
          </cell>
          <cell r="B1894">
            <v>301839</v>
          </cell>
          <cell r="C1894">
            <v>-6.7722330570000002</v>
          </cell>
          <cell r="D1894">
            <v>-43.024481190000003</v>
          </cell>
        </row>
        <row r="1895">
          <cell r="A1895" t="str">
            <v>Floriano Peixoto</v>
          </cell>
          <cell r="B1895">
            <v>305162</v>
          </cell>
          <cell r="C1895">
            <v>-27.861864700000002</v>
          </cell>
          <cell r="D1895">
            <v>-52.084225349999997</v>
          </cell>
        </row>
        <row r="1896">
          <cell r="A1896" t="str">
            <v>Florianópolis</v>
          </cell>
          <cell r="B1896">
            <v>295781</v>
          </cell>
          <cell r="C1896">
            <v>-27.595454740000001</v>
          </cell>
          <cell r="D1896">
            <v>-48.548548050000001</v>
          </cell>
        </row>
        <row r="1897">
          <cell r="A1897" t="str">
            <v>Flórida</v>
          </cell>
          <cell r="B1897">
            <v>304780</v>
          </cell>
          <cell r="C1897">
            <v>-23.085166869999998</v>
          </cell>
          <cell r="D1897">
            <v>-51.954991100000001</v>
          </cell>
        </row>
        <row r="1898">
          <cell r="A1898" t="str">
            <v>Flórida Paulista</v>
          </cell>
          <cell r="B1898">
            <v>304486</v>
          </cell>
          <cell r="C1898">
            <v>-21.613173060000001</v>
          </cell>
          <cell r="D1898">
            <v>-51.17286781</v>
          </cell>
        </row>
        <row r="1899">
          <cell r="A1899" t="str">
            <v>Florínia</v>
          </cell>
          <cell r="B1899">
            <v>304502</v>
          </cell>
          <cell r="C1899">
            <v>-22.903938499999999</v>
          </cell>
          <cell r="D1899">
            <v>-50.731196330000003</v>
          </cell>
        </row>
        <row r="1900">
          <cell r="A1900" t="str">
            <v>Fonte Boa</v>
          </cell>
          <cell r="B1900">
            <v>304262</v>
          </cell>
          <cell r="C1900">
            <v>-2.5238035139999999</v>
          </cell>
          <cell r="D1900">
            <v>-66.094676919999998</v>
          </cell>
        </row>
        <row r="1901">
          <cell r="A1901" t="str">
            <v>Fontoura Xavier</v>
          </cell>
          <cell r="B1901">
            <v>305226</v>
          </cell>
          <cell r="C1901">
            <v>-28.982129740000001</v>
          </cell>
          <cell r="D1901">
            <v>-52.344911779999997</v>
          </cell>
        </row>
        <row r="1902">
          <cell r="A1902" t="str">
            <v>Formiga</v>
          </cell>
          <cell r="B1902">
            <v>303239</v>
          </cell>
          <cell r="C1902">
            <v>-20.462291029999999</v>
          </cell>
          <cell r="D1902">
            <v>-45.427175429999998</v>
          </cell>
        </row>
        <row r="1903">
          <cell r="A1903" t="str">
            <v>Formigueiro</v>
          </cell>
          <cell r="B1903">
            <v>305706</v>
          </cell>
          <cell r="C1903">
            <v>-30.00137612</v>
          </cell>
          <cell r="D1903">
            <v>-53.50289008</v>
          </cell>
        </row>
        <row r="1904">
          <cell r="A1904" t="str">
            <v>Formosa</v>
          </cell>
          <cell r="B1904">
            <v>302771</v>
          </cell>
          <cell r="C1904">
            <v>-15.540440520000001</v>
          </cell>
          <cell r="D1904">
            <v>-47.337383410000001</v>
          </cell>
        </row>
        <row r="1905">
          <cell r="A1905" t="str">
            <v>Formosa</v>
          </cell>
          <cell r="B1905">
            <v>314390</v>
          </cell>
          <cell r="C1905">
            <v>-26.183471959999999</v>
          </cell>
          <cell r="D1905">
            <v>-58.169656189999998</v>
          </cell>
        </row>
        <row r="1906">
          <cell r="A1906" t="str">
            <v>Formosa da Serra Negra</v>
          </cell>
          <cell r="B1906">
            <v>301989</v>
          </cell>
          <cell r="C1906">
            <v>-6.4405809630000004</v>
          </cell>
          <cell r="D1906">
            <v>-46.191948590000003</v>
          </cell>
        </row>
        <row r="1907">
          <cell r="A1907" t="str">
            <v>Formosa do Oeste</v>
          </cell>
          <cell r="B1907">
            <v>305057</v>
          </cell>
          <cell r="C1907">
            <v>-24.295559839999999</v>
          </cell>
          <cell r="D1907">
            <v>-53.311822360000001</v>
          </cell>
        </row>
        <row r="1908">
          <cell r="A1908" t="str">
            <v>Formosa do Rio Preto</v>
          </cell>
          <cell r="B1908">
            <v>302092</v>
          </cell>
          <cell r="C1908">
            <v>-11.04265958</v>
          </cell>
          <cell r="D1908">
            <v>-45.190388890000001</v>
          </cell>
        </row>
        <row r="1909">
          <cell r="A1909" t="str">
            <v>Formosa do Sul</v>
          </cell>
          <cell r="B1909">
            <v>305283</v>
          </cell>
          <cell r="C1909">
            <v>-26.645741180000002</v>
          </cell>
          <cell r="D1909">
            <v>-52.795085899999997</v>
          </cell>
        </row>
        <row r="1910">
          <cell r="A1910" t="str">
            <v>Formoso</v>
          </cell>
          <cell r="B1910">
            <v>302304</v>
          </cell>
          <cell r="C1910">
            <v>-14.9531546</v>
          </cell>
          <cell r="D1910">
            <v>-46.23234884</v>
          </cell>
        </row>
        <row r="1911">
          <cell r="A1911" t="str">
            <v>Formoso</v>
          </cell>
          <cell r="B1911">
            <v>302786</v>
          </cell>
          <cell r="C1911">
            <v>-13.650345229999999</v>
          </cell>
          <cell r="D1911">
            <v>-48.877938780000001</v>
          </cell>
        </row>
        <row r="1912">
          <cell r="A1912" t="str">
            <v>Formoso do Araguaia</v>
          </cell>
          <cell r="B1912">
            <v>302860</v>
          </cell>
          <cell r="C1912">
            <v>-11.80638482</v>
          </cell>
          <cell r="D1912">
            <v>-49.525153809999999</v>
          </cell>
        </row>
        <row r="1913">
          <cell r="A1913" t="str">
            <v>Forquetinha</v>
          </cell>
          <cell r="B1913">
            <v>300391</v>
          </cell>
          <cell r="C1913">
            <v>-29.383231930000001</v>
          </cell>
          <cell r="D1913">
            <v>-52.098524980000001</v>
          </cell>
        </row>
        <row r="1914">
          <cell r="A1914" t="str">
            <v>Forquilha</v>
          </cell>
          <cell r="B1914">
            <v>301326</v>
          </cell>
          <cell r="C1914">
            <v>-3.799842704</v>
          </cell>
          <cell r="D1914">
            <v>-40.263729789999999</v>
          </cell>
        </row>
        <row r="1915">
          <cell r="A1915" t="str">
            <v>Forquilhinha</v>
          </cell>
          <cell r="B1915">
            <v>304109</v>
          </cell>
          <cell r="C1915">
            <v>-28.74584282</v>
          </cell>
          <cell r="D1915">
            <v>-49.478902949999998</v>
          </cell>
        </row>
        <row r="1916">
          <cell r="A1916" t="str">
            <v>Fortaleza</v>
          </cell>
          <cell r="B1916">
            <v>314439</v>
          </cell>
          <cell r="C1916">
            <v>-9.8056042269999999</v>
          </cell>
          <cell r="D1916">
            <v>-65.526657119999996</v>
          </cell>
        </row>
        <row r="1917">
          <cell r="A1917" t="str">
            <v>Fortaleza</v>
          </cell>
          <cell r="B1917">
            <v>295767</v>
          </cell>
          <cell r="C1917">
            <v>-3.7174296089999999</v>
          </cell>
          <cell r="D1917">
            <v>-38.542923350000002</v>
          </cell>
        </row>
        <row r="1918">
          <cell r="A1918" t="str">
            <v>Fortaleza de Minas</v>
          </cell>
          <cell r="B1918">
            <v>303942</v>
          </cell>
          <cell r="C1918">
            <v>-20.851235490000001</v>
          </cell>
          <cell r="D1918">
            <v>-46.712421089999999</v>
          </cell>
        </row>
        <row r="1919">
          <cell r="A1919" t="str">
            <v>Fortaleza do Tabocão</v>
          </cell>
          <cell r="B1919">
            <v>302230</v>
          </cell>
          <cell r="C1919">
            <v>-9.056525207</v>
          </cell>
          <cell r="D1919">
            <v>-48.520945400000002</v>
          </cell>
        </row>
        <row r="1920">
          <cell r="A1920" t="str">
            <v>Fortaleza dos Nogueiras</v>
          </cell>
          <cell r="B1920">
            <v>301990</v>
          </cell>
          <cell r="C1920">
            <v>-6.9623335749999997</v>
          </cell>
          <cell r="D1920">
            <v>-46.178092640000003</v>
          </cell>
        </row>
        <row r="1921">
          <cell r="A1921" t="str">
            <v>Fortaleza dos Valos</v>
          </cell>
          <cell r="B1921">
            <v>305401</v>
          </cell>
          <cell r="C1921">
            <v>-28.799067449999999</v>
          </cell>
          <cell r="D1921">
            <v>-53.22536753</v>
          </cell>
        </row>
        <row r="1922">
          <cell r="A1922" t="str">
            <v>Fortim</v>
          </cell>
          <cell r="B1922">
            <v>300729</v>
          </cell>
          <cell r="C1922">
            <v>-4.4516568630000002</v>
          </cell>
          <cell r="D1922">
            <v>-37.798363639999998</v>
          </cell>
        </row>
        <row r="1923">
          <cell r="A1923" t="str">
            <v>Fortuna</v>
          </cell>
          <cell r="B1923">
            <v>302445</v>
          </cell>
          <cell r="C1923">
            <v>-5.728326375</v>
          </cell>
          <cell r="D1923">
            <v>-44.156847999999997</v>
          </cell>
        </row>
        <row r="1924">
          <cell r="A1924" t="str">
            <v>Fortuna de Minas</v>
          </cell>
          <cell r="B1924">
            <v>303233</v>
          </cell>
          <cell r="C1924">
            <v>-19.56099266</v>
          </cell>
          <cell r="D1924">
            <v>-44.446957060000003</v>
          </cell>
        </row>
        <row r="1925">
          <cell r="A1925" t="str">
            <v>Foz do Iguaçu</v>
          </cell>
          <cell r="B1925">
            <v>305719</v>
          </cell>
          <cell r="C1925">
            <v>-25.5432095</v>
          </cell>
          <cell r="D1925">
            <v>-54.583145440000003</v>
          </cell>
        </row>
        <row r="1926">
          <cell r="A1926" t="str">
            <v>Foz do Jordão</v>
          </cell>
          <cell r="B1926">
            <v>305091</v>
          </cell>
          <cell r="C1926">
            <v>-25.737563640000001</v>
          </cell>
          <cell r="D1926">
            <v>-52.119270929999999</v>
          </cell>
        </row>
        <row r="1927">
          <cell r="A1927" t="str">
            <v>Fraiburgo</v>
          </cell>
          <cell r="B1927">
            <v>305075</v>
          </cell>
          <cell r="C1927">
            <v>-27.023763809999998</v>
          </cell>
          <cell r="D1927">
            <v>-50.920417530000002</v>
          </cell>
        </row>
        <row r="1928">
          <cell r="A1928" t="str">
            <v>Franca</v>
          </cell>
          <cell r="B1928">
            <v>303341</v>
          </cell>
          <cell r="C1928">
            <v>-20.535697849999998</v>
          </cell>
          <cell r="D1928">
            <v>-47.404256859999997</v>
          </cell>
        </row>
        <row r="1929">
          <cell r="A1929" t="str">
            <v>Francinópolis</v>
          </cell>
          <cell r="B1929">
            <v>302574</v>
          </cell>
          <cell r="C1929">
            <v>-6.3968580939999997</v>
          </cell>
          <cell r="D1929">
            <v>-42.266879940000003</v>
          </cell>
        </row>
        <row r="1930">
          <cell r="A1930" t="str">
            <v>Francisco Alves</v>
          </cell>
          <cell r="B1930">
            <v>305760</v>
          </cell>
          <cell r="C1930">
            <v>-24.06718579</v>
          </cell>
          <cell r="D1930">
            <v>-53.846570749999998</v>
          </cell>
        </row>
        <row r="1931">
          <cell r="A1931" t="str">
            <v>Francisco Ayres</v>
          </cell>
          <cell r="B1931">
            <v>301823</v>
          </cell>
          <cell r="C1931">
            <v>-6.6252417660000003</v>
          </cell>
          <cell r="D1931">
            <v>-42.69359171</v>
          </cell>
        </row>
        <row r="1932">
          <cell r="A1932" t="str">
            <v>Francisco Badaró</v>
          </cell>
          <cell r="B1932">
            <v>302652</v>
          </cell>
          <cell r="C1932">
            <v>-16.98874829</v>
          </cell>
          <cell r="D1932">
            <v>-42.357166679999999</v>
          </cell>
        </row>
        <row r="1933">
          <cell r="A1933" t="str">
            <v>Francisco Beltrão</v>
          </cell>
          <cell r="B1933">
            <v>305262</v>
          </cell>
          <cell r="C1933">
            <v>-26.082144280000001</v>
          </cell>
          <cell r="D1933">
            <v>-53.053915320000002</v>
          </cell>
        </row>
        <row r="1934">
          <cell r="A1934" t="str">
            <v>Francisco Dantas</v>
          </cell>
          <cell r="B1934">
            <v>300970</v>
          </cell>
          <cell r="C1934">
            <v>-6.0727500279999997</v>
          </cell>
          <cell r="D1934">
            <v>-38.121519759999998</v>
          </cell>
        </row>
        <row r="1935">
          <cell r="A1935" t="str">
            <v>Francisco Dumont</v>
          </cell>
          <cell r="B1935">
            <v>302941</v>
          </cell>
          <cell r="C1935">
            <v>-17.31114032</v>
          </cell>
          <cell r="D1935">
            <v>-44.232077279999999</v>
          </cell>
        </row>
        <row r="1936">
          <cell r="A1936" t="str">
            <v>Francisco Macedo</v>
          </cell>
          <cell r="B1936">
            <v>301465</v>
          </cell>
          <cell r="C1936">
            <v>-7.3273919630000002</v>
          </cell>
          <cell r="D1936">
            <v>-40.793097349999996</v>
          </cell>
        </row>
        <row r="1937">
          <cell r="A1937" t="str">
            <v>Francisco Morato</v>
          </cell>
          <cell r="B1937">
            <v>303728</v>
          </cell>
          <cell r="C1937">
            <v>-23.279726159999999</v>
          </cell>
          <cell r="D1937">
            <v>-46.745180060000003</v>
          </cell>
        </row>
        <row r="1938">
          <cell r="A1938" t="str">
            <v>Francisco Sá</v>
          </cell>
          <cell r="B1938">
            <v>302153</v>
          </cell>
          <cell r="C1938">
            <v>-16.48318914</v>
          </cell>
          <cell r="D1938">
            <v>-43.489975610000002</v>
          </cell>
        </row>
        <row r="1939">
          <cell r="A1939" t="str">
            <v>Francisco Santos</v>
          </cell>
          <cell r="B1939">
            <v>301035</v>
          </cell>
          <cell r="C1939">
            <v>-6.9936809719999999</v>
          </cell>
          <cell r="D1939">
            <v>-41.134365440000003</v>
          </cell>
        </row>
        <row r="1940">
          <cell r="A1940" t="str">
            <v>Franciscópolis</v>
          </cell>
          <cell r="B1940">
            <v>303028</v>
          </cell>
          <cell r="C1940">
            <v>-17.959994510000001</v>
          </cell>
          <cell r="D1940">
            <v>-42.008964249999998</v>
          </cell>
        </row>
        <row r="1941">
          <cell r="A1941" t="str">
            <v>Franco da Rocha</v>
          </cell>
          <cell r="B1941">
            <v>303729</v>
          </cell>
          <cell r="C1941">
            <v>-23.32336033</v>
          </cell>
          <cell r="D1941">
            <v>-46.729410090000002</v>
          </cell>
        </row>
        <row r="1942">
          <cell r="A1942" t="str">
            <v>Frecheirinha</v>
          </cell>
          <cell r="B1942">
            <v>301340</v>
          </cell>
          <cell r="C1942">
            <v>-3.7681706679999998</v>
          </cell>
          <cell r="D1942">
            <v>-40.833253290000002</v>
          </cell>
        </row>
        <row r="1943">
          <cell r="A1943" t="str">
            <v>Frederico Westphalen</v>
          </cell>
          <cell r="B1943">
            <v>305679</v>
          </cell>
          <cell r="C1943">
            <v>-27.359112530000001</v>
          </cell>
          <cell r="D1943">
            <v>-53.396280470000001</v>
          </cell>
        </row>
        <row r="1944">
          <cell r="A1944" t="str">
            <v>Frei Gaspar</v>
          </cell>
          <cell r="B1944">
            <v>302874</v>
          </cell>
          <cell r="C1944">
            <v>-18.071368620000001</v>
          </cell>
          <cell r="D1944">
            <v>-41.432871220000003</v>
          </cell>
        </row>
        <row r="1945">
          <cell r="A1945" t="str">
            <v>Frei Inocêncio</v>
          </cell>
          <cell r="B1945">
            <v>302882</v>
          </cell>
          <cell r="C1945">
            <v>-18.5560738</v>
          </cell>
          <cell r="D1945">
            <v>-41.912440619999998</v>
          </cell>
        </row>
        <row r="1946">
          <cell r="A1946" t="str">
            <v>Frei Lagonegro</v>
          </cell>
          <cell r="B1946">
            <v>302689</v>
          </cell>
          <cell r="C1946">
            <v>-18.167994350000001</v>
          </cell>
          <cell r="D1946">
            <v>-42.765961859999997</v>
          </cell>
        </row>
        <row r="1947">
          <cell r="A1947" t="str">
            <v>Frei Martinho</v>
          </cell>
          <cell r="B1947">
            <v>300643</v>
          </cell>
          <cell r="C1947">
            <v>-6.3980040440000003</v>
          </cell>
          <cell r="D1947">
            <v>-36.452926859999998</v>
          </cell>
        </row>
        <row r="1948">
          <cell r="A1948" t="str">
            <v>Frei Miguelinho</v>
          </cell>
          <cell r="B1948">
            <v>300582</v>
          </cell>
          <cell r="C1948">
            <v>-7.9416508879999999</v>
          </cell>
          <cell r="D1948">
            <v>-35.920777100000002</v>
          </cell>
        </row>
        <row r="1949">
          <cell r="A1949" t="str">
            <v>Frei Paulo</v>
          </cell>
          <cell r="B1949">
            <v>301252</v>
          </cell>
          <cell r="C1949">
            <v>-10.550584349999999</v>
          </cell>
          <cell r="D1949">
            <v>-37.53400757</v>
          </cell>
        </row>
        <row r="1950">
          <cell r="A1950" t="str">
            <v>Frei Rogério</v>
          </cell>
          <cell r="B1950">
            <v>305618</v>
          </cell>
          <cell r="C1950">
            <v>-27.17549747</v>
          </cell>
          <cell r="D1950">
            <v>-50.808060400000002</v>
          </cell>
        </row>
        <row r="1951">
          <cell r="A1951" t="str">
            <v>Fronteira</v>
          </cell>
          <cell r="B1951">
            <v>303631</v>
          </cell>
          <cell r="C1951">
            <v>-20.28316109</v>
          </cell>
          <cell r="D1951">
            <v>-49.201144399999997</v>
          </cell>
        </row>
        <row r="1952">
          <cell r="A1952" t="str">
            <v>Fronteira dos Vales</v>
          </cell>
          <cell r="B1952">
            <v>302477</v>
          </cell>
          <cell r="C1952">
            <v>-16.8902733</v>
          </cell>
          <cell r="D1952">
            <v>-40.923335340000001</v>
          </cell>
        </row>
        <row r="1953">
          <cell r="A1953" t="str">
            <v>Fronteiras</v>
          </cell>
          <cell r="B1953">
            <v>301020</v>
          </cell>
          <cell r="C1953">
            <v>-7.0876808210000002</v>
          </cell>
          <cell r="D1953">
            <v>-40.614920900000001</v>
          </cell>
        </row>
        <row r="1954">
          <cell r="A1954" t="str">
            <v>Fruta de Leite</v>
          </cell>
          <cell r="B1954">
            <v>302177</v>
          </cell>
          <cell r="C1954">
            <v>-16.117207690000001</v>
          </cell>
          <cell r="D1954">
            <v>-42.52348989</v>
          </cell>
        </row>
        <row r="1955">
          <cell r="A1955" t="str">
            <v>Frutal</v>
          </cell>
          <cell r="B1955">
            <v>303630</v>
          </cell>
          <cell r="C1955">
            <v>-20.02633767</v>
          </cell>
          <cell r="D1955">
            <v>-48.935901469999997</v>
          </cell>
        </row>
        <row r="1956">
          <cell r="A1956" t="str">
            <v>Frutuoso Gomes</v>
          </cell>
          <cell r="B1956">
            <v>300757</v>
          </cell>
          <cell r="C1956">
            <v>-6.1570977190000002</v>
          </cell>
          <cell r="D1956">
            <v>-37.837801769999999</v>
          </cell>
        </row>
        <row r="1957">
          <cell r="A1957" t="str">
            <v>Fuerte Olimpo</v>
          </cell>
          <cell r="B1957">
            <v>314345</v>
          </cell>
          <cell r="C1957">
            <v>-21.039228009999999</v>
          </cell>
          <cell r="D1957">
            <v>-57.895540400000002</v>
          </cell>
        </row>
        <row r="1958">
          <cell r="A1958" t="str">
            <v>Fundão</v>
          </cell>
          <cell r="B1958">
            <v>302512</v>
          </cell>
          <cell r="C1958">
            <v>-19.93751541</v>
          </cell>
          <cell r="D1958">
            <v>-40.40810467</v>
          </cell>
        </row>
        <row r="1959">
          <cell r="A1959" t="str">
            <v>Funilândia</v>
          </cell>
          <cell r="B1959">
            <v>302966</v>
          </cell>
          <cell r="C1959">
            <v>-19.367645629999998</v>
          </cell>
          <cell r="D1959">
            <v>-44.062553819999998</v>
          </cell>
        </row>
        <row r="1960">
          <cell r="A1960" t="str">
            <v>Gabriel Monteiro</v>
          </cell>
          <cell r="B1960">
            <v>304464</v>
          </cell>
          <cell r="C1960">
            <v>-21.530991419999999</v>
          </cell>
          <cell r="D1960">
            <v>-50.5549471</v>
          </cell>
        </row>
        <row r="1961">
          <cell r="A1961" t="str">
            <v>Gado Bravo</v>
          </cell>
          <cell r="B1961">
            <v>300660</v>
          </cell>
          <cell r="C1961">
            <v>-7.5832079490000002</v>
          </cell>
          <cell r="D1961">
            <v>-35.79018172</v>
          </cell>
        </row>
        <row r="1962">
          <cell r="A1962" t="str">
            <v>Gália</v>
          </cell>
          <cell r="B1962">
            <v>303893</v>
          </cell>
          <cell r="C1962">
            <v>-22.29231411</v>
          </cell>
          <cell r="D1962">
            <v>-49.550770630000002</v>
          </cell>
        </row>
        <row r="1963">
          <cell r="A1963" t="str">
            <v>Galiléia</v>
          </cell>
          <cell r="B1963">
            <v>302535</v>
          </cell>
          <cell r="C1963">
            <v>-19.000938359999999</v>
          </cell>
          <cell r="D1963">
            <v>-41.53900488</v>
          </cell>
        </row>
        <row r="1964">
          <cell r="A1964" t="str">
            <v>Galinhos</v>
          </cell>
          <cell r="B1964">
            <v>301359</v>
          </cell>
          <cell r="C1964">
            <v>-5.0913067009999997</v>
          </cell>
          <cell r="D1964">
            <v>-36.275745880000002</v>
          </cell>
        </row>
        <row r="1965">
          <cell r="A1965" t="str">
            <v>Galvão</v>
          </cell>
          <cell r="B1965">
            <v>305272</v>
          </cell>
          <cell r="C1965">
            <v>-26.455403149999999</v>
          </cell>
          <cell r="D1965">
            <v>-52.687976499999998</v>
          </cell>
        </row>
        <row r="1966">
          <cell r="A1966" t="str">
            <v>Gameleira</v>
          </cell>
          <cell r="B1966">
            <v>301081</v>
          </cell>
          <cell r="C1966">
            <v>-8.5802314450000008</v>
          </cell>
          <cell r="D1966">
            <v>-35.384865429999998</v>
          </cell>
        </row>
        <row r="1967">
          <cell r="A1967" t="str">
            <v>Gameleira de Goiás</v>
          </cell>
          <cell r="B1967">
            <v>300364</v>
          </cell>
          <cell r="C1967">
            <v>-16.483515329999999</v>
          </cell>
          <cell r="D1967">
            <v>-48.64476329</v>
          </cell>
        </row>
        <row r="1968">
          <cell r="A1968" t="str">
            <v>Gameleiras</v>
          </cell>
          <cell r="B1968">
            <v>302183</v>
          </cell>
          <cell r="C1968">
            <v>-15.08380871</v>
          </cell>
          <cell r="D1968">
            <v>-43.12028025</v>
          </cell>
        </row>
        <row r="1969">
          <cell r="A1969" t="str">
            <v>Gandu</v>
          </cell>
          <cell r="B1969">
            <v>302379</v>
          </cell>
          <cell r="C1969">
            <v>-13.747051450000001</v>
          </cell>
          <cell r="D1969">
            <v>-39.489920990000002</v>
          </cell>
        </row>
        <row r="1970">
          <cell r="A1970" t="str">
            <v>Garanhuns</v>
          </cell>
          <cell r="B1970">
            <v>301126</v>
          </cell>
          <cell r="C1970">
            <v>-8.8828634229999999</v>
          </cell>
          <cell r="D1970">
            <v>-36.496867909999999</v>
          </cell>
        </row>
        <row r="1971">
          <cell r="A1971" t="str">
            <v>Gararu</v>
          </cell>
          <cell r="B1971">
            <v>302369</v>
          </cell>
          <cell r="C1971">
            <v>-9.9700787430000002</v>
          </cell>
          <cell r="D1971">
            <v>-37.086864900000002</v>
          </cell>
        </row>
        <row r="1972">
          <cell r="A1972" t="str">
            <v>Garça</v>
          </cell>
          <cell r="B1972">
            <v>303891</v>
          </cell>
          <cell r="C1972">
            <v>-22.212983609999998</v>
          </cell>
          <cell r="D1972">
            <v>-49.65501106</v>
          </cell>
        </row>
        <row r="1973">
          <cell r="A1973" t="str">
            <v>Garibaldi</v>
          </cell>
          <cell r="B1973">
            <v>305191</v>
          </cell>
          <cell r="C1973">
            <v>-29.25945694</v>
          </cell>
          <cell r="D1973">
            <v>-51.535631789999996</v>
          </cell>
        </row>
        <row r="1974">
          <cell r="A1974" t="str">
            <v>Garopaba</v>
          </cell>
          <cell r="B1974">
            <v>304047</v>
          </cell>
          <cell r="C1974">
            <v>-28.019045070000001</v>
          </cell>
          <cell r="D1974">
            <v>-48.620324170000004</v>
          </cell>
        </row>
        <row r="1975">
          <cell r="A1975" t="str">
            <v>Garrafão do Norte</v>
          </cell>
          <cell r="B1975">
            <v>301892</v>
          </cell>
          <cell r="C1975">
            <v>-1.9302402679999999</v>
          </cell>
          <cell r="D1975">
            <v>-47.050867879999998</v>
          </cell>
        </row>
        <row r="1976">
          <cell r="A1976" t="str">
            <v>Garruchos</v>
          </cell>
          <cell r="B1976">
            <v>305843</v>
          </cell>
          <cell r="C1976">
            <v>-28.194876279999999</v>
          </cell>
          <cell r="D1976">
            <v>-55.638757480000002</v>
          </cell>
        </row>
        <row r="1977">
          <cell r="A1977" t="str">
            <v>Garuva</v>
          </cell>
          <cell r="B1977">
            <v>303993</v>
          </cell>
          <cell r="C1977">
            <v>-26.02966485</v>
          </cell>
          <cell r="D1977">
            <v>-48.852448250000002</v>
          </cell>
        </row>
        <row r="1978">
          <cell r="A1978" t="str">
            <v>Gaspar</v>
          </cell>
          <cell r="B1978">
            <v>304020</v>
          </cell>
          <cell r="C1978">
            <v>-26.934078660000001</v>
          </cell>
          <cell r="D1978">
            <v>-48.953854239999998</v>
          </cell>
        </row>
        <row r="1979">
          <cell r="A1979" t="str">
            <v>Gastão Vidigal</v>
          </cell>
          <cell r="B1979">
            <v>303490</v>
          </cell>
          <cell r="C1979">
            <v>-20.798992370000001</v>
          </cell>
          <cell r="D1979">
            <v>-50.1869479</v>
          </cell>
        </row>
        <row r="1980">
          <cell r="A1980" t="str">
            <v>Gaúcha do Norte</v>
          </cell>
          <cell r="B1980">
            <v>304527</v>
          </cell>
          <cell r="C1980">
            <v>-13.23589647</v>
          </cell>
          <cell r="D1980">
            <v>-53.088965219999999</v>
          </cell>
        </row>
        <row r="1981">
          <cell r="A1981" t="str">
            <v>Gaurama</v>
          </cell>
          <cell r="B1981">
            <v>305154</v>
          </cell>
          <cell r="C1981">
            <v>-27.58606018</v>
          </cell>
          <cell r="D1981">
            <v>-52.091978259999998</v>
          </cell>
        </row>
        <row r="1982">
          <cell r="A1982" t="str">
            <v>Gavião</v>
          </cell>
          <cell r="B1982">
            <v>301403</v>
          </cell>
          <cell r="C1982">
            <v>-11.4712008</v>
          </cell>
          <cell r="D1982">
            <v>-39.783190759999997</v>
          </cell>
        </row>
        <row r="1983">
          <cell r="A1983" t="str">
            <v>Gavião Peixoto</v>
          </cell>
          <cell r="B1983">
            <v>303813</v>
          </cell>
          <cell r="C1983">
            <v>-21.837127410000001</v>
          </cell>
          <cell r="D1983">
            <v>-48.496066509999999</v>
          </cell>
        </row>
        <row r="1984">
          <cell r="A1984" t="str">
            <v>Geminiano</v>
          </cell>
          <cell r="B1984">
            <v>301042</v>
          </cell>
          <cell r="C1984">
            <v>-7.1584995329999996</v>
          </cell>
          <cell r="D1984">
            <v>-41.363373279999998</v>
          </cell>
        </row>
        <row r="1985">
          <cell r="A1985" t="str">
            <v>Gen. Artigas</v>
          </cell>
          <cell r="B1985">
            <v>314361</v>
          </cell>
          <cell r="C1985">
            <v>-26.918428760000001</v>
          </cell>
          <cell r="D1985">
            <v>-56.140577929999999</v>
          </cell>
        </row>
        <row r="1986">
          <cell r="A1986" t="str">
            <v>General Câmara</v>
          </cell>
          <cell r="B1986">
            <v>305781</v>
          </cell>
          <cell r="C1986">
            <v>-29.903651190000001</v>
          </cell>
          <cell r="D1986">
            <v>-51.761635149999996</v>
          </cell>
        </row>
        <row r="1987">
          <cell r="A1987" t="str">
            <v>General Carneiro</v>
          </cell>
          <cell r="B1987">
            <v>305623</v>
          </cell>
          <cell r="C1987">
            <v>-26.425447349999999</v>
          </cell>
          <cell r="D1987">
            <v>-51.317663779999997</v>
          </cell>
        </row>
        <row r="1988">
          <cell r="A1988" t="str">
            <v>General Carneiro</v>
          </cell>
          <cell r="B1988">
            <v>304530</v>
          </cell>
          <cell r="C1988">
            <v>-15.70988724</v>
          </cell>
          <cell r="D1988">
            <v>-52.757792690000002</v>
          </cell>
        </row>
        <row r="1989">
          <cell r="A1989" t="str">
            <v>General Enrique Martínez</v>
          </cell>
          <cell r="B1989">
            <v>314306</v>
          </cell>
          <cell r="C1989">
            <v>-33.205515570000003</v>
          </cell>
          <cell r="D1989">
            <v>-53.812501079999997</v>
          </cell>
        </row>
        <row r="1990">
          <cell r="A1990" t="str">
            <v>General José de San Martí</v>
          </cell>
          <cell r="B1990">
            <v>314322</v>
          </cell>
          <cell r="C1990">
            <v>-26.537889459999999</v>
          </cell>
          <cell r="D1990">
            <v>-59.337582869999999</v>
          </cell>
        </row>
        <row r="1991">
          <cell r="A1991" t="str">
            <v>General Maynard</v>
          </cell>
          <cell r="B1991">
            <v>301234</v>
          </cell>
          <cell r="C1991">
            <v>-10.683910600000001</v>
          </cell>
          <cell r="D1991">
            <v>-36.98406413</v>
          </cell>
        </row>
        <row r="1992">
          <cell r="A1992" t="str">
            <v>General Salgado</v>
          </cell>
          <cell r="B1992">
            <v>304378</v>
          </cell>
          <cell r="C1992">
            <v>-20.647992639999998</v>
          </cell>
          <cell r="D1992">
            <v>-50.360947699999997</v>
          </cell>
        </row>
        <row r="1993">
          <cell r="A1993" t="str">
            <v>General Sampaio</v>
          </cell>
          <cell r="B1993">
            <v>300693</v>
          </cell>
          <cell r="C1993">
            <v>-4.0439045670000002</v>
          </cell>
          <cell r="D1993">
            <v>-39.454277230000002</v>
          </cell>
        </row>
        <row r="1994">
          <cell r="A1994" t="str">
            <v>Gentil</v>
          </cell>
          <cell r="B1994">
            <v>305204</v>
          </cell>
          <cell r="C1994">
            <v>-28.432115870000001</v>
          </cell>
          <cell r="D1994">
            <v>-52.034147419999996</v>
          </cell>
        </row>
        <row r="1995">
          <cell r="A1995" t="str">
            <v>Gentio do Ouro</v>
          </cell>
          <cell r="B1995">
            <v>302270</v>
          </cell>
          <cell r="C1995">
            <v>-11.43467072</v>
          </cell>
          <cell r="D1995">
            <v>-42.507998180000001</v>
          </cell>
        </row>
        <row r="1996">
          <cell r="A1996" t="str">
            <v>Georgetown</v>
          </cell>
          <cell r="B1996">
            <v>295799</v>
          </cell>
          <cell r="C1996">
            <v>6.7993274020000003</v>
          </cell>
          <cell r="D1996">
            <v>-58.170866660000002</v>
          </cell>
        </row>
        <row r="1997">
          <cell r="A1997" t="str">
            <v>Getulina</v>
          </cell>
          <cell r="B1997">
            <v>303879</v>
          </cell>
          <cell r="C1997">
            <v>-21.798990839999998</v>
          </cell>
          <cell r="D1997">
            <v>-49.92894794</v>
          </cell>
        </row>
        <row r="1998">
          <cell r="A1998" t="str">
            <v>Getúlio Vargas</v>
          </cell>
          <cell r="B1998">
            <v>305166</v>
          </cell>
          <cell r="C1998">
            <v>-27.891566279999999</v>
          </cell>
          <cell r="D1998">
            <v>-52.229808390000002</v>
          </cell>
        </row>
        <row r="1999">
          <cell r="A1999" t="str">
            <v>Gilbués</v>
          </cell>
          <cell r="B1999">
            <v>302076</v>
          </cell>
          <cell r="C1999">
            <v>-9.8309437660000007</v>
          </cell>
          <cell r="D1999">
            <v>-45.337017469999999</v>
          </cell>
        </row>
        <row r="2000">
          <cell r="A2000" t="str">
            <v>Girau do Ponciano</v>
          </cell>
          <cell r="B2000">
            <v>301206</v>
          </cell>
          <cell r="C2000">
            <v>-9.8844761010000006</v>
          </cell>
          <cell r="D2000">
            <v>-36.83189625</v>
          </cell>
        </row>
        <row r="2001">
          <cell r="A2001" t="str">
            <v>Giruá</v>
          </cell>
          <cell r="B2001">
            <v>305449</v>
          </cell>
          <cell r="C2001">
            <v>-28.030130440000001</v>
          </cell>
          <cell r="D2001">
            <v>-54.352145100000001</v>
          </cell>
        </row>
        <row r="2002">
          <cell r="A2002" t="str">
            <v>Glaucilândia</v>
          </cell>
          <cell r="B2002">
            <v>302704</v>
          </cell>
          <cell r="C2002">
            <v>-16.848517749999999</v>
          </cell>
          <cell r="D2002">
            <v>-43.69231465</v>
          </cell>
        </row>
        <row r="2003">
          <cell r="A2003" t="str">
            <v>Glicério</v>
          </cell>
          <cell r="B2003">
            <v>303877</v>
          </cell>
          <cell r="C2003">
            <v>-21.383991529999999</v>
          </cell>
          <cell r="D2003">
            <v>-50.210947660000002</v>
          </cell>
        </row>
        <row r="2004">
          <cell r="A2004" t="str">
            <v>Glória</v>
          </cell>
          <cell r="B2004">
            <v>301276</v>
          </cell>
          <cell r="C2004">
            <v>-9.3433310970000001</v>
          </cell>
          <cell r="D2004">
            <v>-38.259493929999998</v>
          </cell>
        </row>
        <row r="2005">
          <cell r="A2005" t="str">
            <v>Glória de Dourados</v>
          </cell>
          <cell r="B2005">
            <v>305756</v>
          </cell>
          <cell r="C2005">
            <v>-22.41799142</v>
          </cell>
          <cell r="D2005">
            <v>-54.232941320000002</v>
          </cell>
        </row>
        <row r="2006">
          <cell r="A2006" t="str">
            <v>Glória do Goitá</v>
          </cell>
          <cell r="B2006">
            <v>300500</v>
          </cell>
          <cell r="C2006">
            <v>-8.0060999440000007</v>
          </cell>
          <cell r="D2006">
            <v>-35.290731309999998</v>
          </cell>
        </row>
        <row r="2007">
          <cell r="A2007" t="str">
            <v>Glória D'Oeste</v>
          </cell>
          <cell r="B2007">
            <v>304627</v>
          </cell>
          <cell r="C2007">
            <v>-15.76836054</v>
          </cell>
          <cell r="D2007">
            <v>-58.308538319999997</v>
          </cell>
        </row>
        <row r="2008">
          <cell r="A2008" t="str">
            <v>Glorinha</v>
          </cell>
          <cell r="B2008">
            <v>305464</v>
          </cell>
          <cell r="C2008">
            <v>-29.880279550000001</v>
          </cell>
          <cell r="D2008">
            <v>-50.773813539999999</v>
          </cell>
        </row>
        <row r="2009">
          <cell r="A2009" t="str">
            <v>Godofredo Viana</v>
          </cell>
          <cell r="B2009">
            <v>301673</v>
          </cell>
          <cell r="C2009">
            <v>-1.402970375</v>
          </cell>
          <cell r="D2009">
            <v>-45.779820800000003</v>
          </cell>
        </row>
        <row r="2010">
          <cell r="A2010" t="str">
            <v>Godoy Moreira</v>
          </cell>
          <cell r="B2010">
            <v>304833</v>
          </cell>
          <cell r="C2010">
            <v>-24.173446569999999</v>
          </cell>
          <cell r="D2010">
            <v>-51.925071500000001</v>
          </cell>
        </row>
        <row r="2011">
          <cell r="A2011" t="str">
            <v>Goiabeira</v>
          </cell>
          <cell r="B2011">
            <v>302527</v>
          </cell>
          <cell r="C2011">
            <v>-18.981133870000001</v>
          </cell>
          <cell r="D2011">
            <v>-41.223875569999997</v>
          </cell>
        </row>
        <row r="2012">
          <cell r="A2012" t="str">
            <v>Goiana</v>
          </cell>
          <cell r="B2012">
            <v>300678</v>
          </cell>
          <cell r="C2012">
            <v>-7.5610253409999997</v>
          </cell>
          <cell r="D2012">
            <v>-34.996198800000002</v>
          </cell>
        </row>
        <row r="2013">
          <cell r="A2013" t="str">
            <v>Goianá</v>
          </cell>
          <cell r="B2013">
            <v>303102</v>
          </cell>
          <cell r="C2013">
            <v>-21.536525810000001</v>
          </cell>
          <cell r="D2013">
            <v>-43.196033589999999</v>
          </cell>
        </row>
        <row r="2014">
          <cell r="A2014" t="str">
            <v>Goianápolis</v>
          </cell>
          <cell r="B2014">
            <v>302406</v>
          </cell>
          <cell r="C2014">
            <v>-16.502297110000001</v>
          </cell>
          <cell r="D2014">
            <v>-49.020676459999997</v>
          </cell>
        </row>
        <row r="2015">
          <cell r="A2015" t="str">
            <v>Goiandira</v>
          </cell>
          <cell r="B2015">
            <v>303301</v>
          </cell>
          <cell r="C2015">
            <v>-18.135616030000001</v>
          </cell>
          <cell r="D2015">
            <v>-48.087847519999997</v>
          </cell>
        </row>
        <row r="2016">
          <cell r="A2016" t="str">
            <v>Goianésia</v>
          </cell>
          <cell r="B2016">
            <v>302810</v>
          </cell>
          <cell r="C2016">
            <v>-15.31227249</v>
          </cell>
          <cell r="D2016">
            <v>-49.116595179999997</v>
          </cell>
        </row>
        <row r="2017">
          <cell r="A2017" t="str">
            <v>Goianésia do Pará</v>
          </cell>
          <cell r="B2017">
            <v>302141</v>
          </cell>
          <cell r="C2017">
            <v>-3.8437763060000001</v>
          </cell>
          <cell r="D2017">
            <v>-49.097766980000003</v>
          </cell>
        </row>
        <row r="2018">
          <cell r="A2018" t="str">
            <v>Goiânia</v>
          </cell>
          <cell r="B2018">
            <v>295775</v>
          </cell>
          <cell r="C2018">
            <v>-16.687339819999998</v>
          </cell>
          <cell r="D2018">
            <v>-49.265143629999997</v>
          </cell>
        </row>
        <row r="2019">
          <cell r="A2019" t="str">
            <v>Goianinha</v>
          </cell>
          <cell r="B2019">
            <v>302320</v>
          </cell>
          <cell r="C2019">
            <v>-6.2677617750000003</v>
          </cell>
          <cell r="D2019">
            <v>-35.20917893</v>
          </cell>
        </row>
        <row r="2020">
          <cell r="A2020" t="str">
            <v>Goianira</v>
          </cell>
          <cell r="B2020">
            <v>302604</v>
          </cell>
          <cell r="C2020">
            <v>-16.5118388</v>
          </cell>
          <cell r="D2020">
            <v>-49.420567009999999</v>
          </cell>
        </row>
        <row r="2021">
          <cell r="A2021" t="str">
            <v>Goianorte</v>
          </cell>
          <cell r="B2021">
            <v>302234</v>
          </cell>
          <cell r="C2021">
            <v>-8.7708587849999997</v>
          </cell>
          <cell r="D2021">
            <v>-48.936036680000001</v>
          </cell>
        </row>
        <row r="2022">
          <cell r="A2022" t="str">
            <v>Goiás</v>
          </cell>
          <cell r="B2022">
            <v>302613</v>
          </cell>
          <cell r="C2022">
            <v>-15.940846540000001</v>
          </cell>
          <cell r="D2022">
            <v>-50.143351549999998</v>
          </cell>
        </row>
        <row r="2023">
          <cell r="A2023" t="str">
            <v>Goiatins</v>
          </cell>
          <cell r="B2023">
            <v>302012</v>
          </cell>
          <cell r="C2023">
            <v>-7.7145556790000001</v>
          </cell>
          <cell r="D2023">
            <v>-47.31641836</v>
          </cell>
        </row>
        <row r="2024">
          <cell r="A2024" t="str">
            <v>Goiatuba</v>
          </cell>
          <cell r="B2024">
            <v>303391</v>
          </cell>
          <cell r="C2024">
            <v>-18.010985949999998</v>
          </cell>
          <cell r="D2024">
            <v>-49.366209320000003</v>
          </cell>
        </row>
        <row r="2025">
          <cell r="A2025" t="str">
            <v>Goioerê</v>
          </cell>
          <cell r="B2025">
            <v>305054</v>
          </cell>
          <cell r="C2025">
            <v>-24.18394443</v>
          </cell>
          <cell r="D2025">
            <v>-53.025284249999999</v>
          </cell>
        </row>
        <row r="2026">
          <cell r="A2026" t="str">
            <v>Goioxim</v>
          </cell>
          <cell r="B2026">
            <v>305088</v>
          </cell>
          <cell r="C2026">
            <v>-25.19312068</v>
          </cell>
          <cell r="D2026">
            <v>-51.991530470000001</v>
          </cell>
        </row>
        <row r="2027">
          <cell r="A2027" t="str">
            <v>Gonçalves</v>
          </cell>
          <cell r="B2027">
            <v>303274</v>
          </cell>
          <cell r="C2027">
            <v>-22.655013440000001</v>
          </cell>
          <cell r="D2027">
            <v>-45.855957179999997</v>
          </cell>
        </row>
        <row r="2028">
          <cell r="A2028" t="str">
            <v>Gonçalves Dias</v>
          </cell>
          <cell r="B2028">
            <v>302429</v>
          </cell>
          <cell r="C2028">
            <v>-5.1479029719999998</v>
          </cell>
          <cell r="D2028">
            <v>-44.301703609999997</v>
          </cell>
        </row>
        <row r="2029">
          <cell r="A2029" t="str">
            <v>Gongogi</v>
          </cell>
          <cell r="B2029">
            <v>302389</v>
          </cell>
          <cell r="C2029">
            <v>-14.324482250000001</v>
          </cell>
          <cell r="D2029">
            <v>-39.46543612</v>
          </cell>
        </row>
        <row r="2030">
          <cell r="A2030" t="str">
            <v>Gonzaga</v>
          </cell>
          <cell r="B2030">
            <v>302694</v>
          </cell>
          <cell r="C2030">
            <v>-18.82007982</v>
          </cell>
          <cell r="D2030">
            <v>-42.477266180000001</v>
          </cell>
        </row>
        <row r="2031">
          <cell r="A2031" t="str">
            <v>Gouveia</v>
          </cell>
          <cell r="B2031">
            <v>302722</v>
          </cell>
          <cell r="C2031">
            <v>-18.45241189</v>
          </cell>
          <cell r="D2031">
            <v>-43.742660260000001</v>
          </cell>
        </row>
        <row r="2032">
          <cell r="A2032" t="str">
            <v>Gouvelândia</v>
          </cell>
          <cell r="B2032">
            <v>303401</v>
          </cell>
          <cell r="C2032">
            <v>-18.441027349999999</v>
          </cell>
          <cell r="D2032">
            <v>-50.135986539999998</v>
          </cell>
        </row>
        <row r="2033">
          <cell r="A2033" t="str">
            <v>Governador Archer</v>
          </cell>
          <cell r="B2033">
            <v>301859</v>
          </cell>
          <cell r="C2033">
            <v>-5.021179257</v>
          </cell>
          <cell r="D2033">
            <v>-44.275764369999997</v>
          </cell>
        </row>
        <row r="2034">
          <cell r="A2034" t="str">
            <v>Governador Celso Ramos</v>
          </cell>
          <cell r="B2034">
            <v>304619</v>
          </cell>
          <cell r="C2034">
            <v>-27.317644720000001</v>
          </cell>
          <cell r="D2034">
            <v>-48.558033020000003</v>
          </cell>
        </row>
        <row r="2035">
          <cell r="A2035" t="str">
            <v>Governador Dix-Sept Rosado</v>
          </cell>
          <cell r="B2035">
            <v>300551</v>
          </cell>
          <cell r="C2035">
            <v>-5.4492744139999996</v>
          </cell>
          <cell r="D2035">
            <v>-37.518571090000002</v>
          </cell>
        </row>
        <row r="2036">
          <cell r="A2036" t="str">
            <v>Governador Edison Lobão</v>
          </cell>
          <cell r="B2036">
            <v>301969</v>
          </cell>
          <cell r="C2036">
            <v>-5.7501304629999996</v>
          </cell>
          <cell r="D2036">
            <v>-47.364965470000001</v>
          </cell>
        </row>
        <row r="2037">
          <cell r="A2037" t="str">
            <v>Governador Eugênio Barros</v>
          </cell>
          <cell r="B2037">
            <v>302444</v>
          </cell>
          <cell r="C2037">
            <v>-5.3193759869999999</v>
          </cell>
          <cell r="D2037">
            <v>-44.247253350000001</v>
          </cell>
        </row>
        <row r="2038">
          <cell r="A2038" t="str">
            <v>Governador Jorge Teixeira</v>
          </cell>
          <cell r="B2038">
            <v>304299</v>
          </cell>
          <cell r="C2038">
            <v>-10.61043804</v>
          </cell>
          <cell r="D2038">
            <v>-62.737529780000003</v>
          </cell>
        </row>
        <row r="2039">
          <cell r="A2039" t="str">
            <v>Governador Lindenberg</v>
          </cell>
          <cell r="B2039">
            <v>300948</v>
          </cell>
          <cell r="C2039">
            <v>-19.25229706</v>
          </cell>
          <cell r="D2039">
            <v>-40.4612987</v>
          </cell>
        </row>
        <row r="2040">
          <cell r="A2040" t="str">
            <v>Governador Luiz Rocha</v>
          </cell>
          <cell r="B2040">
            <v>302443</v>
          </cell>
          <cell r="C2040">
            <v>-5.472320506</v>
          </cell>
          <cell r="D2040">
            <v>-44.070244199999998</v>
          </cell>
        </row>
        <row r="2041">
          <cell r="A2041" t="str">
            <v>Governador Mangabeira</v>
          </cell>
          <cell r="B2041">
            <v>301526</v>
          </cell>
          <cell r="C2041">
            <v>-12.59986294</v>
          </cell>
          <cell r="D2041">
            <v>-39.041530280000003</v>
          </cell>
        </row>
        <row r="2042">
          <cell r="A2042" t="str">
            <v>Governador Newton Bello</v>
          </cell>
          <cell r="B2042">
            <v>303193</v>
          </cell>
          <cell r="C2042">
            <v>-3.4328384289999998</v>
          </cell>
          <cell r="D2042">
            <v>-45.662299590000003</v>
          </cell>
        </row>
        <row r="2043">
          <cell r="A2043" t="str">
            <v>Governador Nunes Freire</v>
          </cell>
          <cell r="B2043">
            <v>301718</v>
          </cell>
          <cell r="C2043">
            <v>-2.1290433750000002</v>
          </cell>
          <cell r="D2043">
            <v>-45.891322649999999</v>
          </cell>
        </row>
        <row r="2044">
          <cell r="A2044" t="str">
            <v>Governador Valadares</v>
          </cell>
          <cell r="B2044">
            <v>302677</v>
          </cell>
          <cell r="C2044">
            <v>-18.854924960000002</v>
          </cell>
          <cell r="D2044">
            <v>-41.95588455</v>
          </cell>
        </row>
        <row r="2045">
          <cell r="A2045" t="str">
            <v>Goya</v>
          </cell>
          <cell r="B2045">
            <v>314340</v>
          </cell>
          <cell r="C2045">
            <v>-29.13852529</v>
          </cell>
          <cell r="D2045">
            <v>-59.264769229999999</v>
          </cell>
        </row>
        <row r="2046">
          <cell r="A2046" t="str">
            <v>Graça</v>
          </cell>
          <cell r="B2046">
            <v>301343</v>
          </cell>
          <cell r="C2046">
            <v>-4.0446120529999998</v>
          </cell>
          <cell r="D2046">
            <v>-40.749354240000002</v>
          </cell>
        </row>
        <row r="2047">
          <cell r="A2047" t="str">
            <v>Graça Aranha</v>
          </cell>
          <cell r="B2047">
            <v>302446</v>
          </cell>
          <cell r="C2047">
            <v>-5.4058714300000004</v>
          </cell>
          <cell r="D2047">
            <v>-44.336168979999997</v>
          </cell>
        </row>
        <row r="2048">
          <cell r="A2048" t="str">
            <v>Gracho Cardoso</v>
          </cell>
          <cell r="B2048">
            <v>302374</v>
          </cell>
          <cell r="C2048">
            <v>-10.229955820000001</v>
          </cell>
          <cell r="D2048">
            <v>-37.1970089</v>
          </cell>
        </row>
        <row r="2049">
          <cell r="A2049" t="str">
            <v>Grajaú</v>
          </cell>
          <cell r="B2049">
            <v>301953</v>
          </cell>
          <cell r="C2049">
            <v>-5.8201686199999996</v>
          </cell>
          <cell r="D2049">
            <v>-46.155850219999998</v>
          </cell>
        </row>
        <row r="2050">
          <cell r="A2050" t="str">
            <v>Gral Delgado</v>
          </cell>
          <cell r="B2050">
            <v>314367</v>
          </cell>
          <cell r="C2050">
            <v>-27.126313970000002</v>
          </cell>
          <cell r="D2050">
            <v>-56.467149659999997</v>
          </cell>
        </row>
        <row r="2051">
          <cell r="A2051" t="str">
            <v>Gral. Elizardo Aquino</v>
          </cell>
          <cell r="B2051">
            <v>314278</v>
          </cell>
          <cell r="C2051">
            <v>-24.46133146</v>
          </cell>
          <cell r="D2051">
            <v>-56.874644439999997</v>
          </cell>
        </row>
        <row r="2052">
          <cell r="A2052" t="str">
            <v>Gral. H. Mormigo</v>
          </cell>
          <cell r="B2052">
            <v>314333</v>
          </cell>
          <cell r="C2052">
            <v>-26.030572769999999</v>
          </cell>
          <cell r="D2052">
            <v>-56.023510659999999</v>
          </cell>
        </row>
        <row r="2053">
          <cell r="A2053" t="str">
            <v>Gramado</v>
          </cell>
          <cell r="B2053">
            <v>305467</v>
          </cell>
          <cell r="C2053">
            <v>-29.37383135</v>
          </cell>
          <cell r="D2053">
            <v>-50.876612969999996</v>
          </cell>
        </row>
        <row r="2054">
          <cell r="A2054" t="str">
            <v>Gramado dos Loureiros</v>
          </cell>
          <cell r="B2054">
            <v>305369</v>
          </cell>
          <cell r="C2054">
            <v>-27.443365249999999</v>
          </cell>
          <cell r="D2054">
            <v>-52.915314840000001</v>
          </cell>
        </row>
        <row r="2055">
          <cell r="A2055" t="str">
            <v>Gramado Xavier</v>
          </cell>
          <cell r="B2055">
            <v>305396</v>
          </cell>
          <cell r="C2055">
            <v>-29.271045390000001</v>
          </cell>
          <cell r="D2055">
            <v>-52.57995056</v>
          </cell>
        </row>
        <row r="2056">
          <cell r="A2056" t="str">
            <v>Grandes Rios</v>
          </cell>
          <cell r="B2056">
            <v>304822</v>
          </cell>
          <cell r="C2056">
            <v>-24.147073689999999</v>
          </cell>
          <cell r="D2056">
            <v>-51.50981084</v>
          </cell>
        </row>
        <row r="2057">
          <cell r="A2057" t="str">
            <v>Granito</v>
          </cell>
          <cell r="B2057">
            <v>300867</v>
          </cell>
          <cell r="C2057">
            <v>-7.7147981320000003</v>
          </cell>
          <cell r="D2057">
            <v>-39.61515765</v>
          </cell>
        </row>
        <row r="2058">
          <cell r="A2058" t="str">
            <v>Granja</v>
          </cell>
          <cell r="B2058">
            <v>300704</v>
          </cell>
          <cell r="C2058">
            <v>-3.1230743489999999</v>
          </cell>
          <cell r="D2058">
            <v>-40.826998279999998</v>
          </cell>
        </row>
        <row r="2059">
          <cell r="A2059" t="str">
            <v>Granjeiro</v>
          </cell>
          <cell r="B2059">
            <v>301174</v>
          </cell>
          <cell r="C2059">
            <v>-6.8886174970000003</v>
          </cell>
          <cell r="D2059">
            <v>-39.21817815</v>
          </cell>
        </row>
        <row r="2060">
          <cell r="A2060" t="str">
            <v>Grão Mogol</v>
          </cell>
          <cell r="B2060">
            <v>302182</v>
          </cell>
          <cell r="C2060">
            <v>-16.566693529999998</v>
          </cell>
          <cell r="D2060">
            <v>-42.892662639999998</v>
          </cell>
        </row>
        <row r="2061">
          <cell r="A2061" t="str">
            <v>Grão Pará</v>
          </cell>
          <cell r="B2061">
            <v>304067</v>
          </cell>
          <cell r="C2061">
            <v>-28.181386499999999</v>
          </cell>
          <cell r="D2061">
            <v>-49.225626929999997</v>
          </cell>
        </row>
        <row r="2062">
          <cell r="A2062" t="str">
            <v>Gravatá</v>
          </cell>
          <cell r="B2062">
            <v>301355</v>
          </cell>
          <cell r="C2062">
            <v>-8.2116100260000007</v>
          </cell>
          <cell r="D2062">
            <v>-35.567751520000002</v>
          </cell>
        </row>
        <row r="2063">
          <cell r="A2063" t="str">
            <v>Gravataí</v>
          </cell>
          <cell r="B2063">
            <v>305496</v>
          </cell>
          <cell r="C2063">
            <v>-29.936175120000001</v>
          </cell>
          <cell r="D2063">
            <v>-51.016660209999998</v>
          </cell>
        </row>
        <row r="2064">
          <cell r="A2064" t="str">
            <v>Gravatal</v>
          </cell>
          <cell r="B2064">
            <v>304072</v>
          </cell>
          <cell r="C2064">
            <v>-28.321247369999998</v>
          </cell>
          <cell r="D2064">
            <v>-49.04311526</v>
          </cell>
        </row>
        <row r="2065">
          <cell r="A2065" t="str">
            <v>Groaíras</v>
          </cell>
          <cell r="B2065">
            <v>301335</v>
          </cell>
          <cell r="C2065">
            <v>-3.918264405</v>
          </cell>
          <cell r="D2065">
            <v>-40.385550680000001</v>
          </cell>
        </row>
        <row r="2066">
          <cell r="A2066" t="str">
            <v>Grossos</v>
          </cell>
          <cell r="B2066">
            <v>300532</v>
          </cell>
          <cell r="C2066">
            <v>-4.9810845749999997</v>
          </cell>
          <cell r="D2066">
            <v>-37.162383290000001</v>
          </cell>
        </row>
        <row r="2067">
          <cell r="A2067" t="str">
            <v>Grupiara</v>
          </cell>
          <cell r="B2067">
            <v>303305</v>
          </cell>
          <cell r="C2067">
            <v>-18.49680364</v>
          </cell>
          <cell r="D2067">
            <v>-47.722641330000002</v>
          </cell>
        </row>
        <row r="2068">
          <cell r="A2068" t="str">
            <v>Guabiju</v>
          </cell>
          <cell r="B2068">
            <v>305176</v>
          </cell>
          <cell r="C2068">
            <v>-28.542559189999999</v>
          </cell>
          <cell r="D2068">
            <v>-51.69528072</v>
          </cell>
        </row>
        <row r="2069">
          <cell r="A2069" t="str">
            <v>Guabiruba</v>
          </cell>
          <cell r="B2069">
            <v>304023</v>
          </cell>
          <cell r="C2069">
            <v>-27.081292909999998</v>
          </cell>
          <cell r="D2069">
            <v>-48.980871980000003</v>
          </cell>
        </row>
        <row r="2070">
          <cell r="A2070" t="str">
            <v>Guaçuí</v>
          </cell>
          <cell r="B2070">
            <v>302676</v>
          </cell>
          <cell r="C2070">
            <v>-20.767273190000001</v>
          </cell>
          <cell r="D2070">
            <v>-41.673756779999998</v>
          </cell>
        </row>
        <row r="2071">
          <cell r="A2071" t="str">
            <v>Guadalupe</v>
          </cell>
          <cell r="B2071">
            <v>301843</v>
          </cell>
          <cell r="C2071">
            <v>-6.7832597369999998</v>
          </cell>
          <cell r="D2071">
            <v>-43.559789770000002</v>
          </cell>
        </row>
        <row r="2072">
          <cell r="A2072" t="str">
            <v>Guaíba</v>
          </cell>
          <cell r="B2072">
            <v>305501</v>
          </cell>
          <cell r="C2072">
            <v>-30.109072019999999</v>
          </cell>
          <cell r="D2072">
            <v>-51.323769220000003</v>
          </cell>
        </row>
        <row r="2073">
          <cell r="A2073" t="str">
            <v>Guaiçara</v>
          </cell>
          <cell r="B2073">
            <v>303864</v>
          </cell>
          <cell r="C2073">
            <v>-21.621991049999998</v>
          </cell>
          <cell r="D2073">
            <v>-49.798948199999998</v>
          </cell>
        </row>
        <row r="2074">
          <cell r="A2074" t="str">
            <v>Guaimbê</v>
          </cell>
          <cell r="B2074">
            <v>303880</v>
          </cell>
          <cell r="C2074">
            <v>-21.909538120000001</v>
          </cell>
          <cell r="D2074">
            <v>-49.899025719999997</v>
          </cell>
        </row>
        <row r="2075">
          <cell r="A2075" t="str">
            <v>Guaíra</v>
          </cell>
          <cell r="B2075">
            <v>303410</v>
          </cell>
          <cell r="C2075">
            <v>-20.320056059999999</v>
          </cell>
          <cell r="D2075">
            <v>-48.312371220000003</v>
          </cell>
        </row>
        <row r="2076">
          <cell r="A2076" t="str">
            <v>Guaíra</v>
          </cell>
          <cell r="B2076">
            <v>305763</v>
          </cell>
          <cell r="C2076">
            <v>-24.08546462</v>
          </cell>
          <cell r="D2076">
            <v>-54.257776229999997</v>
          </cell>
        </row>
        <row r="2077">
          <cell r="A2077" t="str">
            <v>Guairaçá</v>
          </cell>
          <cell r="B2077">
            <v>304845</v>
          </cell>
          <cell r="C2077">
            <v>-22.933998540000001</v>
          </cell>
          <cell r="D2077">
            <v>-52.685965289999999</v>
          </cell>
        </row>
        <row r="2078">
          <cell r="A2078" t="str">
            <v>Guaiúba</v>
          </cell>
          <cell r="B2078">
            <v>302355</v>
          </cell>
          <cell r="C2078">
            <v>-4.040968866</v>
          </cell>
          <cell r="D2078">
            <v>-38.640685490000003</v>
          </cell>
        </row>
        <row r="2079">
          <cell r="A2079" t="str">
            <v>Guajará</v>
          </cell>
          <cell r="B2079">
            <v>305849</v>
          </cell>
          <cell r="C2079">
            <v>-7.5383584890000002</v>
          </cell>
          <cell r="D2079">
            <v>-72.591203100000001</v>
          </cell>
        </row>
        <row r="2080">
          <cell r="A2080" t="str">
            <v>Guajará-Mirim</v>
          </cell>
          <cell r="B2080">
            <v>304332</v>
          </cell>
          <cell r="C2080">
            <v>-10.789330939999999</v>
          </cell>
          <cell r="D2080">
            <v>-65.330035800000005</v>
          </cell>
        </row>
        <row r="2081">
          <cell r="A2081" t="str">
            <v>Guajeru</v>
          </cell>
          <cell r="B2081">
            <v>301594</v>
          </cell>
          <cell r="C2081">
            <v>-14.547133840000001</v>
          </cell>
          <cell r="D2081">
            <v>-41.938410570000002</v>
          </cell>
        </row>
        <row r="2082">
          <cell r="A2082" t="str">
            <v>Guamaré</v>
          </cell>
          <cell r="B2082">
            <v>301360</v>
          </cell>
          <cell r="C2082">
            <v>-5.1065997799999998</v>
          </cell>
          <cell r="D2082">
            <v>-36.322469230000003</v>
          </cell>
        </row>
        <row r="2083">
          <cell r="A2083" t="str">
            <v>Guamiranga</v>
          </cell>
          <cell r="B2083">
            <v>305246</v>
          </cell>
          <cell r="C2083">
            <v>-25.191639179999999</v>
          </cell>
          <cell r="D2083">
            <v>-50.802540989999997</v>
          </cell>
        </row>
        <row r="2084">
          <cell r="A2084" t="str">
            <v>Guanambi</v>
          </cell>
          <cell r="B2084">
            <v>303201</v>
          </cell>
          <cell r="C2084">
            <v>-14.22351707</v>
          </cell>
          <cell r="D2084">
            <v>-42.780294900000001</v>
          </cell>
        </row>
        <row r="2085">
          <cell r="A2085" t="str">
            <v>Guanhães</v>
          </cell>
          <cell r="B2085">
            <v>302699</v>
          </cell>
          <cell r="C2085">
            <v>-18.771754739999999</v>
          </cell>
          <cell r="D2085">
            <v>-42.931592279999997</v>
          </cell>
        </row>
        <row r="2086">
          <cell r="A2086" t="str">
            <v>Guapé</v>
          </cell>
          <cell r="B2086">
            <v>303250</v>
          </cell>
          <cell r="C2086">
            <v>-20.763551</v>
          </cell>
          <cell r="D2086">
            <v>-45.915619499999998</v>
          </cell>
        </row>
        <row r="2087">
          <cell r="A2087" t="str">
            <v>Guapiaçu</v>
          </cell>
          <cell r="B2087">
            <v>303704</v>
          </cell>
          <cell r="C2087">
            <v>-20.794992090000001</v>
          </cell>
          <cell r="D2087">
            <v>-49.219949360000001</v>
          </cell>
        </row>
        <row r="2088">
          <cell r="A2088" t="str">
            <v>Guapiara</v>
          </cell>
          <cell r="B2088">
            <v>303953</v>
          </cell>
          <cell r="C2088">
            <v>-24.18968607</v>
          </cell>
          <cell r="D2088">
            <v>-48.529962849999997</v>
          </cell>
        </row>
        <row r="2089">
          <cell r="A2089" t="str">
            <v>Guapimirim</v>
          </cell>
          <cell r="B2089">
            <v>303078</v>
          </cell>
          <cell r="C2089">
            <v>-22.535186840000001</v>
          </cell>
          <cell r="D2089">
            <v>-42.989907709999997</v>
          </cell>
        </row>
        <row r="2090">
          <cell r="A2090" t="str">
            <v>Guapirama</v>
          </cell>
          <cell r="B2090">
            <v>303958</v>
          </cell>
          <cell r="C2090">
            <v>-23.515895870000001</v>
          </cell>
          <cell r="D2090">
            <v>-50.040270839999998</v>
          </cell>
        </row>
        <row r="2091">
          <cell r="A2091" t="str">
            <v>Guapó</v>
          </cell>
          <cell r="B2091">
            <v>303374</v>
          </cell>
          <cell r="C2091">
            <v>-16.830106409999999</v>
          </cell>
          <cell r="D2091">
            <v>-49.534931790000002</v>
          </cell>
        </row>
        <row r="2092">
          <cell r="A2092" t="str">
            <v>Guaporé</v>
          </cell>
          <cell r="B2092">
            <v>305195</v>
          </cell>
          <cell r="C2092">
            <v>-28.840393039999999</v>
          </cell>
          <cell r="D2092">
            <v>-51.889995249999998</v>
          </cell>
        </row>
        <row r="2093">
          <cell r="A2093" t="str">
            <v>Guaporema</v>
          </cell>
          <cell r="B2093">
            <v>304871</v>
          </cell>
          <cell r="C2093">
            <v>-23.340680200000001</v>
          </cell>
          <cell r="D2093">
            <v>-52.779042930000003</v>
          </cell>
        </row>
        <row r="2094">
          <cell r="A2094" t="str">
            <v>Guará</v>
          </cell>
          <cell r="B2094">
            <v>303350</v>
          </cell>
          <cell r="C2094">
            <v>-20.430628540000001</v>
          </cell>
          <cell r="D2094">
            <v>-47.824024340000001</v>
          </cell>
        </row>
        <row r="2095">
          <cell r="A2095" t="str">
            <v>Guarabira</v>
          </cell>
          <cell r="B2095">
            <v>300459</v>
          </cell>
          <cell r="C2095">
            <v>-6.8510535089999998</v>
          </cell>
          <cell r="D2095">
            <v>-35.48527799</v>
          </cell>
        </row>
        <row r="2096">
          <cell r="A2096" t="str">
            <v>Guaraçaí</v>
          </cell>
          <cell r="B2096">
            <v>304477</v>
          </cell>
          <cell r="C2096">
            <v>-21.033320620000001</v>
          </cell>
          <cell r="D2096">
            <v>-51.209222930000003</v>
          </cell>
        </row>
        <row r="2097">
          <cell r="A2097" t="str">
            <v>Guaraci</v>
          </cell>
          <cell r="B2097">
            <v>303698</v>
          </cell>
          <cell r="C2097">
            <v>-20.498992439999999</v>
          </cell>
          <cell r="D2097">
            <v>-48.944949870000002</v>
          </cell>
        </row>
        <row r="2098">
          <cell r="A2098" t="str">
            <v>Guaraci</v>
          </cell>
          <cell r="B2098">
            <v>304701</v>
          </cell>
          <cell r="C2098">
            <v>-22.9729083</v>
          </cell>
          <cell r="D2098">
            <v>-51.649944069999997</v>
          </cell>
        </row>
        <row r="2099">
          <cell r="A2099" t="str">
            <v>Guaraciaba</v>
          </cell>
          <cell r="B2099">
            <v>303576</v>
          </cell>
          <cell r="C2099">
            <v>-20.572048639999998</v>
          </cell>
          <cell r="D2099">
            <v>-43.009754890000004</v>
          </cell>
        </row>
        <row r="2100">
          <cell r="A2100" t="str">
            <v>Guaraciaba</v>
          </cell>
          <cell r="B2100">
            <v>305346</v>
          </cell>
          <cell r="C2100">
            <v>-26.604665780000001</v>
          </cell>
          <cell r="D2100">
            <v>-53.524771219999998</v>
          </cell>
        </row>
        <row r="2101">
          <cell r="A2101" t="str">
            <v>Guaraciaba do Norte</v>
          </cell>
          <cell r="B2101">
            <v>300709</v>
          </cell>
          <cell r="C2101">
            <v>-4.1585337649999996</v>
          </cell>
          <cell r="D2101">
            <v>-40.747916279999998</v>
          </cell>
        </row>
        <row r="2102">
          <cell r="A2102" t="str">
            <v>Guaraciama</v>
          </cell>
          <cell r="B2102">
            <v>302705</v>
          </cell>
          <cell r="C2102">
            <v>-17.0139964</v>
          </cell>
          <cell r="D2102">
            <v>-43.672958889999997</v>
          </cell>
        </row>
        <row r="2103">
          <cell r="A2103" t="str">
            <v>Guaraí</v>
          </cell>
          <cell r="B2103">
            <v>302229</v>
          </cell>
          <cell r="C2103">
            <v>-8.835847158</v>
          </cell>
          <cell r="D2103">
            <v>-48.511814119999997</v>
          </cell>
        </row>
        <row r="2104">
          <cell r="A2104" t="str">
            <v>Guaraíta</v>
          </cell>
          <cell r="B2104">
            <v>302465</v>
          </cell>
          <cell r="C2104">
            <v>-15.632631119999999</v>
          </cell>
          <cell r="D2104">
            <v>-50.029580719999998</v>
          </cell>
        </row>
        <row r="2105">
          <cell r="A2105" t="str">
            <v>Guarambaré</v>
          </cell>
          <cell r="B2105">
            <v>314497</v>
          </cell>
          <cell r="C2105">
            <v>-25.498515399999999</v>
          </cell>
          <cell r="D2105">
            <v>-57.429502419999999</v>
          </cell>
        </row>
        <row r="2106">
          <cell r="A2106" t="str">
            <v>Guaramiranga</v>
          </cell>
          <cell r="B2106">
            <v>300908</v>
          </cell>
          <cell r="C2106">
            <v>-4.2628761759999998</v>
          </cell>
          <cell r="D2106">
            <v>-38.932359650000002</v>
          </cell>
        </row>
        <row r="2107">
          <cell r="A2107" t="str">
            <v>Guaramirim</v>
          </cell>
          <cell r="B2107">
            <v>304011</v>
          </cell>
          <cell r="C2107">
            <v>-26.469233450000001</v>
          </cell>
          <cell r="D2107">
            <v>-49.003052840000002</v>
          </cell>
        </row>
        <row r="2108">
          <cell r="A2108" t="str">
            <v>Guaranésia</v>
          </cell>
          <cell r="B2108">
            <v>303515</v>
          </cell>
          <cell r="C2108">
            <v>-21.301392790000001</v>
          </cell>
          <cell r="D2108">
            <v>-46.796745829999999</v>
          </cell>
        </row>
        <row r="2109">
          <cell r="A2109" t="str">
            <v>Guarani</v>
          </cell>
          <cell r="B2109">
            <v>303089</v>
          </cell>
          <cell r="C2109">
            <v>-21.35681452</v>
          </cell>
          <cell r="D2109">
            <v>-43.033144970000002</v>
          </cell>
        </row>
        <row r="2110">
          <cell r="A2110" t="str">
            <v>Guarani</v>
          </cell>
          <cell r="B2110">
            <v>314460</v>
          </cell>
          <cell r="C2110">
            <v>-27.490801050000002</v>
          </cell>
          <cell r="D2110">
            <v>-55.113531350000002</v>
          </cell>
        </row>
        <row r="2111">
          <cell r="A2111" t="str">
            <v>Guarani das Missões</v>
          </cell>
          <cell r="B2111">
            <v>305727</v>
          </cell>
          <cell r="C2111">
            <v>-28.140983689999999</v>
          </cell>
          <cell r="D2111">
            <v>-54.557938040000003</v>
          </cell>
        </row>
        <row r="2112">
          <cell r="A2112" t="str">
            <v>Guarani de Goiás</v>
          </cell>
          <cell r="B2112">
            <v>302863</v>
          </cell>
          <cell r="C2112">
            <v>-13.94616343</v>
          </cell>
          <cell r="D2112">
            <v>-46.48615487</v>
          </cell>
        </row>
        <row r="2113">
          <cell r="A2113" t="str">
            <v>Guarani d'Oeste</v>
          </cell>
          <cell r="B2113">
            <v>304357</v>
          </cell>
          <cell r="C2113">
            <v>-20.075105570000002</v>
          </cell>
          <cell r="D2113">
            <v>-50.341536429999998</v>
          </cell>
        </row>
        <row r="2114">
          <cell r="A2114" t="str">
            <v>Guaraniaçu</v>
          </cell>
          <cell r="B2114">
            <v>305053</v>
          </cell>
          <cell r="C2114">
            <v>-25.09728784</v>
          </cell>
          <cell r="D2114">
            <v>-52.875975570000001</v>
          </cell>
        </row>
        <row r="2115">
          <cell r="A2115" t="str">
            <v>Guarantã</v>
          </cell>
          <cell r="B2115">
            <v>303867</v>
          </cell>
          <cell r="C2115">
            <v>-21.894990589999999</v>
          </cell>
          <cell r="D2115">
            <v>-49.589948419999999</v>
          </cell>
        </row>
        <row r="2116">
          <cell r="A2116" t="str">
            <v>Guarantã do Norte</v>
          </cell>
          <cell r="B2116">
            <v>304258</v>
          </cell>
          <cell r="C2116">
            <v>-9.9625976640000005</v>
          </cell>
          <cell r="D2116">
            <v>-54.912546599999999</v>
          </cell>
        </row>
        <row r="2117">
          <cell r="A2117" t="str">
            <v>Guarapari</v>
          </cell>
          <cell r="B2117">
            <v>302520</v>
          </cell>
          <cell r="C2117">
            <v>-20.677731219999998</v>
          </cell>
          <cell r="D2117">
            <v>-40.509601060000001</v>
          </cell>
        </row>
        <row r="2118">
          <cell r="A2118" t="str">
            <v>Guarapuava</v>
          </cell>
          <cell r="B2118">
            <v>305085</v>
          </cell>
          <cell r="C2118">
            <v>-25.390707689999999</v>
          </cell>
          <cell r="D2118">
            <v>-51.462753880000001</v>
          </cell>
        </row>
        <row r="2119">
          <cell r="A2119" t="str">
            <v>Guaraqueçaba</v>
          </cell>
          <cell r="B2119">
            <v>303978</v>
          </cell>
          <cell r="C2119">
            <v>-25.307535089999998</v>
          </cell>
          <cell r="D2119">
            <v>-48.32084227</v>
          </cell>
        </row>
        <row r="2120">
          <cell r="A2120" t="str">
            <v>Guarará</v>
          </cell>
          <cell r="B2120">
            <v>303101</v>
          </cell>
          <cell r="C2120">
            <v>-21.730833879999999</v>
          </cell>
          <cell r="D2120">
            <v>-43.033802919999999</v>
          </cell>
        </row>
        <row r="2121">
          <cell r="A2121" t="str">
            <v>Guararapes</v>
          </cell>
          <cell r="B2121">
            <v>304460</v>
          </cell>
          <cell r="C2121">
            <v>-21.254893360000001</v>
          </cell>
          <cell r="D2121">
            <v>-50.64575653</v>
          </cell>
        </row>
        <row r="2122">
          <cell r="A2122" t="str">
            <v>Guararema</v>
          </cell>
          <cell r="B2122">
            <v>303296</v>
          </cell>
          <cell r="C2122">
            <v>-23.41167536</v>
          </cell>
          <cell r="D2122">
            <v>-46.037340620000002</v>
          </cell>
        </row>
        <row r="2123">
          <cell r="A2123" t="str">
            <v>Guaratinga</v>
          </cell>
          <cell r="B2123">
            <v>301546</v>
          </cell>
          <cell r="C2123">
            <v>-16.58374276</v>
          </cell>
          <cell r="D2123">
            <v>-39.785047579999997</v>
          </cell>
        </row>
        <row r="2124">
          <cell r="A2124" t="str">
            <v>Guaratinguetá</v>
          </cell>
          <cell r="B2124">
            <v>303457</v>
          </cell>
          <cell r="C2124">
            <v>-22.808014539999999</v>
          </cell>
          <cell r="D2124">
            <v>-45.194175039999998</v>
          </cell>
        </row>
        <row r="2125">
          <cell r="A2125" t="str">
            <v>Guaratuba</v>
          </cell>
          <cell r="B2125">
            <v>303983</v>
          </cell>
          <cell r="C2125">
            <v>-25.882152300000001</v>
          </cell>
          <cell r="D2125">
            <v>-48.575642870000003</v>
          </cell>
        </row>
        <row r="2126">
          <cell r="A2126" t="str">
            <v>Guarda-Mor</v>
          </cell>
          <cell r="B2126">
            <v>304931</v>
          </cell>
          <cell r="C2126">
            <v>-17.767765659999998</v>
          </cell>
          <cell r="D2126">
            <v>-47.100143340000002</v>
          </cell>
        </row>
        <row r="2127">
          <cell r="A2127" t="str">
            <v>Guareí</v>
          </cell>
          <cell r="B2127">
            <v>303784</v>
          </cell>
          <cell r="C2127">
            <v>-23.371833720000001</v>
          </cell>
          <cell r="D2127">
            <v>-48.184123990000003</v>
          </cell>
        </row>
        <row r="2128">
          <cell r="A2128" t="str">
            <v>Guariba</v>
          </cell>
          <cell r="B2128">
            <v>303678</v>
          </cell>
          <cell r="C2128">
            <v>-21.359848580000001</v>
          </cell>
          <cell r="D2128">
            <v>-48.231983460000002</v>
          </cell>
        </row>
        <row r="2129">
          <cell r="A2129" t="str">
            <v>Guaribas</v>
          </cell>
          <cell r="B2129">
            <v>302061</v>
          </cell>
          <cell r="C2129">
            <v>-9.3944314739999992</v>
          </cell>
          <cell r="D2129">
            <v>-43.691806829999997</v>
          </cell>
        </row>
        <row r="2130">
          <cell r="A2130" t="str">
            <v>Guarinos</v>
          </cell>
          <cell r="B2130">
            <v>302599</v>
          </cell>
          <cell r="C2130">
            <v>-14.73363032</v>
          </cell>
          <cell r="D2130">
            <v>-49.702135660000003</v>
          </cell>
        </row>
        <row r="2131">
          <cell r="A2131" t="str">
            <v>Guarujá</v>
          </cell>
          <cell r="B2131">
            <v>303714</v>
          </cell>
          <cell r="C2131">
            <v>-23.989279539999998</v>
          </cell>
          <cell r="D2131">
            <v>-46.258356880000001</v>
          </cell>
        </row>
        <row r="2132">
          <cell r="A2132" t="str">
            <v>Guarujá do Sul</v>
          </cell>
          <cell r="B2132">
            <v>305341</v>
          </cell>
          <cell r="C2132">
            <v>-26.38627936</v>
          </cell>
          <cell r="D2132">
            <v>-53.530028389999998</v>
          </cell>
        </row>
        <row r="2133">
          <cell r="A2133" t="str">
            <v>Guarulhos</v>
          </cell>
          <cell r="B2133">
            <v>303939</v>
          </cell>
          <cell r="C2133">
            <v>-23.45423723</v>
          </cell>
          <cell r="D2133">
            <v>-46.533745150000001</v>
          </cell>
        </row>
        <row r="2134">
          <cell r="A2134" t="str">
            <v>Guatambú</v>
          </cell>
          <cell r="B2134">
            <v>305298</v>
          </cell>
          <cell r="C2134">
            <v>-27.1345721</v>
          </cell>
          <cell r="D2134">
            <v>-52.789101809999998</v>
          </cell>
        </row>
        <row r="2135">
          <cell r="A2135" t="str">
            <v>Guatapará</v>
          </cell>
          <cell r="B2135">
            <v>303677</v>
          </cell>
          <cell r="C2135">
            <v>-21.49491347</v>
          </cell>
          <cell r="D2135">
            <v>-48.035990550000001</v>
          </cell>
        </row>
        <row r="2136">
          <cell r="A2136" t="str">
            <v>Guaxupé</v>
          </cell>
          <cell r="B2136">
            <v>303513</v>
          </cell>
          <cell r="C2136">
            <v>-21.305479009999999</v>
          </cell>
          <cell r="D2136">
            <v>-46.708446250000001</v>
          </cell>
        </row>
        <row r="2137">
          <cell r="A2137" t="str">
            <v>Guayaramerin</v>
          </cell>
          <cell r="B2137">
            <v>314443</v>
          </cell>
          <cell r="C2137">
            <v>-10.818497949999999</v>
          </cell>
          <cell r="D2137">
            <v>-65.365511990000002</v>
          </cell>
        </row>
        <row r="2138">
          <cell r="A2138" t="str">
            <v>Guazucuá</v>
          </cell>
          <cell r="B2138">
            <v>314400</v>
          </cell>
          <cell r="C2138">
            <v>-26.890118640000001</v>
          </cell>
          <cell r="D2138">
            <v>-57.946358910000001</v>
          </cell>
        </row>
        <row r="2139">
          <cell r="A2139" t="str">
            <v>Guia Lopes da Laguna</v>
          </cell>
          <cell r="B2139">
            <v>305228</v>
          </cell>
          <cell r="C2139">
            <v>-21.45876672</v>
          </cell>
          <cell r="D2139">
            <v>-56.112162130000002</v>
          </cell>
        </row>
        <row r="2140">
          <cell r="A2140" t="str">
            <v>Guidoval</v>
          </cell>
          <cell r="B2140">
            <v>303260</v>
          </cell>
          <cell r="C2140">
            <v>-21.1555143</v>
          </cell>
          <cell r="D2140">
            <v>-42.789111730000002</v>
          </cell>
        </row>
        <row r="2141">
          <cell r="A2141" t="str">
            <v>Guimarães</v>
          </cell>
          <cell r="B2141">
            <v>301684</v>
          </cell>
          <cell r="C2141">
            <v>-2.1344420830000002</v>
          </cell>
          <cell r="D2141">
            <v>-44.605600219999999</v>
          </cell>
        </row>
        <row r="2142">
          <cell r="A2142" t="str">
            <v>Guimarânia</v>
          </cell>
          <cell r="B2142">
            <v>304938</v>
          </cell>
          <cell r="C2142">
            <v>-18.84470644</v>
          </cell>
          <cell r="D2142">
            <v>-46.797034459999999</v>
          </cell>
        </row>
        <row r="2143">
          <cell r="A2143" t="str">
            <v>Guiratinga</v>
          </cell>
          <cell r="B2143">
            <v>304538</v>
          </cell>
          <cell r="C2143">
            <v>-16.34661238</v>
          </cell>
          <cell r="D2143">
            <v>-53.764195639999997</v>
          </cell>
        </row>
        <row r="2144">
          <cell r="A2144" t="str">
            <v>Guiricema</v>
          </cell>
          <cell r="B2144">
            <v>303254</v>
          </cell>
          <cell r="C2144">
            <v>-21.010329909999999</v>
          </cell>
          <cell r="D2144">
            <v>-42.721023889999998</v>
          </cell>
        </row>
        <row r="2145">
          <cell r="A2145" t="str">
            <v>Gurinhatã</v>
          </cell>
          <cell r="B2145">
            <v>303632</v>
          </cell>
          <cell r="C2145">
            <v>-19.214739099999999</v>
          </cell>
          <cell r="D2145">
            <v>-49.788038800000002</v>
          </cell>
        </row>
        <row r="2146">
          <cell r="A2146" t="str">
            <v>Gurinhém</v>
          </cell>
          <cell r="B2146">
            <v>300670</v>
          </cell>
          <cell r="C2146">
            <v>-7.1219797549999999</v>
          </cell>
          <cell r="D2146">
            <v>-35.425149529999999</v>
          </cell>
        </row>
        <row r="2147">
          <cell r="A2147" t="str">
            <v>Gurjão</v>
          </cell>
          <cell r="B2147">
            <v>300654</v>
          </cell>
          <cell r="C2147">
            <v>-7.246398278</v>
          </cell>
          <cell r="D2147">
            <v>-36.488020149999997</v>
          </cell>
        </row>
        <row r="2148">
          <cell r="A2148" t="str">
            <v>Gurupá</v>
          </cell>
          <cell r="B2148">
            <v>304672</v>
          </cell>
          <cell r="C2148">
            <v>-1.4127349979999999</v>
          </cell>
          <cell r="D2148">
            <v>-51.630859569999998</v>
          </cell>
        </row>
        <row r="2149">
          <cell r="A2149" t="str">
            <v>Gurupi</v>
          </cell>
          <cell r="B2149">
            <v>302293</v>
          </cell>
          <cell r="C2149">
            <v>-11.72837077</v>
          </cell>
          <cell r="D2149">
            <v>-49.068435020000003</v>
          </cell>
        </row>
        <row r="2150">
          <cell r="A2150" t="str">
            <v>Guzolândia</v>
          </cell>
          <cell r="B2150">
            <v>304383</v>
          </cell>
          <cell r="C2150">
            <v>-20.649992730000001</v>
          </cell>
          <cell r="D2150">
            <v>-50.661947249999997</v>
          </cell>
        </row>
        <row r="2151">
          <cell r="A2151" t="str">
            <v>Harmonia</v>
          </cell>
          <cell r="B2151">
            <v>305508</v>
          </cell>
          <cell r="C2151">
            <v>-29.551196099999999</v>
          </cell>
          <cell r="D2151">
            <v>-51.420202539999998</v>
          </cell>
        </row>
        <row r="2152">
          <cell r="A2152" t="str">
            <v>Heitoraí</v>
          </cell>
          <cell r="B2152">
            <v>302463</v>
          </cell>
          <cell r="C2152">
            <v>-15.719431760000001</v>
          </cell>
          <cell r="D2152">
            <v>-49.827226330000002</v>
          </cell>
        </row>
        <row r="2153">
          <cell r="A2153" t="str">
            <v>Heliodora</v>
          </cell>
          <cell r="B2153">
            <v>303446</v>
          </cell>
          <cell r="C2153">
            <v>-22.06487826</v>
          </cell>
          <cell r="D2153">
            <v>-45.54571241</v>
          </cell>
        </row>
        <row r="2154">
          <cell r="A2154" t="str">
            <v>Heliópolis</v>
          </cell>
          <cell r="B2154">
            <v>301312</v>
          </cell>
          <cell r="C2154">
            <v>-10.681400979999999</v>
          </cell>
          <cell r="D2154">
            <v>-38.293998170000002</v>
          </cell>
        </row>
        <row r="2155">
          <cell r="A2155" t="str">
            <v>Herculândia</v>
          </cell>
          <cell r="B2155">
            <v>304466</v>
          </cell>
          <cell r="C2155">
            <v>-22.00426714</v>
          </cell>
          <cell r="D2155">
            <v>-50.391153099999997</v>
          </cell>
        </row>
        <row r="2156">
          <cell r="A2156" t="str">
            <v>Hernandárias</v>
          </cell>
          <cell r="B2156">
            <v>314308</v>
          </cell>
          <cell r="C2156">
            <v>-25.38349702</v>
          </cell>
          <cell r="D2156">
            <v>-54.643075189999998</v>
          </cell>
        </row>
        <row r="2157">
          <cell r="A2157" t="str">
            <v>Herval</v>
          </cell>
          <cell r="B2157">
            <v>305842</v>
          </cell>
          <cell r="C2157">
            <v>-32.024460040000001</v>
          </cell>
          <cell r="D2157">
            <v>-53.394840049999999</v>
          </cell>
        </row>
        <row r="2158">
          <cell r="A2158" t="str">
            <v>Herval d'Oeste</v>
          </cell>
          <cell r="B2158">
            <v>305102</v>
          </cell>
          <cell r="C2158">
            <v>-27.190774350000002</v>
          </cell>
          <cell r="D2158">
            <v>-51.492171859999999</v>
          </cell>
        </row>
        <row r="2159">
          <cell r="A2159" t="str">
            <v>Herveiras</v>
          </cell>
          <cell r="B2159">
            <v>305552</v>
          </cell>
          <cell r="C2159">
            <v>-29.45433727</v>
          </cell>
          <cell r="D2159">
            <v>-52.650475720000003</v>
          </cell>
        </row>
        <row r="2160">
          <cell r="A2160" t="str">
            <v>Hidrolândia</v>
          </cell>
          <cell r="B2160">
            <v>301464</v>
          </cell>
          <cell r="C2160">
            <v>-4.4099784800000004</v>
          </cell>
          <cell r="D2160">
            <v>-40.405921020000001</v>
          </cell>
        </row>
        <row r="2161">
          <cell r="A2161" t="str">
            <v>Hidrolândia</v>
          </cell>
          <cell r="B2161">
            <v>303358</v>
          </cell>
          <cell r="C2161">
            <v>-16.969514050000001</v>
          </cell>
          <cell r="D2161">
            <v>-49.228308040000002</v>
          </cell>
        </row>
        <row r="2162">
          <cell r="A2162" t="str">
            <v>Hidrolina</v>
          </cell>
          <cell r="B2162">
            <v>302597</v>
          </cell>
          <cell r="C2162">
            <v>-14.72057489</v>
          </cell>
          <cell r="D2162">
            <v>-49.468344020000004</v>
          </cell>
        </row>
        <row r="2163">
          <cell r="A2163" t="str">
            <v>Holambra</v>
          </cell>
          <cell r="B2163">
            <v>303709</v>
          </cell>
          <cell r="C2163">
            <v>-22.640988449999998</v>
          </cell>
          <cell r="D2163">
            <v>-47.049093239999998</v>
          </cell>
        </row>
        <row r="2164">
          <cell r="A2164" t="str">
            <v>Honório Serpa</v>
          </cell>
          <cell r="B2164">
            <v>305097</v>
          </cell>
          <cell r="C2164">
            <v>-26.139490469999998</v>
          </cell>
          <cell r="D2164">
            <v>-52.385284409999997</v>
          </cell>
        </row>
        <row r="2165">
          <cell r="A2165" t="str">
            <v>Horizonte</v>
          </cell>
          <cell r="B2165">
            <v>302350</v>
          </cell>
          <cell r="C2165">
            <v>-4.1109317140000003</v>
          </cell>
          <cell r="D2165">
            <v>-38.488602970000002</v>
          </cell>
        </row>
        <row r="2166">
          <cell r="A2166" t="str">
            <v>Horizontina</v>
          </cell>
          <cell r="B2166">
            <v>305441</v>
          </cell>
          <cell r="C2166">
            <v>-27.62870397</v>
          </cell>
          <cell r="D2166">
            <v>-54.305799120000003</v>
          </cell>
        </row>
        <row r="2167">
          <cell r="A2167" t="str">
            <v>Horqueta</v>
          </cell>
          <cell r="B2167">
            <v>314273</v>
          </cell>
          <cell r="C2167">
            <v>-23.341564930000001</v>
          </cell>
          <cell r="D2167">
            <v>-57.04735239</v>
          </cell>
        </row>
        <row r="2168">
          <cell r="A2168" t="str">
            <v>Hortolândia</v>
          </cell>
          <cell r="B2168">
            <v>304586</v>
          </cell>
          <cell r="C2168">
            <v>-22.853329689999999</v>
          </cell>
          <cell r="D2168">
            <v>-47.21465997</v>
          </cell>
        </row>
        <row r="2169">
          <cell r="A2169" t="str">
            <v>Huacho</v>
          </cell>
          <cell r="B2169">
            <v>314426</v>
          </cell>
          <cell r="C2169">
            <v>-11.106631670000001</v>
          </cell>
          <cell r="D2169">
            <v>-77.618621649999994</v>
          </cell>
        </row>
        <row r="2170">
          <cell r="A2170" t="str">
            <v>Huacrachuco</v>
          </cell>
          <cell r="B2170">
            <v>314383</v>
          </cell>
          <cell r="C2170">
            <v>-8.6057554130000007</v>
          </cell>
          <cell r="D2170">
            <v>-77.152749850000006</v>
          </cell>
        </row>
        <row r="2171">
          <cell r="A2171" t="str">
            <v>Huanuco</v>
          </cell>
          <cell r="B2171">
            <v>314375</v>
          </cell>
          <cell r="C2171">
            <v>-9.9232829589999998</v>
          </cell>
          <cell r="D2171">
            <v>-76.234175660000005</v>
          </cell>
        </row>
        <row r="2172">
          <cell r="A2172" t="str">
            <v>Huaral</v>
          </cell>
          <cell r="B2172">
            <v>314419</v>
          </cell>
          <cell r="C2172">
            <v>-11.48610961</v>
          </cell>
          <cell r="D2172">
            <v>-77.201696420000005</v>
          </cell>
        </row>
        <row r="2173">
          <cell r="A2173" t="str">
            <v>Huaraz</v>
          </cell>
          <cell r="B2173">
            <v>314401</v>
          </cell>
          <cell r="C2173">
            <v>-9.5237157139999997</v>
          </cell>
          <cell r="D2173">
            <v>-77.521179910000001</v>
          </cell>
        </row>
        <row r="2174">
          <cell r="A2174" t="str">
            <v>Huari</v>
          </cell>
          <cell r="B2174">
            <v>314389</v>
          </cell>
          <cell r="C2174">
            <v>-9.3452250649999993</v>
          </cell>
          <cell r="D2174">
            <v>-77.172451910000007</v>
          </cell>
        </row>
        <row r="2175">
          <cell r="A2175" t="str">
            <v>Hugo Napoleão</v>
          </cell>
          <cell r="B2175">
            <v>301790</v>
          </cell>
          <cell r="C2175">
            <v>-5.9890048629999999</v>
          </cell>
          <cell r="D2175">
            <v>-42.560096559999998</v>
          </cell>
        </row>
        <row r="2176">
          <cell r="A2176" t="str">
            <v>Hulha Negra</v>
          </cell>
          <cell r="B2176">
            <v>305810</v>
          </cell>
          <cell r="C2176">
            <v>-31.407193599999999</v>
          </cell>
          <cell r="D2176">
            <v>-53.867179899999996</v>
          </cell>
        </row>
        <row r="2177">
          <cell r="A2177" t="str">
            <v>Humaitá</v>
          </cell>
          <cell r="B2177">
            <v>304266</v>
          </cell>
          <cell r="C2177">
            <v>-7.5121097639999999</v>
          </cell>
          <cell r="D2177">
            <v>-63.033199179999997</v>
          </cell>
        </row>
        <row r="2178">
          <cell r="A2178" t="str">
            <v>Humaitá</v>
          </cell>
          <cell r="B2178">
            <v>305424</v>
          </cell>
          <cell r="C2178">
            <v>-27.569531990000002</v>
          </cell>
          <cell r="D2178">
            <v>-53.96998584</v>
          </cell>
        </row>
        <row r="2179">
          <cell r="A2179" t="str">
            <v>Humaitá</v>
          </cell>
          <cell r="B2179">
            <v>314408</v>
          </cell>
          <cell r="C2179">
            <v>-27.072259070000001</v>
          </cell>
          <cell r="D2179">
            <v>-58.468370530000001</v>
          </cell>
        </row>
        <row r="2180">
          <cell r="A2180" t="str">
            <v>Humaitá</v>
          </cell>
          <cell r="B2180">
            <v>314448</v>
          </cell>
          <cell r="C2180">
            <v>-10.819905309999999</v>
          </cell>
          <cell r="D2180">
            <v>-66.443351149999998</v>
          </cell>
        </row>
        <row r="2181">
          <cell r="A2181" t="str">
            <v>Humberto de Campos</v>
          </cell>
          <cell r="B2181">
            <v>301651</v>
          </cell>
          <cell r="C2181">
            <v>-2.59866916</v>
          </cell>
          <cell r="D2181">
            <v>-43.46522307</v>
          </cell>
        </row>
        <row r="2182">
          <cell r="A2182" t="str">
            <v>Iacanga</v>
          </cell>
          <cell r="B2182">
            <v>304588</v>
          </cell>
          <cell r="C2182">
            <v>-21.88999042</v>
          </cell>
          <cell r="D2182">
            <v>-49.024949280000001</v>
          </cell>
        </row>
        <row r="2183">
          <cell r="A2183" t="str">
            <v>Iaciara</v>
          </cell>
          <cell r="B2183">
            <v>302864</v>
          </cell>
          <cell r="C2183">
            <v>-14.101545659999999</v>
          </cell>
          <cell r="D2183">
            <v>-46.633829370000001</v>
          </cell>
        </row>
        <row r="2184">
          <cell r="A2184" t="str">
            <v>Iacri</v>
          </cell>
          <cell r="B2184">
            <v>304471</v>
          </cell>
          <cell r="C2184">
            <v>-21.857990999999998</v>
          </cell>
          <cell r="D2184">
            <v>-50.688946780000002</v>
          </cell>
        </row>
        <row r="2185">
          <cell r="A2185" t="str">
            <v>Iaçu</v>
          </cell>
          <cell r="B2185">
            <v>301549</v>
          </cell>
          <cell r="C2185">
            <v>-12.76708438</v>
          </cell>
          <cell r="D2185">
            <v>-40.205940830000003</v>
          </cell>
        </row>
        <row r="2186">
          <cell r="A2186" t="str">
            <v>Iapu</v>
          </cell>
          <cell r="B2186">
            <v>302900</v>
          </cell>
          <cell r="C2186">
            <v>-19.43917884</v>
          </cell>
          <cell r="D2186">
            <v>-42.215082649999999</v>
          </cell>
        </row>
        <row r="2187">
          <cell r="A2187" t="str">
            <v>Iaras</v>
          </cell>
          <cell r="B2187">
            <v>303848</v>
          </cell>
          <cell r="C2187">
            <v>-22.87098903</v>
          </cell>
          <cell r="D2187">
            <v>-49.162948710000002</v>
          </cell>
        </row>
        <row r="2188">
          <cell r="A2188" t="str">
            <v>Ibaiti</v>
          </cell>
          <cell r="B2188">
            <v>303969</v>
          </cell>
          <cell r="C2188">
            <v>-23.84829263</v>
          </cell>
          <cell r="D2188">
            <v>-50.193631549999999</v>
          </cell>
        </row>
        <row r="2189">
          <cell r="A2189" t="str">
            <v>Ibarama</v>
          </cell>
          <cell r="B2189">
            <v>305562</v>
          </cell>
          <cell r="C2189">
            <v>-29.420793710000002</v>
          </cell>
          <cell r="D2189">
            <v>-53.129956710000002</v>
          </cell>
        </row>
        <row r="2190">
          <cell r="A2190" t="str">
            <v>Ibaretama</v>
          </cell>
          <cell r="B2190">
            <v>300744</v>
          </cell>
          <cell r="C2190">
            <v>-4.8208579570000003</v>
          </cell>
          <cell r="D2190">
            <v>-38.82431819</v>
          </cell>
        </row>
        <row r="2191">
          <cell r="A2191" t="str">
            <v>Ibaté</v>
          </cell>
          <cell r="B2191">
            <v>303684</v>
          </cell>
          <cell r="C2191">
            <v>-21.956576420000001</v>
          </cell>
          <cell r="D2191">
            <v>-48.004003949999998</v>
          </cell>
        </row>
        <row r="2192">
          <cell r="A2192" t="str">
            <v>Ibateguara</v>
          </cell>
          <cell r="B2192">
            <v>301473</v>
          </cell>
          <cell r="C2192">
            <v>-8.9786624530000001</v>
          </cell>
          <cell r="D2192">
            <v>-35.93762186</v>
          </cell>
        </row>
        <row r="2193">
          <cell r="A2193" t="str">
            <v>Ibatiba</v>
          </cell>
          <cell r="B2193">
            <v>302664</v>
          </cell>
          <cell r="C2193">
            <v>-20.235155429999999</v>
          </cell>
          <cell r="D2193">
            <v>-41.509028360000002</v>
          </cell>
        </row>
        <row r="2194">
          <cell r="A2194" t="str">
            <v>Ibema</v>
          </cell>
          <cell r="B2194">
            <v>305066</v>
          </cell>
          <cell r="C2194">
            <v>-25.11180045</v>
          </cell>
          <cell r="D2194">
            <v>-53.015061469999999</v>
          </cell>
        </row>
        <row r="2195">
          <cell r="A2195" t="str">
            <v>Ibertioga</v>
          </cell>
          <cell r="B2195">
            <v>303125</v>
          </cell>
          <cell r="C2195">
            <v>-21.433510729999998</v>
          </cell>
          <cell r="D2195">
            <v>-43.964270759999998</v>
          </cell>
        </row>
        <row r="2196">
          <cell r="A2196" t="str">
            <v>Ibiá</v>
          </cell>
          <cell r="B2196">
            <v>303313</v>
          </cell>
          <cell r="C2196">
            <v>-19.488972579999999</v>
          </cell>
          <cell r="D2196">
            <v>-46.547381880000003</v>
          </cell>
        </row>
        <row r="2197">
          <cell r="A2197" t="str">
            <v>Ibiaçá</v>
          </cell>
          <cell r="B2197">
            <v>305663</v>
          </cell>
          <cell r="C2197">
            <v>-28.057030780000002</v>
          </cell>
          <cell r="D2197">
            <v>-51.860300729999999</v>
          </cell>
        </row>
        <row r="2198">
          <cell r="A2198" t="str">
            <v>Ibiaí</v>
          </cell>
          <cell r="B2198">
            <v>302944</v>
          </cell>
          <cell r="C2198">
            <v>-16.85790403</v>
          </cell>
          <cell r="D2198">
            <v>-44.90920526</v>
          </cell>
        </row>
        <row r="2199">
          <cell r="A2199" t="str">
            <v>Ibiam</v>
          </cell>
          <cell r="B2199">
            <v>305083</v>
          </cell>
          <cell r="C2199">
            <v>-27.185133149999999</v>
          </cell>
          <cell r="D2199">
            <v>-51.235596200000003</v>
          </cell>
        </row>
        <row r="2200">
          <cell r="A2200" t="str">
            <v>Ibiapina</v>
          </cell>
          <cell r="B2200">
            <v>301341</v>
          </cell>
          <cell r="C2200">
            <v>-3.924421245</v>
          </cell>
          <cell r="D2200">
            <v>-40.891476169999997</v>
          </cell>
        </row>
        <row r="2201">
          <cell r="A2201" t="str">
            <v>Ibiara</v>
          </cell>
          <cell r="B2201">
            <v>300852</v>
          </cell>
          <cell r="C2201">
            <v>-7.4799864979999997</v>
          </cell>
          <cell r="D2201">
            <v>-38.40623171</v>
          </cell>
        </row>
        <row r="2202">
          <cell r="A2202" t="str">
            <v>Ibiassucê</v>
          </cell>
          <cell r="B2202">
            <v>303195</v>
          </cell>
          <cell r="C2202">
            <v>-14.27157806</v>
          </cell>
          <cell r="D2202">
            <v>-42.25737436</v>
          </cell>
        </row>
        <row r="2203">
          <cell r="A2203" t="str">
            <v>Ibicaraí</v>
          </cell>
          <cell r="B2203">
            <v>301756</v>
          </cell>
          <cell r="C2203">
            <v>-14.85833577</v>
          </cell>
          <cell r="D2203">
            <v>-39.591764380000001</v>
          </cell>
        </row>
        <row r="2204">
          <cell r="A2204" t="str">
            <v>Ibicaré</v>
          </cell>
          <cell r="B2204">
            <v>305084</v>
          </cell>
          <cell r="C2204">
            <v>-27.088615539999999</v>
          </cell>
          <cell r="D2204">
            <v>-51.368543670000001</v>
          </cell>
        </row>
        <row r="2205">
          <cell r="A2205" t="str">
            <v>Ibicoara</v>
          </cell>
          <cell r="B2205">
            <v>301577</v>
          </cell>
          <cell r="C2205">
            <v>-13.40636722</v>
          </cell>
          <cell r="D2205">
            <v>-41.284329300000003</v>
          </cell>
        </row>
        <row r="2206">
          <cell r="A2206" t="str">
            <v>Ibicuí</v>
          </cell>
          <cell r="B2206">
            <v>301596</v>
          </cell>
          <cell r="C2206">
            <v>-14.84541814</v>
          </cell>
          <cell r="D2206">
            <v>-39.988248220000003</v>
          </cell>
        </row>
        <row r="2207">
          <cell r="A2207" t="str">
            <v>Ibicuitinga</v>
          </cell>
          <cell r="B2207">
            <v>300743</v>
          </cell>
          <cell r="C2207">
            <v>-4.9703968160000001</v>
          </cell>
          <cell r="D2207">
            <v>-38.636562859999998</v>
          </cell>
        </row>
        <row r="2208">
          <cell r="A2208" t="str">
            <v>Ibimirim</v>
          </cell>
          <cell r="B2208">
            <v>302557</v>
          </cell>
          <cell r="C2208">
            <v>-8.5380208629999998</v>
          </cell>
          <cell r="D2208">
            <v>-37.695999389999997</v>
          </cell>
        </row>
        <row r="2209">
          <cell r="A2209" t="str">
            <v>Ibipeba</v>
          </cell>
          <cell r="B2209">
            <v>302272</v>
          </cell>
          <cell r="C2209">
            <v>-11.644214379999999</v>
          </cell>
          <cell r="D2209">
            <v>-42.01985809</v>
          </cell>
        </row>
        <row r="2210">
          <cell r="A2210" t="str">
            <v>Ibipitanga</v>
          </cell>
          <cell r="B2210">
            <v>302099</v>
          </cell>
          <cell r="C2210">
            <v>-12.88088001</v>
          </cell>
          <cell r="D2210">
            <v>-42.485915910000003</v>
          </cell>
        </row>
        <row r="2211">
          <cell r="A2211" t="str">
            <v>Ibiporã</v>
          </cell>
          <cell r="B2211">
            <v>304737</v>
          </cell>
          <cell r="C2211">
            <v>-23.266407780000002</v>
          </cell>
          <cell r="D2211">
            <v>-51.0526701</v>
          </cell>
        </row>
        <row r="2212">
          <cell r="A2212" t="str">
            <v>Ibiquera</v>
          </cell>
          <cell r="B2212">
            <v>301571</v>
          </cell>
          <cell r="C2212">
            <v>-12.64838887</v>
          </cell>
          <cell r="D2212">
            <v>-40.930358130000002</v>
          </cell>
        </row>
        <row r="2213">
          <cell r="A2213" t="str">
            <v>Ibirá</v>
          </cell>
          <cell r="B2213">
            <v>303827</v>
          </cell>
          <cell r="C2213">
            <v>-21.08349728</v>
          </cell>
          <cell r="D2213">
            <v>-49.245242240000003</v>
          </cell>
        </row>
        <row r="2214">
          <cell r="A2214" t="str">
            <v>Ibiracatu</v>
          </cell>
          <cell r="B2214">
            <v>302172</v>
          </cell>
          <cell r="C2214">
            <v>-15.66695084</v>
          </cell>
          <cell r="D2214">
            <v>-44.164079020000003</v>
          </cell>
        </row>
        <row r="2215">
          <cell r="A2215" t="str">
            <v>Ibiraci</v>
          </cell>
          <cell r="B2215">
            <v>303944</v>
          </cell>
          <cell r="C2215">
            <v>-20.461526240000001</v>
          </cell>
          <cell r="D2215">
            <v>-47.122543810000003</v>
          </cell>
        </row>
        <row r="2216">
          <cell r="A2216" t="str">
            <v>Ibiraçu</v>
          </cell>
          <cell r="B2216">
            <v>302506</v>
          </cell>
          <cell r="C2216">
            <v>-19.837081059999999</v>
          </cell>
          <cell r="D2216">
            <v>-40.373527199999998</v>
          </cell>
        </row>
        <row r="2217">
          <cell r="A2217" t="str">
            <v>Ibiraiaras</v>
          </cell>
          <cell r="B2217">
            <v>305527</v>
          </cell>
          <cell r="C2217">
            <v>-28.374571079999999</v>
          </cell>
          <cell r="D2217">
            <v>-51.638119639999999</v>
          </cell>
        </row>
        <row r="2218">
          <cell r="A2218" t="str">
            <v>Ibirajuba</v>
          </cell>
          <cell r="B2218">
            <v>301481</v>
          </cell>
          <cell r="C2218">
            <v>-8.5795415980000005</v>
          </cell>
          <cell r="D2218">
            <v>-36.176937930000001</v>
          </cell>
        </row>
        <row r="2219">
          <cell r="A2219" t="str">
            <v>Ibirama</v>
          </cell>
          <cell r="B2219">
            <v>304216</v>
          </cell>
          <cell r="C2219">
            <v>-27.055145209999999</v>
          </cell>
          <cell r="D2219">
            <v>-49.51974448</v>
          </cell>
        </row>
        <row r="2220">
          <cell r="A2220" t="str">
            <v>Ibirapitanga</v>
          </cell>
          <cell r="B2220">
            <v>302385</v>
          </cell>
          <cell r="C2220">
            <v>-14.162063910000001</v>
          </cell>
          <cell r="D2220">
            <v>-39.372669109999997</v>
          </cell>
        </row>
        <row r="2221">
          <cell r="A2221" t="str">
            <v>Ibirapuã</v>
          </cell>
          <cell r="B2221">
            <v>303590</v>
          </cell>
          <cell r="C2221">
            <v>-17.683622249999999</v>
          </cell>
          <cell r="D2221">
            <v>-40.11324595</v>
          </cell>
        </row>
        <row r="2222">
          <cell r="A2222" t="str">
            <v>Ibirapuitã</v>
          </cell>
          <cell r="B2222">
            <v>305385</v>
          </cell>
          <cell r="C2222">
            <v>-28.623982120000001</v>
          </cell>
          <cell r="D2222">
            <v>-52.51094088</v>
          </cell>
        </row>
        <row r="2223">
          <cell r="A2223" t="str">
            <v>Ibirarema</v>
          </cell>
          <cell r="B2223">
            <v>303903</v>
          </cell>
          <cell r="C2223">
            <v>-22.817989409999999</v>
          </cell>
          <cell r="D2223">
            <v>-50.072947339999999</v>
          </cell>
        </row>
        <row r="2224">
          <cell r="A2224" t="str">
            <v>Ibirataia</v>
          </cell>
          <cell r="B2224">
            <v>302383</v>
          </cell>
          <cell r="C2224">
            <v>-14.0648292</v>
          </cell>
          <cell r="D2224">
            <v>-39.640689809999998</v>
          </cell>
        </row>
        <row r="2225">
          <cell r="A2225" t="str">
            <v>Ibirité</v>
          </cell>
          <cell r="B2225">
            <v>302977</v>
          </cell>
          <cell r="C2225">
            <v>-20.025661370000002</v>
          </cell>
          <cell r="D2225">
            <v>-44.057253950000003</v>
          </cell>
        </row>
        <row r="2226">
          <cell r="A2226" t="str">
            <v>Ibirubá</v>
          </cell>
          <cell r="B2226">
            <v>305398</v>
          </cell>
          <cell r="C2226">
            <v>-28.630632630000001</v>
          </cell>
          <cell r="D2226">
            <v>-53.096583989999999</v>
          </cell>
        </row>
        <row r="2227">
          <cell r="A2227" t="str">
            <v>Ibitiara</v>
          </cell>
          <cell r="B2227">
            <v>302094</v>
          </cell>
          <cell r="C2227">
            <v>-12.65062522</v>
          </cell>
          <cell r="D2227">
            <v>-42.218291749999999</v>
          </cell>
        </row>
        <row r="2228">
          <cell r="A2228" t="str">
            <v>Ibitinga</v>
          </cell>
          <cell r="B2228">
            <v>303832</v>
          </cell>
          <cell r="C2228">
            <v>-21.75669834</v>
          </cell>
          <cell r="D2228">
            <v>-48.83231146</v>
          </cell>
        </row>
        <row r="2229">
          <cell r="A2229" t="str">
            <v>Ibitirama</v>
          </cell>
          <cell r="B2229">
            <v>302674</v>
          </cell>
          <cell r="C2229">
            <v>-20.547099339999999</v>
          </cell>
          <cell r="D2229">
            <v>-41.667074220000003</v>
          </cell>
        </row>
        <row r="2230">
          <cell r="A2230" t="str">
            <v>Ibititá</v>
          </cell>
          <cell r="B2230">
            <v>302271</v>
          </cell>
          <cell r="C2230">
            <v>-11.5418649</v>
          </cell>
          <cell r="D2230">
            <v>-41.975152659999999</v>
          </cell>
        </row>
        <row r="2231">
          <cell r="A2231" t="str">
            <v>Ibitiúra de Minas</v>
          </cell>
          <cell r="B2231">
            <v>303538</v>
          </cell>
          <cell r="C2231">
            <v>-22.060877120000001</v>
          </cell>
          <cell r="D2231">
            <v>-46.437203480000001</v>
          </cell>
        </row>
        <row r="2232">
          <cell r="A2232" t="str">
            <v>Ibituruna</v>
          </cell>
          <cell r="B2232">
            <v>303163</v>
          </cell>
          <cell r="C2232">
            <v>-21.15461599</v>
          </cell>
          <cell r="D2232">
            <v>-44.748292509999999</v>
          </cell>
        </row>
        <row r="2233">
          <cell r="A2233" t="str">
            <v>Ibiúna</v>
          </cell>
          <cell r="B2233">
            <v>303768</v>
          </cell>
          <cell r="C2233">
            <v>-23.66008806</v>
          </cell>
          <cell r="D2233">
            <v>-47.223440449999998</v>
          </cell>
        </row>
        <row r="2234">
          <cell r="A2234" t="str">
            <v>Ibotirama</v>
          </cell>
          <cell r="B2234">
            <v>302279</v>
          </cell>
          <cell r="C2234">
            <v>-12.17831659</v>
          </cell>
          <cell r="D2234">
            <v>-43.217041950000002</v>
          </cell>
        </row>
        <row r="2235">
          <cell r="A2235" t="str">
            <v>Icapuí</v>
          </cell>
          <cell r="B2235">
            <v>300534</v>
          </cell>
          <cell r="C2235">
            <v>-4.7124657460000003</v>
          </cell>
          <cell r="D2235">
            <v>-37.353366549999997</v>
          </cell>
        </row>
        <row r="2236">
          <cell r="A2236" t="str">
            <v>Içara</v>
          </cell>
          <cell r="B2236">
            <v>304108</v>
          </cell>
          <cell r="C2236">
            <v>-28.71369031</v>
          </cell>
          <cell r="D2236">
            <v>-49.309089669999999</v>
          </cell>
        </row>
        <row r="2237">
          <cell r="A2237" t="str">
            <v>Icaraí de Minas</v>
          </cell>
          <cell r="B2237">
            <v>302193</v>
          </cell>
          <cell r="C2237">
            <v>-16.219444060000001</v>
          </cell>
          <cell r="D2237">
            <v>-44.904538410000001</v>
          </cell>
        </row>
        <row r="2238">
          <cell r="A2238" t="str">
            <v>Icaraíma</v>
          </cell>
          <cell r="B2238">
            <v>305070</v>
          </cell>
          <cell r="C2238">
            <v>-23.394813979999999</v>
          </cell>
          <cell r="D2238">
            <v>-53.615422100000004</v>
          </cell>
        </row>
        <row r="2239">
          <cell r="A2239" t="str">
            <v>Icatu</v>
          </cell>
          <cell r="B2239">
            <v>301677</v>
          </cell>
          <cell r="C2239">
            <v>-2.7748579840000001</v>
          </cell>
          <cell r="D2239">
            <v>-44.061707920000003</v>
          </cell>
        </row>
        <row r="2240">
          <cell r="A2240" t="str">
            <v>Icém</v>
          </cell>
          <cell r="B2240">
            <v>303697</v>
          </cell>
          <cell r="C2240">
            <v>-20.341992739999998</v>
          </cell>
          <cell r="D2240">
            <v>-49.194949549999997</v>
          </cell>
        </row>
        <row r="2241">
          <cell r="A2241" t="str">
            <v>Ichu</v>
          </cell>
          <cell r="B2241">
            <v>301409</v>
          </cell>
          <cell r="C2241">
            <v>-11.74868981</v>
          </cell>
          <cell r="D2241">
            <v>-39.19056381</v>
          </cell>
        </row>
        <row r="2242">
          <cell r="A2242" t="str">
            <v>Icó</v>
          </cell>
          <cell r="B2242">
            <v>300828</v>
          </cell>
          <cell r="C2242">
            <v>-6.3966835980000001</v>
          </cell>
          <cell r="D2242">
            <v>-38.855668190000003</v>
          </cell>
        </row>
        <row r="2243">
          <cell r="A2243" t="str">
            <v>Iconha</v>
          </cell>
          <cell r="B2243">
            <v>302524</v>
          </cell>
          <cell r="C2243">
            <v>-20.791770060000001</v>
          </cell>
          <cell r="D2243">
            <v>-40.813550560000003</v>
          </cell>
        </row>
        <row r="2244">
          <cell r="A2244" t="str">
            <v>Ielmo Marinho</v>
          </cell>
          <cell r="B2244">
            <v>302324</v>
          </cell>
          <cell r="C2244">
            <v>-5.8221300200000003</v>
          </cell>
          <cell r="D2244">
            <v>-35.551891130000001</v>
          </cell>
        </row>
        <row r="2245">
          <cell r="A2245" t="str">
            <v>Iepê</v>
          </cell>
          <cell r="B2245">
            <v>304510</v>
          </cell>
          <cell r="C2245">
            <v>-22.660630139999999</v>
          </cell>
          <cell r="D2245">
            <v>-51.078306359999999</v>
          </cell>
        </row>
        <row r="2246">
          <cell r="A2246" t="str">
            <v>Igaci</v>
          </cell>
          <cell r="B2246">
            <v>301164</v>
          </cell>
          <cell r="C2246">
            <v>-9.538111228</v>
          </cell>
          <cell r="D2246">
            <v>-36.637493499999998</v>
          </cell>
        </row>
        <row r="2247">
          <cell r="A2247" t="str">
            <v>Igaporã</v>
          </cell>
          <cell r="B2247">
            <v>303197</v>
          </cell>
          <cell r="C2247">
            <v>-13.769961029999999</v>
          </cell>
          <cell r="D2247">
            <v>-42.718199149999997</v>
          </cell>
        </row>
        <row r="2248">
          <cell r="A2248" t="str">
            <v>Igaraçu do Tietê</v>
          </cell>
          <cell r="B2248">
            <v>303834</v>
          </cell>
          <cell r="C2248">
            <v>-22.509515260000001</v>
          </cell>
          <cell r="D2248">
            <v>-48.56008087</v>
          </cell>
        </row>
        <row r="2249">
          <cell r="A2249" t="str">
            <v>Igaracy</v>
          </cell>
          <cell r="B2249">
            <v>300985</v>
          </cell>
          <cell r="C2249">
            <v>-7.1812699489999998</v>
          </cell>
          <cell r="D2249">
            <v>-38.150793579999998</v>
          </cell>
        </row>
        <row r="2250">
          <cell r="A2250" t="str">
            <v>Igarapava</v>
          </cell>
          <cell r="B2250">
            <v>303346</v>
          </cell>
          <cell r="C2250">
            <v>-20.041152409999999</v>
          </cell>
          <cell r="D2250">
            <v>-47.746972839999998</v>
          </cell>
        </row>
        <row r="2251">
          <cell r="A2251" t="str">
            <v>Igarapé</v>
          </cell>
          <cell r="B2251">
            <v>302923</v>
          </cell>
          <cell r="C2251">
            <v>-20.071144029999999</v>
          </cell>
          <cell r="D2251">
            <v>-44.299822740000003</v>
          </cell>
        </row>
        <row r="2252">
          <cell r="A2252" t="str">
            <v>Igarapé do Meio</v>
          </cell>
          <cell r="B2252">
            <v>303578</v>
          </cell>
          <cell r="C2252">
            <v>-3.648300989</v>
          </cell>
          <cell r="D2252">
            <v>-45.210334170000003</v>
          </cell>
        </row>
        <row r="2253">
          <cell r="A2253" t="str">
            <v>Igarapé Grande</v>
          </cell>
          <cell r="B2253">
            <v>302132</v>
          </cell>
          <cell r="C2253">
            <v>-4.6628988920000003</v>
          </cell>
          <cell r="D2253">
            <v>-44.856188959999997</v>
          </cell>
        </row>
        <row r="2254">
          <cell r="A2254" t="str">
            <v>Igarapé-Açu</v>
          </cell>
          <cell r="B2254">
            <v>301906</v>
          </cell>
          <cell r="C2254">
            <v>-1.1265894910000001</v>
          </cell>
          <cell r="D2254">
            <v>-47.623078499999998</v>
          </cell>
        </row>
        <row r="2255">
          <cell r="A2255" t="str">
            <v>Igarapé-Miri</v>
          </cell>
          <cell r="B2255">
            <v>301938</v>
          </cell>
          <cell r="C2255">
            <v>-1.9757081000000001</v>
          </cell>
          <cell r="D2255">
            <v>-48.957833520000001</v>
          </cell>
        </row>
        <row r="2256">
          <cell r="A2256" t="str">
            <v>Igarassu</v>
          </cell>
          <cell r="B2256">
            <v>300467</v>
          </cell>
          <cell r="C2256">
            <v>-7.8378055959999999</v>
          </cell>
          <cell r="D2256">
            <v>-34.90245986</v>
          </cell>
        </row>
        <row r="2257">
          <cell r="A2257" t="str">
            <v>Igaratá</v>
          </cell>
          <cell r="B2257">
            <v>303927</v>
          </cell>
          <cell r="C2257">
            <v>-23.204139420000001</v>
          </cell>
          <cell r="D2257">
            <v>-46.157379829999996</v>
          </cell>
        </row>
        <row r="2258">
          <cell r="A2258" t="str">
            <v>Igaratinga</v>
          </cell>
          <cell r="B2258">
            <v>302990</v>
          </cell>
          <cell r="C2258">
            <v>-19.948068710000001</v>
          </cell>
          <cell r="D2258">
            <v>-44.706700259999998</v>
          </cell>
        </row>
        <row r="2259">
          <cell r="A2259" t="str">
            <v>Igrapiúna</v>
          </cell>
          <cell r="B2259">
            <v>301739</v>
          </cell>
          <cell r="C2259">
            <v>-13.82135368</v>
          </cell>
          <cell r="D2259">
            <v>-39.141598309999999</v>
          </cell>
        </row>
        <row r="2260">
          <cell r="A2260" t="str">
            <v>Igreja Nova</v>
          </cell>
          <cell r="B2260">
            <v>301186</v>
          </cell>
          <cell r="C2260">
            <v>-10.128396860000001</v>
          </cell>
          <cell r="D2260">
            <v>-36.6570769</v>
          </cell>
        </row>
        <row r="2261">
          <cell r="A2261" t="str">
            <v>Igrejinha</v>
          </cell>
          <cell r="B2261">
            <v>305461</v>
          </cell>
          <cell r="C2261">
            <v>-29.569798970000001</v>
          </cell>
          <cell r="D2261">
            <v>-50.792343270000003</v>
          </cell>
        </row>
        <row r="2262">
          <cell r="A2262" t="str">
            <v>Iguaba Grande</v>
          </cell>
          <cell r="B2262">
            <v>303070</v>
          </cell>
          <cell r="C2262">
            <v>-22.849949259999999</v>
          </cell>
          <cell r="D2262">
            <v>-42.230282510000002</v>
          </cell>
        </row>
        <row r="2263">
          <cell r="A2263" t="str">
            <v>Iguaí</v>
          </cell>
          <cell r="B2263">
            <v>301595</v>
          </cell>
          <cell r="C2263">
            <v>-14.753211540000001</v>
          </cell>
          <cell r="D2263">
            <v>-40.089750809999998</v>
          </cell>
        </row>
        <row r="2264">
          <cell r="A2264" t="str">
            <v>Iguape</v>
          </cell>
          <cell r="B2264">
            <v>303791</v>
          </cell>
          <cell r="C2264">
            <v>-24.707985820000001</v>
          </cell>
          <cell r="D2264">
            <v>-47.554950499999997</v>
          </cell>
        </row>
        <row r="2265">
          <cell r="A2265" t="str">
            <v>Iguaraci</v>
          </cell>
          <cell r="B2265">
            <v>300787</v>
          </cell>
          <cell r="C2265">
            <v>-7.8359304229999998</v>
          </cell>
          <cell r="D2265">
            <v>-37.51340536</v>
          </cell>
        </row>
        <row r="2266">
          <cell r="A2266" t="str">
            <v>Iguaraçu</v>
          </cell>
          <cell r="B2266">
            <v>304764</v>
          </cell>
          <cell r="C2266">
            <v>-23.195360489999999</v>
          </cell>
          <cell r="D2266">
            <v>-51.825983669999999</v>
          </cell>
        </row>
        <row r="2267">
          <cell r="A2267" t="str">
            <v>Iguatama</v>
          </cell>
          <cell r="B2267">
            <v>303242</v>
          </cell>
          <cell r="C2267">
            <v>-20.178100390000001</v>
          </cell>
          <cell r="D2267">
            <v>-45.711497659999999</v>
          </cell>
        </row>
        <row r="2268">
          <cell r="A2268" t="str">
            <v>Iguatemi</v>
          </cell>
          <cell r="B2268">
            <v>305235</v>
          </cell>
          <cell r="C2268">
            <v>-23.674012860000001</v>
          </cell>
          <cell r="D2268">
            <v>-54.564180589999999</v>
          </cell>
        </row>
        <row r="2269">
          <cell r="A2269" t="str">
            <v>Iguatu</v>
          </cell>
          <cell r="B2269">
            <v>300830</v>
          </cell>
          <cell r="C2269">
            <v>-6.3632181259999996</v>
          </cell>
          <cell r="D2269">
            <v>-39.289469240000003</v>
          </cell>
        </row>
        <row r="2270">
          <cell r="A2270" t="str">
            <v>Iguatu</v>
          </cell>
          <cell r="B2270">
            <v>305062</v>
          </cell>
          <cell r="C2270">
            <v>-24.71574141</v>
          </cell>
          <cell r="D2270">
            <v>-53.083168460000003</v>
          </cell>
        </row>
        <row r="2271">
          <cell r="A2271" t="str">
            <v>Ijaci</v>
          </cell>
          <cell r="B2271">
            <v>303166</v>
          </cell>
          <cell r="C2271">
            <v>-21.174260660000002</v>
          </cell>
          <cell r="D2271">
            <v>-44.92364577</v>
          </cell>
        </row>
        <row r="2272">
          <cell r="A2272" t="str">
            <v>Ijuí</v>
          </cell>
          <cell r="B2272">
            <v>305455</v>
          </cell>
          <cell r="C2272">
            <v>-28.388516450000001</v>
          </cell>
          <cell r="D2272">
            <v>-53.92042403</v>
          </cell>
        </row>
        <row r="2273">
          <cell r="A2273" t="str">
            <v>Ilha Comprida</v>
          </cell>
          <cell r="B2273">
            <v>303792</v>
          </cell>
          <cell r="C2273">
            <v>-24.73644453</v>
          </cell>
          <cell r="D2273">
            <v>-47.540056720000003</v>
          </cell>
        </row>
        <row r="2274">
          <cell r="A2274" t="str">
            <v>Ilha das Flores</v>
          </cell>
          <cell r="B2274">
            <v>301188</v>
          </cell>
          <cell r="C2274">
            <v>-10.44294463</v>
          </cell>
          <cell r="D2274">
            <v>-36.54823768</v>
          </cell>
        </row>
        <row r="2275">
          <cell r="A2275" t="str">
            <v>Ilha de Itamaracá</v>
          </cell>
          <cell r="B2275">
            <v>300675</v>
          </cell>
          <cell r="C2275">
            <v>-7.7480876370000002</v>
          </cell>
          <cell r="D2275">
            <v>-34.830606690000003</v>
          </cell>
        </row>
        <row r="2276">
          <cell r="A2276" t="str">
            <v>Ilha Grande</v>
          </cell>
          <cell r="B2276">
            <v>300715</v>
          </cell>
          <cell r="C2276">
            <v>-2.858126242</v>
          </cell>
          <cell r="D2276">
            <v>-41.818915140000001</v>
          </cell>
        </row>
        <row r="2277">
          <cell r="A2277" t="str">
            <v>Ilha Solteira</v>
          </cell>
          <cell r="B2277">
            <v>304390</v>
          </cell>
          <cell r="C2277">
            <v>-20.433087270000001</v>
          </cell>
          <cell r="D2277">
            <v>-51.342972539999998</v>
          </cell>
        </row>
        <row r="2278">
          <cell r="A2278" t="str">
            <v>Ilhabela</v>
          </cell>
          <cell r="B2278">
            <v>303287</v>
          </cell>
          <cell r="C2278">
            <v>-23.779016210000002</v>
          </cell>
          <cell r="D2278">
            <v>-45.355616990000001</v>
          </cell>
        </row>
        <row r="2279">
          <cell r="A2279" t="str">
            <v>Ilhéus</v>
          </cell>
          <cell r="B2279">
            <v>301746</v>
          </cell>
          <cell r="C2279">
            <v>-14.79350423</v>
          </cell>
          <cell r="D2279">
            <v>-39.046346329999999</v>
          </cell>
        </row>
        <row r="2280">
          <cell r="A2280" t="str">
            <v>Ilhota</v>
          </cell>
          <cell r="B2280">
            <v>304019</v>
          </cell>
          <cell r="C2280">
            <v>-26.902765980000002</v>
          </cell>
          <cell r="D2280">
            <v>-48.825541260000001</v>
          </cell>
        </row>
        <row r="2281">
          <cell r="A2281" t="str">
            <v>Ilicínea</v>
          </cell>
          <cell r="B2281">
            <v>303247</v>
          </cell>
          <cell r="C2281">
            <v>-20.940694799999999</v>
          </cell>
          <cell r="D2281">
            <v>-45.831235390000003</v>
          </cell>
        </row>
        <row r="2282">
          <cell r="A2282" t="str">
            <v>Ilópolis</v>
          </cell>
          <cell r="B2282">
            <v>305217</v>
          </cell>
          <cell r="C2282">
            <v>-28.92872539</v>
          </cell>
          <cell r="D2282">
            <v>-52.126271150000001</v>
          </cell>
        </row>
        <row r="2283">
          <cell r="A2283" t="str">
            <v>Imaculada</v>
          </cell>
          <cell r="B2283">
            <v>300783</v>
          </cell>
          <cell r="C2283">
            <v>-7.3893235730000004</v>
          </cell>
          <cell r="D2283">
            <v>-37.508225179999997</v>
          </cell>
        </row>
        <row r="2284">
          <cell r="A2284" t="str">
            <v>Imaruí</v>
          </cell>
          <cell r="B2284">
            <v>304068</v>
          </cell>
          <cell r="C2284">
            <v>-28.334423109999999</v>
          </cell>
          <cell r="D2284">
            <v>-48.817440769999997</v>
          </cell>
        </row>
        <row r="2285">
          <cell r="A2285" t="str">
            <v>Imbaú</v>
          </cell>
          <cell r="B2285">
            <v>304748</v>
          </cell>
          <cell r="C2285">
            <v>-24.44848056</v>
          </cell>
          <cell r="D2285">
            <v>-50.753698110000002</v>
          </cell>
        </row>
        <row r="2286">
          <cell r="A2286" t="str">
            <v>Imbé</v>
          </cell>
          <cell r="B2286">
            <v>304139</v>
          </cell>
          <cell r="C2286">
            <v>-29.975752910000001</v>
          </cell>
          <cell r="D2286">
            <v>-50.128514639999999</v>
          </cell>
        </row>
        <row r="2287">
          <cell r="A2287" t="str">
            <v>Imbé de Minas</v>
          </cell>
          <cell r="B2287">
            <v>302894</v>
          </cell>
          <cell r="C2287">
            <v>-19.602196979999999</v>
          </cell>
          <cell r="D2287">
            <v>-41.96981126</v>
          </cell>
        </row>
        <row r="2288">
          <cell r="A2288" t="str">
            <v>Imbituba</v>
          </cell>
          <cell r="B2288">
            <v>304049</v>
          </cell>
          <cell r="C2288">
            <v>-28.228852369999998</v>
          </cell>
          <cell r="D2288">
            <v>-48.66631332</v>
          </cell>
        </row>
        <row r="2289">
          <cell r="A2289" t="str">
            <v>Imbituva</v>
          </cell>
          <cell r="B2289">
            <v>305245</v>
          </cell>
          <cell r="C2289">
            <v>-25.229010859999999</v>
          </cell>
          <cell r="D2289">
            <v>-50.599286820000003</v>
          </cell>
        </row>
        <row r="2290">
          <cell r="A2290" t="str">
            <v>Imbuia</v>
          </cell>
          <cell r="B2290">
            <v>304081</v>
          </cell>
          <cell r="C2290">
            <v>-27.491301450000002</v>
          </cell>
          <cell r="D2290">
            <v>-49.422197509999997</v>
          </cell>
        </row>
        <row r="2291">
          <cell r="A2291" t="str">
            <v>Imigrante</v>
          </cell>
          <cell r="B2291">
            <v>305201</v>
          </cell>
          <cell r="C2291">
            <v>-29.351253270000001</v>
          </cell>
          <cell r="D2291">
            <v>-51.775206750000002</v>
          </cell>
        </row>
        <row r="2292">
          <cell r="A2292" t="str">
            <v>Imperatriz</v>
          </cell>
          <cell r="B2292">
            <v>301970</v>
          </cell>
          <cell r="C2292">
            <v>-5.5188731559999997</v>
          </cell>
          <cell r="D2292">
            <v>-47.478099030000003</v>
          </cell>
        </row>
        <row r="2293">
          <cell r="A2293" t="str">
            <v>Inácio Martins</v>
          </cell>
          <cell r="B2293">
            <v>305255</v>
          </cell>
          <cell r="C2293">
            <v>-25.570867230000001</v>
          </cell>
          <cell r="D2293">
            <v>-51.077360089999999</v>
          </cell>
        </row>
        <row r="2294">
          <cell r="A2294" t="str">
            <v>Inaciolândia</v>
          </cell>
          <cell r="B2294">
            <v>303399</v>
          </cell>
          <cell r="C2294">
            <v>-18.487351260000001</v>
          </cell>
          <cell r="D2294">
            <v>-49.989165290000003</v>
          </cell>
        </row>
        <row r="2295">
          <cell r="A2295" t="str">
            <v>Inajá</v>
          </cell>
          <cell r="B2295">
            <v>304714</v>
          </cell>
          <cell r="C2295">
            <v>-22.75139137</v>
          </cell>
          <cell r="D2295">
            <v>-52.199931540000001</v>
          </cell>
        </row>
        <row r="2296">
          <cell r="A2296" t="str">
            <v>Inajá</v>
          </cell>
          <cell r="B2296">
            <v>301269</v>
          </cell>
          <cell r="C2296">
            <v>-8.8999995550000008</v>
          </cell>
          <cell r="D2296">
            <v>-37.83028925</v>
          </cell>
        </row>
        <row r="2297">
          <cell r="A2297" t="str">
            <v>Inapari</v>
          </cell>
          <cell r="B2297">
            <v>314471</v>
          </cell>
          <cell r="C2297">
            <v>-10.96466564</v>
          </cell>
          <cell r="D2297">
            <v>-69.611818639999996</v>
          </cell>
        </row>
        <row r="2298">
          <cell r="A2298" t="str">
            <v>Inconfidentes</v>
          </cell>
          <cell r="B2298">
            <v>303536</v>
          </cell>
          <cell r="C2298">
            <v>-22.314037200000001</v>
          </cell>
          <cell r="D2298">
            <v>-46.32680543</v>
          </cell>
        </row>
        <row r="2299">
          <cell r="A2299" t="str">
            <v>Indaiabira</v>
          </cell>
          <cell r="B2299">
            <v>302119</v>
          </cell>
          <cell r="C2299">
            <v>-15.49232971</v>
          </cell>
          <cell r="D2299">
            <v>-42.197727360000002</v>
          </cell>
        </row>
        <row r="2300">
          <cell r="A2300" t="str">
            <v>Indaial</v>
          </cell>
          <cell r="B2300">
            <v>304027</v>
          </cell>
          <cell r="C2300">
            <v>-26.899727729999999</v>
          </cell>
          <cell r="D2300">
            <v>-49.235844999999998</v>
          </cell>
        </row>
        <row r="2301">
          <cell r="A2301" t="str">
            <v>Indaiatuba</v>
          </cell>
          <cell r="B2301">
            <v>303758</v>
          </cell>
          <cell r="C2301">
            <v>-23.082067389999999</v>
          </cell>
          <cell r="D2301">
            <v>-47.210494619999999</v>
          </cell>
        </row>
        <row r="2302">
          <cell r="A2302" t="str">
            <v>Independencia</v>
          </cell>
          <cell r="B2302">
            <v>314346</v>
          </cell>
          <cell r="C2302">
            <v>-25.71024559</v>
          </cell>
          <cell r="D2302">
            <v>-56.230176579999998</v>
          </cell>
        </row>
        <row r="2303">
          <cell r="A2303" t="str">
            <v>Independência</v>
          </cell>
          <cell r="B2303">
            <v>300879</v>
          </cell>
          <cell r="C2303">
            <v>-5.3882945759999998</v>
          </cell>
          <cell r="D2303">
            <v>-40.308851820000001</v>
          </cell>
        </row>
        <row r="2304">
          <cell r="A2304" t="str">
            <v>Independência</v>
          </cell>
          <cell r="B2304">
            <v>305447</v>
          </cell>
          <cell r="C2304">
            <v>-27.83587769</v>
          </cell>
          <cell r="D2304">
            <v>-54.189103289999998</v>
          </cell>
        </row>
        <row r="2305">
          <cell r="A2305" t="str">
            <v>Indiana</v>
          </cell>
          <cell r="B2305">
            <v>304507</v>
          </cell>
          <cell r="C2305">
            <v>-22.174242379999999</v>
          </cell>
          <cell r="D2305">
            <v>-51.255891980000001</v>
          </cell>
        </row>
        <row r="2306">
          <cell r="A2306" t="str">
            <v>Indianópolis</v>
          </cell>
          <cell r="B2306">
            <v>303330</v>
          </cell>
          <cell r="C2306">
            <v>-19.037342550000002</v>
          </cell>
          <cell r="D2306">
            <v>-47.918483610000003</v>
          </cell>
        </row>
        <row r="2307">
          <cell r="A2307" t="str">
            <v>Indianópolis</v>
          </cell>
          <cell r="B2307">
            <v>304873</v>
          </cell>
          <cell r="C2307">
            <v>-23.476696749999999</v>
          </cell>
          <cell r="D2307">
            <v>-52.699302899999999</v>
          </cell>
        </row>
        <row r="2308">
          <cell r="A2308" t="str">
            <v>Indiaporã</v>
          </cell>
          <cell r="B2308">
            <v>303478</v>
          </cell>
          <cell r="C2308">
            <v>-19.979411389999999</v>
          </cell>
          <cell r="D2308">
            <v>-50.291268870000003</v>
          </cell>
        </row>
        <row r="2309">
          <cell r="A2309" t="str">
            <v>Indiara</v>
          </cell>
          <cell r="B2309">
            <v>303386</v>
          </cell>
          <cell r="C2309">
            <v>-17.13918962</v>
          </cell>
          <cell r="D2309">
            <v>-49.986566230000001</v>
          </cell>
        </row>
        <row r="2310">
          <cell r="A2310" t="str">
            <v>Indiaroba</v>
          </cell>
          <cell r="B2310">
            <v>301266</v>
          </cell>
          <cell r="C2310">
            <v>-11.51846383</v>
          </cell>
          <cell r="D2310">
            <v>-37.51037049</v>
          </cell>
        </row>
        <row r="2311">
          <cell r="A2311" t="str">
            <v>Indiavaí</v>
          </cell>
          <cell r="B2311">
            <v>304625</v>
          </cell>
          <cell r="C2311">
            <v>-15.49623766</v>
          </cell>
          <cell r="D2311">
            <v>-58.578680060000003</v>
          </cell>
        </row>
        <row r="2312">
          <cell r="A2312" t="str">
            <v>Ing. Palacios</v>
          </cell>
          <cell r="B2312">
            <v>314441</v>
          </cell>
          <cell r="C2312">
            <v>-9.8335721340000006</v>
          </cell>
          <cell r="D2312">
            <v>-65.64454662</v>
          </cell>
        </row>
        <row r="2313">
          <cell r="A2313" t="str">
            <v>Ingá</v>
          </cell>
          <cell r="B2313">
            <v>300673</v>
          </cell>
          <cell r="C2313">
            <v>-7.2911727969999998</v>
          </cell>
          <cell r="D2313">
            <v>-35.610770709999997</v>
          </cell>
        </row>
        <row r="2314">
          <cell r="A2314" t="str">
            <v>Ingaí</v>
          </cell>
          <cell r="B2314">
            <v>303169</v>
          </cell>
          <cell r="C2314">
            <v>-21.40290448</v>
          </cell>
          <cell r="D2314">
            <v>-44.91553931</v>
          </cell>
        </row>
        <row r="2315">
          <cell r="A2315" t="str">
            <v>Ingazeira</v>
          </cell>
          <cell r="B2315">
            <v>300782</v>
          </cell>
          <cell r="C2315">
            <v>-7.6777473929999998</v>
          </cell>
          <cell r="D2315">
            <v>-37.459837620000002</v>
          </cell>
        </row>
        <row r="2316">
          <cell r="A2316" t="str">
            <v>Inhacorá</v>
          </cell>
          <cell r="B2316">
            <v>305446</v>
          </cell>
          <cell r="C2316">
            <v>-27.875654340000001</v>
          </cell>
          <cell r="D2316">
            <v>-54.015440400000003</v>
          </cell>
        </row>
        <row r="2317">
          <cell r="A2317" t="str">
            <v>Inhambupe</v>
          </cell>
          <cell r="B2317">
            <v>301373</v>
          </cell>
          <cell r="C2317">
            <v>-11.79111367</v>
          </cell>
          <cell r="D2317">
            <v>-38.355765990000002</v>
          </cell>
        </row>
        <row r="2318">
          <cell r="A2318" t="str">
            <v>Inhangapi</v>
          </cell>
          <cell r="B2318">
            <v>301913</v>
          </cell>
          <cell r="C2318">
            <v>-1.4293094669999999</v>
          </cell>
          <cell r="D2318">
            <v>-47.908589839999998</v>
          </cell>
        </row>
        <row r="2319">
          <cell r="A2319" t="str">
            <v>Inhapi</v>
          </cell>
          <cell r="B2319">
            <v>301270</v>
          </cell>
          <cell r="C2319">
            <v>-9.2263664219999999</v>
          </cell>
          <cell r="D2319">
            <v>-37.751181369999998</v>
          </cell>
        </row>
        <row r="2320">
          <cell r="A2320" t="str">
            <v>Inhapim</v>
          </cell>
          <cell r="B2320">
            <v>302895</v>
          </cell>
          <cell r="C2320">
            <v>-19.54728639</v>
          </cell>
          <cell r="D2320">
            <v>-42.117631260000003</v>
          </cell>
        </row>
        <row r="2321">
          <cell r="A2321" t="str">
            <v>Inhaúma</v>
          </cell>
          <cell r="B2321">
            <v>304403</v>
          </cell>
          <cell r="C2321">
            <v>-19.490313650000001</v>
          </cell>
          <cell r="D2321">
            <v>-44.39376704</v>
          </cell>
        </row>
        <row r="2322">
          <cell r="A2322" t="str">
            <v>Inhuma</v>
          </cell>
          <cell r="B2322">
            <v>301046</v>
          </cell>
          <cell r="C2322">
            <v>-6.6680151309999998</v>
          </cell>
          <cell r="D2322">
            <v>-41.709605740000001</v>
          </cell>
        </row>
        <row r="2323">
          <cell r="A2323" t="str">
            <v>Inhumas</v>
          </cell>
          <cell r="B2323">
            <v>302603</v>
          </cell>
          <cell r="C2323">
            <v>-16.36150576</v>
          </cell>
          <cell r="D2323">
            <v>-49.500510609999999</v>
          </cell>
        </row>
        <row r="2324">
          <cell r="A2324" t="str">
            <v>Inimutaba</v>
          </cell>
          <cell r="B2324">
            <v>302954</v>
          </cell>
          <cell r="C2324">
            <v>-18.72899391</v>
          </cell>
          <cell r="D2324">
            <v>-44.360957409999997</v>
          </cell>
        </row>
        <row r="2325">
          <cell r="A2325" t="str">
            <v>Inocência</v>
          </cell>
          <cell r="B2325">
            <v>304451</v>
          </cell>
          <cell r="C2325">
            <v>-19.728170800000001</v>
          </cell>
          <cell r="D2325">
            <v>-51.92852019</v>
          </cell>
        </row>
        <row r="2326">
          <cell r="A2326" t="str">
            <v>Inúbia Paulista</v>
          </cell>
          <cell r="B2326">
            <v>304483</v>
          </cell>
          <cell r="C2326">
            <v>-21.769991210000001</v>
          </cell>
          <cell r="D2326">
            <v>-50.961946400000002</v>
          </cell>
        </row>
        <row r="2327">
          <cell r="A2327" t="str">
            <v>Iomerê</v>
          </cell>
          <cell r="B2327">
            <v>305080</v>
          </cell>
          <cell r="C2327">
            <v>-27.002394750000001</v>
          </cell>
          <cell r="D2327">
            <v>-51.244668539999999</v>
          </cell>
        </row>
        <row r="2328">
          <cell r="A2328" t="str">
            <v>Ipaba</v>
          </cell>
          <cell r="B2328">
            <v>302904</v>
          </cell>
          <cell r="C2328">
            <v>-19.41399238</v>
          </cell>
          <cell r="D2328">
            <v>-42.4189626</v>
          </cell>
        </row>
        <row r="2329">
          <cell r="A2329" t="str">
            <v>Ipacaraí</v>
          </cell>
          <cell r="B2329">
            <v>314484</v>
          </cell>
          <cell r="C2329">
            <v>-25.41939983</v>
          </cell>
          <cell r="D2329">
            <v>-57.257720169999999</v>
          </cell>
        </row>
        <row r="2330">
          <cell r="A2330" t="str">
            <v>Ipameri</v>
          </cell>
          <cell r="B2330">
            <v>304941</v>
          </cell>
          <cell r="C2330">
            <v>-17.722000380000001</v>
          </cell>
          <cell r="D2330">
            <v>-48.158512049999999</v>
          </cell>
        </row>
        <row r="2331">
          <cell r="A2331" t="str">
            <v>Ipanema</v>
          </cell>
          <cell r="B2331">
            <v>302544</v>
          </cell>
          <cell r="C2331">
            <v>-19.799629280000001</v>
          </cell>
          <cell r="D2331">
            <v>-41.716803880000001</v>
          </cell>
        </row>
        <row r="2332">
          <cell r="A2332" t="str">
            <v>Ipanguaçu</v>
          </cell>
          <cell r="B2332">
            <v>300541</v>
          </cell>
          <cell r="C2332">
            <v>-5.5092372899999997</v>
          </cell>
          <cell r="D2332">
            <v>-36.858558930000001</v>
          </cell>
        </row>
        <row r="2333">
          <cell r="A2333" t="str">
            <v>Ipaporanga</v>
          </cell>
          <cell r="B2333">
            <v>300876</v>
          </cell>
          <cell r="C2333">
            <v>-4.8980383400000003</v>
          </cell>
          <cell r="D2333">
            <v>-40.754033649999997</v>
          </cell>
        </row>
        <row r="2334">
          <cell r="A2334" t="str">
            <v>Ipatinga</v>
          </cell>
          <cell r="B2334">
            <v>302838</v>
          </cell>
          <cell r="C2334">
            <v>-19.470749309999999</v>
          </cell>
          <cell r="D2334">
            <v>-42.547972090000002</v>
          </cell>
        </row>
        <row r="2335">
          <cell r="A2335" t="str">
            <v>Ipaumirim</v>
          </cell>
          <cell r="B2335">
            <v>300797</v>
          </cell>
          <cell r="C2335">
            <v>-6.7830630510000001</v>
          </cell>
          <cell r="D2335">
            <v>-38.718171460000001</v>
          </cell>
        </row>
        <row r="2336">
          <cell r="A2336" t="str">
            <v>Ipaussu</v>
          </cell>
          <cell r="B2336">
            <v>304426</v>
          </cell>
          <cell r="C2336">
            <v>-23.056988919999998</v>
          </cell>
          <cell r="D2336">
            <v>-49.625947930000002</v>
          </cell>
        </row>
        <row r="2337">
          <cell r="A2337" t="str">
            <v>Ipê</v>
          </cell>
          <cell r="B2337">
            <v>305149</v>
          </cell>
          <cell r="C2337">
            <v>-28.817576020000001</v>
          </cell>
          <cell r="D2337">
            <v>-51.28638024</v>
          </cell>
        </row>
        <row r="2338">
          <cell r="A2338" t="str">
            <v>Ipecaetá</v>
          </cell>
          <cell r="B2338">
            <v>301417</v>
          </cell>
          <cell r="C2338">
            <v>-12.31570224</v>
          </cell>
          <cell r="D2338">
            <v>-39.308396969999997</v>
          </cell>
        </row>
        <row r="2339">
          <cell r="A2339" t="str">
            <v>Iperó</v>
          </cell>
          <cell r="B2339">
            <v>303766</v>
          </cell>
          <cell r="C2339">
            <v>-23.351771939999999</v>
          </cell>
          <cell r="D2339">
            <v>-47.69312266</v>
          </cell>
        </row>
        <row r="2340">
          <cell r="A2340" t="str">
            <v>Ipeúna</v>
          </cell>
          <cell r="B2340">
            <v>303916</v>
          </cell>
          <cell r="C2340">
            <v>-22.435986159999999</v>
          </cell>
          <cell r="D2340">
            <v>-47.715489099999999</v>
          </cell>
        </row>
        <row r="2341">
          <cell r="A2341" t="str">
            <v>Ipiaçu</v>
          </cell>
          <cell r="B2341">
            <v>303400</v>
          </cell>
          <cell r="C2341">
            <v>-18.69317204</v>
          </cell>
          <cell r="D2341">
            <v>-49.944021499999998</v>
          </cell>
        </row>
        <row r="2342">
          <cell r="A2342" t="str">
            <v>Ipiaú</v>
          </cell>
          <cell r="B2342">
            <v>302384</v>
          </cell>
          <cell r="C2342">
            <v>-14.133321390000001</v>
          </cell>
          <cell r="D2342">
            <v>-39.737349989999998</v>
          </cell>
        </row>
        <row r="2343">
          <cell r="A2343" t="str">
            <v>Ipiguá</v>
          </cell>
          <cell r="B2343">
            <v>303424</v>
          </cell>
          <cell r="C2343">
            <v>-20.656197630000001</v>
          </cell>
          <cell r="D2343">
            <v>-49.384569970000001</v>
          </cell>
        </row>
        <row r="2344">
          <cell r="A2344" t="str">
            <v>Ipira</v>
          </cell>
          <cell r="B2344">
            <v>305584</v>
          </cell>
          <cell r="C2344">
            <v>-27.40429185</v>
          </cell>
          <cell r="D2344">
            <v>-51.776236519999998</v>
          </cell>
        </row>
        <row r="2345">
          <cell r="A2345" t="str">
            <v>Ipirá</v>
          </cell>
          <cell r="B2345">
            <v>301427</v>
          </cell>
          <cell r="C2345">
            <v>-12.156501759999999</v>
          </cell>
          <cell r="D2345">
            <v>-39.736268719999998</v>
          </cell>
        </row>
        <row r="2346">
          <cell r="A2346" t="str">
            <v>Ipiranga</v>
          </cell>
          <cell r="B2346">
            <v>304749</v>
          </cell>
          <cell r="C2346">
            <v>-25.024241440000001</v>
          </cell>
          <cell r="D2346">
            <v>-50.579807979999998</v>
          </cell>
        </row>
        <row r="2347">
          <cell r="A2347" t="str">
            <v>Ipiranga de Goiás</v>
          </cell>
          <cell r="B2347">
            <v>300365</v>
          </cell>
          <cell r="C2347">
            <v>-15.17315378</v>
          </cell>
          <cell r="D2347">
            <v>-49.672127699999997</v>
          </cell>
        </row>
        <row r="2348">
          <cell r="A2348" t="str">
            <v>Ipiranga do Norte</v>
          </cell>
          <cell r="B2348">
            <v>300375</v>
          </cell>
          <cell r="C2348">
            <v>-12.24058464</v>
          </cell>
          <cell r="D2348">
            <v>-56.146365500000002</v>
          </cell>
        </row>
        <row r="2349">
          <cell r="A2349" t="str">
            <v>Ipiranga do Piauí</v>
          </cell>
          <cell r="B2349">
            <v>301051</v>
          </cell>
          <cell r="C2349">
            <v>-6.8246282630000001</v>
          </cell>
          <cell r="D2349">
            <v>-41.738422540000002</v>
          </cell>
        </row>
        <row r="2350">
          <cell r="A2350" t="str">
            <v>Ipiranga do Sul</v>
          </cell>
          <cell r="B2350">
            <v>305170</v>
          </cell>
          <cell r="C2350">
            <v>-27.940838719999999</v>
          </cell>
          <cell r="D2350">
            <v>-52.427576850000001</v>
          </cell>
        </row>
        <row r="2351">
          <cell r="A2351" t="str">
            <v>Ipixuna</v>
          </cell>
          <cell r="B2351">
            <v>305848</v>
          </cell>
          <cell r="C2351">
            <v>-7.0510147070000002</v>
          </cell>
          <cell r="D2351">
            <v>-71.689516440000006</v>
          </cell>
        </row>
        <row r="2352">
          <cell r="A2352" t="str">
            <v>Ipixuna do Pará</v>
          </cell>
          <cell r="B2352">
            <v>301920</v>
          </cell>
          <cell r="C2352">
            <v>-2.5561748670000002</v>
          </cell>
          <cell r="D2352">
            <v>-47.50064905</v>
          </cell>
        </row>
        <row r="2353">
          <cell r="A2353" t="str">
            <v>Ipojuca</v>
          </cell>
          <cell r="B2353">
            <v>301077</v>
          </cell>
          <cell r="C2353">
            <v>-8.3934615279999996</v>
          </cell>
          <cell r="D2353">
            <v>-35.061153869999998</v>
          </cell>
        </row>
        <row r="2354">
          <cell r="A2354" t="str">
            <v>Iporá</v>
          </cell>
          <cell r="B2354">
            <v>304515</v>
          </cell>
          <cell r="C2354">
            <v>-16.440209930000002</v>
          </cell>
          <cell r="D2354">
            <v>-51.118458590000003</v>
          </cell>
        </row>
        <row r="2355">
          <cell r="A2355" t="str">
            <v>Iporã</v>
          </cell>
          <cell r="B2355">
            <v>304876</v>
          </cell>
          <cell r="C2355">
            <v>-24.008810069999999</v>
          </cell>
          <cell r="D2355">
            <v>-53.706476719999998</v>
          </cell>
        </row>
        <row r="2356">
          <cell r="A2356" t="str">
            <v>Iporã do Oeste</v>
          </cell>
          <cell r="B2356">
            <v>305351</v>
          </cell>
          <cell r="C2356">
            <v>-26.985863429999998</v>
          </cell>
          <cell r="D2356">
            <v>-53.535938799999997</v>
          </cell>
        </row>
        <row r="2357">
          <cell r="A2357" t="str">
            <v>Iporanga</v>
          </cell>
          <cell r="B2357">
            <v>303954</v>
          </cell>
          <cell r="C2357">
            <v>-24.585986349999999</v>
          </cell>
          <cell r="D2357">
            <v>-48.592948919999998</v>
          </cell>
        </row>
        <row r="2358">
          <cell r="A2358" t="str">
            <v>Ipu</v>
          </cell>
          <cell r="B2358">
            <v>300874</v>
          </cell>
          <cell r="C2358">
            <v>-4.3178827750000002</v>
          </cell>
          <cell r="D2358">
            <v>-40.706205060000002</v>
          </cell>
        </row>
        <row r="2359">
          <cell r="A2359" t="str">
            <v>Ipuã</v>
          </cell>
          <cell r="B2359">
            <v>303353</v>
          </cell>
          <cell r="C2359">
            <v>-20.444251149999999</v>
          </cell>
          <cell r="D2359">
            <v>-48.013280600000002</v>
          </cell>
        </row>
        <row r="2360">
          <cell r="A2360" t="str">
            <v>Ipuaçu</v>
          </cell>
          <cell r="B2360">
            <v>305274</v>
          </cell>
          <cell r="C2360">
            <v>-26.632495219999999</v>
          </cell>
          <cell r="D2360">
            <v>-52.457080759999997</v>
          </cell>
        </row>
        <row r="2361">
          <cell r="A2361" t="str">
            <v>Ipubi</v>
          </cell>
          <cell r="B2361">
            <v>301023</v>
          </cell>
          <cell r="C2361">
            <v>-7.645467204</v>
          </cell>
          <cell r="D2361">
            <v>-40.147897159999999</v>
          </cell>
        </row>
        <row r="2362">
          <cell r="A2362" t="str">
            <v>Ipueira</v>
          </cell>
          <cell r="B2362">
            <v>300764</v>
          </cell>
          <cell r="C2362">
            <v>-6.816038238</v>
          </cell>
          <cell r="D2362">
            <v>-37.198832369999998</v>
          </cell>
        </row>
        <row r="2363">
          <cell r="A2363" t="str">
            <v>Ipueiras</v>
          </cell>
          <cell r="B2363">
            <v>302254</v>
          </cell>
          <cell r="C2363">
            <v>-11.23791701</v>
          </cell>
          <cell r="D2363">
            <v>-48.4552452</v>
          </cell>
        </row>
        <row r="2364">
          <cell r="A2364" t="str">
            <v>Ipueiras</v>
          </cell>
          <cell r="B2364">
            <v>300875</v>
          </cell>
          <cell r="C2364">
            <v>-4.5387669209999997</v>
          </cell>
          <cell r="D2364">
            <v>-40.712351130000002</v>
          </cell>
        </row>
        <row r="2365">
          <cell r="A2365" t="str">
            <v>Ipuiúna</v>
          </cell>
          <cell r="B2365">
            <v>303530</v>
          </cell>
          <cell r="C2365">
            <v>-22.10173984</v>
          </cell>
          <cell r="D2365">
            <v>-46.191886930000003</v>
          </cell>
        </row>
        <row r="2366">
          <cell r="A2366" t="str">
            <v>Ipumirim</v>
          </cell>
          <cell r="B2366">
            <v>305121</v>
          </cell>
          <cell r="C2366">
            <v>-27.077687109999999</v>
          </cell>
          <cell r="D2366">
            <v>-52.129320450000002</v>
          </cell>
        </row>
        <row r="2367">
          <cell r="A2367" t="str">
            <v>Ipupiara</v>
          </cell>
          <cell r="B2367">
            <v>302273</v>
          </cell>
          <cell r="C2367">
            <v>-11.82204155</v>
          </cell>
          <cell r="D2367">
            <v>-42.611413419999998</v>
          </cell>
        </row>
        <row r="2368">
          <cell r="A2368" t="str">
            <v>Iracema</v>
          </cell>
          <cell r="B2368">
            <v>300978</v>
          </cell>
          <cell r="C2368">
            <v>-5.812809304</v>
          </cell>
          <cell r="D2368">
            <v>-38.292254839999998</v>
          </cell>
        </row>
        <row r="2369">
          <cell r="A2369" t="str">
            <v>Iracema</v>
          </cell>
          <cell r="B2369">
            <v>305889</v>
          </cell>
          <cell r="C2369">
            <v>2.166834438</v>
          </cell>
          <cell r="D2369">
            <v>-61.052867579999997</v>
          </cell>
        </row>
        <row r="2370">
          <cell r="A2370" t="str">
            <v>Iracema do Oeste</v>
          </cell>
          <cell r="B2370">
            <v>305060</v>
          </cell>
          <cell r="C2370">
            <v>-24.426618000000001</v>
          </cell>
          <cell r="D2370">
            <v>-53.353235069999997</v>
          </cell>
        </row>
        <row r="2371">
          <cell r="A2371" t="str">
            <v>Iracemápolis</v>
          </cell>
          <cell r="B2371">
            <v>303908</v>
          </cell>
          <cell r="C2371">
            <v>-22.583708089999998</v>
          </cell>
          <cell r="D2371">
            <v>-47.523365249999998</v>
          </cell>
        </row>
        <row r="2372">
          <cell r="A2372" t="str">
            <v>Iraceminha</v>
          </cell>
          <cell r="B2372">
            <v>305316</v>
          </cell>
          <cell r="C2372">
            <v>-26.822003970000001</v>
          </cell>
          <cell r="D2372">
            <v>-53.277135569999999</v>
          </cell>
        </row>
        <row r="2373">
          <cell r="A2373" t="str">
            <v>Iraí</v>
          </cell>
          <cell r="B2373">
            <v>305320</v>
          </cell>
          <cell r="C2373">
            <v>-27.195538710000001</v>
          </cell>
          <cell r="D2373">
            <v>-53.254776929999998</v>
          </cell>
        </row>
        <row r="2374">
          <cell r="A2374" t="str">
            <v>Iraí de Minas</v>
          </cell>
          <cell r="B2374">
            <v>303692</v>
          </cell>
          <cell r="C2374">
            <v>-18.987156970000001</v>
          </cell>
          <cell r="D2374">
            <v>-47.462910659999999</v>
          </cell>
        </row>
        <row r="2375">
          <cell r="A2375" t="str">
            <v>Irajuba</v>
          </cell>
          <cell r="B2375">
            <v>301550</v>
          </cell>
          <cell r="C2375">
            <v>-13.256781050000001</v>
          </cell>
          <cell r="D2375">
            <v>-40.085151619999998</v>
          </cell>
        </row>
        <row r="2376">
          <cell r="A2376" t="str">
            <v>Iramaia</v>
          </cell>
          <cell r="B2376">
            <v>301576</v>
          </cell>
          <cell r="C2376">
            <v>-13.2929309</v>
          </cell>
          <cell r="D2376">
            <v>-40.95929366</v>
          </cell>
        </row>
        <row r="2377">
          <cell r="A2377" t="str">
            <v>Iranduba</v>
          </cell>
          <cell r="B2377">
            <v>304634</v>
          </cell>
          <cell r="C2377">
            <v>-3.2751766490000001</v>
          </cell>
          <cell r="D2377">
            <v>-60.190393530000001</v>
          </cell>
        </row>
        <row r="2378">
          <cell r="A2378" t="str">
            <v>Irani</v>
          </cell>
          <cell r="B2378">
            <v>305108</v>
          </cell>
          <cell r="C2378">
            <v>-27.029156740000001</v>
          </cell>
          <cell r="D2378">
            <v>-51.901649829999997</v>
          </cell>
        </row>
        <row r="2379">
          <cell r="A2379" t="str">
            <v>Irapuã</v>
          </cell>
          <cell r="B2379">
            <v>303854</v>
          </cell>
          <cell r="C2379">
            <v>-21.278190129999999</v>
          </cell>
          <cell r="D2379">
            <v>-49.411635949999997</v>
          </cell>
        </row>
        <row r="2380">
          <cell r="A2380" t="str">
            <v>Irapuru</v>
          </cell>
          <cell r="B2380">
            <v>304488</v>
          </cell>
          <cell r="C2380">
            <v>-21.56885149</v>
          </cell>
          <cell r="D2380">
            <v>-51.34759476</v>
          </cell>
        </row>
        <row r="2381">
          <cell r="A2381" t="str">
            <v>Iraquara</v>
          </cell>
          <cell r="B2381">
            <v>301509</v>
          </cell>
          <cell r="C2381">
            <v>-12.24332293</v>
          </cell>
          <cell r="D2381">
            <v>-41.615845049999997</v>
          </cell>
        </row>
        <row r="2382">
          <cell r="A2382" t="str">
            <v>Irará</v>
          </cell>
          <cell r="B2382">
            <v>301377</v>
          </cell>
          <cell r="C2382">
            <v>-12.05089433</v>
          </cell>
          <cell r="D2382">
            <v>-38.763459599999997</v>
          </cell>
        </row>
        <row r="2383">
          <cell r="A2383" t="str">
            <v>Irati</v>
          </cell>
          <cell r="B2383">
            <v>305247</v>
          </cell>
          <cell r="C2383">
            <v>-25.470136270000001</v>
          </cell>
          <cell r="D2383">
            <v>-50.649718999999997</v>
          </cell>
        </row>
        <row r="2384">
          <cell r="A2384" t="str">
            <v>Irati</v>
          </cell>
          <cell r="B2384">
            <v>305285</v>
          </cell>
          <cell r="C2384">
            <v>-26.654330869999999</v>
          </cell>
          <cell r="D2384">
            <v>-52.895963559999998</v>
          </cell>
        </row>
        <row r="2385">
          <cell r="A2385" t="str">
            <v>Irauçuba</v>
          </cell>
          <cell r="B2385">
            <v>300696</v>
          </cell>
          <cell r="C2385">
            <v>-3.7477625520000002</v>
          </cell>
          <cell r="D2385">
            <v>-39.784653429999999</v>
          </cell>
        </row>
        <row r="2386">
          <cell r="A2386" t="str">
            <v>Irecê</v>
          </cell>
          <cell r="B2386">
            <v>301496</v>
          </cell>
          <cell r="C2386">
            <v>-11.303754809999999</v>
          </cell>
          <cell r="D2386">
            <v>-41.853803540000001</v>
          </cell>
        </row>
        <row r="2387">
          <cell r="A2387" t="str">
            <v>Iretama</v>
          </cell>
          <cell r="B2387">
            <v>304835</v>
          </cell>
          <cell r="C2387">
            <v>-24.42575665</v>
          </cell>
          <cell r="D2387">
            <v>-52.101598459999998</v>
          </cell>
        </row>
        <row r="2388">
          <cell r="A2388" t="str">
            <v>Irineópolis</v>
          </cell>
          <cell r="B2388">
            <v>305260</v>
          </cell>
          <cell r="C2388">
            <v>-26.24248055</v>
          </cell>
          <cell r="D2388">
            <v>-50.796122760000003</v>
          </cell>
        </row>
        <row r="2389">
          <cell r="A2389" t="str">
            <v>Irituia</v>
          </cell>
          <cell r="B2389">
            <v>301908</v>
          </cell>
          <cell r="C2389">
            <v>-1.7702232529999999</v>
          </cell>
          <cell r="D2389">
            <v>-47.446368290000002</v>
          </cell>
        </row>
        <row r="2390">
          <cell r="A2390" t="str">
            <v>Irupi</v>
          </cell>
          <cell r="B2390">
            <v>302666</v>
          </cell>
          <cell r="C2390">
            <v>-20.350601619999999</v>
          </cell>
          <cell r="D2390">
            <v>-41.6447146</v>
          </cell>
        </row>
        <row r="2391">
          <cell r="A2391" t="str">
            <v>Isaías Coelho</v>
          </cell>
          <cell r="B2391">
            <v>301068</v>
          </cell>
          <cell r="C2391">
            <v>-7.7373737800000004</v>
          </cell>
          <cell r="D2391">
            <v>-41.677659480000003</v>
          </cell>
        </row>
        <row r="2392">
          <cell r="A2392" t="str">
            <v>Isidoro Resquim</v>
          </cell>
          <cell r="B2392">
            <v>314261</v>
          </cell>
          <cell r="C2392">
            <v>-24.057673980000001</v>
          </cell>
          <cell r="D2392">
            <v>-56.469507739999997</v>
          </cell>
        </row>
        <row r="2393">
          <cell r="A2393" t="str">
            <v>Isla Umbú</v>
          </cell>
          <cell r="B2393">
            <v>314402</v>
          </cell>
          <cell r="C2393">
            <v>-26.989599699999999</v>
          </cell>
          <cell r="D2393">
            <v>-58.25783603</v>
          </cell>
        </row>
        <row r="2394">
          <cell r="A2394" t="str">
            <v>Israelândia</v>
          </cell>
          <cell r="B2394">
            <v>304514</v>
          </cell>
          <cell r="C2394">
            <v>-16.314124100000001</v>
          </cell>
          <cell r="D2394">
            <v>-50.905694660000002</v>
          </cell>
        </row>
        <row r="2395">
          <cell r="A2395" t="str">
            <v>Itá</v>
          </cell>
          <cell r="B2395">
            <v>305157</v>
          </cell>
          <cell r="C2395">
            <v>-27.291137890000002</v>
          </cell>
          <cell r="D2395">
            <v>-52.321636519999998</v>
          </cell>
        </row>
        <row r="2396">
          <cell r="A2396" t="str">
            <v>Itá</v>
          </cell>
          <cell r="B2396">
            <v>314490</v>
          </cell>
          <cell r="C2396">
            <v>-25.516393730000001</v>
          </cell>
          <cell r="D2396">
            <v>-57.335025979999998</v>
          </cell>
        </row>
        <row r="2397">
          <cell r="A2397" t="str">
            <v>Itaara</v>
          </cell>
          <cell r="B2397">
            <v>305703</v>
          </cell>
          <cell r="C2397">
            <v>-29.60998133</v>
          </cell>
          <cell r="D2397">
            <v>-53.764938370000003</v>
          </cell>
        </row>
        <row r="2398">
          <cell r="A2398" t="str">
            <v>Itabaiana</v>
          </cell>
          <cell r="B2398">
            <v>300458</v>
          </cell>
          <cell r="C2398">
            <v>-7.3360513870000004</v>
          </cell>
          <cell r="D2398">
            <v>-35.337090680000003</v>
          </cell>
        </row>
        <row r="2399">
          <cell r="A2399" t="str">
            <v>Itabaiana</v>
          </cell>
          <cell r="B2399">
            <v>301249</v>
          </cell>
          <cell r="C2399">
            <v>-10.68299416</v>
          </cell>
          <cell r="D2399">
            <v>-37.427596389999998</v>
          </cell>
        </row>
        <row r="2400">
          <cell r="A2400" t="str">
            <v>Itabaianinha</v>
          </cell>
          <cell r="B2400">
            <v>301304</v>
          </cell>
          <cell r="C2400">
            <v>-11.26971011</v>
          </cell>
          <cell r="D2400">
            <v>-37.787817629999999</v>
          </cell>
        </row>
        <row r="2401">
          <cell r="A2401" t="str">
            <v>Itabela</v>
          </cell>
          <cell r="B2401">
            <v>301545</v>
          </cell>
          <cell r="C2401">
            <v>-16.573655080000002</v>
          </cell>
          <cell r="D2401">
            <v>-39.559650929999997</v>
          </cell>
        </row>
        <row r="2402">
          <cell r="A2402" t="str">
            <v>Itaberá</v>
          </cell>
          <cell r="B2402">
            <v>303952</v>
          </cell>
          <cell r="C2402">
            <v>-23.864300539999999</v>
          </cell>
          <cell r="D2402">
            <v>-49.140403810000002</v>
          </cell>
        </row>
        <row r="2403">
          <cell r="A2403" t="str">
            <v>Itaberaba</v>
          </cell>
          <cell r="B2403">
            <v>301460</v>
          </cell>
          <cell r="C2403">
            <v>-12.524628</v>
          </cell>
          <cell r="D2403">
            <v>-40.30622923</v>
          </cell>
        </row>
        <row r="2404">
          <cell r="A2404" t="str">
            <v>Itaberaí</v>
          </cell>
          <cell r="B2404">
            <v>304893</v>
          </cell>
          <cell r="C2404">
            <v>-16.020997919999999</v>
          </cell>
          <cell r="D2404">
            <v>-49.806434799999998</v>
          </cell>
        </row>
        <row r="2405">
          <cell r="A2405" t="str">
            <v>Itabi</v>
          </cell>
          <cell r="B2405">
            <v>302372</v>
          </cell>
          <cell r="C2405">
            <v>-10.125244260000001</v>
          </cell>
          <cell r="D2405">
            <v>-37.105864480000001</v>
          </cell>
        </row>
        <row r="2406">
          <cell r="A2406" t="str">
            <v>Itabira</v>
          </cell>
          <cell r="B2406">
            <v>304904</v>
          </cell>
          <cell r="C2406">
            <v>-19.624409539999998</v>
          </cell>
          <cell r="D2406">
            <v>-43.231595259999999</v>
          </cell>
        </row>
        <row r="2407">
          <cell r="A2407" t="str">
            <v>Itabirinha</v>
          </cell>
          <cell r="B2407">
            <v>302497</v>
          </cell>
          <cell r="C2407">
            <v>-18.569577120000002</v>
          </cell>
          <cell r="D2407">
            <v>-41.232945790000002</v>
          </cell>
        </row>
        <row r="2408">
          <cell r="A2408" t="str">
            <v>Itabirito</v>
          </cell>
          <cell r="B2408">
            <v>302852</v>
          </cell>
          <cell r="C2408">
            <v>-20.250606749999999</v>
          </cell>
          <cell r="D2408">
            <v>-43.804216719999999</v>
          </cell>
        </row>
        <row r="2409">
          <cell r="A2409" t="str">
            <v>Itaboraí</v>
          </cell>
          <cell r="B2409">
            <v>303082</v>
          </cell>
          <cell r="C2409">
            <v>-22.756989900000001</v>
          </cell>
          <cell r="D2409">
            <v>-42.864275399999997</v>
          </cell>
        </row>
        <row r="2410">
          <cell r="A2410" t="str">
            <v>Itabuna</v>
          </cell>
          <cell r="B2410">
            <v>301747</v>
          </cell>
          <cell r="C2410">
            <v>-14.788031869999999</v>
          </cell>
          <cell r="D2410">
            <v>-39.278384010000003</v>
          </cell>
        </row>
        <row r="2411">
          <cell r="A2411" t="str">
            <v>Itacajá</v>
          </cell>
          <cell r="B2411">
            <v>302595</v>
          </cell>
          <cell r="C2411">
            <v>-8.3933517280000007</v>
          </cell>
          <cell r="D2411">
            <v>-47.772992129999999</v>
          </cell>
        </row>
        <row r="2412">
          <cell r="A2412" t="str">
            <v>Itacambira</v>
          </cell>
          <cell r="B2412">
            <v>302701</v>
          </cell>
          <cell r="C2412">
            <v>-17.062931939999999</v>
          </cell>
          <cell r="D2412">
            <v>-43.307293440000002</v>
          </cell>
        </row>
        <row r="2413">
          <cell r="A2413" t="str">
            <v>Itacarambi</v>
          </cell>
          <cell r="B2413">
            <v>302170</v>
          </cell>
          <cell r="C2413">
            <v>-15.09634221</v>
          </cell>
          <cell r="D2413">
            <v>-44.09826546</v>
          </cell>
        </row>
        <row r="2414">
          <cell r="A2414" t="str">
            <v>Itacaré</v>
          </cell>
          <cell r="B2414">
            <v>301741</v>
          </cell>
          <cell r="C2414">
            <v>-14.278878710000001</v>
          </cell>
          <cell r="D2414">
            <v>-38.996235210000002</v>
          </cell>
        </row>
        <row r="2415">
          <cell r="A2415" t="str">
            <v>Itacoatiara</v>
          </cell>
          <cell r="B2415">
            <v>304179</v>
          </cell>
          <cell r="C2415">
            <v>-3.1389918300000001</v>
          </cell>
          <cell r="D2415">
            <v>-58.445306270000003</v>
          </cell>
        </row>
        <row r="2416">
          <cell r="A2416" t="str">
            <v>Itacuruba</v>
          </cell>
          <cell r="B2416">
            <v>301279</v>
          </cell>
          <cell r="C2416">
            <v>-8.8227332500000006</v>
          </cell>
          <cell r="D2416">
            <v>-38.697820849999999</v>
          </cell>
        </row>
        <row r="2417">
          <cell r="A2417" t="str">
            <v>Itacurubi</v>
          </cell>
          <cell r="B2417">
            <v>305808</v>
          </cell>
          <cell r="C2417">
            <v>-28.791745450000001</v>
          </cell>
          <cell r="D2417">
            <v>-55.245143820000003</v>
          </cell>
        </row>
        <row r="2418">
          <cell r="A2418" t="str">
            <v>Itacurubi</v>
          </cell>
          <cell r="B2418">
            <v>314524</v>
          </cell>
          <cell r="C2418">
            <v>-25.470020259999998</v>
          </cell>
          <cell r="D2418">
            <v>-56.837194050000001</v>
          </cell>
        </row>
        <row r="2419">
          <cell r="A2419" t="str">
            <v>Itacurubí del Rosário</v>
          </cell>
          <cell r="B2419">
            <v>314279</v>
          </cell>
          <cell r="C2419">
            <v>-24.528190760000001</v>
          </cell>
          <cell r="D2419">
            <v>-56.814446359999998</v>
          </cell>
        </row>
        <row r="2420">
          <cell r="A2420" t="str">
            <v>Itaeté</v>
          </cell>
          <cell r="B2420">
            <v>301573</v>
          </cell>
          <cell r="C2420">
            <v>-12.98222943</v>
          </cell>
          <cell r="D2420">
            <v>-40.963841930000001</v>
          </cell>
        </row>
        <row r="2421">
          <cell r="A2421" t="str">
            <v>Itagi</v>
          </cell>
          <cell r="B2421">
            <v>301564</v>
          </cell>
          <cell r="C2421">
            <v>-14.16388892</v>
          </cell>
          <cell r="D2421">
            <v>-40.003789060000003</v>
          </cell>
        </row>
        <row r="2422">
          <cell r="A2422" t="str">
            <v>Itagibá</v>
          </cell>
          <cell r="B2422">
            <v>301745</v>
          </cell>
          <cell r="C2422">
            <v>-14.28384138</v>
          </cell>
          <cell r="D2422">
            <v>-39.843907010000002</v>
          </cell>
        </row>
        <row r="2423">
          <cell r="A2423" t="str">
            <v>Itagimirim</v>
          </cell>
          <cell r="B2423">
            <v>301543</v>
          </cell>
          <cell r="C2423">
            <v>-16.082383669999999</v>
          </cell>
          <cell r="D2423">
            <v>-39.61364949</v>
          </cell>
        </row>
        <row r="2424">
          <cell r="A2424" t="str">
            <v>Itaguaçu</v>
          </cell>
          <cell r="B2424">
            <v>302508</v>
          </cell>
          <cell r="C2424">
            <v>-19.80226497</v>
          </cell>
          <cell r="D2424">
            <v>-40.860483680000002</v>
          </cell>
        </row>
        <row r="2425">
          <cell r="A2425" t="str">
            <v>Itaguaçu da Bahia</v>
          </cell>
          <cell r="B2425">
            <v>302268</v>
          </cell>
          <cell r="C2425">
            <v>-11.010135890000001</v>
          </cell>
          <cell r="D2425">
            <v>-42.399812709999999</v>
          </cell>
        </row>
        <row r="2426">
          <cell r="A2426" t="str">
            <v>Itaguaí</v>
          </cell>
          <cell r="B2426">
            <v>304987</v>
          </cell>
          <cell r="C2426">
            <v>-22.864050120000002</v>
          </cell>
          <cell r="D2426">
            <v>-43.780198249999998</v>
          </cell>
        </row>
        <row r="2427">
          <cell r="A2427" t="str">
            <v>Itaguajé</v>
          </cell>
          <cell r="B2427">
            <v>304707</v>
          </cell>
          <cell r="C2427">
            <v>-22.618744660000001</v>
          </cell>
          <cell r="D2427">
            <v>-51.967781709999997</v>
          </cell>
        </row>
        <row r="2428">
          <cell r="A2428" t="str">
            <v>Itaguara</v>
          </cell>
          <cell r="B2428">
            <v>302980</v>
          </cell>
          <cell r="C2428">
            <v>-20.395168829999999</v>
          </cell>
          <cell r="D2428">
            <v>-44.487882820000003</v>
          </cell>
        </row>
        <row r="2429">
          <cell r="A2429" t="str">
            <v>Itaguari</v>
          </cell>
          <cell r="B2429">
            <v>304890</v>
          </cell>
          <cell r="C2429">
            <v>-15.91920219</v>
          </cell>
          <cell r="D2429">
            <v>-49.603321630000003</v>
          </cell>
        </row>
        <row r="2430">
          <cell r="A2430" t="str">
            <v>Itaguaru</v>
          </cell>
          <cell r="B2430">
            <v>304889</v>
          </cell>
          <cell r="C2430">
            <v>-15.761124730000001</v>
          </cell>
          <cell r="D2430">
            <v>-49.634024869999998</v>
          </cell>
        </row>
        <row r="2431">
          <cell r="A2431" t="str">
            <v>Itaguatins</v>
          </cell>
          <cell r="B2431">
            <v>301975</v>
          </cell>
          <cell r="C2431">
            <v>-5.776621295</v>
          </cell>
          <cell r="D2431">
            <v>-47.479805630000001</v>
          </cell>
        </row>
        <row r="2432">
          <cell r="A2432" t="str">
            <v>Itaí</v>
          </cell>
          <cell r="B2432">
            <v>303949</v>
          </cell>
          <cell r="C2432">
            <v>-23.421762470000001</v>
          </cell>
          <cell r="D2432">
            <v>-49.092420099999998</v>
          </cell>
        </row>
        <row r="2433">
          <cell r="A2433" t="str">
            <v>Itaíba</v>
          </cell>
          <cell r="B2433">
            <v>302558</v>
          </cell>
          <cell r="C2433">
            <v>-8.9469872440000007</v>
          </cell>
          <cell r="D2433">
            <v>-37.421433110000002</v>
          </cell>
        </row>
        <row r="2434">
          <cell r="A2434" t="str">
            <v>Itaiçaba</v>
          </cell>
          <cell r="B2434">
            <v>300731</v>
          </cell>
          <cell r="C2434">
            <v>-4.6718632729999996</v>
          </cell>
          <cell r="D2434">
            <v>-37.833264990000004</v>
          </cell>
        </row>
        <row r="2435">
          <cell r="A2435" t="str">
            <v>Itainópolis</v>
          </cell>
          <cell r="B2435">
            <v>301066</v>
          </cell>
          <cell r="C2435">
            <v>-7.4490703549999999</v>
          </cell>
          <cell r="D2435">
            <v>-41.480326959999999</v>
          </cell>
        </row>
        <row r="2436">
          <cell r="A2436" t="str">
            <v>Itaiópolis</v>
          </cell>
          <cell r="B2436">
            <v>304970</v>
          </cell>
          <cell r="C2436">
            <v>-26.339452439999999</v>
          </cell>
          <cell r="D2436">
            <v>-49.909630360000001</v>
          </cell>
        </row>
        <row r="2437">
          <cell r="A2437" t="str">
            <v>Itaipava do Grajaú</v>
          </cell>
          <cell r="B2437">
            <v>302458</v>
          </cell>
          <cell r="C2437">
            <v>-5.1429181100000001</v>
          </cell>
          <cell r="D2437">
            <v>-45.7880982</v>
          </cell>
        </row>
        <row r="2438">
          <cell r="A2438" t="str">
            <v>Itaipé</v>
          </cell>
          <cell r="B2438">
            <v>302486</v>
          </cell>
          <cell r="C2438">
            <v>-17.401886300000001</v>
          </cell>
          <cell r="D2438">
            <v>-41.670003610000002</v>
          </cell>
        </row>
        <row r="2439">
          <cell r="A2439" t="str">
            <v>Itaipulândia</v>
          </cell>
          <cell r="B2439">
            <v>305025</v>
          </cell>
          <cell r="C2439">
            <v>-25.137084600000001</v>
          </cell>
          <cell r="D2439">
            <v>-54.300555250000002</v>
          </cell>
        </row>
        <row r="2440">
          <cell r="A2440" t="str">
            <v>Itaitinga</v>
          </cell>
          <cell r="B2440">
            <v>302348</v>
          </cell>
          <cell r="C2440">
            <v>-3.9661654249999998</v>
          </cell>
          <cell r="D2440">
            <v>-38.530075680000003</v>
          </cell>
        </row>
        <row r="2441">
          <cell r="A2441" t="str">
            <v>Itaituba</v>
          </cell>
          <cell r="B2441">
            <v>304181</v>
          </cell>
          <cell r="C2441">
            <v>-4.2670869549999999</v>
          </cell>
          <cell r="D2441">
            <v>-55.9930606</v>
          </cell>
        </row>
        <row r="2442">
          <cell r="A2442" t="str">
            <v>Itajá</v>
          </cell>
          <cell r="B2442">
            <v>300543</v>
          </cell>
          <cell r="C2442">
            <v>-5.640941905</v>
          </cell>
          <cell r="D2442">
            <v>-36.867648129999999</v>
          </cell>
        </row>
        <row r="2443">
          <cell r="A2443" t="str">
            <v>Itajá</v>
          </cell>
          <cell r="B2443">
            <v>304448</v>
          </cell>
          <cell r="C2443">
            <v>-19.067791679999999</v>
          </cell>
          <cell r="D2443">
            <v>-51.549932220000002</v>
          </cell>
        </row>
        <row r="2444">
          <cell r="A2444" t="str">
            <v>Itajaí</v>
          </cell>
          <cell r="B2444">
            <v>304003</v>
          </cell>
          <cell r="C2444">
            <v>-26.910579460000001</v>
          </cell>
          <cell r="D2444">
            <v>-48.670899249999998</v>
          </cell>
        </row>
        <row r="2445">
          <cell r="A2445" t="str">
            <v>Itajobi</v>
          </cell>
          <cell r="B2445">
            <v>303828</v>
          </cell>
          <cell r="C2445">
            <v>-21.31799127</v>
          </cell>
          <cell r="D2445">
            <v>-49.053949430000003</v>
          </cell>
        </row>
        <row r="2446">
          <cell r="A2446" t="str">
            <v>Itaju</v>
          </cell>
          <cell r="B2446">
            <v>303833</v>
          </cell>
          <cell r="C2446">
            <v>-21.985892230000001</v>
          </cell>
          <cell r="D2446">
            <v>-48.810746469999998</v>
          </cell>
        </row>
        <row r="2447">
          <cell r="A2447" t="str">
            <v>Itaju do Colônia</v>
          </cell>
          <cell r="B2447">
            <v>301759</v>
          </cell>
          <cell r="C2447">
            <v>-15.138075799999999</v>
          </cell>
          <cell r="D2447">
            <v>-39.72383653</v>
          </cell>
        </row>
        <row r="2448">
          <cell r="A2448" t="str">
            <v>Itajubá</v>
          </cell>
          <cell r="B2448">
            <v>303450</v>
          </cell>
          <cell r="C2448">
            <v>-22.422959649999999</v>
          </cell>
          <cell r="D2448">
            <v>-45.460205809999998</v>
          </cell>
        </row>
        <row r="2449">
          <cell r="A2449" t="str">
            <v>Itajuípe</v>
          </cell>
          <cell r="B2449">
            <v>301742</v>
          </cell>
          <cell r="C2449">
            <v>-14.676540709999999</v>
          </cell>
          <cell r="D2449">
            <v>-39.373885649999998</v>
          </cell>
        </row>
        <row r="2450">
          <cell r="A2450" t="str">
            <v>Italva</v>
          </cell>
          <cell r="B2450">
            <v>302642</v>
          </cell>
          <cell r="C2450">
            <v>-21.430090669999998</v>
          </cell>
          <cell r="D2450">
            <v>-41.701800570000003</v>
          </cell>
        </row>
        <row r="2451">
          <cell r="A2451" t="str">
            <v>Itamaraju</v>
          </cell>
          <cell r="B2451">
            <v>302415</v>
          </cell>
          <cell r="C2451">
            <v>-17.038289280000001</v>
          </cell>
          <cell r="D2451">
            <v>-39.538902589999999</v>
          </cell>
        </row>
        <row r="2452">
          <cell r="A2452" t="str">
            <v>Itamarandiba</v>
          </cell>
          <cell r="B2452">
            <v>302688</v>
          </cell>
          <cell r="C2452">
            <v>-17.855624110000001</v>
          </cell>
          <cell r="D2452">
            <v>-42.856478860000003</v>
          </cell>
        </row>
        <row r="2453">
          <cell r="A2453" t="str">
            <v>Itamarati</v>
          </cell>
          <cell r="B2453">
            <v>305835</v>
          </cell>
          <cell r="C2453">
            <v>-6.4249805249999996</v>
          </cell>
          <cell r="D2453">
            <v>-68.260502259999996</v>
          </cell>
        </row>
        <row r="2454">
          <cell r="A2454" t="str">
            <v>Itamarati de Minas</v>
          </cell>
          <cell r="B2454">
            <v>303265</v>
          </cell>
          <cell r="C2454">
            <v>-21.418416220000001</v>
          </cell>
          <cell r="D2454">
            <v>-42.813335559999999</v>
          </cell>
        </row>
        <row r="2455">
          <cell r="A2455" t="str">
            <v>Itamari</v>
          </cell>
          <cell r="B2455">
            <v>302381</v>
          </cell>
          <cell r="C2455">
            <v>-13.778645239999999</v>
          </cell>
          <cell r="D2455">
            <v>-39.68328846</v>
          </cell>
        </row>
        <row r="2456">
          <cell r="A2456" t="str">
            <v>Itambacuri</v>
          </cell>
          <cell r="B2456">
            <v>302875</v>
          </cell>
          <cell r="C2456">
            <v>-18.035430009999999</v>
          </cell>
          <cell r="D2456">
            <v>-41.68332994</v>
          </cell>
        </row>
        <row r="2457">
          <cell r="A2457" t="str">
            <v>Itambaracá</v>
          </cell>
          <cell r="B2457">
            <v>304499</v>
          </cell>
          <cell r="C2457">
            <v>-23.017989230000001</v>
          </cell>
          <cell r="D2457">
            <v>-50.405946759999999</v>
          </cell>
        </row>
        <row r="2458">
          <cell r="A2458" t="str">
            <v>Itambé</v>
          </cell>
          <cell r="B2458">
            <v>301607</v>
          </cell>
          <cell r="C2458">
            <v>-15.244882499999999</v>
          </cell>
          <cell r="D2458">
            <v>-40.632773280000002</v>
          </cell>
        </row>
        <row r="2459">
          <cell r="A2459" t="str">
            <v>Itambé</v>
          </cell>
          <cell r="B2459">
            <v>300680</v>
          </cell>
          <cell r="C2459">
            <v>-7.4094829899999999</v>
          </cell>
          <cell r="D2459">
            <v>-35.111299109999997</v>
          </cell>
        </row>
        <row r="2460">
          <cell r="A2460" t="str">
            <v>Itambé</v>
          </cell>
          <cell r="B2460">
            <v>304812</v>
          </cell>
          <cell r="C2460">
            <v>-23.660521169999999</v>
          </cell>
          <cell r="D2460">
            <v>-51.991670200000002</v>
          </cell>
        </row>
        <row r="2461">
          <cell r="A2461" t="str">
            <v>Itambé do Mato Dentro</v>
          </cell>
          <cell r="B2461">
            <v>304908</v>
          </cell>
          <cell r="C2461">
            <v>-19.416915020000001</v>
          </cell>
          <cell r="D2461">
            <v>-43.322398200000002</v>
          </cell>
        </row>
        <row r="2462">
          <cell r="A2462" t="str">
            <v>Itamogi</v>
          </cell>
          <cell r="B2462">
            <v>303516</v>
          </cell>
          <cell r="C2462">
            <v>-21.076294470000001</v>
          </cell>
          <cell r="D2462">
            <v>-47.046356899999999</v>
          </cell>
        </row>
        <row r="2463">
          <cell r="A2463" t="str">
            <v>Itamonte</v>
          </cell>
          <cell r="B2463">
            <v>303610</v>
          </cell>
          <cell r="C2463">
            <v>-22.286391600000002</v>
          </cell>
          <cell r="D2463">
            <v>-44.868404329999997</v>
          </cell>
        </row>
        <row r="2464">
          <cell r="A2464" t="str">
            <v>Itanagra</v>
          </cell>
          <cell r="B2464">
            <v>301371</v>
          </cell>
          <cell r="C2464">
            <v>-12.254891219999999</v>
          </cell>
          <cell r="D2464">
            <v>-38.040515689999999</v>
          </cell>
        </row>
        <row r="2465">
          <cell r="A2465" t="str">
            <v>Itañará</v>
          </cell>
          <cell r="B2465">
            <v>314258</v>
          </cell>
          <cell r="C2465">
            <v>-23.76984637</v>
          </cell>
          <cell r="D2465">
            <v>-55.482685189999998</v>
          </cell>
        </row>
        <row r="2466">
          <cell r="A2466" t="str">
            <v>Itanhaém</v>
          </cell>
          <cell r="B2466">
            <v>303755</v>
          </cell>
          <cell r="C2466">
            <v>-24.177729830000001</v>
          </cell>
          <cell r="D2466">
            <v>-46.786004570000003</v>
          </cell>
        </row>
        <row r="2467">
          <cell r="A2467" t="str">
            <v>Itanhandu</v>
          </cell>
          <cell r="B2467">
            <v>303611</v>
          </cell>
          <cell r="C2467">
            <v>-22.294670459999999</v>
          </cell>
          <cell r="D2467">
            <v>-44.938626839999998</v>
          </cell>
        </row>
        <row r="2468">
          <cell r="A2468" t="str">
            <v>Itanhangá</v>
          </cell>
          <cell r="B2468">
            <v>300383</v>
          </cell>
          <cell r="C2468">
            <v>-12.23633817</v>
          </cell>
          <cell r="D2468">
            <v>-56.642543490000001</v>
          </cell>
        </row>
        <row r="2469">
          <cell r="A2469" t="str">
            <v>Itanhém</v>
          </cell>
          <cell r="B2469">
            <v>302422</v>
          </cell>
          <cell r="C2469">
            <v>-17.164675540000001</v>
          </cell>
          <cell r="D2469">
            <v>-40.33247858</v>
          </cell>
        </row>
        <row r="2470">
          <cell r="A2470" t="str">
            <v>Itanhomi</v>
          </cell>
          <cell r="B2470">
            <v>302539</v>
          </cell>
          <cell r="C2470">
            <v>-19.17406145</v>
          </cell>
          <cell r="D2470">
            <v>-41.863371569999998</v>
          </cell>
        </row>
        <row r="2471">
          <cell r="A2471" t="str">
            <v>Itaobim</v>
          </cell>
          <cell r="B2471">
            <v>302261</v>
          </cell>
          <cell r="C2471">
            <v>-16.557533830000001</v>
          </cell>
          <cell r="D2471">
            <v>-41.502038859999999</v>
          </cell>
        </row>
        <row r="2472">
          <cell r="A2472" t="str">
            <v>Itaóca</v>
          </cell>
          <cell r="B2472">
            <v>304952</v>
          </cell>
          <cell r="C2472">
            <v>-24.63972841</v>
          </cell>
          <cell r="D2472">
            <v>-48.841702380000001</v>
          </cell>
        </row>
        <row r="2473">
          <cell r="A2473" t="str">
            <v>Itaocara</v>
          </cell>
          <cell r="B2473">
            <v>304921</v>
          </cell>
          <cell r="C2473">
            <v>-21.675284779999998</v>
          </cell>
          <cell r="D2473">
            <v>-42.076154889999998</v>
          </cell>
        </row>
        <row r="2474">
          <cell r="A2474" t="str">
            <v>Itapaci</v>
          </cell>
          <cell r="B2474">
            <v>304877</v>
          </cell>
          <cell r="C2474">
            <v>-14.952678329999999</v>
          </cell>
          <cell r="D2474">
            <v>-49.55151919</v>
          </cell>
        </row>
        <row r="2475">
          <cell r="A2475" t="str">
            <v>Itapagé</v>
          </cell>
          <cell r="B2475">
            <v>300695</v>
          </cell>
          <cell r="C2475">
            <v>-3.6835322129999999</v>
          </cell>
          <cell r="D2475">
            <v>-39.58585102</v>
          </cell>
        </row>
        <row r="2476">
          <cell r="A2476" t="str">
            <v>Itapagipe</v>
          </cell>
          <cell r="B2476">
            <v>303413</v>
          </cell>
          <cell r="C2476">
            <v>-19.90164553</v>
          </cell>
          <cell r="D2476">
            <v>-49.370764970000003</v>
          </cell>
        </row>
        <row r="2477">
          <cell r="A2477" t="str">
            <v>Itaparica</v>
          </cell>
          <cell r="B2477">
            <v>301520</v>
          </cell>
          <cell r="C2477">
            <v>-12.893654939999999</v>
          </cell>
          <cell r="D2477">
            <v>-38.680271040000001</v>
          </cell>
        </row>
        <row r="2478">
          <cell r="A2478" t="str">
            <v>Itapé</v>
          </cell>
          <cell r="B2478">
            <v>301752</v>
          </cell>
          <cell r="C2478">
            <v>-14.891861560000001</v>
          </cell>
          <cell r="D2478">
            <v>-39.424378699999998</v>
          </cell>
        </row>
        <row r="2479">
          <cell r="A2479" t="str">
            <v>Itapebi</v>
          </cell>
          <cell r="B2479">
            <v>301542</v>
          </cell>
          <cell r="C2479">
            <v>-15.97057086</v>
          </cell>
          <cell r="D2479">
            <v>-39.531888559999999</v>
          </cell>
        </row>
        <row r="2480">
          <cell r="A2480" t="str">
            <v>Itapecerica</v>
          </cell>
          <cell r="B2480">
            <v>303025</v>
          </cell>
          <cell r="C2480">
            <v>-20.470844710000001</v>
          </cell>
          <cell r="D2480">
            <v>-45.127374410000002</v>
          </cell>
        </row>
        <row r="2481">
          <cell r="A2481" t="str">
            <v>Itapecerica da Serra</v>
          </cell>
          <cell r="B2481">
            <v>303749</v>
          </cell>
          <cell r="C2481">
            <v>-23.716614180000001</v>
          </cell>
          <cell r="D2481">
            <v>-46.857594149999997</v>
          </cell>
        </row>
        <row r="2482">
          <cell r="A2482" t="str">
            <v>Itapecuru Mirim</v>
          </cell>
          <cell r="B2482">
            <v>301697</v>
          </cell>
          <cell r="C2482">
            <v>-3.402410739</v>
          </cell>
          <cell r="D2482">
            <v>-44.351200140000003</v>
          </cell>
        </row>
        <row r="2483">
          <cell r="A2483" t="str">
            <v>Itapejara d'Oeste</v>
          </cell>
          <cell r="B2483">
            <v>305638</v>
          </cell>
          <cell r="C2483">
            <v>-25.96249779</v>
          </cell>
          <cell r="D2483">
            <v>-52.814270389999997</v>
          </cell>
        </row>
        <row r="2484">
          <cell r="A2484" t="str">
            <v>Itapema</v>
          </cell>
          <cell r="B2484">
            <v>304005</v>
          </cell>
          <cell r="C2484">
            <v>-27.08655302</v>
          </cell>
          <cell r="D2484">
            <v>-48.616462540000001</v>
          </cell>
        </row>
        <row r="2485">
          <cell r="A2485" t="str">
            <v>Itapemirim</v>
          </cell>
          <cell r="B2485">
            <v>302630</v>
          </cell>
          <cell r="C2485">
            <v>-21.009995880000002</v>
          </cell>
          <cell r="D2485">
            <v>-40.831020189999997</v>
          </cell>
        </row>
        <row r="2486">
          <cell r="A2486" t="str">
            <v>Itaperuçu</v>
          </cell>
          <cell r="B2486">
            <v>304030</v>
          </cell>
          <cell r="C2486">
            <v>-25.21973646</v>
          </cell>
          <cell r="D2486">
            <v>-49.345849659999999</v>
          </cell>
        </row>
        <row r="2487">
          <cell r="A2487" t="str">
            <v>Itaperuna</v>
          </cell>
          <cell r="B2487">
            <v>302641</v>
          </cell>
          <cell r="C2487">
            <v>-21.20014742</v>
          </cell>
          <cell r="D2487">
            <v>-41.880266300000002</v>
          </cell>
        </row>
        <row r="2488">
          <cell r="A2488" t="str">
            <v>Itapetim</v>
          </cell>
          <cell r="B2488">
            <v>300667</v>
          </cell>
          <cell r="C2488">
            <v>-7.375931682</v>
          </cell>
          <cell r="D2488">
            <v>-37.185825620000003</v>
          </cell>
        </row>
        <row r="2489">
          <cell r="A2489" t="str">
            <v>Itapetinga</v>
          </cell>
          <cell r="B2489">
            <v>301602</v>
          </cell>
          <cell r="C2489">
            <v>-15.24799271</v>
          </cell>
          <cell r="D2489">
            <v>-40.248571720000001</v>
          </cell>
        </row>
        <row r="2490">
          <cell r="A2490" t="str">
            <v>Itapetininga</v>
          </cell>
          <cell r="B2490">
            <v>303783</v>
          </cell>
          <cell r="C2490">
            <v>-23.589082699999999</v>
          </cell>
          <cell r="D2490">
            <v>-48.048734760000002</v>
          </cell>
        </row>
        <row r="2491">
          <cell r="A2491" t="str">
            <v>Itapeva</v>
          </cell>
          <cell r="B2491">
            <v>303547</v>
          </cell>
          <cell r="C2491">
            <v>-22.766965890000002</v>
          </cell>
          <cell r="D2491">
            <v>-46.224447019999999</v>
          </cell>
        </row>
        <row r="2492">
          <cell r="A2492" t="str">
            <v>Itapeva</v>
          </cell>
          <cell r="B2492">
            <v>303951</v>
          </cell>
          <cell r="C2492">
            <v>-23.979297559999999</v>
          </cell>
          <cell r="D2492">
            <v>-48.876848449999997</v>
          </cell>
        </row>
        <row r="2493">
          <cell r="A2493" t="str">
            <v>Itapevi</v>
          </cell>
          <cell r="B2493">
            <v>303743</v>
          </cell>
          <cell r="C2493">
            <v>-23.549252490000001</v>
          </cell>
          <cell r="D2493">
            <v>-46.933148150000001</v>
          </cell>
        </row>
        <row r="2494">
          <cell r="A2494" t="str">
            <v>Itapicuru</v>
          </cell>
          <cell r="B2494">
            <v>301309</v>
          </cell>
          <cell r="C2494">
            <v>-11.310199470000001</v>
          </cell>
          <cell r="D2494">
            <v>-38.217510580000003</v>
          </cell>
        </row>
        <row r="2495">
          <cell r="A2495" t="str">
            <v>Itapipoca</v>
          </cell>
          <cell r="B2495">
            <v>300688</v>
          </cell>
          <cell r="C2495">
            <v>-3.4997230340000001</v>
          </cell>
          <cell r="D2495">
            <v>-39.583890940000003</v>
          </cell>
        </row>
        <row r="2496">
          <cell r="A2496" t="str">
            <v>Itapira</v>
          </cell>
          <cell r="B2496">
            <v>303637</v>
          </cell>
          <cell r="C2496">
            <v>-22.436206380000002</v>
          </cell>
          <cell r="D2496">
            <v>-46.822831129999997</v>
          </cell>
        </row>
        <row r="2497">
          <cell r="A2497" t="str">
            <v>Itapiranga</v>
          </cell>
          <cell r="B2497">
            <v>304176</v>
          </cell>
          <cell r="C2497">
            <v>-2.7411932650000002</v>
          </cell>
          <cell r="D2497">
            <v>-58.029687109999998</v>
          </cell>
        </row>
        <row r="2498">
          <cell r="A2498" t="str">
            <v>Itapiranga</v>
          </cell>
          <cell r="B2498">
            <v>305357</v>
          </cell>
          <cell r="C2498">
            <v>-27.16632315</v>
          </cell>
          <cell r="D2498">
            <v>-53.71706064</v>
          </cell>
        </row>
        <row r="2499">
          <cell r="A2499" t="str">
            <v>Itapirapuã</v>
          </cell>
          <cell r="B2499">
            <v>304548</v>
          </cell>
          <cell r="C2499">
            <v>-15.820944689999999</v>
          </cell>
          <cell r="D2499">
            <v>-50.609839280000003</v>
          </cell>
        </row>
        <row r="2500">
          <cell r="A2500" t="str">
            <v>Itapirapuã Paulista</v>
          </cell>
          <cell r="B2500">
            <v>304955</v>
          </cell>
          <cell r="C2500">
            <v>-24.57394665</v>
          </cell>
          <cell r="D2500">
            <v>-49.16882055</v>
          </cell>
        </row>
        <row r="2501">
          <cell r="A2501" t="str">
            <v>Itapiratins</v>
          </cell>
          <cell r="B2501">
            <v>302577</v>
          </cell>
          <cell r="C2501">
            <v>-8.3848222569999997</v>
          </cell>
          <cell r="D2501">
            <v>-48.106585959999997</v>
          </cell>
        </row>
        <row r="2502">
          <cell r="A2502" t="str">
            <v>Itapissuma</v>
          </cell>
          <cell r="B2502">
            <v>300466</v>
          </cell>
          <cell r="C2502">
            <v>-7.7684067209999998</v>
          </cell>
          <cell r="D2502">
            <v>-34.897424200000003</v>
          </cell>
        </row>
        <row r="2503">
          <cell r="A2503" t="str">
            <v>Itapitanga</v>
          </cell>
          <cell r="B2503">
            <v>302390</v>
          </cell>
          <cell r="C2503">
            <v>-14.423041469999999</v>
          </cell>
          <cell r="D2503">
            <v>-39.563804869999998</v>
          </cell>
        </row>
        <row r="2504">
          <cell r="A2504" t="str">
            <v>Itapiúna</v>
          </cell>
          <cell r="B2504">
            <v>300911</v>
          </cell>
          <cell r="C2504">
            <v>-4.555566046</v>
          </cell>
          <cell r="D2504">
            <v>-38.928428740000001</v>
          </cell>
        </row>
        <row r="2505">
          <cell r="A2505" t="str">
            <v>Itapoá</v>
          </cell>
          <cell r="B2505">
            <v>303984</v>
          </cell>
          <cell r="C2505">
            <v>-26.116240749999999</v>
          </cell>
          <cell r="D2505">
            <v>-48.618608989999998</v>
          </cell>
        </row>
        <row r="2506">
          <cell r="A2506" t="str">
            <v>Itápolis</v>
          </cell>
          <cell r="B2506">
            <v>303831</v>
          </cell>
          <cell r="C2506">
            <v>-21.59469189</v>
          </cell>
          <cell r="D2506">
            <v>-48.815317899999997</v>
          </cell>
        </row>
        <row r="2507">
          <cell r="A2507" t="str">
            <v>Itaporã</v>
          </cell>
          <cell r="B2507">
            <v>305608</v>
          </cell>
          <cell r="C2507">
            <v>-22.080488710000001</v>
          </cell>
          <cell r="D2507">
            <v>-54.793826690000003</v>
          </cell>
        </row>
        <row r="2508">
          <cell r="A2508" t="str">
            <v>Itaporã do Tocantins</v>
          </cell>
          <cell r="B2508">
            <v>302228</v>
          </cell>
          <cell r="C2508">
            <v>-8.5721387090000007</v>
          </cell>
          <cell r="D2508">
            <v>-48.689863940000002</v>
          </cell>
        </row>
        <row r="2509">
          <cell r="A2509" t="str">
            <v>Itaporanga</v>
          </cell>
          <cell r="B2509">
            <v>300986</v>
          </cell>
          <cell r="C2509">
            <v>-7.3024395980000003</v>
          </cell>
          <cell r="D2509">
            <v>-38.15075375</v>
          </cell>
        </row>
        <row r="2510">
          <cell r="A2510" t="str">
            <v>Itaporanga</v>
          </cell>
          <cell r="B2510">
            <v>304205</v>
          </cell>
          <cell r="C2510">
            <v>-23.704745190000001</v>
          </cell>
          <cell r="D2510">
            <v>-49.482272520000002</v>
          </cell>
        </row>
        <row r="2511">
          <cell r="A2511" t="str">
            <v>Itaporanga d'Ajuda</v>
          </cell>
          <cell r="B2511">
            <v>301251</v>
          </cell>
          <cell r="C2511">
            <v>-10.99807921</v>
          </cell>
          <cell r="D2511">
            <v>-37.312138650000001</v>
          </cell>
        </row>
        <row r="2512">
          <cell r="A2512" t="str">
            <v>Itapororoca</v>
          </cell>
          <cell r="B2512">
            <v>300447</v>
          </cell>
          <cell r="C2512">
            <v>-6.8289445129999997</v>
          </cell>
          <cell r="D2512">
            <v>-35.246256330000001</v>
          </cell>
        </row>
        <row r="2513">
          <cell r="A2513" t="str">
            <v>Itapuã do Oeste</v>
          </cell>
          <cell r="B2513">
            <v>304320</v>
          </cell>
          <cell r="C2513">
            <v>-9.1954478379999998</v>
          </cell>
          <cell r="D2513">
            <v>-63.178685690000002</v>
          </cell>
        </row>
        <row r="2514">
          <cell r="A2514" t="str">
            <v>Itapuca</v>
          </cell>
          <cell r="B2514">
            <v>305214</v>
          </cell>
          <cell r="C2514">
            <v>-28.777318999999999</v>
          </cell>
          <cell r="D2514">
            <v>-52.169737769999998</v>
          </cell>
        </row>
        <row r="2515">
          <cell r="A2515" t="str">
            <v>Itapuí</v>
          </cell>
          <cell r="B2515">
            <v>304596</v>
          </cell>
          <cell r="C2515">
            <v>-22.232915040000002</v>
          </cell>
          <cell r="D2515">
            <v>-48.720143100000001</v>
          </cell>
        </row>
        <row r="2516">
          <cell r="A2516" t="str">
            <v>Itapura</v>
          </cell>
          <cell r="B2516">
            <v>304453</v>
          </cell>
          <cell r="C2516">
            <v>-20.642369479999999</v>
          </cell>
          <cell r="D2516">
            <v>-51.50674411</v>
          </cell>
        </row>
        <row r="2517">
          <cell r="A2517" t="str">
            <v>Itapuranga</v>
          </cell>
          <cell r="B2517">
            <v>302464</v>
          </cell>
          <cell r="C2517">
            <v>-15.560436380000001</v>
          </cell>
          <cell r="D2517">
            <v>-49.94045294</v>
          </cell>
        </row>
        <row r="2518">
          <cell r="A2518" t="str">
            <v>Itaquaquecetuba</v>
          </cell>
          <cell r="B2518">
            <v>303933</v>
          </cell>
          <cell r="C2518">
            <v>-23.483960799999998</v>
          </cell>
          <cell r="D2518">
            <v>-46.34612095</v>
          </cell>
        </row>
        <row r="2519">
          <cell r="A2519" t="str">
            <v>Itaquara</v>
          </cell>
          <cell r="B2519">
            <v>301551</v>
          </cell>
          <cell r="C2519">
            <v>-13.44634121</v>
          </cell>
          <cell r="D2519">
            <v>-39.938097829999997</v>
          </cell>
        </row>
        <row r="2520">
          <cell r="A2520" t="str">
            <v>Itaqui</v>
          </cell>
          <cell r="B2520">
            <v>305817</v>
          </cell>
          <cell r="C2520">
            <v>-29.131511209999999</v>
          </cell>
          <cell r="D2520">
            <v>-56.551961050000003</v>
          </cell>
        </row>
        <row r="2521">
          <cell r="A2521" t="str">
            <v>Itaquiraí</v>
          </cell>
          <cell r="B2521">
            <v>305762</v>
          </cell>
          <cell r="C2521">
            <v>-23.47832653</v>
          </cell>
          <cell r="D2521">
            <v>-54.187417740000001</v>
          </cell>
        </row>
        <row r="2522">
          <cell r="A2522" t="str">
            <v>Itaquitinga</v>
          </cell>
          <cell r="B2522">
            <v>300468</v>
          </cell>
          <cell r="C2522">
            <v>-7.6641519239999996</v>
          </cell>
          <cell r="D2522">
            <v>-35.10052065</v>
          </cell>
        </row>
        <row r="2523">
          <cell r="A2523" t="str">
            <v>Itaquyry</v>
          </cell>
          <cell r="B2523">
            <v>314260</v>
          </cell>
          <cell r="C2523">
            <v>-24.965999759999999</v>
          </cell>
          <cell r="D2523">
            <v>-55.121312410000002</v>
          </cell>
        </row>
        <row r="2524">
          <cell r="A2524" t="str">
            <v>Itarana</v>
          </cell>
          <cell r="B2524">
            <v>302509</v>
          </cell>
          <cell r="C2524">
            <v>-19.875488239999999</v>
          </cell>
          <cell r="D2524">
            <v>-40.875612949999997</v>
          </cell>
        </row>
        <row r="2525">
          <cell r="A2525" t="str">
            <v>Itarantim</v>
          </cell>
          <cell r="B2525">
            <v>301601</v>
          </cell>
          <cell r="C2525">
            <v>-15.653280929999999</v>
          </cell>
          <cell r="D2525">
            <v>-40.065295050000003</v>
          </cell>
        </row>
        <row r="2526">
          <cell r="A2526" t="str">
            <v>Itararé</v>
          </cell>
          <cell r="B2526">
            <v>304207</v>
          </cell>
          <cell r="C2526">
            <v>-24.10892466</v>
          </cell>
          <cell r="D2526">
            <v>-49.335633870000002</v>
          </cell>
        </row>
        <row r="2527">
          <cell r="A2527" t="str">
            <v>Itarema</v>
          </cell>
          <cell r="B2527">
            <v>300697</v>
          </cell>
          <cell r="C2527">
            <v>-2.925187223</v>
          </cell>
          <cell r="D2527">
            <v>-39.916976089999999</v>
          </cell>
        </row>
        <row r="2528">
          <cell r="A2528" t="str">
            <v>Itariri</v>
          </cell>
          <cell r="B2528">
            <v>303757</v>
          </cell>
          <cell r="C2528">
            <v>-24.288986309999999</v>
          </cell>
          <cell r="D2528">
            <v>-47.173951260000003</v>
          </cell>
        </row>
        <row r="2529">
          <cell r="A2529" t="str">
            <v>Itarumã</v>
          </cell>
          <cell r="B2529">
            <v>304345</v>
          </cell>
          <cell r="C2529">
            <v>-18.76500618</v>
          </cell>
          <cell r="D2529">
            <v>-51.348932259999998</v>
          </cell>
        </row>
        <row r="2530">
          <cell r="A2530" t="str">
            <v>Itati</v>
          </cell>
          <cell r="B2530">
            <v>300382</v>
          </cell>
          <cell r="C2530">
            <v>-29.493288840000002</v>
          </cell>
          <cell r="D2530">
            <v>-50.102998200000002</v>
          </cell>
        </row>
        <row r="2531">
          <cell r="A2531" t="str">
            <v>Itatiaia</v>
          </cell>
          <cell r="B2531">
            <v>303604</v>
          </cell>
          <cell r="C2531">
            <v>-22.490190999999999</v>
          </cell>
          <cell r="D2531">
            <v>-44.567866789999997</v>
          </cell>
        </row>
        <row r="2532">
          <cell r="A2532" t="str">
            <v>Itatiaiuçu</v>
          </cell>
          <cell r="B2532">
            <v>302929</v>
          </cell>
          <cell r="C2532">
            <v>-20.198730250000001</v>
          </cell>
          <cell r="D2532">
            <v>-44.421455889999997</v>
          </cell>
        </row>
        <row r="2533">
          <cell r="A2533" t="str">
            <v>Itatiba</v>
          </cell>
          <cell r="B2533">
            <v>303708</v>
          </cell>
          <cell r="C2533">
            <v>-23.003974070000002</v>
          </cell>
          <cell r="D2533">
            <v>-46.846751939999997</v>
          </cell>
        </row>
        <row r="2534">
          <cell r="A2534" t="str">
            <v>Itatiba do Sul</v>
          </cell>
          <cell r="B2534">
            <v>305359</v>
          </cell>
          <cell r="C2534">
            <v>-27.385102639999999</v>
          </cell>
          <cell r="D2534">
            <v>-52.454226730000002</v>
          </cell>
        </row>
        <row r="2535">
          <cell r="A2535" t="str">
            <v>Itatim</v>
          </cell>
          <cell r="B2535">
            <v>301726</v>
          </cell>
          <cell r="C2535">
            <v>-12.71360917</v>
          </cell>
          <cell r="D2535">
            <v>-39.697131880000001</v>
          </cell>
        </row>
        <row r="2536">
          <cell r="A2536" t="str">
            <v>Itatinga</v>
          </cell>
          <cell r="B2536">
            <v>304659</v>
          </cell>
          <cell r="C2536">
            <v>-23.105179840000002</v>
          </cell>
          <cell r="D2536">
            <v>-48.616123010000003</v>
          </cell>
        </row>
        <row r="2537">
          <cell r="A2537" t="str">
            <v>Itatira</v>
          </cell>
          <cell r="B2537">
            <v>300913</v>
          </cell>
          <cell r="C2537">
            <v>-4.5264765569999996</v>
          </cell>
          <cell r="D2537">
            <v>-39.620475599999999</v>
          </cell>
        </row>
        <row r="2538">
          <cell r="A2538" t="str">
            <v>Itatuba</v>
          </cell>
          <cell r="B2538">
            <v>300491</v>
          </cell>
          <cell r="C2538">
            <v>-7.3783532699999999</v>
          </cell>
          <cell r="D2538">
            <v>-35.62769634</v>
          </cell>
        </row>
        <row r="2539">
          <cell r="A2539" t="str">
            <v>Itaú</v>
          </cell>
          <cell r="B2539">
            <v>300751</v>
          </cell>
          <cell r="C2539">
            <v>-5.8367106199999998</v>
          </cell>
          <cell r="D2539">
            <v>-37.991558699999999</v>
          </cell>
        </row>
        <row r="2540">
          <cell r="A2540" t="str">
            <v>Itaú de Minas</v>
          </cell>
          <cell r="B2540">
            <v>303328</v>
          </cell>
          <cell r="C2540">
            <v>-20.73796901</v>
          </cell>
          <cell r="D2540">
            <v>-46.752904059999999</v>
          </cell>
        </row>
        <row r="2541">
          <cell r="A2541" t="str">
            <v>Itaúba</v>
          </cell>
          <cell r="B2541">
            <v>304558</v>
          </cell>
          <cell r="C2541">
            <v>-11.007496720000001</v>
          </cell>
          <cell r="D2541">
            <v>-55.243537459999999</v>
          </cell>
        </row>
        <row r="2542">
          <cell r="A2542" t="str">
            <v>Itaubal</v>
          </cell>
          <cell r="B2542">
            <v>305872</v>
          </cell>
          <cell r="C2542">
            <v>0.60556042499999996</v>
          </cell>
          <cell r="D2542">
            <v>-50.699080369999997</v>
          </cell>
        </row>
        <row r="2543">
          <cell r="A2543" t="str">
            <v>Itauçu</v>
          </cell>
          <cell r="B2543">
            <v>304892</v>
          </cell>
          <cell r="C2543">
            <v>-16.203572179999998</v>
          </cell>
          <cell r="D2543">
            <v>-49.604815760000001</v>
          </cell>
        </row>
        <row r="2544">
          <cell r="A2544" t="str">
            <v>Itaueira</v>
          </cell>
          <cell r="B2544">
            <v>301847</v>
          </cell>
          <cell r="C2544">
            <v>-7.6003067120000001</v>
          </cell>
          <cell r="D2544">
            <v>-43.025245820000002</v>
          </cell>
        </row>
        <row r="2545">
          <cell r="A2545" t="str">
            <v>Itaúna</v>
          </cell>
          <cell r="B2545">
            <v>302989</v>
          </cell>
          <cell r="C2545">
            <v>-20.082270479999998</v>
          </cell>
          <cell r="D2545">
            <v>-44.58048771</v>
          </cell>
        </row>
        <row r="2546">
          <cell r="A2546" t="str">
            <v>Itaúna do Sul</v>
          </cell>
          <cell r="B2546">
            <v>304847</v>
          </cell>
          <cell r="C2546">
            <v>-22.73093914</v>
          </cell>
          <cell r="D2546">
            <v>-52.886877939999998</v>
          </cell>
        </row>
        <row r="2547">
          <cell r="A2547" t="str">
            <v>Itaverava</v>
          </cell>
          <cell r="B2547">
            <v>302854</v>
          </cell>
          <cell r="C2547">
            <v>-20.677329749999998</v>
          </cell>
          <cell r="D2547">
            <v>-43.614476420000003</v>
          </cell>
        </row>
        <row r="2548">
          <cell r="A2548" t="str">
            <v>Itinga</v>
          </cell>
          <cell r="B2548">
            <v>302264</v>
          </cell>
          <cell r="C2548">
            <v>-16.61394116</v>
          </cell>
          <cell r="D2548">
            <v>-41.768118819999998</v>
          </cell>
        </row>
        <row r="2549">
          <cell r="A2549" t="str">
            <v>Itinga do Maranhão</v>
          </cell>
          <cell r="B2549">
            <v>301960</v>
          </cell>
          <cell r="C2549">
            <v>-4.455607809</v>
          </cell>
          <cell r="D2549">
            <v>-47.530264719999998</v>
          </cell>
        </row>
        <row r="2550">
          <cell r="A2550" t="str">
            <v>Itiquira</v>
          </cell>
          <cell r="B2550">
            <v>305732</v>
          </cell>
          <cell r="C2550">
            <v>-17.20494738</v>
          </cell>
          <cell r="D2550">
            <v>-54.146001140000003</v>
          </cell>
        </row>
        <row r="2551">
          <cell r="A2551" t="str">
            <v>Itirapina</v>
          </cell>
          <cell r="B2551">
            <v>303915</v>
          </cell>
          <cell r="C2551">
            <v>-22.256711370000001</v>
          </cell>
          <cell r="D2551">
            <v>-47.81699725</v>
          </cell>
        </row>
        <row r="2552">
          <cell r="A2552" t="str">
            <v>Itirapuã</v>
          </cell>
          <cell r="B2552">
            <v>303339</v>
          </cell>
          <cell r="C2552">
            <v>-20.642053619999999</v>
          </cell>
          <cell r="D2552">
            <v>-47.219840910000002</v>
          </cell>
        </row>
        <row r="2553">
          <cell r="A2553" t="str">
            <v>Itiruçu</v>
          </cell>
          <cell r="B2553">
            <v>301555</v>
          </cell>
          <cell r="C2553">
            <v>-13.534330669999999</v>
          </cell>
          <cell r="D2553">
            <v>-40.151349029999999</v>
          </cell>
        </row>
        <row r="2554">
          <cell r="A2554" t="str">
            <v>Itiúba</v>
          </cell>
          <cell r="B2554">
            <v>301397</v>
          </cell>
          <cell r="C2554">
            <v>-10.691432580000001</v>
          </cell>
          <cell r="D2554">
            <v>-39.854315339999999</v>
          </cell>
        </row>
        <row r="2555">
          <cell r="A2555" t="str">
            <v>Itobi</v>
          </cell>
          <cell r="B2555">
            <v>303528</v>
          </cell>
          <cell r="C2555">
            <v>-21.731325770000002</v>
          </cell>
          <cell r="D2555">
            <v>-46.974696180000002</v>
          </cell>
        </row>
        <row r="2556">
          <cell r="A2556" t="str">
            <v>Itororó</v>
          </cell>
          <cell r="B2556">
            <v>301598</v>
          </cell>
          <cell r="C2556">
            <v>-15.114613930000001</v>
          </cell>
          <cell r="D2556">
            <v>-40.067939250000002</v>
          </cell>
        </row>
        <row r="2557">
          <cell r="A2557" t="str">
            <v>Itu</v>
          </cell>
          <cell r="B2557">
            <v>303760</v>
          </cell>
          <cell r="C2557">
            <v>-23.25487369</v>
          </cell>
          <cell r="D2557">
            <v>-47.29309069</v>
          </cell>
        </row>
        <row r="2558">
          <cell r="A2558" t="str">
            <v>Ituaçu</v>
          </cell>
          <cell r="B2558">
            <v>301584</v>
          </cell>
          <cell r="C2558">
            <v>-13.811102200000001</v>
          </cell>
          <cell r="D2558">
            <v>-41.300624999999997</v>
          </cell>
        </row>
        <row r="2559">
          <cell r="A2559" t="str">
            <v>Ituberá</v>
          </cell>
          <cell r="B2559">
            <v>301738</v>
          </cell>
          <cell r="C2559">
            <v>-13.724955980000001</v>
          </cell>
          <cell r="D2559">
            <v>-39.14870122</v>
          </cell>
        </row>
        <row r="2560">
          <cell r="A2560" t="str">
            <v>Itueta</v>
          </cell>
          <cell r="B2560">
            <v>302534</v>
          </cell>
          <cell r="C2560">
            <v>-19.40041171</v>
          </cell>
          <cell r="D2560">
            <v>-41.174969099999998</v>
          </cell>
        </row>
        <row r="2561">
          <cell r="A2561" t="str">
            <v>Ituiutaba</v>
          </cell>
          <cell r="B2561">
            <v>303707</v>
          </cell>
          <cell r="C2561">
            <v>-18.977649029999998</v>
          </cell>
          <cell r="D2561">
            <v>-49.464350199999998</v>
          </cell>
        </row>
        <row r="2562">
          <cell r="A2562" t="str">
            <v>Itumbiara</v>
          </cell>
          <cell r="B2562">
            <v>303370</v>
          </cell>
          <cell r="C2562">
            <v>-18.409723639999999</v>
          </cell>
          <cell r="D2562">
            <v>-49.216247299999999</v>
          </cell>
        </row>
        <row r="2563">
          <cell r="A2563" t="str">
            <v>Itumirim</v>
          </cell>
          <cell r="B2563">
            <v>303168</v>
          </cell>
          <cell r="C2563">
            <v>-21.31753028</v>
          </cell>
          <cell r="D2563">
            <v>-44.872744789999999</v>
          </cell>
        </row>
        <row r="2564">
          <cell r="A2564" t="str">
            <v>Itupeva</v>
          </cell>
          <cell r="B2564">
            <v>303740</v>
          </cell>
          <cell r="C2564">
            <v>-23.153111979999998</v>
          </cell>
          <cell r="D2564">
            <v>-47.05966282</v>
          </cell>
        </row>
        <row r="2565">
          <cell r="A2565" t="str">
            <v>Itupiranga</v>
          </cell>
          <cell r="B2565">
            <v>302015</v>
          </cell>
          <cell r="C2565">
            <v>-5.1324449410000001</v>
          </cell>
          <cell r="D2565">
            <v>-49.331111419999999</v>
          </cell>
        </row>
        <row r="2566">
          <cell r="A2566" t="str">
            <v>Ituporanga</v>
          </cell>
          <cell r="B2566">
            <v>304084</v>
          </cell>
          <cell r="C2566">
            <v>-27.410543740000001</v>
          </cell>
          <cell r="D2566">
            <v>-49.596685360000002</v>
          </cell>
        </row>
        <row r="2567">
          <cell r="A2567" t="str">
            <v>Iturama</v>
          </cell>
          <cell r="B2567">
            <v>303415</v>
          </cell>
          <cell r="C2567">
            <v>-19.728024829999999</v>
          </cell>
          <cell r="D2567">
            <v>-50.19697163</v>
          </cell>
        </row>
        <row r="2568">
          <cell r="A2568" t="str">
            <v>Itutinga</v>
          </cell>
          <cell r="B2568">
            <v>303164</v>
          </cell>
          <cell r="C2568">
            <v>-21.300493700000001</v>
          </cell>
          <cell r="D2568">
            <v>-44.657110250000002</v>
          </cell>
        </row>
        <row r="2569">
          <cell r="A2569" t="str">
            <v>Ituverava</v>
          </cell>
          <cell r="B2569">
            <v>303349</v>
          </cell>
          <cell r="C2569">
            <v>-20.335931299999999</v>
          </cell>
          <cell r="D2569">
            <v>-47.790604879999997</v>
          </cell>
        </row>
        <row r="2570">
          <cell r="A2570" t="str">
            <v>Iuiú</v>
          </cell>
          <cell r="B2570">
            <v>302112</v>
          </cell>
          <cell r="C2570">
            <v>-14.410696140000001</v>
          </cell>
          <cell r="D2570">
            <v>-43.55113592</v>
          </cell>
        </row>
        <row r="2571">
          <cell r="A2571" t="str">
            <v>Iúna</v>
          </cell>
          <cell r="B2571">
            <v>302665</v>
          </cell>
          <cell r="C2571">
            <v>-20.35361485</v>
          </cell>
          <cell r="D2571">
            <v>-41.533794810000003</v>
          </cell>
        </row>
        <row r="2572">
          <cell r="A2572" t="str">
            <v>Ivaí</v>
          </cell>
          <cell r="B2572">
            <v>304755</v>
          </cell>
          <cell r="C2572">
            <v>-25.007205590000002</v>
          </cell>
          <cell r="D2572">
            <v>-50.857472690000002</v>
          </cell>
        </row>
        <row r="2573">
          <cell r="A2573" t="str">
            <v>Ivaiporã</v>
          </cell>
          <cell r="B2573">
            <v>304825</v>
          </cell>
          <cell r="C2573">
            <v>-24.249000460000001</v>
          </cell>
          <cell r="D2573">
            <v>-51.675860219999997</v>
          </cell>
        </row>
        <row r="2574">
          <cell r="A2574" t="str">
            <v>Ivaté</v>
          </cell>
          <cell r="B2574">
            <v>305035</v>
          </cell>
          <cell r="C2574">
            <v>-23.4076667</v>
          </cell>
          <cell r="D2574">
            <v>-53.36914668</v>
          </cell>
        </row>
        <row r="2575">
          <cell r="A2575" t="str">
            <v>Ivatuba</v>
          </cell>
          <cell r="B2575">
            <v>304818</v>
          </cell>
          <cell r="C2575">
            <v>-23.619186429999999</v>
          </cell>
          <cell r="D2575">
            <v>-52.22070746</v>
          </cell>
        </row>
        <row r="2576">
          <cell r="A2576" t="str">
            <v>Ivinhema</v>
          </cell>
          <cell r="B2576">
            <v>305753</v>
          </cell>
          <cell r="C2576">
            <v>-22.305027880000001</v>
          </cell>
          <cell r="D2576">
            <v>-53.818854770000002</v>
          </cell>
        </row>
        <row r="2577">
          <cell r="A2577" t="str">
            <v>Ivolândia</v>
          </cell>
          <cell r="B2577">
            <v>304980</v>
          </cell>
          <cell r="C2577">
            <v>-16.606062829999999</v>
          </cell>
          <cell r="D2577">
            <v>-50.792410830000001</v>
          </cell>
        </row>
        <row r="2578">
          <cell r="A2578" t="str">
            <v>Ivorá</v>
          </cell>
          <cell r="B2578">
            <v>305701</v>
          </cell>
          <cell r="C2578">
            <v>-29.51998137</v>
          </cell>
          <cell r="D2578">
            <v>-53.580938709999998</v>
          </cell>
        </row>
        <row r="2579">
          <cell r="A2579" t="str">
            <v>Ivoti</v>
          </cell>
          <cell r="B2579">
            <v>305479</v>
          </cell>
          <cell r="C2579">
            <v>-29.59994279</v>
          </cell>
          <cell r="D2579">
            <v>-51.1537778</v>
          </cell>
        </row>
        <row r="2580">
          <cell r="A2580" t="str">
            <v>Jaboatão dos Guararapes</v>
          </cell>
          <cell r="B2580">
            <v>300413</v>
          </cell>
          <cell r="C2580">
            <v>-8.1134074730000005</v>
          </cell>
          <cell r="D2580">
            <v>-35.015248049999997</v>
          </cell>
        </row>
        <row r="2581">
          <cell r="A2581" t="str">
            <v>Jaborá</v>
          </cell>
          <cell r="B2581">
            <v>305107</v>
          </cell>
          <cell r="C2581">
            <v>-27.17870658</v>
          </cell>
          <cell r="D2581">
            <v>-51.728344319999998</v>
          </cell>
        </row>
        <row r="2582">
          <cell r="A2582" t="str">
            <v>Jaborandi</v>
          </cell>
          <cell r="B2582">
            <v>302161</v>
          </cell>
          <cell r="C2582">
            <v>-13.61156076</v>
          </cell>
          <cell r="D2582">
            <v>-44.476000589999998</v>
          </cell>
        </row>
        <row r="2583">
          <cell r="A2583" t="str">
            <v>Jaborandi</v>
          </cell>
          <cell r="B2583">
            <v>303623</v>
          </cell>
          <cell r="C2583">
            <v>-20.68888802</v>
          </cell>
          <cell r="D2583">
            <v>-48.411569829999998</v>
          </cell>
        </row>
        <row r="2584">
          <cell r="A2584" t="str">
            <v>Jaboti</v>
          </cell>
          <cell r="B2584">
            <v>303967</v>
          </cell>
          <cell r="C2584">
            <v>-23.74397269</v>
          </cell>
          <cell r="D2584">
            <v>-50.073326450000003</v>
          </cell>
        </row>
        <row r="2585">
          <cell r="A2585" t="str">
            <v>Jaboticaba</v>
          </cell>
          <cell r="B2585">
            <v>305683</v>
          </cell>
          <cell r="C2585">
            <v>-27.635172399999998</v>
          </cell>
          <cell r="D2585">
            <v>-53.276629870000001</v>
          </cell>
        </row>
        <row r="2586">
          <cell r="A2586" t="str">
            <v>Jaboticabal</v>
          </cell>
          <cell r="B2586">
            <v>303802</v>
          </cell>
          <cell r="C2586">
            <v>-21.252505020000001</v>
          </cell>
          <cell r="D2586">
            <v>-48.32562678</v>
          </cell>
        </row>
        <row r="2587">
          <cell r="A2587" t="str">
            <v>Jaboticatubas</v>
          </cell>
          <cell r="B2587">
            <v>302818</v>
          </cell>
          <cell r="C2587">
            <v>-19.513992569999999</v>
          </cell>
          <cell r="D2587">
            <v>-43.744958179999998</v>
          </cell>
        </row>
        <row r="2588">
          <cell r="A2588" t="str">
            <v>Jaçanã</v>
          </cell>
          <cell r="B2588">
            <v>300637</v>
          </cell>
          <cell r="C2588">
            <v>-6.4187932610000002</v>
          </cell>
          <cell r="D2588">
            <v>-36.20331272</v>
          </cell>
        </row>
        <row r="2589">
          <cell r="A2589" t="str">
            <v>Jacaraci</v>
          </cell>
          <cell r="B2589">
            <v>302116</v>
          </cell>
          <cell r="C2589">
            <v>-14.84310745</v>
          </cell>
          <cell r="D2589">
            <v>-42.432041030000001</v>
          </cell>
        </row>
        <row r="2590">
          <cell r="A2590" t="str">
            <v>Jacaraú</v>
          </cell>
          <cell r="B2590">
            <v>300425</v>
          </cell>
          <cell r="C2590">
            <v>-6.6149421110000004</v>
          </cell>
          <cell r="D2590">
            <v>-35.289322390000002</v>
          </cell>
        </row>
        <row r="2591">
          <cell r="A2591" t="str">
            <v>Jacaré dos Homens</v>
          </cell>
          <cell r="B2591">
            <v>301211</v>
          </cell>
          <cell r="C2591">
            <v>-9.6358793039999995</v>
          </cell>
          <cell r="D2591">
            <v>-37.207942780000003</v>
          </cell>
        </row>
        <row r="2592">
          <cell r="A2592" t="str">
            <v>Jacareacanga</v>
          </cell>
          <cell r="B2592">
            <v>304184</v>
          </cell>
          <cell r="C2592">
            <v>-6.2150880129999999</v>
          </cell>
          <cell r="D2592">
            <v>-57.75478279</v>
          </cell>
        </row>
        <row r="2593">
          <cell r="A2593" t="str">
            <v>Jacareí</v>
          </cell>
          <cell r="B2593">
            <v>303294</v>
          </cell>
          <cell r="C2593">
            <v>-23.298770189999999</v>
          </cell>
          <cell r="D2593">
            <v>-45.966207799999999</v>
          </cell>
        </row>
        <row r="2594">
          <cell r="A2594" t="str">
            <v>Jacarezinho</v>
          </cell>
          <cell r="B2594">
            <v>303955</v>
          </cell>
          <cell r="C2594">
            <v>-23.159584410000001</v>
          </cell>
          <cell r="D2594">
            <v>-49.974308960000002</v>
          </cell>
        </row>
        <row r="2595">
          <cell r="A2595" t="str">
            <v>Jaci</v>
          </cell>
          <cell r="B2595">
            <v>303432</v>
          </cell>
          <cell r="C2595">
            <v>-20.88093186</v>
          </cell>
          <cell r="D2595">
            <v>-49.580142809999998</v>
          </cell>
        </row>
        <row r="2596">
          <cell r="A2596" t="str">
            <v>Jaciara</v>
          </cell>
          <cell r="B2596">
            <v>304442</v>
          </cell>
          <cell r="C2596">
            <v>-15.955214700000001</v>
          </cell>
          <cell r="D2596">
            <v>-54.973750629999998</v>
          </cell>
        </row>
        <row r="2597">
          <cell r="A2597" t="str">
            <v>Jacinto</v>
          </cell>
          <cell r="B2597">
            <v>302392</v>
          </cell>
          <cell r="C2597">
            <v>-16.143219890000001</v>
          </cell>
          <cell r="D2597">
            <v>-40.295328519999998</v>
          </cell>
        </row>
        <row r="2598">
          <cell r="A2598" t="str">
            <v>Jacinto Machado</v>
          </cell>
          <cell r="B2598">
            <v>304118</v>
          </cell>
          <cell r="C2598">
            <v>-28.996577380000002</v>
          </cell>
          <cell r="D2598">
            <v>-49.762755910000003</v>
          </cell>
        </row>
        <row r="2599">
          <cell r="A2599" t="str">
            <v>Jacobina</v>
          </cell>
          <cell r="B2599">
            <v>301453</v>
          </cell>
          <cell r="C2599">
            <v>-11.18165568</v>
          </cell>
          <cell r="D2599">
            <v>-40.512025059999999</v>
          </cell>
        </row>
        <row r="2600">
          <cell r="A2600" t="str">
            <v>Jacobina do Piauí</v>
          </cell>
          <cell r="B2600">
            <v>301065</v>
          </cell>
          <cell r="C2600">
            <v>-7.931644071</v>
          </cell>
          <cell r="D2600">
            <v>-41.208071889999999</v>
          </cell>
        </row>
        <row r="2601">
          <cell r="A2601" t="str">
            <v>Jacuí</v>
          </cell>
          <cell r="B2601">
            <v>303512</v>
          </cell>
          <cell r="C2601">
            <v>-21.014132979999999</v>
          </cell>
          <cell r="D2601">
            <v>-46.736272669999998</v>
          </cell>
        </row>
        <row r="2602">
          <cell r="A2602" t="str">
            <v>Jacuípe</v>
          </cell>
          <cell r="B2602">
            <v>301087</v>
          </cell>
          <cell r="C2602">
            <v>-8.8399399859999992</v>
          </cell>
          <cell r="D2602">
            <v>-35.459367190000002</v>
          </cell>
        </row>
        <row r="2603">
          <cell r="A2603" t="str">
            <v>Jacuizinho</v>
          </cell>
          <cell r="B2603">
            <v>300400</v>
          </cell>
          <cell r="C2603">
            <v>-29.033860799999999</v>
          </cell>
          <cell r="D2603">
            <v>-53.059404809999997</v>
          </cell>
        </row>
        <row r="2604">
          <cell r="A2604" t="str">
            <v>Jacundá</v>
          </cell>
          <cell r="B2604">
            <v>302581</v>
          </cell>
          <cell r="C2604">
            <v>-4.4465685099999996</v>
          </cell>
          <cell r="D2604">
            <v>-49.115654380000002</v>
          </cell>
        </row>
        <row r="2605">
          <cell r="A2605" t="str">
            <v>Jacupiranga</v>
          </cell>
          <cell r="B2605">
            <v>303798</v>
          </cell>
          <cell r="C2605">
            <v>-24.69680486</v>
          </cell>
          <cell r="D2605">
            <v>-48.006814009999999</v>
          </cell>
        </row>
        <row r="2606">
          <cell r="A2606" t="str">
            <v>Jacutinga</v>
          </cell>
          <cell r="B2606">
            <v>303541</v>
          </cell>
          <cell r="C2606">
            <v>-22.286445409999999</v>
          </cell>
          <cell r="D2606">
            <v>-46.61697032</v>
          </cell>
        </row>
        <row r="2607">
          <cell r="A2607" t="str">
            <v>Jacutinga</v>
          </cell>
          <cell r="B2607">
            <v>305365</v>
          </cell>
          <cell r="C2607">
            <v>-27.729606990000001</v>
          </cell>
          <cell r="D2607">
            <v>-52.537692659999998</v>
          </cell>
        </row>
        <row r="2608">
          <cell r="A2608" t="str">
            <v>Jaguapitã</v>
          </cell>
          <cell r="B2608">
            <v>304756</v>
          </cell>
          <cell r="C2608">
            <v>-23.110853079999998</v>
          </cell>
          <cell r="D2608">
            <v>-51.534624600000001</v>
          </cell>
        </row>
        <row r="2609">
          <cell r="A2609" t="str">
            <v>Jaguaquara</v>
          </cell>
          <cell r="B2609">
            <v>301552</v>
          </cell>
          <cell r="C2609">
            <v>-13.52528558</v>
          </cell>
          <cell r="D2609">
            <v>-39.964340129999997</v>
          </cell>
        </row>
        <row r="2610">
          <cell r="A2610" t="str">
            <v>Jaguaraçu</v>
          </cell>
          <cell r="B2610">
            <v>303559</v>
          </cell>
          <cell r="C2610">
            <v>-19.648098170000001</v>
          </cell>
          <cell r="D2610">
            <v>-42.751106780000001</v>
          </cell>
        </row>
        <row r="2611">
          <cell r="A2611" t="str">
            <v>Jaguarão</v>
          </cell>
          <cell r="B2611">
            <v>305716</v>
          </cell>
          <cell r="C2611">
            <v>-32.560853659999999</v>
          </cell>
          <cell r="D2611">
            <v>-53.377507770000001</v>
          </cell>
        </row>
        <row r="2612">
          <cell r="A2612" t="str">
            <v>Jaguarari</v>
          </cell>
          <cell r="B2612">
            <v>301430</v>
          </cell>
          <cell r="C2612">
            <v>-10.25866053</v>
          </cell>
          <cell r="D2612">
            <v>-40.195307040000003</v>
          </cell>
        </row>
        <row r="2613">
          <cell r="A2613" t="str">
            <v>Jaguaré</v>
          </cell>
          <cell r="B2613">
            <v>302884</v>
          </cell>
          <cell r="C2613">
            <v>-18.907482689999998</v>
          </cell>
          <cell r="D2613">
            <v>-40.076241070000002</v>
          </cell>
        </row>
        <row r="2614">
          <cell r="A2614" t="str">
            <v>Jaguaretama</v>
          </cell>
          <cell r="B2614">
            <v>300977</v>
          </cell>
          <cell r="C2614">
            <v>-5.6055037490000004</v>
          </cell>
          <cell r="D2614">
            <v>-38.764176089999999</v>
          </cell>
        </row>
        <row r="2615">
          <cell r="A2615" t="str">
            <v>Jaguari</v>
          </cell>
          <cell r="B2615">
            <v>305818</v>
          </cell>
          <cell r="C2615">
            <v>-29.496984040000001</v>
          </cell>
          <cell r="D2615">
            <v>-54.689935200000001</v>
          </cell>
        </row>
        <row r="2616">
          <cell r="A2616" t="str">
            <v>Jaguariaíva</v>
          </cell>
          <cell r="B2616">
            <v>303971</v>
          </cell>
          <cell r="C2616">
            <v>-24.250987210000002</v>
          </cell>
          <cell r="D2616">
            <v>-49.705947330000001</v>
          </cell>
        </row>
        <row r="2617">
          <cell r="A2617" t="str">
            <v>Jaguaribara</v>
          </cell>
          <cell r="B2617">
            <v>300976</v>
          </cell>
          <cell r="C2617">
            <v>-5.4589961540000003</v>
          </cell>
          <cell r="D2617">
            <v>-38.461912689999998</v>
          </cell>
        </row>
        <row r="2618">
          <cell r="A2618" t="str">
            <v>Jaguaribe</v>
          </cell>
          <cell r="B2618">
            <v>300903</v>
          </cell>
          <cell r="C2618">
            <v>-5.90254368</v>
          </cell>
          <cell r="D2618">
            <v>-38.622967250000002</v>
          </cell>
        </row>
        <row r="2619">
          <cell r="A2619" t="str">
            <v>Jaguaripe</v>
          </cell>
          <cell r="B2619">
            <v>301536</v>
          </cell>
          <cell r="C2619">
            <v>-13.11137482</v>
          </cell>
          <cell r="D2619">
            <v>-38.894213870000002</v>
          </cell>
        </row>
        <row r="2620">
          <cell r="A2620" t="str">
            <v>Jaguariúna</v>
          </cell>
          <cell r="B2620">
            <v>303710</v>
          </cell>
          <cell r="C2620">
            <v>-22.704215810000001</v>
          </cell>
          <cell r="D2620">
            <v>-46.985461000000001</v>
          </cell>
        </row>
        <row r="2621">
          <cell r="A2621" t="str">
            <v>Jaguaruana</v>
          </cell>
          <cell r="B2621">
            <v>300732</v>
          </cell>
          <cell r="C2621">
            <v>-4.8319113280000003</v>
          </cell>
          <cell r="D2621">
            <v>-37.781304689999999</v>
          </cell>
        </row>
        <row r="2622">
          <cell r="A2622" t="str">
            <v>Jaguaruna</v>
          </cell>
          <cell r="B2622">
            <v>304076</v>
          </cell>
          <cell r="C2622">
            <v>-28.615083009999999</v>
          </cell>
          <cell r="D2622">
            <v>-49.030013359999998</v>
          </cell>
        </row>
        <row r="2623">
          <cell r="A2623" t="str">
            <v>Jaíba</v>
          </cell>
          <cell r="B2623">
            <v>303599</v>
          </cell>
          <cell r="C2623">
            <v>-15.34367883</v>
          </cell>
          <cell r="D2623">
            <v>-43.669161799999998</v>
          </cell>
        </row>
        <row r="2624">
          <cell r="A2624" t="str">
            <v>Jaicós</v>
          </cell>
          <cell r="B2624">
            <v>301058</v>
          </cell>
          <cell r="C2624">
            <v>-7.3604627520000001</v>
          </cell>
          <cell r="D2624">
            <v>-41.140920889999997</v>
          </cell>
        </row>
        <row r="2625">
          <cell r="A2625" t="str">
            <v>Jales</v>
          </cell>
          <cell r="B2625">
            <v>304365</v>
          </cell>
          <cell r="C2625">
            <v>-20.26768667</v>
          </cell>
          <cell r="D2625">
            <v>-50.549857230000001</v>
          </cell>
        </row>
        <row r="2626">
          <cell r="A2626" t="str">
            <v>Jambeiro</v>
          </cell>
          <cell r="B2626">
            <v>303290</v>
          </cell>
          <cell r="C2626">
            <v>-23.252697730000001</v>
          </cell>
          <cell r="D2626">
            <v>-45.694605789999997</v>
          </cell>
        </row>
        <row r="2627">
          <cell r="A2627" t="str">
            <v>Jampruca</v>
          </cell>
          <cell r="B2627">
            <v>302881</v>
          </cell>
          <cell r="C2627">
            <v>-18.461487590000001</v>
          </cell>
          <cell r="D2627">
            <v>-41.809401690000001</v>
          </cell>
        </row>
        <row r="2628">
          <cell r="A2628" t="str">
            <v>Janaúba</v>
          </cell>
          <cell r="B2628">
            <v>302152</v>
          </cell>
          <cell r="C2628">
            <v>-15.802685459999999</v>
          </cell>
          <cell r="D2628">
            <v>-43.313526170000003</v>
          </cell>
        </row>
        <row r="2629">
          <cell r="A2629" t="str">
            <v>Jandaia</v>
          </cell>
          <cell r="B2629">
            <v>303388</v>
          </cell>
          <cell r="C2629">
            <v>-17.048593990000001</v>
          </cell>
          <cell r="D2629">
            <v>-50.145727010000002</v>
          </cell>
        </row>
        <row r="2630">
          <cell r="A2630" t="str">
            <v>Jandaia do Sul</v>
          </cell>
          <cell r="B2630">
            <v>304773</v>
          </cell>
          <cell r="C2630">
            <v>-23.60155499</v>
          </cell>
          <cell r="D2630">
            <v>-51.645250869999998</v>
          </cell>
        </row>
        <row r="2631">
          <cell r="A2631" t="str">
            <v>Jandaíra</v>
          </cell>
          <cell r="B2631">
            <v>301169</v>
          </cell>
          <cell r="C2631">
            <v>-5.3525134779999997</v>
          </cell>
          <cell r="D2631">
            <v>-36.128131920000001</v>
          </cell>
        </row>
        <row r="2632">
          <cell r="A2632" t="str">
            <v>Jandaíra</v>
          </cell>
          <cell r="B2632">
            <v>301365</v>
          </cell>
          <cell r="C2632">
            <v>-11.56205774</v>
          </cell>
          <cell r="D2632">
            <v>-37.785586940000002</v>
          </cell>
        </row>
        <row r="2633">
          <cell r="A2633" t="str">
            <v>Jandira</v>
          </cell>
          <cell r="B2633">
            <v>303738</v>
          </cell>
          <cell r="C2633">
            <v>-23.528015499999999</v>
          </cell>
          <cell r="D2633">
            <v>-46.902714879999998</v>
          </cell>
        </row>
        <row r="2634">
          <cell r="A2634" t="str">
            <v>Janduís</v>
          </cell>
          <cell r="B2634">
            <v>300554</v>
          </cell>
          <cell r="C2634">
            <v>-6.015150072</v>
          </cell>
          <cell r="D2634">
            <v>-37.405125570000003</v>
          </cell>
        </row>
        <row r="2635">
          <cell r="A2635" t="str">
            <v>Jangada</v>
          </cell>
          <cell r="B2635">
            <v>304651</v>
          </cell>
          <cell r="C2635">
            <v>-15.2354755</v>
          </cell>
          <cell r="D2635">
            <v>-56.492130250000002</v>
          </cell>
        </row>
        <row r="2636">
          <cell r="A2636" t="str">
            <v>Janiópolis</v>
          </cell>
          <cell r="B2636">
            <v>305044</v>
          </cell>
          <cell r="C2636">
            <v>-24.140588050000002</v>
          </cell>
          <cell r="D2636">
            <v>-52.778800609999998</v>
          </cell>
        </row>
        <row r="2637">
          <cell r="A2637" t="str">
            <v>Januária</v>
          </cell>
          <cell r="B2637">
            <v>302174</v>
          </cell>
          <cell r="C2637">
            <v>-15.480608309999999</v>
          </cell>
          <cell r="D2637">
            <v>-44.364253750000003</v>
          </cell>
        </row>
        <row r="2638">
          <cell r="A2638" t="str">
            <v>Januário Cicco</v>
          </cell>
          <cell r="B2638">
            <v>302331</v>
          </cell>
          <cell r="C2638">
            <v>-6.1602167689999998</v>
          </cell>
          <cell r="D2638">
            <v>-35.599646720000003</v>
          </cell>
        </row>
        <row r="2639">
          <cell r="A2639" t="str">
            <v>Japaraíba</v>
          </cell>
          <cell r="B2639">
            <v>303023</v>
          </cell>
          <cell r="C2639">
            <v>-20.144654729999999</v>
          </cell>
          <cell r="D2639">
            <v>-45.501892159999997</v>
          </cell>
        </row>
        <row r="2640">
          <cell r="A2640" t="str">
            <v>Japaratinga</v>
          </cell>
          <cell r="B2640">
            <v>301093</v>
          </cell>
          <cell r="C2640">
            <v>-9.0878956599999992</v>
          </cell>
          <cell r="D2640">
            <v>-35.26369493</v>
          </cell>
        </row>
        <row r="2641">
          <cell r="A2641" t="str">
            <v>Japaratuba</v>
          </cell>
          <cell r="B2641">
            <v>301230</v>
          </cell>
          <cell r="C2641">
            <v>-10.58535208</v>
          </cell>
          <cell r="D2641">
            <v>-36.942070729999998</v>
          </cell>
        </row>
        <row r="2642">
          <cell r="A2642" t="str">
            <v>Japeri</v>
          </cell>
          <cell r="B2642">
            <v>304984</v>
          </cell>
          <cell r="C2642">
            <v>-22.643985650000001</v>
          </cell>
          <cell r="D2642">
            <v>-43.660603799999997</v>
          </cell>
        </row>
        <row r="2643">
          <cell r="A2643" t="str">
            <v>Japi</v>
          </cell>
          <cell r="B2643">
            <v>300568</v>
          </cell>
          <cell r="C2643">
            <v>-6.4664311960000003</v>
          </cell>
          <cell r="D2643">
            <v>-35.946397189999999</v>
          </cell>
        </row>
        <row r="2644">
          <cell r="A2644" t="str">
            <v>Japira</v>
          </cell>
          <cell r="B2644">
            <v>303968</v>
          </cell>
          <cell r="C2644">
            <v>-23.814697679999998</v>
          </cell>
          <cell r="D2644">
            <v>-50.142634119999997</v>
          </cell>
        </row>
        <row r="2645">
          <cell r="A2645" t="str">
            <v>Japoatã</v>
          </cell>
          <cell r="B2645">
            <v>302363</v>
          </cell>
          <cell r="C2645">
            <v>-10.344500529999999</v>
          </cell>
          <cell r="D2645">
            <v>-36.798266300000002</v>
          </cell>
        </row>
        <row r="2646">
          <cell r="A2646" t="str">
            <v>Japonvar</v>
          </cell>
          <cell r="B2646">
            <v>303039</v>
          </cell>
          <cell r="C2646">
            <v>-15.99839635</v>
          </cell>
          <cell r="D2646">
            <v>-44.275542459999997</v>
          </cell>
        </row>
        <row r="2647">
          <cell r="A2647" t="str">
            <v>Japorã</v>
          </cell>
          <cell r="B2647">
            <v>305001</v>
          </cell>
          <cell r="C2647">
            <v>-23.89078378</v>
          </cell>
          <cell r="D2647">
            <v>-54.406395420000003</v>
          </cell>
        </row>
        <row r="2648">
          <cell r="A2648" t="str">
            <v>Japurá</v>
          </cell>
          <cell r="B2648">
            <v>304261</v>
          </cell>
          <cell r="C2648">
            <v>-1.882743144</v>
          </cell>
          <cell r="D2648">
            <v>-66.929518819999998</v>
          </cell>
        </row>
        <row r="2649">
          <cell r="A2649" t="str">
            <v>Japurá</v>
          </cell>
          <cell r="B2649">
            <v>304866</v>
          </cell>
          <cell r="C2649">
            <v>-23.469736130000001</v>
          </cell>
          <cell r="D2649">
            <v>-52.55615701</v>
          </cell>
        </row>
        <row r="2650">
          <cell r="A2650" t="str">
            <v>Jaqueira</v>
          </cell>
          <cell r="B2650">
            <v>301108</v>
          </cell>
          <cell r="C2650">
            <v>-8.7266120300000001</v>
          </cell>
          <cell r="D2650">
            <v>-35.794527590000001</v>
          </cell>
        </row>
        <row r="2651">
          <cell r="A2651" t="str">
            <v>Jaquirana</v>
          </cell>
          <cell r="B2651">
            <v>305144</v>
          </cell>
          <cell r="C2651">
            <v>-28.88157919</v>
          </cell>
          <cell r="D2651">
            <v>-50.364124449999998</v>
          </cell>
        </row>
        <row r="2652">
          <cell r="A2652" t="str">
            <v>Jaraguá</v>
          </cell>
          <cell r="B2652">
            <v>302466</v>
          </cell>
          <cell r="C2652">
            <v>-15.74941982</v>
          </cell>
          <cell r="D2652">
            <v>-49.333514559999998</v>
          </cell>
        </row>
        <row r="2653">
          <cell r="A2653" t="str">
            <v>Jaraguá do Sul</v>
          </cell>
          <cell r="B2653">
            <v>304017</v>
          </cell>
          <cell r="C2653">
            <v>-26.485563280000001</v>
          </cell>
          <cell r="D2653">
            <v>-49.07167536</v>
          </cell>
        </row>
        <row r="2654">
          <cell r="A2654" t="str">
            <v>Jaraguari</v>
          </cell>
          <cell r="B2654">
            <v>305738</v>
          </cell>
          <cell r="C2654">
            <v>-20.139064959999999</v>
          </cell>
          <cell r="D2654">
            <v>-54.400063709999998</v>
          </cell>
        </row>
        <row r="2655">
          <cell r="A2655" t="str">
            <v>Jaramataia</v>
          </cell>
          <cell r="B2655">
            <v>301208</v>
          </cell>
          <cell r="C2655">
            <v>-9.6593152900000003</v>
          </cell>
          <cell r="D2655">
            <v>-37.00169623</v>
          </cell>
        </row>
        <row r="2656">
          <cell r="A2656" t="str">
            <v>Jardim</v>
          </cell>
          <cell r="B2656">
            <v>300841</v>
          </cell>
          <cell r="C2656">
            <v>-7.5855347389999999</v>
          </cell>
          <cell r="D2656">
            <v>-39.276731859999998</v>
          </cell>
        </row>
        <row r="2657">
          <cell r="A2657" t="str">
            <v>Jardim</v>
          </cell>
          <cell r="B2657">
            <v>305229</v>
          </cell>
          <cell r="C2657">
            <v>-21.480389670000001</v>
          </cell>
          <cell r="D2657">
            <v>-56.149353400000003</v>
          </cell>
        </row>
        <row r="2658">
          <cell r="A2658" t="str">
            <v>Jardim Alegre</v>
          </cell>
          <cell r="B2658">
            <v>304824</v>
          </cell>
          <cell r="C2658">
            <v>-24.181380260000001</v>
          </cell>
          <cell r="D2658">
            <v>-51.690631080000003</v>
          </cell>
        </row>
        <row r="2659">
          <cell r="A2659" t="str">
            <v>Jardim de Angicos</v>
          </cell>
          <cell r="B2659">
            <v>301170</v>
          </cell>
          <cell r="C2659">
            <v>-5.650402497</v>
          </cell>
          <cell r="D2659">
            <v>-35.971581919999998</v>
          </cell>
        </row>
        <row r="2660">
          <cell r="A2660" t="str">
            <v>Jardim de Piranhas</v>
          </cell>
          <cell r="B2660">
            <v>300795</v>
          </cell>
          <cell r="C2660">
            <v>-6.3770623850000003</v>
          </cell>
          <cell r="D2660">
            <v>-37.349948380000001</v>
          </cell>
        </row>
        <row r="2661">
          <cell r="A2661" t="str">
            <v>Jardim do Mulato</v>
          </cell>
          <cell r="B2661">
            <v>300407</v>
          </cell>
          <cell r="C2661">
            <v>-6.0994081529999997</v>
          </cell>
          <cell r="D2661">
            <v>-42.630341459999997</v>
          </cell>
        </row>
        <row r="2662">
          <cell r="A2662" t="str">
            <v>Jardim do Seridó</v>
          </cell>
          <cell r="B2662">
            <v>300961</v>
          </cell>
          <cell r="C2662">
            <v>-6.5856914350000002</v>
          </cell>
          <cell r="D2662">
            <v>-36.776373110000002</v>
          </cell>
        </row>
        <row r="2663">
          <cell r="A2663" t="str">
            <v>Jardim Olinda</v>
          </cell>
          <cell r="B2663">
            <v>304708</v>
          </cell>
          <cell r="C2663">
            <v>-22.5521168</v>
          </cell>
          <cell r="D2663">
            <v>-52.03738817</v>
          </cell>
        </row>
        <row r="2664">
          <cell r="A2664" t="str">
            <v>Jardinópolis</v>
          </cell>
          <cell r="B2664">
            <v>303668</v>
          </cell>
          <cell r="C2664">
            <v>-21.018080609999998</v>
          </cell>
          <cell r="D2664">
            <v>-47.760982460000001</v>
          </cell>
        </row>
        <row r="2665">
          <cell r="A2665" t="str">
            <v>Jardinópolis</v>
          </cell>
          <cell r="B2665">
            <v>305284</v>
          </cell>
          <cell r="C2665">
            <v>-26.719605099999999</v>
          </cell>
          <cell r="D2665">
            <v>-52.862974610000002</v>
          </cell>
        </row>
        <row r="2666">
          <cell r="A2666" t="str">
            <v>Jari</v>
          </cell>
          <cell r="B2666">
            <v>305653</v>
          </cell>
          <cell r="C2666">
            <v>-29.2927027</v>
          </cell>
          <cell r="D2666">
            <v>-54.224180930000003</v>
          </cell>
        </row>
        <row r="2667">
          <cell r="A2667" t="str">
            <v>Jarinu</v>
          </cell>
          <cell r="B2667">
            <v>303726</v>
          </cell>
          <cell r="C2667">
            <v>-23.104332670000002</v>
          </cell>
          <cell r="D2667">
            <v>-46.728413430000003</v>
          </cell>
        </row>
        <row r="2668">
          <cell r="A2668" t="str">
            <v>Jaru</v>
          </cell>
          <cell r="B2668">
            <v>304279</v>
          </cell>
          <cell r="C2668">
            <v>-10.432233200000001</v>
          </cell>
          <cell r="D2668">
            <v>-62.47922646</v>
          </cell>
        </row>
        <row r="2669">
          <cell r="A2669" t="str">
            <v>Jataí</v>
          </cell>
          <cell r="B2669">
            <v>304348</v>
          </cell>
          <cell r="C2669">
            <v>-17.878832540000001</v>
          </cell>
          <cell r="D2669">
            <v>-51.720840369999998</v>
          </cell>
        </row>
        <row r="2670">
          <cell r="A2670" t="str">
            <v>Jataizinho</v>
          </cell>
          <cell r="B2670">
            <v>304736</v>
          </cell>
          <cell r="C2670">
            <v>-23.258281969999999</v>
          </cell>
          <cell r="D2670">
            <v>-50.978174610000003</v>
          </cell>
        </row>
        <row r="2671">
          <cell r="A2671" t="str">
            <v>Jataúba</v>
          </cell>
          <cell r="B2671">
            <v>300604</v>
          </cell>
          <cell r="C2671">
            <v>-7.9824317239999996</v>
          </cell>
          <cell r="D2671">
            <v>-36.496352950000002</v>
          </cell>
        </row>
        <row r="2672">
          <cell r="A2672" t="str">
            <v>Jateí</v>
          </cell>
          <cell r="B2672">
            <v>304857</v>
          </cell>
          <cell r="C2672">
            <v>-22.481088960000001</v>
          </cell>
          <cell r="D2672">
            <v>-54.308378169999997</v>
          </cell>
        </row>
        <row r="2673">
          <cell r="A2673" t="str">
            <v>Jati</v>
          </cell>
          <cell r="B2673">
            <v>300839</v>
          </cell>
          <cell r="C2673">
            <v>-7.6863847749999996</v>
          </cell>
          <cell r="D2673">
            <v>-39.005708589999998</v>
          </cell>
        </row>
        <row r="2674">
          <cell r="A2674" t="str">
            <v>Jati</v>
          </cell>
          <cell r="B2674">
            <v>301198</v>
          </cell>
          <cell r="C2674">
            <v>-9.0436907529999999</v>
          </cell>
          <cell r="D2674">
            <v>-36.846481230000002</v>
          </cell>
        </row>
        <row r="2675">
          <cell r="A2675" t="str">
            <v>Jatobá</v>
          </cell>
          <cell r="B2675">
            <v>302450</v>
          </cell>
          <cell r="C2675">
            <v>-5.8193644490000001</v>
          </cell>
          <cell r="D2675">
            <v>-44.224778649999998</v>
          </cell>
        </row>
        <row r="2676">
          <cell r="A2676" t="str">
            <v>Jatobá</v>
          </cell>
          <cell r="B2676">
            <v>301275</v>
          </cell>
          <cell r="C2676">
            <v>-9.1868807790000009</v>
          </cell>
          <cell r="D2676">
            <v>-38.269250460000002</v>
          </cell>
        </row>
        <row r="2677">
          <cell r="A2677" t="str">
            <v>Jatobá do Piauí</v>
          </cell>
          <cell r="B2677">
            <v>300894</v>
          </cell>
          <cell r="C2677">
            <v>-4.7706550419999996</v>
          </cell>
          <cell r="D2677">
            <v>-41.817300869999997</v>
          </cell>
        </row>
        <row r="2678">
          <cell r="A2678" t="str">
            <v>Jaú</v>
          </cell>
          <cell r="B2678">
            <v>304597</v>
          </cell>
          <cell r="C2678">
            <v>-22.294055620000002</v>
          </cell>
          <cell r="D2678">
            <v>-48.559601229999998</v>
          </cell>
        </row>
        <row r="2679">
          <cell r="A2679" t="str">
            <v>Jaú do Tocantins</v>
          </cell>
          <cell r="B2679">
            <v>302782</v>
          </cell>
          <cell r="C2679">
            <v>-12.65264118</v>
          </cell>
          <cell r="D2679">
            <v>-48.590988420000002</v>
          </cell>
        </row>
        <row r="2680">
          <cell r="A2680" t="str">
            <v>Jauja</v>
          </cell>
          <cell r="B2680">
            <v>314415</v>
          </cell>
          <cell r="C2680">
            <v>-11.75024878</v>
          </cell>
          <cell r="D2680">
            <v>-75.500903969999996</v>
          </cell>
        </row>
        <row r="2681">
          <cell r="A2681" t="str">
            <v>Jaupaci</v>
          </cell>
          <cell r="B2681">
            <v>304983</v>
          </cell>
          <cell r="C2681">
            <v>-16.181516729999998</v>
          </cell>
          <cell r="D2681">
            <v>-50.954429769999997</v>
          </cell>
        </row>
        <row r="2682">
          <cell r="A2682" t="str">
            <v>Jauru</v>
          </cell>
          <cell r="B2682">
            <v>304315</v>
          </cell>
          <cell r="C2682">
            <v>-15.33840517</v>
          </cell>
          <cell r="D2682">
            <v>-58.872831419999997</v>
          </cell>
        </row>
        <row r="2683">
          <cell r="A2683" t="str">
            <v>Jeceaba</v>
          </cell>
          <cell r="B2683">
            <v>302932</v>
          </cell>
          <cell r="C2683">
            <v>-20.53432741</v>
          </cell>
          <cell r="D2683">
            <v>-43.989766699999997</v>
          </cell>
        </row>
        <row r="2684">
          <cell r="A2684" t="str">
            <v>Jenipapo de Minas</v>
          </cell>
          <cell r="B2684">
            <v>302654</v>
          </cell>
          <cell r="C2684">
            <v>-17.083593879999999</v>
          </cell>
          <cell r="D2684">
            <v>-42.25928717</v>
          </cell>
        </row>
        <row r="2685">
          <cell r="A2685" t="str">
            <v>Jenipapo dos Vieiras</v>
          </cell>
          <cell r="B2685">
            <v>301862</v>
          </cell>
          <cell r="C2685">
            <v>-5.3695862720000003</v>
          </cell>
          <cell r="D2685">
            <v>-45.636024839999997</v>
          </cell>
        </row>
        <row r="2686">
          <cell r="A2686" t="str">
            <v>Jequeri</v>
          </cell>
          <cell r="B2686">
            <v>302749</v>
          </cell>
          <cell r="C2686">
            <v>-20.45470692</v>
          </cell>
          <cell r="D2686">
            <v>-42.665427170000001</v>
          </cell>
        </row>
        <row r="2687">
          <cell r="A2687" t="str">
            <v>Jequiá da Praia</v>
          </cell>
          <cell r="B2687">
            <v>300951</v>
          </cell>
          <cell r="C2687">
            <v>-10.013704600000001</v>
          </cell>
          <cell r="D2687">
            <v>-36.014528319999997</v>
          </cell>
        </row>
        <row r="2688">
          <cell r="A2688" t="str">
            <v>Jequié</v>
          </cell>
          <cell r="B2688">
            <v>301559</v>
          </cell>
          <cell r="C2688">
            <v>-13.851341059999999</v>
          </cell>
          <cell r="D2688">
            <v>-40.088036469999999</v>
          </cell>
        </row>
        <row r="2689">
          <cell r="A2689" t="str">
            <v>Jequitaí</v>
          </cell>
          <cell r="B2689">
            <v>302940</v>
          </cell>
          <cell r="C2689">
            <v>-17.23305611</v>
          </cell>
          <cell r="D2689">
            <v>-44.437478650000003</v>
          </cell>
        </row>
        <row r="2690">
          <cell r="A2690" t="str">
            <v>Jequitibá</v>
          </cell>
          <cell r="B2690">
            <v>302816</v>
          </cell>
          <cell r="C2690">
            <v>-19.235993059999998</v>
          </cell>
          <cell r="D2690">
            <v>-44.027957800000003</v>
          </cell>
        </row>
        <row r="2691">
          <cell r="A2691" t="str">
            <v>Jequitinhonha</v>
          </cell>
          <cell r="B2691">
            <v>301632</v>
          </cell>
          <cell r="C2691">
            <v>-16.437946100000001</v>
          </cell>
          <cell r="D2691">
            <v>-41.012060169999998</v>
          </cell>
        </row>
        <row r="2692">
          <cell r="A2692" t="str">
            <v>Jeremoabo</v>
          </cell>
          <cell r="B2692">
            <v>301289</v>
          </cell>
          <cell r="C2692">
            <v>-10.076268450000001</v>
          </cell>
          <cell r="D2692">
            <v>-38.347998160000003</v>
          </cell>
        </row>
        <row r="2693">
          <cell r="A2693" t="str">
            <v>Jericó</v>
          </cell>
          <cell r="B2693">
            <v>300928</v>
          </cell>
          <cell r="C2693">
            <v>-6.5534679330000003</v>
          </cell>
          <cell r="D2693">
            <v>-37.805973559999998</v>
          </cell>
        </row>
        <row r="2694">
          <cell r="A2694" t="str">
            <v>Jeriquara</v>
          </cell>
          <cell r="B2694">
            <v>303337</v>
          </cell>
          <cell r="C2694">
            <v>-20.312033670000002</v>
          </cell>
          <cell r="D2694">
            <v>-47.592231519999999</v>
          </cell>
        </row>
        <row r="2695">
          <cell r="A2695" t="str">
            <v>Jerônimo Monteiro</v>
          </cell>
          <cell r="B2695">
            <v>302621</v>
          </cell>
          <cell r="C2695">
            <v>-20.799840889999999</v>
          </cell>
          <cell r="D2695">
            <v>-41.395202830000002</v>
          </cell>
        </row>
        <row r="2696">
          <cell r="A2696" t="str">
            <v>Jerumenha</v>
          </cell>
          <cell r="B2696">
            <v>301840</v>
          </cell>
          <cell r="C2696">
            <v>-7.0916935050000003</v>
          </cell>
          <cell r="D2696">
            <v>-43.503667620000002</v>
          </cell>
        </row>
        <row r="2697">
          <cell r="A2697" t="str">
            <v>Jesuânia</v>
          </cell>
          <cell r="B2697">
            <v>303221</v>
          </cell>
          <cell r="C2697">
            <v>-21.989132609999999</v>
          </cell>
          <cell r="D2697">
            <v>-45.291507449999997</v>
          </cell>
        </row>
        <row r="2698">
          <cell r="A2698" t="str">
            <v>Jesuítas</v>
          </cell>
          <cell r="B2698">
            <v>305061</v>
          </cell>
          <cell r="C2698">
            <v>-24.38438081</v>
          </cell>
          <cell r="D2698">
            <v>-53.385365110000002</v>
          </cell>
        </row>
        <row r="2699">
          <cell r="A2699" t="str">
            <v>Jesúpolis</v>
          </cell>
          <cell r="B2699">
            <v>304886</v>
          </cell>
          <cell r="C2699">
            <v>-15.956218229999999</v>
          </cell>
          <cell r="D2699">
            <v>-49.37505496</v>
          </cell>
        </row>
        <row r="2700">
          <cell r="A2700" t="str">
            <v>Jijoca de Jericoacoara</v>
          </cell>
          <cell r="B2700">
            <v>300702</v>
          </cell>
          <cell r="C2700">
            <v>-2.7937012060000002</v>
          </cell>
          <cell r="D2700">
            <v>-40.513068189999998</v>
          </cell>
        </row>
        <row r="2701">
          <cell r="A2701" t="str">
            <v>Ji-Paraná</v>
          </cell>
          <cell r="B2701">
            <v>304292</v>
          </cell>
          <cell r="C2701">
            <v>-10.878150270000001</v>
          </cell>
          <cell r="D2701">
            <v>-61.932607730000001</v>
          </cell>
        </row>
        <row r="2702">
          <cell r="A2702" t="str">
            <v>Jiquiriçá</v>
          </cell>
          <cell r="B2702">
            <v>301731</v>
          </cell>
          <cell r="C2702">
            <v>-13.254007100000001</v>
          </cell>
          <cell r="D2702">
            <v>-39.568211859999998</v>
          </cell>
        </row>
        <row r="2703">
          <cell r="A2703" t="str">
            <v>Jitaúna</v>
          </cell>
          <cell r="B2703">
            <v>301560</v>
          </cell>
          <cell r="C2703">
            <v>-14.016678280000001</v>
          </cell>
          <cell r="D2703">
            <v>-39.889731259999998</v>
          </cell>
        </row>
        <row r="2704">
          <cell r="A2704" t="str">
            <v>Joaçaba</v>
          </cell>
          <cell r="B2704">
            <v>305103</v>
          </cell>
          <cell r="C2704">
            <v>-27.172579249999998</v>
          </cell>
          <cell r="D2704">
            <v>-51.511231909999999</v>
          </cell>
        </row>
        <row r="2705">
          <cell r="A2705" t="str">
            <v>Joaíma</v>
          </cell>
          <cell r="B2705">
            <v>301633</v>
          </cell>
          <cell r="C2705">
            <v>-16.65265406</v>
          </cell>
          <cell r="D2705">
            <v>-41.02321663</v>
          </cell>
        </row>
        <row r="2706">
          <cell r="A2706" t="str">
            <v>Joanésia</v>
          </cell>
          <cell r="B2706">
            <v>302836</v>
          </cell>
          <cell r="C2706">
            <v>-19.173369860000001</v>
          </cell>
          <cell r="D2706">
            <v>-42.677841360000002</v>
          </cell>
        </row>
        <row r="2707">
          <cell r="A2707" t="str">
            <v>Joanópolis</v>
          </cell>
          <cell r="B2707">
            <v>303551</v>
          </cell>
          <cell r="C2707">
            <v>-22.927477270000001</v>
          </cell>
          <cell r="D2707">
            <v>-46.274512829999999</v>
          </cell>
        </row>
        <row r="2708">
          <cell r="A2708" t="str">
            <v>João Alfredo</v>
          </cell>
          <cell r="B2708">
            <v>301349</v>
          </cell>
          <cell r="C2708">
            <v>-7.860695239</v>
          </cell>
          <cell r="D2708">
            <v>-35.591147489999997</v>
          </cell>
        </row>
        <row r="2709">
          <cell r="A2709" t="str">
            <v>João Câmara</v>
          </cell>
          <cell r="B2709">
            <v>301167</v>
          </cell>
          <cell r="C2709">
            <v>-5.5391307249999997</v>
          </cell>
          <cell r="D2709">
            <v>-35.818559039999997</v>
          </cell>
        </row>
        <row r="2710">
          <cell r="A2710" t="str">
            <v>João Costa</v>
          </cell>
          <cell r="B2710">
            <v>302044</v>
          </cell>
          <cell r="C2710">
            <v>-8.5123966909999993</v>
          </cell>
          <cell r="D2710">
            <v>-42.415233379999997</v>
          </cell>
        </row>
        <row r="2711">
          <cell r="A2711" t="str">
            <v>João Dias</v>
          </cell>
          <cell r="B2711">
            <v>300758</v>
          </cell>
          <cell r="C2711">
            <v>-6.2725664710000002</v>
          </cell>
          <cell r="D2711">
            <v>-37.788854489999999</v>
          </cell>
        </row>
        <row r="2712">
          <cell r="A2712" t="str">
            <v>João Dourado</v>
          </cell>
          <cell r="B2712">
            <v>301494</v>
          </cell>
          <cell r="C2712">
            <v>-11.34908027</v>
          </cell>
          <cell r="D2712">
            <v>-41.655139220000002</v>
          </cell>
        </row>
        <row r="2713">
          <cell r="A2713" t="str">
            <v>João Lisboa</v>
          </cell>
          <cell r="B2713">
            <v>301967</v>
          </cell>
          <cell r="C2713">
            <v>-5.4440317990000002</v>
          </cell>
          <cell r="D2713">
            <v>-47.406760540000001</v>
          </cell>
        </row>
        <row r="2714">
          <cell r="A2714" t="str">
            <v>João Monlevade</v>
          </cell>
          <cell r="B2714">
            <v>304907</v>
          </cell>
          <cell r="C2714">
            <v>-19.813120390000002</v>
          </cell>
          <cell r="D2714">
            <v>-43.173828280000002</v>
          </cell>
        </row>
        <row r="2715">
          <cell r="A2715" t="str">
            <v>João Neiva</v>
          </cell>
          <cell r="B2715">
            <v>302505</v>
          </cell>
          <cell r="C2715">
            <v>-19.75818671</v>
          </cell>
          <cell r="D2715">
            <v>-40.386296119999997</v>
          </cell>
        </row>
        <row r="2716">
          <cell r="A2716" t="str">
            <v>João Pessoa</v>
          </cell>
          <cell r="B2716">
            <v>295765</v>
          </cell>
          <cell r="C2716">
            <v>-7.1159291710000003</v>
          </cell>
          <cell r="D2716">
            <v>-34.86469606</v>
          </cell>
        </row>
        <row r="2717">
          <cell r="A2717" t="str">
            <v>João Pinheiro</v>
          </cell>
          <cell r="B2717">
            <v>303298</v>
          </cell>
          <cell r="C2717">
            <v>-17.741830449999998</v>
          </cell>
          <cell r="D2717">
            <v>-46.175965329999997</v>
          </cell>
        </row>
        <row r="2718">
          <cell r="A2718" t="str">
            <v>João Ramalho</v>
          </cell>
          <cell r="B2718">
            <v>304495</v>
          </cell>
          <cell r="C2718">
            <v>-22.249990459999999</v>
          </cell>
          <cell r="D2718">
            <v>-50.767946510000002</v>
          </cell>
        </row>
        <row r="2719">
          <cell r="A2719" t="str">
            <v>Joaquim Felício</v>
          </cell>
          <cell r="B2719">
            <v>302942</v>
          </cell>
          <cell r="C2719">
            <v>-17.757995359999999</v>
          </cell>
          <cell r="D2719">
            <v>-44.171957939999999</v>
          </cell>
        </row>
        <row r="2720">
          <cell r="A2720" t="str">
            <v>Joaquim Gomes</v>
          </cell>
          <cell r="B2720">
            <v>301470</v>
          </cell>
          <cell r="C2720">
            <v>-9.1332365459999991</v>
          </cell>
          <cell r="D2720">
            <v>-35.747676570000003</v>
          </cell>
        </row>
        <row r="2721">
          <cell r="A2721" t="str">
            <v>Joaquim Nabuco</v>
          </cell>
          <cell r="B2721">
            <v>301086</v>
          </cell>
          <cell r="C2721">
            <v>-8.6232386000000005</v>
          </cell>
          <cell r="D2721">
            <v>-35.529107539999998</v>
          </cell>
        </row>
        <row r="2722">
          <cell r="A2722" t="str">
            <v>Joaquim Pires</v>
          </cell>
          <cell r="B2722">
            <v>303210</v>
          </cell>
          <cell r="C2722">
            <v>-3.5084150690000002</v>
          </cell>
          <cell r="D2722">
            <v>-42.195353849999996</v>
          </cell>
        </row>
        <row r="2723">
          <cell r="A2723" t="str">
            <v>Joaquim Távora</v>
          </cell>
          <cell r="B2723">
            <v>303956</v>
          </cell>
          <cell r="C2723">
            <v>-23.502971989999999</v>
          </cell>
          <cell r="D2723">
            <v>-49.923910220000003</v>
          </cell>
        </row>
        <row r="2724">
          <cell r="A2724" t="str">
            <v>Joca Marques</v>
          </cell>
          <cell r="B2724">
            <v>302424</v>
          </cell>
          <cell r="C2724">
            <v>-3.4807919140000001</v>
          </cell>
          <cell r="D2724">
            <v>-42.425856430000003</v>
          </cell>
        </row>
        <row r="2725">
          <cell r="A2725" t="str">
            <v>Jóia</v>
          </cell>
          <cell r="B2725">
            <v>305649</v>
          </cell>
          <cell r="C2725">
            <v>-28.643952169999999</v>
          </cell>
          <cell r="D2725">
            <v>-54.114597340000003</v>
          </cell>
        </row>
        <row r="2726">
          <cell r="A2726" t="str">
            <v>Joinville</v>
          </cell>
          <cell r="B2726">
            <v>304010</v>
          </cell>
          <cell r="C2726">
            <v>-26.304977520000001</v>
          </cell>
          <cell r="D2726">
            <v>-48.849098220000002</v>
          </cell>
        </row>
        <row r="2727">
          <cell r="A2727" t="str">
            <v>Jordânia</v>
          </cell>
          <cell r="B2727">
            <v>301612</v>
          </cell>
          <cell r="C2727">
            <v>-15.89872832</v>
          </cell>
          <cell r="D2727">
            <v>-40.179013580000003</v>
          </cell>
        </row>
        <row r="2728">
          <cell r="A2728" t="str">
            <v>Jordão</v>
          </cell>
          <cell r="B2728">
            <v>305866</v>
          </cell>
          <cell r="C2728">
            <v>-9.4313035930000009</v>
          </cell>
          <cell r="D2728">
            <v>-71.897881490000003</v>
          </cell>
        </row>
        <row r="2729">
          <cell r="A2729" t="str">
            <v>José Boiteux</v>
          </cell>
          <cell r="B2729">
            <v>304218</v>
          </cell>
          <cell r="C2729">
            <v>-26.957047660000001</v>
          </cell>
          <cell r="D2729">
            <v>-49.62906083</v>
          </cell>
        </row>
        <row r="2730">
          <cell r="A2730" t="str">
            <v>José Bonifácio</v>
          </cell>
          <cell r="B2730">
            <v>303858</v>
          </cell>
          <cell r="C2730">
            <v>-21.05552612</v>
          </cell>
          <cell r="D2730">
            <v>-49.689644979999997</v>
          </cell>
        </row>
        <row r="2731">
          <cell r="A2731" t="str">
            <v>José da Penha</v>
          </cell>
          <cell r="B2731">
            <v>300987</v>
          </cell>
          <cell r="C2731">
            <v>-6.3113594190000004</v>
          </cell>
          <cell r="D2731">
            <v>-38.282589059999999</v>
          </cell>
        </row>
        <row r="2732">
          <cell r="A2732" t="str">
            <v>José de Freitas</v>
          </cell>
          <cell r="B2732">
            <v>301780</v>
          </cell>
          <cell r="C2732">
            <v>-4.7518585560000002</v>
          </cell>
          <cell r="D2732">
            <v>-42.57492697</v>
          </cell>
        </row>
        <row r="2733">
          <cell r="A2733" t="str">
            <v>José Gonçalves de Minas</v>
          </cell>
          <cell r="B2733">
            <v>302657</v>
          </cell>
          <cell r="C2733">
            <v>-16.908618579999999</v>
          </cell>
          <cell r="D2733">
            <v>-42.604597910000003</v>
          </cell>
        </row>
        <row r="2734">
          <cell r="A2734" t="str">
            <v>José Raydan</v>
          </cell>
          <cell r="B2734">
            <v>302686</v>
          </cell>
          <cell r="C2734">
            <v>-18.219974300000001</v>
          </cell>
          <cell r="D2734">
            <v>-42.495000060000002</v>
          </cell>
        </row>
        <row r="2735">
          <cell r="A2735" t="str">
            <v>Joselândia</v>
          </cell>
          <cell r="B2735">
            <v>302137</v>
          </cell>
          <cell r="C2735">
            <v>-4.9865118309999996</v>
          </cell>
          <cell r="D2735">
            <v>-44.696189089999997</v>
          </cell>
        </row>
        <row r="2736">
          <cell r="A2736" t="str">
            <v>Josenópolis</v>
          </cell>
          <cell r="B2736">
            <v>302180</v>
          </cell>
          <cell r="C2736">
            <v>-16.542159059999999</v>
          </cell>
          <cell r="D2736">
            <v>-42.51540997</v>
          </cell>
        </row>
        <row r="2737">
          <cell r="A2737" t="str">
            <v>Joviânia</v>
          </cell>
          <cell r="B2737">
            <v>303383</v>
          </cell>
          <cell r="C2737">
            <v>-17.807248470000001</v>
          </cell>
          <cell r="D2737">
            <v>-49.629133750000001</v>
          </cell>
        </row>
        <row r="2738">
          <cell r="A2738" t="str">
            <v>Juan de Mena</v>
          </cell>
          <cell r="B2738">
            <v>314283</v>
          </cell>
          <cell r="C2738">
            <v>-24.932855669999999</v>
          </cell>
          <cell r="D2738">
            <v>-56.746361489999998</v>
          </cell>
        </row>
        <row r="2739">
          <cell r="A2739" t="str">
            <v>Juanjui</v>
          </cell>
          <cell r="B2739">
            <v>314498</v>
          </cell>
          <cell r="C2739">
            <v>-7.1202383029999998</v>
          </cell>
          <cell r="D2739">
            <v>-76.736679150000001</v>
          </cell>
        </row>
        <row r="2740">
          <cell r="A2740" t="str">
            <v>Juara</v>
          </cell>
          <cell r="B2740">
            <v>304226</v>
          </cell>
          <cell r="C2740">
            <v>-11.253508719999999</v>
          </cell>
          <cell r="D2740">
            <v>-57.508250169999997</v>
          </cell>
        </row>
        <row r="2741">
          <cell r="A2741" t="str">
            <v>Juarez Távora</v>
          </cell>
          <cell r="B2741">
            <v>300672</v>
          </cell>
          <cell r="C2741">
            <v>-7.174627976</v>
          </cell>
          <cell r="D2741">
            <v>-35.574134540000003</v>
          </cell>
        </row>
        <row r="2742">
          <cell r="A2742" t="str">
            <v>Juarina</v>
          </cell>
          <cell r="B2742">
            <v>302034</v>
          </cell>
          <cell r="C2742">
            <v>-8.1194592740000004</v>
          </cell>
          <cell r="D2742">
            <v>-49.096940349999997</v>
          </cell>
        </row>
        <row r="2743">
          <cell r="A2743" t="str">
            <v>Juatuba</v>
          </cell>
          <cell r="B2743">
            <v>302926</v>
          </cell>
          <cell r="C2743">
            <v>-19.955783029999999</v>
          </cell>
          <cell r="D2743">
            <v>-44.341288120000002</v>
          </cell>
        </row>
        <row r="2744">
          <cell r="A2744" t="str">
            <v>Juazeirinho</v>
          </cell>
          <cell r="B2744">
            <v>300653</v>
          </cell>
          <cell r="C2744">
            <v>-7.0683508530000001</v>
          </cell>
          <cell r="D2744">
            <v>-36.579209210000002</v>
          </cell>
        </row>
        <row r="2745">
          <cell r="A2745" t="str">
            <v>Juazeiro</v>
          </cell>
          <cell r="B2745">
            <v>301429</v>
          </cell>
          <cell r="C2745">
            <v>-9.4166460369999996</v>
          </cell>
          <cell r="D2745">
            <v>-40.503581160000003</v>
          </cell>
        </row>
        <row r="2746">
          <cell r="A2746" t="str">
            <v>Juazeiro do Norte</v>
          </cell>
          <cell r="B2746">
            <v>301177</v>
          </cell>
          <cell r="C2746">
            <v>-7.2192885000000002</v>
          </cell>
          <cell r="D2746">
            <v>-39.316244169999997</v>
          </cell>
        </row>
        <row r="2747">
          <cell r="A2747" t="str">
            <v>Juazeiro do Piauí</v>
          </cell>
          <cell r="B2747">
            <v>300895</v>
          </cell>
          <cell r="C2747">
            <v>-5.174992542</v>
          </cell>
          <cell r="D2747">
            <v>-41.69789626</v>
          </cell>
        </row>
        <row r="2748">
          <cell r="A2748" t="str">
            <v>Jucás</v>
          </cell>
          <cell r="B2748">
            <v>301180</v>
          </cell>
          <cell r="C2748">
            <v>-6.5210936390000001</v>
          </cell>
          <cell r="D2748">
            <v>-39.524972750000003</v>
          </cell>
        </row>
        <row r="2749">
          <cell r="A2749" t="str">
            <v>Jucati</v>
          </cell>
          <cell r="B2749">
            <v>301125</v>
          </cell>
          <cell r="C2749">
            <v>-8.7067394349999994</v>
          </cell>
          <cell r="D2749">
            <v>-36.48886684</v>
          </cell>
        </row>
        <row r="2750">
          <cell r="A2750" t="str">
            <v>Jucuruçu</v>
          </cell>
          <cell r="B2750">
            <v>302421</v>
          </cell>
          <cell r="C2750">
            <v>-16.843279500000001</v>
          </cell>
          <cell r="D2750">
            <v>-40.159325289999998</v>
          </cell>
        </row>
        <row r="2751">
          <cell r="A2751" t="str">
            <v>Jucurutu</v>
          </cell>
          <cell r="B2751">
            <v>300549</v>
          </cell>
          <cell r="C2751">
            <v>-6.0355123329999998</v>
          </cell>
          <cell r="D2751">
            <v>-37.020289470000002</v>
          </cell>
        </row>
        <row r="2752">
          <cell r="A2752" t="str">
            <v>Juína</v>
          </cell>
          <cell r="B2752">
            <v>304272</v>
          </cell>
          <cell r="C2752">
            <v>-11.425023599999999</v>
          </cell>
          <cell r="D2752">
            <v>-58.770541770000001</v>
          </cell>
        </row>
        <row r="2753">
          <cell r="A2753" t="str">
            <v>Juiz de Fora</v>
          </cell>
          <cell r="B2753">
            <v>303112</v>
          </cell>
          <cell r="C2753">
            <v>-21.760001299999999</v>
          </cell>
          <cell r="D2753">
            <v>-43.340130180000003</v>
          </cell>
        </row>
        <row r="2754">
          <cell r="A2754" t="str">
            <v>Júlio Borges</v>
          </cell>
          <cell r="B2754">
            <v>302068</v>
          </cell>
          <cell r="C2754">
            <v>-10.327433839999999</v>
          </cell>
          <cell r="D2754">
            <v>-44.239066950000002</v>
          </cell>
        </row>
        <row r="2755">
          <cell r="A2755" t="str">
            <v>Júlio de Castilhos</v>
          </cell>
          <cell r="B2755">
            <v>305457</v>
          </cell>
          <cell r="C2755">
            <v>-29.230325530000002</v>
          </cell>
          <cell r="D2755">
            <v>-53.677634269999999</v>
          </cell>
        </row>
        <row r="2756">
          <cell r="A2756" t="str">
            <v>Júlio Mesquita</v>
          </cell>
          <cell r="B2756">
            <v>303868</v>
          </cell>
          <cell r="C2756">
            <v>-22.008990489999999</v>
          </cell>
          <cell r="D2756">
            <v>-49.786948080000002</v>
          </cell>
        </row>
        <row r="2757">
          <cell r="A2757" t="str">
            <v>Jumirim</v>
          </cell>
          <cell r="B2757">
            <v>303774</v>
          </cell>
          <cell r="C2757">
            <v>-23.088835929999998</v>
          </cell>
          <cell r="D2757">
            <v>-47.787226500000003</v>
          </cell>
        </row>
        <row r="2758">
          <cell r="A2758" t="str">
            <v>Junco do Maranhão</v>
          </cell>
          <cell r="B2758">
            <v>301810</v>
          </cell>
          <cell r="C2758">
            <v>-1.878323604</v>
          </cell>
          <cell r="D2758">
            <v>-46.071289849999999</v>
          </cell>
        </row>
        <row r="2759">
          <cell r="A2759" t="str">
            <v>Junco do Seridó</v>
          </cell>
          <cell r="B2759">
            <v>300766</v>
          </cell>
          <cell r="C2759">
            <v>-6.9931116409999996</v>
          </cell>
          <cell r="D2759">
            <v>-36.716896149999997</v>
          </cell>
        </row>
        <row r="2760">
          <cell r="A2760" t="str">
            <v>Jundiá</v>
          </cell>
          <cell r="B2760">
            <v>300954</v>
          </cell>
          <cell r="C2760">
            <v>-6.270688786</v>
          </cell>
          <cell r="D2760">
            <v>-35.327266829999999</v>
          </cell>
        </row>
        <row r="2761">
          <cell r="A2761" t="str">
            <v>Jundiá</v>
          </cell>
          <cell r="B2761">
            <v>301097</v>
          </cell>
          <cell r="C2761">
            <v>-8.9333981270000002</v>
          </cell>
          <cell r="D2761">
            <v>-35.567219479999999</v>
          </cell>
        </row>
        <row r="2762">
          <cell r="A2762" t="str">
            <v>Jundiaí</v>
          </cell>
          <cell r="B2762">
            <v>303730</v>
          </cell>
          <cell r="C2762">
            <v>-23.185695490000001</v>
          </cell>
          <cell r="D2762">
            <v>-46.897757820000002</v>
          </cell>
        </row>
        <row r="2763">
          <cell r="A2763" t="str">
            <v>Jundiaí do Sul</v>
          </cell>
          <cell r="B2763">
            <v>303962</v>
          </cell>
          <cell r="C2763">
            <v>-23.436140399999999</v>
          </cell>
          <cell r="D2763">
            <v>-50.250001589999997</v>
          </cell>
        </row>
        <row r="2764">
          <cell r="A2764" t="str">
            <v>Junín</v>
          </cell>
          <cell r="B2764">
            <v>314409</v>
          </cell>
          <cell r="C2764">
            <v>-11.15522245</v>
          </cell>
          <cell r="D2764">
            <v>-75.986272080000006</v>
          </cell>
        </row>
        <row r="2765">
          <cell r="A2765" t="str">
            <v>Junqueiro</v>
          </cell>
          <cell r="B2765">
            <v>301345</v>
          </cell>
          <cell r="C2765">
            <v>-9.9073965519999998</v>
          </cell>
          <cell r="D2765">
            <v>-36.480647679999997</v>
          </cell>
        </row>
        <row r="2766">
          <cell r="A2766" t="str">
            <v>Junqueirópolis</v>
          </cell>
          <cell r="B2766">
            <v>305569</v>
          </cell>
          <cell r="C2766">
            <v>-21.51080911</v>
          </cell>
          <cell r="D2766">
            <v>-51.43461112</v>
          </cell>
        </row>
        <row r="2767">
          <cell r="A2767" t="str">
            <v>Jupi</v>
          </cell>
          <cell r="B2767">
            <v>301122</v>
          </cell>
          <cell r="C2767">
            <v>-8.7119739309999993</v>
          </cell>
          <cell r="D2767">
            <v>-36.418174669999999</v>
          </cell>
        </row>
        <row r="2768">
          <cell r="A2768" t="str">
            <v>Jupiá</v>
          </cell>
          <cell r="B2768">
            <v>305279</v>
          </cell>
          <cell r="C2768">
            <v>-26.395506900000001</v>
          </cell>
          <cell r="D2768">
            <v>-52.730214529999998</v>
          </cell>
        </row>
        <row r="2769">
          <cell r="A2769" t="str">
            <v>Juquiá</v>
          </cell>
          <cell r="B2769">
            <v>303790</v>
          </cell>
          <cell r="C2769">
            <v>-24.320986420000001</v>
          </cell>
          <cell r="D2769">
            <v>-47.634950519999997</v>
          </cell>
        </row>
        <row r="2770">
          <cell r="A2770" t="str">
            <v>Juquitiba</v>
          </cell>
          <cell r="B2770">
            <v>303754</v>
          </cell>
          <cell r="C2770">
            <v>-23.924860240000001</v>
          </cell>
          <cell r="D2770">
            <v>-47.065735199999999</v>
          </cell>
        </row>
        <row r="2771">
          <cell r="A2771" t="str">
            <v>Juramento</v>
          </cell>
          <cell r="B2771">
            <v>302703</v>
          </cell>
          <cell r="C2771">
            <v>-16.847783530000001</v>
          </cell>
          <cell r="D2771">
            <v>-43.586818960000002</v>
          </cell>
        </row>
        <row r="2772">
          <cell r="A2772" t="str">
            <v>Juranda</v>
          </cell>
          <cell r="B2772">
            <v>305048</v>
          </cell>
          <cell r="C2772">
            <v>-24.421330489999999</v>
          </cell>
          <cell r="D2772">
            <v>-52.841785960000003</v>
          </cell>
        </row>
        <row r="2773">
          <cell r="A2773" t="str">
            <v>Jurema</v>
          </cell>
          <cell r="B2773">
            <v>302058</v>
          </cell>
          <cell r="C2773">
            <v>-9.2253501359999994</v>
          </cell>
          <cell r="D2773">
            <v>-43.130304989999999</v>
          </cell>
        </row>
        <row r="2774">
          <cell r="A2774" t="str">
            <v>Jurema</v>
          </cell>
          <cell r="B2774">
            <v>301117</v>
          </cell>
          <cell r="C2774">
            <v>-8.7075640619999994</v>
          </cell>
          <cell r="D2774">
            <v>-36.135036749999998</v>
          </cell>
        </row>
        <row r="2775">
          <cell r="A2775" t="str">
            <v>Juripiranga</v>
          </cell>
          <cell r="B2775">
            <v>300477</v>
          </cell>
          <cell r="C2775">
            <v>-7.3586627199999999</v>
          </cell>
          <cell r="D2775">
            <v>-35.238673300000002</v>
          </cell>
        </row>
        <row r="2776">
          <cell r="A2776" t="str">
            <v>Juru</v>
          </cell>
          <cell r="B2776">
            <v>300810</v>
          </cell>
          <cell r="C2776">
            <v>-7.5383248920000003</v>
          </cell>
          <cell r="D2776">
            <v>-37.820189540000001</v>
          </cell>
        </row>
        <row r="2777">
          <cell r="A2777" t="str">
            <v>Juruá</v>
          </cell>
          <cell r="B2777">
            <v>304264</v>
          </cell>
          <cell r="C2777">
            <v>-3.4847666500000001</v>
          </cell>
          <cell r="D2777">
            <v>-66.072260240000006</v>
          </cell>
        </row>
        <row r="2778">
          <cell r="A2778" t="str">
            <v>Juruaia</v>
          </cell>
          <cell r="B2778">
            <v>303504</v>
          </cell>
          <cell r="C2778">
            <v>-21.249782140000001</v>
          </cell>
          <cell r="D2778">
            <v>-46.573933199999999</v>
          </cell>
        </row>
        <row r="2779">
          <cell r="A2779" t="str">
            <v>Juruena</v>
          </cell>
          <cell r="B2779">
            <v>304223</v>
          </cell>
          <cell r="C2779">
            <v>-10.318786640000001</v>
          </cell>
          <cell r="D2779">
            <v>-58.371551930000003</v>
          </cell>
        </row>
        <row r="2780">
          <cell r="A2780" t="str">
            <v>Juruti</v>
          </cell>
          <cell r="B2780">
            <v>304167</v>
          </cell>
          <cell r="C2780">
            <v>-2.1638532580000001</v>
          </cell>
          <cell r="D2780">
            <v>-56.089323229999998</v>
          </cell>
        </row>
        <row r="2781">
          <cell r="A2781" t="str">
            <v>Juscimeira</v>
          </cell>
          <cell r="B2781">
            <v>304644</v>
          </cell>
          <cell r="C2781">
            <v>-16.053817330000001</v>
          </cell>
          <cell r="D2781">
            <v>-54.887367329999996</v>
          </cell>
        </row>
        <row r="2782">
          <cell r="A2782" t="str">
            <v>Jussara</v>
          </cell>
          <cell r="B2782">
            <v>302065</v>
          </cell>
          <cell r="C2782">
            <v>-11.043520320000001</v>
          </cell>
          <cell r="D2782">
            <v>-41.970577040000002</v>
          </cell>
        </row>
        <row r="2783">
          <cell r="A2783" t="str">
            <v>Jussara</v>
          </cell>
          <cell r="B2783">
            <v>304981</v>
          </cell>
          <cell r="C2783">
            <v>-15.86632137</v>
          </cell>
          <cell r="D2783">
            <v>-50.867224909999997</v>
          </cell>
        </row>
        <row r="2784">
          <cell r="A2784" t="str">
            <v>Jussara</v>
          </cell>
          <cell r="B2784">
            <v>305029</v>
          </cell>
          <cell r="C2784">
            <v>-23.622394740000001</v>
          </cell>
          <cell r="D2784">
            <v>-52.469746989999997</v>
          </cell>
        </row>
        <row r="2785">
          <cell r="A2785" t="str">
            <v>Jussari</v>
          </cell>
          <cell r="B2785">
            <v>301754</v>
          </cell>
          <cell r="C2785">
            <v>-15.18797131</v>
          </cell>
          <cell r="D2785">
            <v>-39.494110059999997</v>
          </cell>
        </row>
        <row r="2786">
          <cell r="A2786" t="str">
            <v>Jussiape</v>
          </cell>
          <cell r="B2786">
            <v>301580</v>
          </cell>
          <cell r="C2786">
            <v>-13.51597844</v>
          </cell>
          <cell r="D2786">
            <v>-41.591622309999998</v>
          </cell>
        </row>
        <row r="2787">
          <cell r="A2787" t="str">
            <v>Jutaí</v>
          </cell>
          <cell r="B2787">
            <v>304263</v>
          </cell>
          <cell r="C2787">
            <v>-2.749036593</v>
          </cell>
          <cell r="D2787">
            <v>-66.769561499999995</v>
          </cell>
        </row>
        <row r="2788">
          <cell r="A2788" t="str">
            <v>Juti</v>
          </cell>
          <cell r="B2788">
            <v>305610</v>
          </cell>
          <cell r="C2788">
            <v>-22.860092980000001</v>
          </cell>
          <cell r="D2788">
            <v>-54.606567120000001</v>
          </cell>
        </row>
        <row r="2789">
          <cell r="A2789" t="str">
            <v>Juvenília</v>
          </cell>
          <cell r="B2789">
            <v>302164</v>
          </cell>
          <cell r="C2789">
            <v>-14.2666872</v>
          </cell>
          <cell r="D2789">
            <v>-44.160017349999997</v>
          </cell>
        </row>
        <row r="2790">
          <cell r="A2790" t="str">
            <v>Kaloré</v>
          </cell>
          <cell r="B2790">
            <v>304775</v>
          </cell>
          <cell r="C2790">
            <v>-23.819301459999998</v>
          </cell>
          <cell r="D2790">
            <v>-51.66914173</v>
          </cell>
        </row>
        <row r="2791">
          <cell r="A2791" t="str">
            <v>La Colmena</v>
          </cell>
          <cell r="B2791">
            <v>314478</v>
          </cell>
          <cell r="C2791">
            <v>-25.880963950000002</v>
          </cell>
          <cell r="D2791">
            <v>-56.82138157</v>
          </cell>
        </row>
        <row r="2792">
          <cell r="A2792" t="str">
            <v>La Cruz</v>
          </cell>
          <cell r="B2792">
            <v>314291</v>
          </cell>
          <cell r="C2792">
            <v>-29.176516929999998</v>
          </cell>
          <cell r="D2792">
            <v>-56.644814799999999</v>
          </cell>
        </row>
        <row r="2793">
          <cell r="A2793" t="str">
            <v>La Oroya</v>
          </cell>
          <cell r="B2793">
            <v>314411</v>
          </cell>
          <cell r="C2793">
            <v>-11.504602889999999</v>
          </cell>
          <cell r="D2793">
            <v>-75.897149490000004</v>
          </cell>
        </row>
        <row r="2794">
          <cell r="A2794" t="str">
            <v>La Paz</v>
          </cell>
          <cell r="B2794">
            <v>314353</v>
          </cell>
          <cell r="C2794">
            <v>-30.738832970000001</v>
          </cell>
          <cell r="D2794">
            <v>-59.636322290000003</v>
          </cell>
        </row>
        <row r="2795">
          <cell r="A2795" t="str">
            <v>La Paz</v>
          </cell>
          <cell r="B2795">
            <v>295801</v>
          </cell>
          <cell r="C2795">
            <v>-16.500818280000001</v>
          </cell>
          <cell r="D2795">
            <v>-68.150984100000002</v>
          </cell>
        </row>
        <row r="2796">
          <cell r="A2796" t="str">
            <v>La Unión</v>
          </cell>
          <cell r="B2796">
            <v>314397</v>
          </cell>
          <cell r="C2796">
            <v>-9.8120350100000007</v>
          </cell>
          <cell r="D2796">
            <v>-76.802002779999995</v>
          </cell>
        </row>
        <row r="2797">
          <cell r="A2797" t="str">
            <v>La. Merced</v>
          </cell>
          <cell r="B2797">
            <v>314481</v>
          </cell>
          <cell r="C2797">
            <v>-11.051733499999999</v>
          </cell>
          <cell r="D2797">
            <v>-75.302814260000005</v>
          </cell>
        </row>
        <row r="2798">
          <cell r="A2798" t="str">
            <v>Lábrea</v>
          </cell>
          <cell r="B2798">
            <v>304268</v>
          </cell>
          <cell r="C2798">
            <v>-7.2645281979999998</v>
          </cell>
          <cell r="D2798">
            <v>-64.79522815</v>
          </cell>
        </row>
        <row r="2799">
          <cell r="A2799" t="str">
            <v>Lacerdópolis</v>
          </cell>
          <cell r="B2799">
            <v>305104</v>
          </cell>
          <cell r="C2799">
            <v>-27.25841527</v>
          </cell>
          <cell r="D2799">
            <v>-51.558104550000003</v>
          </cell>
        </row>
        <row r="2800">
          <cell r="A2800" t="str">
            <v>Ladainha</v>
          </cell>
          <cell r="B2800">
            <v>302488</v>
          </cell>
          <cell r="C2800">
            <v>-17.628354139999999</v>
          </cell>
          <cell r="D2800">
            <v>-41.749174609999997</v>
          </cell>
        </row>
        <row r="2801">
          <cell r="A2801" t="str">
            <v>Ladário</v>
          </cell>
          <cell r="B2801">
            <v>305602</v>
          </cell>
          <cell r="C2801">
            <v>-19.009333259999998</v>
          </cell>
          <cell r="D2801">
            <v>-57.597718</v>
          </cell>
        </row>
        <row r="2802">
          <cell r="A2802" t="str">
            <v>Lafaiete Coutinho</v>
          </cell>
          <cell r="B2802">
            <v>301562</v>
          </cell>
          <cell r="C2802">
            <v>-13.65603404</v>
          </cell>
          <cell r="D2802">
            <v>-40.21242324</v>
          </cell>
        </row>
        <row r="2803">
          <cell r="A2803" t="str">
            <v>Lagamar</v>
          </cell>
          <cell r="B2803">
            <v>304937</v>
          </cell>
          <cell r="C2803">
            <v>-18.17637878</v>
          </cell>
          <cell r="D2803">
            <v>-46.806729310000001</v>
          </cell>
        </row>
        <row r="2804">
          <cell r="A2804" t="str">
            <v>Lagarto</v>
          </cell>
          <cell r="B2804">
            <v>301258</v>
          </cell>
          <cell r="C2804">
            <v>-10.91406823</v>
          </cell>
          <cell r="D2804">
            <v>-37.669259390000001</v>
          </cell>
        </row>
        <row r="2805">
          <cell r="A2805" t="str">
            <v>Lages</v>
          </cell>
          <cell r="B2805">
            <v>304101</v>
          </cell>
          <cell r="C2805">
            <v>-27.815445279999999</v>
          </cell>
          <cell r="D2805">
            <v>-50.326300789999998</v>
          </cell>
        </row>
        <row r="2806">
          <cell r="A2806" t="str">
            <v>Lago da Pedra</v>
          </cell>
          <cell r="B2806">
            <v>302455</v>
          </cell>
          <cell r="C2806">
            <v>-4.5585792080000003</v>
          </cell>
          <cell r="D2806">
            <v>-45.134710390000002</v>
          </cell>
        </row>
        <row r="2807">
          <cell r="A2807" t="str">
            <v>Lago do Junco</v>
          </cell>
          <cell r="B2807">
            <v>302438</v>
          </cell>
          <cell r="C2807">
            <v>-4.6077118380000002</v>
          </cell>
          <cell r="D2807">
            <v>-45.05664427</v>
          </cell>
        </row>
        <row r="2808">
          <cell r="A2808" t="str">
            <v>Lago dos Rodrigues</v>
          </cell>
          <cell r="B2808">
            <v>302134</v>
          </cell>
          <cell r="C2808">
            <v>-4.6121335380000001</v>
          </cell>
          <cell r="D2808">
            <v>-44.980119729999998</v>
          </cell>
        </row>
        <row r="2809">
          <cell r="A2809" t="str">
            <v>Lago Verde</v>
          </cell>
          <cell r="B2809">
            <v>301709</v>
          </cell>
          <cell r="C2809">
            <v>-3.9470057600000001</v>
          </cell>
          <cell r="D2809">
            <v>-44.82635243</v>
          </cell>
        </row>
        <row r="2810">
          <cell r="A2810" t="str">
            <v>Lagoa</v>
          </cell>
          <cell r="B2810">
            <v>300931</v>
          </cell>
          <cell r="C2810">
            <v>-6.5920668669999998</v>
          </cell>
          <cell r="D2810">
            <v>-37.915612660000001</v>
          </cell>
        </row>
        <row r="2811">
          <cell r="A2811" t="str">
            <v>Lagoa Alegre</v>
          </cell>
          <cell r="B2811">
            <v>301778</v>
          </cell>
          <cell r="C2811">
            <v>-4.5119307959999997</v>
          </cell>
          <cell r="D2811">
            <v>-42.617865070000001</v>
          </cell>
        </row>
        <row r="2812">
          <cell r="A2812" t="str">
            <v>Lagoa Bonita do Sul</v>
          </cell>
          <cell r="B2812">
            <v>300398</v>
          </cell>
          <cell r="C2812">
            <v>-29.489292150000001</v>
          </cell>
          <cell r="D2812">
            <v>-53.013897610000001</v>
          </cell>
        </row>
        <row r="2813">
          <cell r="A2813" t="str">
            <v>Lagoa da Canoa</v>
          </cell>
          <cell r="B2813">
            <v>301204</v>
          </cell>
          <cell r="C2813">
            <v>-9.8293931600000004</v>
          </cell>
          <cell r="D2813">
            <v>-36.740095019999998</v>
          </cell>
        </row>
        <row r="2814">
          <cell r="A2814" t="str">
            <v>Lagoa da Confusão</v>
          </cell>
          <cell r="B2814">
            <v>302859</v>
          </cell>
          <cell r="C2814">
            <v>-10.78756218</v>
          </cell>
          <cell r="D2814">
            <v>-49.621291829999997</v>
          </cell>
        </row>
        <row r="2815">
          <cell r="A2815" t="str">
            <v>Lagoa da Prata</v>
          </cell>
          <cell r="B2815">
            <v>303022</v>
          </cell>
          <cell r="C2815">
            <v>-20.024198210000002</v>
          </cell>
          <cell r="D2815">
            <v>-45.540531129999998</v>
          </cell>
        </row>
        <row r="2816">
          <cell r="A2816" t="str">
            <v>Lagoa d'Anta</v>
          </cell>
          <cell r="B2816">
            <v>300431</v>
          </cell>
          <cell r="C2816">
            <v>-6.3916110399999999</v>
          </cell>
          <cell r="D2816">
            <v>-35.597345570000002</v>
          </cell>
        </row>
        <row r="2817">
          <cell r="A2817" t="str">
            <v>Lagoa de Dentro</v>
          </cell>
          <cell r="B2817">
            <v>300427</v>
          </cell>
          <cell r="C2817">
            <v>-6.672546434</v>
          </cell>
          <cell r="D2817">
            <v>-35.37093204</v>
          </cell>
        </row>
        <row r="2818">
          <cell r="A2818" t="str">
            <v>Lagoa de Pedras</v>
          </cell>
          <cell r="B2818">
            <v>302328</v>
          </cell>
          <cell r="C2818">
            <v>-6.1557186179999999</v>
          </cell>
          <cell r="D2818">
            <v>-35.43778219</v>
          </cell>
        </row>
        <row r="2819">
          <cell r="A2819" t="str">
            <v>Lagoa de São Francisco</v>
          </cell>
          <cell r="B2819">
            <v>300890</v>
          </cell>
          <cell r="C2819">
            <v>-4.3934239589999997</v>
          </cell>
          <cell r="D2819">
            <v>-41.599316129999998</v>
          </cell>
        </row>
        <row r="2820">
          <cell r="A2820" t="str">
            <v>Lagoa de Velhos</v>
          </cell>
          <cell r="B2820">
            <v>300508</v>
          </cell>
          <cell r="C2820">
            <v>-6.0039379889999998</v>
          </cell>
          <cell r="D2820">
            <v>-35.871206170000001</v>
          </cell>
        </row>
        <row r="2821">
          <cell r="A2821" t="str">
            <v>Lagoa do Barro do Piauí</v>
          </cell>
          <cell r="B2821">
            <v>301436</v>
          </cell>
          <cell r="C2821">
            <v>-8.4768816610000002</v>
          </cell>
          <cell r="D2821">
            <v>-41.537616479999997</v>
          </cell>
        </row>
        <row r="2822">
          <cell r="A2822" t="str">
            <v>Lagoa do Carro</v>
          </cell>
          <cell r="B2822">
            <v>300487</v>
          </cell>
          <cell r="C2822">
            <v>-7.844257915</v>
          </cell>
          <cell r="D2822">
            <v>-35.311074339999998</v>
          </cell>
        </row>
        <row r="2823">
          <cell r="A2823" t="str">
            <v>Lagoa do Itaenga</v>
          </cell>
          <cell r="B2823">
            <v>300498</v>
          </cell>
          <cell r="C2823">
            <v>-7.9292448540000002</v>
          </cell>
          <cell r="D2823">
            <v>-35.288450660000002</v>
          </cell>
        </row>
        <row r="2824">
          <cell r="A2824" t="str">
            <v>Lagoa do Mato</v>
          </cell>
          <cell r="B2824">
            <v>302570</v>
          </cell>
          <cell r="C2824">
            <v>-6.0476641799999999</v>
          </cell>
          <cell r="D2824">
            <v>-43.527807469999999</v>
          </cell>
        </row>
        <row r="2825">
          <cell r="A2825" t="str">
            <v>Lagoa do Ouro</v>
          </cell>
          <cell r="B2825">
            <v>301136</v>
          </cell>
          <cell r="C2825">
            <v>-9.1260989190000004</v>
          </cell>
          <cell r="D2825">
            <v>-36.458673830000002</v>
          </cell>
        </row>
        <row r="2826">
          <cell r="A2826" t="str">
            <v>Lagoa do Piauí</v>
          </cell>
          <cell r="B2826">
            <v>301815</v>
          </cell>
          <cell r="C2826">
            <v>-5.4135398879999999</v>
          </cell>
          <cell r="D2826">
            <v>-42.646991550000003</v>
          </cell>
        </row>
        <row r="2827">
          <cell r="A2827" t="str">
            <v>Lagoa do Sítio</v>
          </cell>
          <cell r="B2827">
            <v>301043</v>
          </cell>
          <cell r="C2827">
            <v>-6.5210358670000002</v>
          </cell>
          <cell r="D2827">
            <v>-41.572724090000001</v>
          </cell>
        </row>
        <row r="2828">
          <cell r="A2828" t="str">
            <v>Lagoa do Tocantins</v>
          </cell>
          <cell r="B2828">
            <v>302206</v>
          </cell>
          <cell r="C2828">
            <v>-10.29632823</v>
          </cell>
          <cell r="D2828">
            <v>-47.565275700000001</v>
          </cell>
        </row>
        <row r="2829">
          <cell r="A2829" t="str">
            <v>Lagoa dos Gatos</v>
          </cell>
          <cell r="B2829">
            <v>301109</v>
          </cell>
          <cell r="C2829">
            <v>-8.6606335409999993</v>
          </cell>
          <cell r="D2829">
            <v>-35.90427236</v>
          </cell>
        </row>
        <row r="2830">
          <cell r="A2830" t="str">
            <v>Lagoa dos Patos</v>
          </cell>
          <cell r="B2830">
            <v>302943</v>
          </cell>
          <cell r="C2830">
            <v>-16.98249259</v>
          </cell>
          <cell r="D2830">
            <v>-44.579141100000001</v>
          </cell>
        </row>
        <row r="2831">
          <cell r="A2831" t="str">
            <v>Lagoa dos Três Cantos</v>
          </cell>
          <cell r="B2831">
            <v>305390</v>
          </cell>
          <cell r="C2831">
            <v>-28.568806410000001</v>
          </cell>
          <cell r="D2831">
            <v>-52.862869349999997</v>
          </cell>
        </row>
        <row r="2832">
          <cell r="A2832" t="str">
            <v>Lagoa Dourada</v>
          </cell>
          <cell r="B2832">
            <v>302983</v>
          </cell>
          <cell r="C2832">
            <v>-20.914334610000001</v>
          </cell>
          <cell r="D2832">
            <v>-44.080091260000003</v>
          </cell>
        </row>
        <row r="2833">
          <cell r="A2833" t="str">
            <v>Lagoa Formosa</v>
          </cell>
          <cell r="B2833">
            <v>304935</v>
          </cell>
          <cell r="C2833">
            <v>-18.771952819999999</v>
          </cell>
          <cell r="D2833">
            <v>-46.401620970000003</v>
          </cell>
        </row>
        <row r="2834">
          <cell r="A2834" t="str">
            <v>Lagoa Grande</v>
          </cell>
          <cell r="B2834">
            <v>301487</v>
          </cell>
          <cell r="C2834">
            <v>-8.9946399580000005</v>
          </cell>
          <cell r="D2834">
            <v>-40.270205429999997</v>
          </cell>
        </row>
        <row r="2835">
          <cell r="A2835" t="str">
            <v>Lagoa Grande</v>
          </cell>
          <cell r="B2835">
            <v>304932</v>
          </cell>
          <cell r="C2835">
            <v>-17.8435676</v>
          </cell>
          <cell r="D2835">
            <v>-46.518704810000003</v>
          </cell>
        </row>
        <row r="2836">
          <cell r="A2836" t="str">
            <v>Lagoa Grande do Maranhão</v>
          </cell>
          <cell r="B2836">
            <v>302457</v>
          </cell>
          <cell r="C2836">
            <v>-4.9893294739999998</v>
          </cell>
          <cell r="D2836">
            <v>-45.38196851</v>
          </cell>
        </row>
        <row r="2837">
          <cell r="A2837" t="str">
            <v>Lagoa Nova</v>
          </cell>
          <cell r="B2837">
            <v>300527</v>
          </cell>
          <cell r="C2837">
            <v>-6.0937980920000001</v>
          </cell>
          <cell r="D2837">
            <v>-36.470568810000003</v>
          </cell>
        </row>
        <row r="2838">
          <cell r="A2838" t="str">
            <v>Lagoa Real</v>
          </cell>
          <cell r="B2838">
            <v>302103</v>
          </cell>
          <cell r="C2838">
            <v>-14.03404302</v>
          </cell>
          <cell r="D2838">
            <v>-42.141380499999997</v>
          </cell>
        </row>
        <row r="2839">
          <cell r="A2839" t="str">
            <v>Lagoa Salgada</v>
          </cell>
          <cell r="B2839">
            <v>302329</v>
          </cell>
          <cell r="C2839">
            <v>-6.1212253240000001</v>
          </cell>
          <cell r="D2839">
            <v>-35.475927169999999</v>
          </cell>
        </row>
        <row r="2840">
          <cell r="A2840" t="str">
            <v>Lagoa Santa</v>
          </cell>
          <cell r="B2840">
            <v>300367</v>
          </cell>
          <cell r="C2840">
            <v>-19.185566949999998</v>
          </cell>
          <cell r="D2840">
            <v>-51.399750750000003</v>
          </cell>
        </row>
        <row r="2841">
          <cell r="A2841" t="str">
            <v>Lagoa Santa</v>
          </cell>
          <cell r="B2841">
            <v>302822</v>
          </cell>
          <cell r="C2841">
            <v>-19.626992430000001</v>
          </cell>
          <cell r="D2841">
            <v>-43.889957920000001</v>
          </cell>
        </row>
        <row r="2842">
          <cell r="A2842" t="str">
            <v>Lagoa Seca</v>
          </cell>
          <cell r="B2842">
            <v>300631</v>
          </cell>
          <cell r="C2842">
            <v>-7.1558357570000002</v>
          </cell>
          <cell r="D2842">
            <v>-35.854535810000002</v>
          </cell>
        </row>
        <row r="2843">
          <cell r="A2843" t="str">
            <v>Lagoa Vermelha</v>
          </cell>
          <cell r="B2843">
            <v>305658</v>
          </cell>
          <cell r="C2843">
            <v>-28.209811160000001</v>
          </cell>
          <cell r="D2843">
            <v>-51.525263219999999</v>
          </cell>
        </row>
        <row r="2844">
          <cell r="A2844" t="str">
            <v>Lagoão</v>
          </cell>
          <cell r="B2844">
            <v>305540</v>
          </cell>
          <cell r="C2844">
            <v>-29.22313904</v>
          </cell>
          <cell r="D2844">
            <v>-52.771983229999996</v>
          </cell>
        </row>
        <row r="2845">
          <cell r="A2845" t="str">
            <v>Lagoinha</v>
          </cell>
          <cell r="B2845">
            <v>303282</v>
          </cell>
          <cell r="C2845">
            <v>-23.085102429999999</v>
          </cell>
          <cell r="D2845">
            <v>-45.194802840000001</v>
          </cell>
        </row>
        <row r="2846">
          <cell r="A2846" t="str">
            <v>Lagoinha do Piauí</v>
          </cell>
          <cell r="B2846">
            <v>301791</v>
          </cell>
          <cell r="C2846">
            <v>-5.8315964820000001</v>
          </cell>
          <cell r="D2846">
            <v>-42.633759920000003</v>
          </cell>
        </row>
        <row r="2847">
          <cell r="A2847" t="str">
            <v>Laguna</v>
          </cell>
          <cell r="B2847">
            <v>304069</v>
          </cell>
          <cell r="C2847">
            <v>-28.484772540000002</v>
          </cell>
          <cell r="D2847">
            <v>-48.777665110000001</v>
          </cell>
        </row>
        <row r="2848">
          <cell r="A2848" t="str">
            <v>Laguna Carapã</v>
          </cell>
          <cell r="B2848">
            <v>305612</v>
          </cell>
          <cell r="C2848">
            <v>-22.548578030000002</v>
          </cell>
          <cell r="D2848">
            <v>-55.150610960000002</v>
          </cell>
        </row>
        <row r="2849">
          <cell r="A2849" t="str">
            <v>Laje</v>
          </cell>
          <cell r="B2849">
            <v>301729</v>
          </cell>
          <cell r="C2849">
            <v>-13.167777450000001</v>
          </cell>
          <cell r="D2849">
            <v>-39.42159075</v>
          </cell>
        </row>
        <row r="2850">
          <cell r="A2850" t="str">
            <v>Laje do Muriaé</v>
          </cell>
          <cell r="B2850">
            <v>304912</v>
          </cell>
          <cell r="C2850">
            <v>-21.209554929999999</v>
          </cell>
          <cell r="D2850">
            <v>-42.127478119999999</v>
          </cell>
        </row>
        <row r="2851">
          <cell r="A2851" t="str">
            <v>Lajeado</v>
          </cell>
          <cell r="B2851">
            <v>302238</v>
          </cell>
          <cell r="C2851">
            <v>-9.7503786770000005</v>
          </cell>
          <cell r="D2851">
            <v>-48.356864160000001</v>
          </cell>
        </row>
        <row r="2852">
          <cell r="A2852" t="str">
            <v>Lajeado</v>
          </cell>
          <cell r="B2852">
            <v>305786</v>
          </cell>
          <cell r="C2852">
            <v>-29.4595628</v>
          </cell>
          <cell r="D2852">
            <v>-51.964883460000003</v>
          </cell>
        </row>
        <row r="2853">
          <cell r="A2853" t="str">
            <v>Lajeado do Bugre</v>
          </cell>
          <cell r="B2853">
            <v>305677</v>
          </cell>
          <cell r="C2853">
            <v>-27.691779799999999</v>
          </cell>
          <cell r="D2853">
            <v>-53.182267520000003</v>
          </cell>
        </row>
        <row r="2854">
          <cell r="A2854" t="str">
            <v>Lajeado Grande</v>
          </cell>
          <cell r="B2854">
            <v>305287</v>
          </cell>
          <cell r="C2854">
            <v>-26.858084309999999</v>
          </cell>
          <cell r="D2854">
            <v>-52.565231310000001</v>
          </cell>
        </row>
        <row r="2855">
          <cell r="A2855" t="str">
            <v>Lajeado Novo</v>
          </cell>
          <cell r="B2855">
            <v>301958</v>
          </cell>
          <cell r="C2855">
            <v>-6.1898954540000002</v>
          </cell>
          <cell r="D2855">
            <v>-47.037328080000002</v>
          </cell>
        </row>
        <row r="2856">
          <cell r="A2856" t="str">
            <v>Lajedão</v>
          </cell>
          <cell r="B2856">
            <v>303591</v>
          </cell>
          <cell r="C2856">
            <v>-17.606111429999999</v>
          </cell>
          <cell r="D2856">
            <v>-40.338647770000001</v>
          </cell>
        </row>
        <row r="2857">
          <cell r="A2857" t="str">
            <v>Lajedinho</v>
          </cell>
          <cell r="B2857">
            <v>301501</v>
          </cell>
          <cell r="C2857">
            <v>-12.35560911</v>
          </cell>
          <cell r="D2857">
            <v>-40.903432629999998</v>
          </cell>
        </row>
        <row r="2858">
          <cell r="A2858" t="str">
            <v>Lajedo</v>
          </cell>
          <cell r="B2858">
            <v>301120</v>
          </cell>
          <cell r="C2858">
            <v>-8.6603965899999995</v>
          </cell>
          <cell r="D2858">
            <v>-36.323029509999998</v>
          </cell>
        </row>
        <row r="2859">
          <cell r="A2859" t="str">
            <v>Lajedo do Tabocal</v>
          </cell>
          <cell r="B2859">
            <v>301554</v>
          </cell>
          <cell r="C2859">
            <v>-13.466736940000001</v>
          </cell>
          <cell r="D2859">
            <v>-40.220761869999997</v>
          </cell>
        </row>
        <row r="2860">
          <cell r="A2860" t="str">
            <v>Lajes</v>
          </cell>
          <cell r="B2860">
            <v>300518</v>
          </cell>
          <cell r="C2860">
            <v>-5.7016017850000003</v>
          </cell>
          <cell r="D2860">
            <v>-36.247546329999999</v>
          </cell>
        </row>
        <row r="2861">
          <cell r="A2861" t="str">
            <v>Lajes Pintadas</v>
          </cell>
          <cell r="B2861">
            <v>300517</v>
          </cell>
          <cell r="C2861">
            <v>-6.1498416479999998</v>
          </cell>
          <cell r="D2861">
            <v>-36.117384250000001</v>
          </cell>
        </row>
        <row r="2862">
          <cell r="A2862" t="str">
            <v>Lajinha</v>
          </cell>
          <cell r="B2862">
            <v>302623</v>
          </cell>
          <cell r="C2862">
            <v>-20.154419879999999</v>
          </cell>
          <cell r="D2862">
            <v>-41.623173000000001</v>
          </cell>
        </row>
        <row r="2863">
          <cell r="A2863" t="str">
            <v>Lamarão</v>
          </cell>
          <cell r="B2863">
            <v>301405</v>
          </cell>
          <cell r="C2863">
            <v>-11.77345669</v>
          </cell>
          <cell r="D2863">
            <v>-38.887330169999998</v>
          </cell>
        </row>
        <row r="2864">
          <cell r="A2864" t="str">
            <v>Lamas</v>
          </cell>
          <cell r="B2864">
            <v>314493</v>
          </cell>
          <cell r="C2864">
            <v>-6.445769672</v>
          </cell>
          <cell r="D2864">
            <v>-76.527138989999997</v>
          </cell>
        </row>
        <row r="2865">
          <cell r="A2865" t="str">
            <v>Lambari</v>
          </cell>
          <cell r="B2865">
            <v>303222</v>
          </cell>
          <cell r="C2865">
            <v>-21.967565400000002</v>
          </cell>
          <cell r="D2865">
            <v>-45.3502078</v>
          </cell>
        </row>
        <row r="2866">
          <cell r="A2866" t="str">
            <v>Lambari D'Oeste</v>
          </cell>
          <cell r="B2866">
            <v>304678</v>
          </cell>
          <cell r="C2866">
            <v>-15.31864543</v>
          </cell>
          <cell r="D2866">
            <v>-58.004940249999997</v>
          </cell>
        </row>
        <row r="2867">
          <cell r="A2867" t="str">
            <v>Lamim</v>
          </cell>
          <cell r="B2867">
            <v>302847</v>
          </cell>
          <cell r="C2867">
            <v>-20.790476479999999</v>
          </cell>
          <cell r="D2867">
            <v>-43.470984680000001</v>
          </cell>
        </row>
        <row r="2868">
          <cell r="A2868" t="str">
            <v>Lamud</v>
          </cell>
          <cell r="B2868">
            <v>314510</v>
          </cell>
          <cell r="C2868">
            <v>-6.1209899400000003</v>
          </cell>
          <cell r="D2868">
            <v>-77.922205660000003</v>
          </cell>
        </row>
        <row r="2869">
          <cell r="A2869" t="str">
            <v>Landri Sales</v>
          </cell>
          <cell r="B2869">
            <v>301846</v>
          </cell>
          <cell r="C2869">
            <v>-7.2628013759999996</v>
          </cell>
          <cell r="D2869">
            <v>-43.931627980000002</v>
          </cell>
        </row>
        <row r="2870">
          <cell r="A2870" t="str">
            <v>Lapa</v>
          </cell>
          <cell r="B2870">
            <v>304042</v>
          </cell>
          <cell r="C2870">
            <v>-25.7675667</v>
          </cell>
          <cell r="D2870">
            <v>-49.717204019999997</v>
          </cell>
        </row>
        <row r="2871">
          <cell r="A2871" t="str">
            <v>Lapão</v>
          </cell>
          <cell r="B2871">
            <v>301497</v>
          </cell>
          <cell r="C2871">
            <v>-11.38553426</v>
          </cell>
          <cell r="D2871">
            <v>-41.828956460000001</v>
          </cell>
        </row>
        <row r="2872">
          <cell r="A2872" t="str">
            <v>Laranja da Terra</v>
          </cell>
          <cell r="B2872">
            <v>302533</v>
          </cell>
          <cell r="C2872">
            <v>-19.899877979999999</v>
          </cell>
          <cell r="D2872">
            <v>-41.062491369999996</v>
          </cell>
        </row>
        <row r="2873">
          <cell r="A2873" t="str">
            <v>Laranjal</v>
          </cell>
          <cell r="B2873">
            <v>303257</v>
          </cell>
          <cell r="C2873">
            <v>-21.371959789999998</v>
          </cell>
          <cell r="D2873">
            <v>-42.47351501</v>
          </cell>
        </row>
        <row r="2874">
          <cell r="A2874" t="str">
            <v>Laranjal</v>
          </cell>
          <cell r="B2874">
            <v>305049</v>
          </cell>
          <cell r="C2874">
            <v>-24.886619589999999</v>
          </cell>
          <cell r="D2874">
            <v>-52.470482339999997</v>
          </cell>
        </row>
        <row r="2875">
          <cell r="A2875" t="str">
            <v>Laranjal do Jari</v>
          </cell>
          <cell r="B2875">
            <v>304973</v>
          </cell>
          <cell r="C2875">
            <v>-0.83785686299999995</v>
          </cell>
          <cell r="D2875">
            <v>-52.522679410000002</v>
          </cell>
        </row>
        <row r="2876">
          <cell r="A2876" t="str">
            <v>Laranjal Paulista</v>
          </cell>
          <cell r="B2876">
            <v>303923</v>
          </cell>
          <cell r="C2876">
            <v>-23.051038689999999</v>
          </cell>
          <cell r="D2876">
            <v>-47.837954719999999</v>
          </cell>
        </row>
        <row r="2877">
          <cell r="A2877" t="str">
            <v>Laranjeiras</v>
          </cell>
          <cell r="B2877">
            <v>301244</v>
          </cell>
          <cell r="C2877">
            <v>-10.804766519999999</v>
          </cell>
          <cell r="D2877">
            <v>-37.167081590000002</v>
          </cell>
        </row>
        <row r="2878">
          <cell r="A2878" t="str">
            <v>Laranjeiras do Sul</v>
          </cell>
          <cell r="B2878">
            <v>305093</v>
          </cell>
          <cell r="C2878">
            <v>-25.408139890000001</v>
          </cell>
          <cell r="D2878">
            <v>-52.411296849999999</v>
          </cell>
        </row>
        <row r="2879">
          <cell r="A2879" t="str">
            <v>Lassance</v>
          </cell>
          <cell r="B2879">
            <v>302956</v>
          </cell>
          <cell r="C2879">
            <v>-17.886995249999998</v>
          </cell>
          <cell r="D2879">
            <v>-44.57795728</v>
          </cell>
        </row>
        <row r="2880">
          <cell r="A2880" t="str">
            <v>Lastro</v>
          </cell>
          <cell r="B2880">
            <v>300936</v>
          </cell>
          <cell r="C2880">
            <v>-6.5064456939999999</v>
          </cell>
          <cell r="D2880">
            <v>-38.174510400000003</v>
          </cell>
        </row>
        <row r="2881">
          <cell r="A2881" t="str">
            <v>Laureles</v>
          </cell>
          <cell r="B2881">
            <v>314416</v>
          </cell>
          <cell r="C2881">
            <v>-27.271632799999999</v>
          </cell>
          <cell r="D2881">
            <v>-57.454535829999998</v>
          </cell>
        </row>
        <row r="2882">
          <cell r="A2882" t="str">
            <v>Laurentino</v>
          </cell>
          <cell r="B2882">
            <v>304968</v>
          </cell>
          <cell r="C2882">
            <v>-27.217774899999998</v>
          </cell>
          <cell r="D2882">
            <v>-49.733551519999999</v>
          </cell>
        </row>
        <row r="2883">
          <cell r="A2883" t="str">
            <v>Lauro de Freitas</v>
          </cell>
          <cell r="B2883">
            <v>301514</v>
          </cell>
          <cell r="C2883">
            <v>-12.8982504</v>
          </cell>
          <cell r="D2883">
            <v>-38.321326429999999</v>
          </cell>
        </row>
        <row r="2884">
          <cell r="A2884" t="str">
            <v>Lauro Muller</v>
          </cell>
          <cell r="B2884">
            <v>304103</v>
          </cell>
          <cell r="C2884">
            <v>-28.386382739999998</v>
          </cell>
          <cell r="D2884">
            <v>-49.403915230000003</v>
          </cell>
        </row>
        <row r="2885">
          <cell r="A2885" t="str">
            <v>Lavandeira</v>
          </cell>
          <cell r="B2885">
            <v>303044</v>
          </cell>
          <cell r="C2885">
            <v>-12.78752055</v>
          </cell>
          <cell r="D2885">
            <v>-46.508013320000003</v>
          </cell>
        </row>
        <row r="2886">
          <cell r="A2886" t="str">
            <v>Lavínia</v>
          </cell>
          <cell r="B2886">
            <v>304475</v>
          </cell>
          <cell r="C2886">
            <v>-21.167900580000001</v>
          </cell>
          <cell r="D2886">
            <v>-51.039937549999998</v>
          </cell>
        </row>
        <row r="2887">
          <cell r="A2887" t="str">
            <v>Lavras</v>
          </cell>
          <cell r="B2887">
            <v>303170</v>
          </cell>
          <cell r="C2887">
            <v>-21.248477749999999</v>
          </cell>
          <cell r="D2887">
            <v>-45.001330500000002</v>
          </cell>
        </row>
        <row r="2888">
          <cell r="A2888" t="str">
            <v>Lavras da Mangabeira</v>
          </cell>
          <cell r="B2888">
            <v>300829</v>
          </cell>
          <cell r="C2888">
            <v>-6.7452156560000001</v>
          </cell>
          <cell r="D2888">
            <v>-38.97093623</v>
          </cell>
        </row>
        <row r="2889">
          <cell r="A2889" t="str">
            <v>Lavras do Sul</v>
          </cell>
          <cell r="B2889">
            <v>305715</v>
          </cell>
          <cell r="C2889">
            <v>-30.806039030000001</v>
          </cell>
          <cell r="D2889">
            <v>-53.896278129999999</v>
          </cell>
        </row>
        <row r="2890">
          <cell r="A2890" t="str">
            <v>Lavrinhas</v>
          </cell>
          <cell r="B2890">
            <v>303616</v>
          </cell>
          <cell r="C2890">
            <v>-22.570527469999998</v>
          </cell>
          <cell r="D2890">
            <v>-44.902743350000001</v>
          </cell>
        </row>
        <row r="2891">
          <cell r="A2891" t="str">
            <v>Leandro Ferreira</v>
          </cell>
          <cell r="B2891">
            <v>302975</v>
          </cell>
          <cell r="C2891">
            <v>-19.7163459</v>
          </cell>
          <cell r="D2891">
            <v>-45.024526870000003</v>
          </cell>
        </row>
        <row r="2892">
          <cell r="A2892" t="str">
            <v>Leandro N. Alem</v>
          </cell>
          <cell r="B2892">
            <v>314461</v>
          </cell>
          <cell r="C2892">
            <v>-27.600757479999999</v>
          </cell>
          <cell r="D2892">
            <v>-55.331940109999998</v>
          </cell>
        </row>
        <row r="2893">
          <cell r="A2893" t="str">
            <v>Lebon Régis</v>
          </cell>
          <cell r="B2893">
            <v>305617</v>
          </cell>
          <cell r="C2893">
            <v>-26.928463319999999</v>
          </cell>
          <cell r="D2893">
            <v>-50.69254669</v>
          </cell>
        </row>
        <row r="2894">
          <cell r="A2894" t="str">
            <v>Leme</v>
          </cell>
          <cell r="B2894">
            <v>303686</v>
          </cell>
          <cell r="C2894">
            <v>-22.181330200000001</v>
          </cell>
          <cell r="D2894">
            <v>-47.384509170000001</v>
          </cell>
        </row>
        <row r="2895">
          <cell r="A2895" t="str">
            <v>Leme do Prado</v>
          </cell>
          <cell r="B2895">
            <v>302660</v>
          </cell>
          <cell r="C2895">
            <v>-17.08141226</v>
          </cell>
          <cell r="D2895">
            <v>-42.691937889999998</v>
          </cell>
        </row>
        <row r="2896">
          <cell r="A2896" t="str">
            <v>Lençóis</v>
          </cell>
          <cell r="B2896">
            <v>301503</v>
          </cell>
          <cell r="C2896">
            <v>-12.56260419</v>
          </cell>
          <cell r="D2896">
            <v>-41.390100259999997</v>
          </cell>
        </row>
        <row r="2897">
          <cell r="A2897" t="str">
            <v>Lençóis Paulista</v>
          </cell>
          <cell r="B2897">
            <v>303846</v>
          </cell>
          <cell r="C2897">
            <v>-22.603163909999999</v>
          </cell>
          <cell r="D2897">
            <v>-48.804093729999998</v>
          </cell>
        </row>
        <row r="2898">
          <cell r="A2898" t="str">
            <v>Leoberto Leal</v>
          </cell>
          <cell r="B2898">
            <v>304059</v>
          </cell>
          <cell r="C2898">
            <v>-27.508604930000001</v>
          </cell>
          <cell r="D2898">
            <v>-49.279295619999999</v>
          </cell>
        </row>
        <row r="2899">
          <cell r="A2899" t="str">
            <v>Leopoldina</v>
          </cell>
          <cell r="B2899">
            <v>303268</v>
          </cell>
          <cell r="C2899">
            <v>-21.53011201</v>
          </cell>
          <cell r="D2899">
            <v>-42.642488610000001</v>
          </cell>
        </row>
        <row r="2900">
          <cell r="A2900" t="str">
            <v>Leopoldo de Bulhões</v>
          </cell>
          <cell r="B2900">
            <v>302396</v>
          </cell>
          <cell r="C2900">
            <v>-16.61949916</v>
          </cell>
          <cell r="D2900">
            <v>-48.743150419999999</v>
          </cell>
        </row>
        <row r="2901">
          <cell r="A2901" t="str">
            <v>Leópolis</v>
          </cell>
          <cell r="B2901">
            <v>304725</v>
          </cell>
          <cell r="C2901">
            <v>-23.079989260000001</v>
          </cell>
          <cell r="D2901">
            <v>-50.750946210000002</v>
          </cell>
        </row>
        <row r="2902">
          <cell r="A2902" t="str">
            <v>Liberato Salzano</v>
          </cell>
          <cell r="B2902">
            <v>305671</v>
          </cell>
          <cell r="C2902">
            <v>-27.601429</v>
          </cell>
          <cell r="D2902">
            <v>-53.075785490000001</v>
          </cell>
        </row>
        <row r="2903">
          <cell r="A2903" t="str">
            <v>Liberdade</v>
          </cell>
          <cell r="B2903">
            <v>303185</v>
          </cell>
          <cell r="C2903">
            <v>-22.027971000000001</v>
          </cell>
          <cell r="D2903">
            <v>-44.32113081</v>
          </cell>
        </row>
        <row r="2904">
          <cell r="A2904" t="str">
            <v>Licínio de Almeida</v>
          </cell>
          <cell r="B2904">
            <v>302121</v>
          </cell>
          <cell r="C2904">
            <v>-14.68196959</v>
          </cell>
          <cell r="D2904">
            <v>-42.505297480000003</v>
          </cell>
        </row>
        <row r="2905">
          <cell r="A2905" t="str">
            <v>Lidianópolis</v>
          </cell>
          <cell r="B2905">
            <v>304776</v>
          </cell>
          <cell r="C2905">
            <v>-24.1104372</v>
          </cell>
          <cell r="D2905">
            <v>-51.651062590000002</v>
          </cell>
        </row>
        <row r="2906">
          <cell r="A2906" t="str">
            <v>Lima</v>
          </cell>
          <cell r="B2906">
            <v>314262</v>
          </cell>
          <cell r="C2906">
            <v>-23.923959579999998</v>
          </cell>
          <cell r="D2906">
            <v>-56.519793540000002</v>
          </cell>
        </row>
        <row r="2907">
          <cell r="A2907" t="str">
            <v>Lima</v>
          </cell>
          <cell r="B2907">
            <v>295792</v>
          </cell>
          <cell r="C2907">
            <v>-11.956823610000001</v>
          </cell>
          <cell r="D2907">
            <v>-77.075141459999998</v>
          </cell>
        </row>
        <row r="2908">
          <cell r="A2908" t="str">
            <v>Lima Campos</v>
          </cell>
          <cell r="B2908">
            <v>301858</v>
          </cell>
          <cell r="C2908">
            <v>-4.5187732540000001</v>
          </cell>
          <cell r="D2908">
            <v>-44.464978350000003</v>
          </cell>
        </row>
        <row r="2909">
          <cell r="A2909" t="str">
            <v>Lima Duarte</v>
          </cell>
          <cell r="B2909">
            <v>303130</v>
          </cell>
          <cell r="C2909">
            <v>-21.839077549999999</v>
          </cell>
          <cell r="D2909">
            <v>-43.793786599999997</v>
          </cell>
        </row>
        <row r="2910">
          <cell r="A2910" t="str">
            <v>Limeira</v>
          </cell>
          <cell r="B2910">
            <v>304583</v>
          </cell>
          <cell r="C2910">
            <v>-22.566524359999999</v>
          </cell>
          <cell r="D2910">
            <v>-47.397388360000001</v>
          </cell>
        </row>
        <row r="2911">
          <cell r="A2911" t="str">
            <v>Limeira do Oeste</v>
          </cell>
          <cell r="B2911">
            <v>304353</v>
          </cell>
          <cell r="C2911">
            <v>-19.551669390000001</v>
          </cell>
          <cell r="D2911">
            <v>-50.581902560000003</v>
          </cell>
        </row>
        <row r="2912">
          <cell r="A2912" t="str">
            <v>Limoeiro</v>
          </cell>
          <cell r="B2912">
            <v>300504</v>
          </cell>
          <cell r="C2912">
            <v>-7.8797537240000004</v>
          </cell>
          <cell r="D2912">
            <v>-35.446137610000001</v>
          </cell>
        </row>
        <row r="2913">
          <cell r="A2913" t="str">
            <v>Limoeiro de Anadia</v>
          </cell>
          <cell r="B2913">
            <v>301344</v>
          </cell>
          <cell r="C2913">
            <v>-9.7407188009999999</v>
          </cell>
          <cell r="D2913">
            <v>-36.503428649999996</v>
          </cell>
        </row>
        <row r="2914">
          <cell r="A2914" t="str">
            <v>Limoeiro do Ajuru</v>
          </cell>
          <cell r="B2914">
            <v>301942</v>
          </cell>
          <cell r="C2914">
            <v>-1.895842944</v>
          </cell>
          <cell r="D2914">
            <v>-49.382135499999997</v>
          </cell>
        </row>
        <row r="2915">
          <cell r="A2915" t="str">
            <v>Limoeiro do Norte</v>
          </cell>
          <cell r="B2915">
            <v>300736</v>
          </cell>
          <cell r="C2915">
            <v>-5.1443261869999999</v>
          </cell>
          <cell r="D2915">
            <v>-38.085003010000001</v>
          </cell>
        </row>
        <row r="2916">
          <cell r="A2916" t="str">
            <v>Lindoeste</v>
          </cell>
          <cell r="B2916">
            <v>305323</v>
          </cell>
          <cell r="C2916">
            <v>-25.26008006</v>
          </cell>
          <cell r="D2916">
            <v>-53.57374738</v>
          </cell>
        </row>
        <row r="2917">
          <cell r="A2917" t="str">
            <v>Lindóia</v>
          </cell>
          <cell r="B2917">
            <v>303544</v>
          </cell>
          <cell r="C2917">
            <v>-22.523038069999998</v>
          </cell>
          <cell r="D2917">
            <v>-46.650431220000002</v>
          </cell>
        </row>
        <row r="2918">
          <cell r="A2918" t="str">
            <v>Lindóia do Sul</v>
          </cell>
          <cell r="B2918">
            <v>305120</v>
          </cell>
          <cell r="C2918">
            <v>-27.054944259999999</v>
          </cell>
          <cell r="D2918">
            <v>-52.069401990000003</v>
          </cell>
        </row>
        <row r="2919">
          <cell r="A2919" t="str">
            <v>Lindolfo Collor</v>
          </cell>
          <cell r="B2919">
            <v>305481</v>
          </cell>
          <cell r="C2919">
            <v>-29.595004599999999</v>
          </cell>
          <cell r="D2919">
            <v>-51.208833300000002</v>
          </cell>
        </row>
        <row r="2920">
          <cell r="A2920" t="str">
            <v>Linha Nova</v>
          </cell>
          <cell r="B2920">
            <v>305477</v>
          </cell>
          <cell r="C2920">
            <v>-29.468408419999999</v>
          </cell>
          <cell r="D2920">
            <v>-51.200748519999998</v>
          </cell>
        </row>
        <row r="2921">
          <cell r="A2921" t="str">
            <v>Linhares</v>
          </cell>
          <cell r="B2921">
            <v>302886</v>
          </cell>
          <cell r="C2921">
            <v>-19.395120800000001</v>
          </cell>
          <cell r="D2921">
            <v>-40.06461899</v>
          </cell>
        </row>
        <row r="2922">
          <cell r="A2922" t="str">
            <v>Lins</v>
          </cell>
          <cell r="B2922">
            <v>303865</v>
          </cell>
          <cell r="C2922">
            <v>-21.672285800000001</v>
          </cell>
          <cell r="D2922">
            <v>-49.752969110000002</v>
          </cell>
        </row>
        <row r="2923">
          <cell r="A2923" t="str">
            <v>Livramento</v>
          </cell>
          <cell r="B2923">
            <v>300664</v>
          </cell>
          <cell r="C2923">
            <v>-7.3758128110000003</v>
          </cell>
          <cell r="D2923">
            <v>-36.946269260000001</v>
          </cell>
        </row>
        <row r="2924">
          <cell r="A2924" t="str">
            <v>Livramento de Nossa Senhora</v>
          </cell>
          <cell r="B2924">
            <v>301589</v>
          </cell>
          <cell r="C2924">
            <v>-13.639252259999999</v>
          </cell>
          <cell r="D2924">
            <v>-41.839500270000002</v>
          </cell>
        </row>
        <row r="2925">
          <cell r="A2925" t="str">
            <v>Lizarda</v>
          </cell>
          <cell r="B2925">
            <v>302591</v>
          </cell>
          <cell r="C2925">
            <v>-9.5954138249999996</v>
          </cell>
          <cell r="D2925">
            <v>-46.673147280000002</v>
          </cell>
        </row>
        <row r="2926">
          <cell r="A2926" t="str">
            <v>Llamellin</v>
          </cell>
          <cell r="B2926">
            <v>314381</v>
          </cell>
          <cell r="C2926">
            <v>-9.0968760549999992</v>
          </cell>
          <cell r="D2926">
            <v>-77.020234220000006</v>
          </cell>
        </row>
        <row r="2927">
          <cell r="A2927" t="str">
            <v>Llata</v>
          </cell>
          <cell r="B2927">
            <v>314395</v>
          </cell>
          <cell r="C2927">
            <v>-9.5483647709999993</v>
          </cell>
          <cell r="D2927">
            <v>-76.805222400000005</v>
          </cell>
        </row>
        <row r="2928">
          <cell r="A2928" t="str">
            <v>Loanda</v>
          </cell>
          <cell r="B2928">
            <v>304855</v>
          </cell>
          <cell r="C2928">
            <v>-22.92365422</v>
          </cell>
          <cell r="D2928">
            <v>-53.136654720000003</v>
          </cell>
        </row>
        <row r="2929">
          <cell r="A2929" t="str">
            <v>Lobato</v>
          </cell>
          <cell r="B2929">
            <v>304711</v>
          </cell>
          <cell r="C2929">
            <v>-23.006245679999999</v>
          </cell>
          <cell r="D2929">
            <v>-51.952850840000004</v>
          </cell>
        </row>
        <row r="2930">
          <cell r="A2930" t="str">
            <v>Logradouro</v>
          </cell>
          <cell r="B2930">
            <v>300434</v>
          </cell>
          <cell r="C2930">
            <v>-6.6165072020000002</v>
          </cell>
          <cell r="D2930">
            <v>-35.440711999999998</v>
          </cell>
        </row>
        <row r="2931">
          <cell r="A2931" t="str">
            <v>Londrina</v>
          </cell>
          <cell r="B2931">
            <v>304738</v>
          </cell>
          <cell r="C2931">
            <v>-23.304441560000001</v>
          </cell>
          <cell r="D2931">
            <v>-51.169527950000003</v>
          </cell>
        </row>
        <row r="2932">
          <cell r="A2932" t="str">
            <v>Lontra</v>
          </cell>
          <cell r="B2932">
            <v>303041</v>
          </cell>
          <cell r="C2932">
            <v>-15.90175123</v>
          </cell>
          <cell r="D2932">
            <v>-44.306402110000001</v>
          </cell>
        </row>
        <row r="2933">
          <cell r="A2933" t="str">
            <v>Lontras</v>
          </cell>
          <cell r="B2933">
            <v>304217</v>
          </cell>
          <cell r="C2933">
            <v>-27.168838409999999</v>
          </cell>
          <cell r="D2933">
            <v>-49.535480020000001</v>
          </cell>
        </row>
        <row r="2934">
          <cell r="A2934" t="str">
            <v>Lorena</v>
          </cell>
          <cell r="B2934">
            <v>303456</v>
          </cell>
          <cell r="C2934">
            <v>-22.733860480000001</v>
          </cell>
          <cell r="D2934">
            <v>-45.120066319999999</v>
          </cell>
        </row>
        <row r="2935">
          <cell r="A2935" t="str">
            <v>Loreto</v>
          </cell>
          <cell r="B2935">
            <v>301873</v>
          </cell>
          <cell r="C2935">
            <v>-7.0864136249999996</v>
          </cell>
          <cell r="D2935">
            <v>-45.138907809999999</v>
          </cell>
        </row>
        <row r="2936">
          <cell r="A2936" t="str">
            <v>Loreto</v>
          </cell>
          <cell r="B2936">
            <v>314276</v>
          </cell>
          <cell r="C2936">
            <v>-23.27047894</v>
          </cell>
          <cell r="D2936">
            <v>-57.340500730000002</v>
          </cell>
        </row>
        <row r="2937">
          <cell r="A2937" t="str">
            <v>Loreto</v>
          </cell>
          <cell r="B2937">
            <v>314455</v>
          </cell>
          <cell r="C2937">
            <v>-15.28502181</v>
          </cell>
          <cell r="D2937">
            <v>-64.734765949999996</v>
          </cell>
        </row>
        <row r="2938">
          <cell r="A2938" t="str">
            <v>Lourdes</v>
          </cell>
          <cell r="B2938">
            <v>303494</v>
          </cell>
          <cell r="C2938">
            <v>-20.96648755</v>
          </cell>
          <cell r="D2938">
            <v>-50.226689110000002</v>
          </cell>
        </row>
        <row r="2939">
          <cell r="A2939" t="str">
            <v>Louveira</v>
          </cell>
          <cell r="B2939">
            <v>303739</v>
          </cell>
          <cell r="C2939">
            <v>-23.086049060000001</v>
          </cell>
          <cell r="D2939">
            <v>-46.948768870000002</v>
          </cell>
        </row>
        <row r="2940">
          <cell r="A2940" t="str">
            <v>Lucas do Rio Verde</v>
          </cell>
          <cell r="B2940">
            <v>304232</v>
          </cell>
          <cell r="C2940">
            <v>-13.07171829</v>
          </cell>
          <cell r="D2940">
            <v>-55.913520230000003</v>
          </cell>
        </row>
        <row r="2941">
          <cell r="A2941" t="str">
            <v>Lucélia</v>
          </cell>
          <cell r="B2941">
            <v>304480</v>
          </cell>
          <cell r="C2941">
            <v>-21.718665730000001</v>
          </cell>
          <cell r="D2941">
            <v>-51.021933189999999</v>
          </cell>
        </row>
        <row r="2942">
          <cell r="A2942" t="str">
            <v>Lucena</v>
          </cell>
          <cell r="B2942">
            <v>302339</v>
          </cell>
          <cell r="C2942">
            <v>-6.9002414319999996</v>
          </cell>
          <cell r="D2942">
            <v>-34.876405650000002</v>
          </cell>
        </row>
        <row r="2943">
          <cell r="A2943" t="str">
            <v>Lucianópolis</v>
          </cell>
          <cell r="B2943">
            <v>303890</v>
          </cell>
          <cell r="C2943">
            <v>-22.429886570000001</v>
          </cell>
          <cell r="D2943">
            <v>-49.522416849999999</v>
          </cell>
        </row>
        <row r="2944">
          <cell r="A2944" t="str">
            <v>Luciára</v>
          </cell>
          <cell r="B2944">
            <v>304188</v>
          </cell>
          <cell r="C2944">
            <v>-11.222352000000001</v>
          </cell>
          <cell r="D2944">
            <v>-50.667989900000002</v>
          </cell>
        </row>
        <row r="2945">
          <cell r="A2945" t="str">
            <v>Lucrécia</v>
          </cell>
          <cell r="B2945">
            <v>300756</v>
          </cell>
          <cell r="C2945">
            <v>-6.1056590469999996</v>
          </cell>
          <cell r="D2945">
            <v>-37.813673520000002</v>
          </cell>
        </row>
        <row r="2946">
          <cell r="A2946" t="str">
            <v>Luís Antônio</v>
          </cell>
          <cell r="B2946">
            <v>303665</v>
          </cell>
          <cell r="C2946">
            <v>-21.551095449999998</v>
          </cell>
          <cell r="D2946">
            <v>-47.701238510000003</v>
          </cell>
        </row>
        <row r="2947">
          <cell r="A2947" t="str">
            <v>Luís Correia</v>
          </cell>
          <cell r="B2947">
            <v>300714</v>
          </cell>
          <cell r="C2947">
            <v>-2.8847694549999998</v>
          </cell>
          <cell r="D2947">
            <v>-41.664476100000002</v>
          </cell>
        </row>
        <row r="2948">
          <cell r="A2948" t="str">
            <v>Luís Domingues</v>
          </cell>
          <cell r="B2948">
            <v>301671</v>
          </cell>
          <cell r="C2948">
            <v>-1.3304216719999999</v>
          </cell>
          <cell r="D2948">
            <v>-45.898360029999999</v>
          </cell>
        </row>
        <row r="2949">
          <cell r="A2949" t="str">
            <v>Luís Eduardo Magalhães</v>
          </cell>
          <cell r="B2949">
            <v>300950</v>
          </cell>
          <cell r="C2949">
            <v>-12.087030390000001</v>
          </cell>
          <cell r="D2949">
            <v>-45.796616219999997</v>
          </cell>
        </row>
        <row r="2950">
          <cell r="A2950" t="str">
            <v>Luís Gomes</v>
          </cell>
          <cell r="B2950">
            <v>300989</v>
          </cell>
          <cell r="C2950">
            <v>-6.4062959419999999</v>
          </cell>
          <cell r="D2950">
            <v>-38.390177880000003</v>
          </cell>
        </row>
        <row r="2951">
          <cell r="A2951" t="str">
            <v>Luisburgo</v>
          </cell>
          <cell r="B2951">
            <v>303570</v>
          </cell>
          <cell r="C2951">
            <v>-20.447232069999998</v>
          </cell>
          <cell r="D2951">
            <v>-42.098001089999997</v>
          </cell>
        </row>
        <row r="2952">
          <cell r="A2952" t="str">
            <v>Luislândia</v>
          </cell>
          <cell r="B2952">
            <v>302191</v>
          </cell>
          <cell r="C2952">
            <v>-16.11707607</v>
          </cell>
          <cell r="D2952">
            <v>-44.585710079999998</v>
          </cell>
        </row>
        <row r="2953">
          <cell r="A2953" t="str">
            <v>Luiz Alves</v>
          </cell>
          <cell r="B2953">
            <v>304013</v>
          </cell>
          <cell r="C2953">
            <v>-26.715617229999999</v>
          </cell>
          <cell r="D2953">
            <v>-48.932665280000002</v>
          </cell>
        </row>
        <row r="2954">
          <cell r="A2954" t="str">
            <v>Luiziana</v>
          </cell>
          <cell r="B2954">
            <v>304836</v>
          </cell>
          <cell r="C2954">
            <v>-24.285749840000001</v>
          </cell>
          <cell r="D2954">
            <v>-52.269460010000003</v>
          </cell>
        </row>
        <row r="2955">
          <cell r="A2955" t="str">
            <v>Luiziânia</v>
          </cell>
          <cell r="B2955">
            <v>303883</v>
          </cell>
          <cell r="C2955">
            <v>-21.675991140000001</v>
          </cell>
          <cell r="D2955">
            <v>-50.32694738</v>
          </cell>
        </row>
        <row r="2956">
          <cell r="A2956" t="str">
            <v>Luminárias</v>
          </cell>
          <cell r="B2956">
            <v>303174</v>
          </cell>
          <cell r="C2956">
            <v>-21.514961889999999</v>
          </cell>
          <cell r="D2956">
            <v>-44.90376552</v>
          </cell>
        </row>
        <row r="2957">
          <cell r="A2957" t="str">
            <v>Lunardelli</v>
          </cell>
          <cell r="B2957">
            <v>304777</v>
          </cell>
          <cell r="C2957">
            <v>-24.082521889999999</v>
          </cell>
          <cell r="D2957">
            <v>-51.737217029999996</v>
          </cell>
        </row>
        <row r="2958">
          <cell r="A2958" t="str">
            <v>Lupércio</v>
          </cell>
          <cell r="B2958">
            <v>304431</v>
          </cell>
          <cell r="C2958">
            <v>-22.415057770000001</v>
          </cell>
          <cell r="D2958">
            <v>-49.818435700000002</v>
          </cell>
        </row>
        <row r="2959">
          <cell r="A2959" t="str">
            <v>Lupionópolis</v>
          </cell>
          <cell r="B2959">
            <v>304697</v>
          </cell>
          <cell r="C2959">
            <v>-22.755450830000001</v>
          </cell>
          <cell r="D2959">
            <v>-51.660514259999999</v>
          </cell>
        </row>
        <row r="2960">
          <cell r="A2960" t="str">
            <v>Luque</v>
          </cell>
          <cell r="B2960">
            <v>314492</v>
          </cell>
          <cell r="C2960">
            <v>-25.281863959999999</v>
          </cell>
          <cell r="D2960">
            <v>-57.463110759999999</v>
          </cell>
        </row>
        <row r="2961">
          <cell r="A2961" t="str">
            <v>Lutécia</v>
          </cell>
          <cell r="B2961">
            <v>304492</v>
          </cell>
          <cell r="C2961">
            <v>-22.33884406</v>
          </cell>
          <cell r="D2961">
            <v>-50.394427110000002</v>
          </cell>
        </row>
        <row r="2962">
          <cell r="A2962" t="str">
            <v>Luz</v>
          </cell>
          <cell r="B2962">
            <v>303015</v>
          </cell>
          <cell r="C2962">
            <v>-19.79155407</v>
          </cell>
          <cell r="D2962">
            <v>-45.679826519999999</v>
          </cell>
        </row>
        <row r="2963">
          <cell r="A2963" t="str">
            <v>Luzerna</v>
          </cell>
          <cell r="B2963">
            <v>305101</v>
          </cell>
          <cell r="C2963">
            <v>-27.13083731</v>
          </cell>
          <cell r="D2963">
            <v>-51.46866447</v>
          </cell>
        </row>
        <row r="2964">
          <cell r="A2964" t="str">
            <v>Luziânia</v>
          </cell>
          <cell r="B2964">
            <v>302777</v>
          </cell>
          <cell r="C2964">
            <v>-16.253451250000001</v>
          </cell>
          <cell r="D2964">
            <v>-47.950389680000001</v>
          </cell>
        </row>
        <row r="2965">
          <cell r="A2965" t="str">
            <v>Luzilândia</v>
          </cell>
          <cell r="B2965">
            <v>302423</v>
          </cell>
          <cell r="C2965">
            <v>-3.4617197040000001</v>
          </cell>
          <cell r="D2965">
            <v>-42.372137189999997</v>
          </cell>
        </row>
        <row r="2966">
          <cell r="A2966" t="str">
            <v>Luzinópolis</v>
          </cell>
          <cell r="B2966">
            <v>301987</v>
          </cell>
          <cell r="C2966">
            <v>-6.1921437099999999</v>
          </cell>
          <cell r="D2966">
            <v>-47.856195990000003</v>
          </cell>
        </row>
        <row r="2967">
          <cell r="A2967" t="str">
            <v>Macaé</v>
          </cell>
          <cell r="B2967">
            <v>302648</v>
          </cell>
          <cell r="C2967">
            <v>-22.37729401</v>
          </cell>
          <cell r="D2967">
            <v>-41.785189559999999</v>
          </cell>
        </row>
        <row r="2968">
          <cell r="A2968" t="str">
            <v>Macaíba</v>
          </cell>
          <cell r="B2968">
            <v>302314</v>
          </cell>
          <cell r="C2968">
            <v>-5.8572295849999998</v>
          </cell>
          <cell r="D2968">
            <v>-35.353482020000001</v>
          </cell>
        </row>
        <row r="2969">
          <cell r="A2969" t="str">
            <v>Macajuba</v>
          </cell>
          <cell r="B2969">
            <v>301459</v>
          </cell>
          <cell r="C2969">
            <v>-12.137636479999999</v>
          </cell>
          <cell r="D2969">
            <v>-40.360269539999997</v>
          </cell>
        </row>
        <row r="2970">
          <cell r="A2970" t="str">
            <v>Maçambará</v>
          </cell>
          <cell r="B2970">
            <v>305845</v>
          </cell>
          <cell r="C2970">
            <v>-29.144946969999999</v>
          </cell>
          <cell r="D2970">
            <v>-56.067924300000001</v>
          </cell>
        </row>
        <row r="2971">
          <cell r="A2971" t="str">
            <v>Macambira</v>
          </cell>
          <cell r="B2971">
            <v>301253</v>
          </cell>
          <cell r="C2971">
            <v>-10.66654984</v>
          </cell>
          <cell r="D2971">
            <v>-37.541449149999998</v>
          </cell>
        </row>
        <row r="2972">
          <cell r="A2972" t="str">
            <v>Macapá</v>
          </cell>
          <cell r="B2972">
            <v>295788</v>
          </cell>
          <cell r="C2972">
            <v>3.4192804E-2</v>
          </cell>
          <cell r="D2972">
            <v>-51.070180350000001</v>
          </cell>
        </row>
        <row r="2973">
          <cell r="A2973" t="str">
            <v>Macaparana</v>
          </cell>
          <cell r="B2973">
            <v>300489</v>
          </cell>
          <cell r="C2973">
            <v>-7.5544234530000001</v>
          </cell>
          <cell r="D2973">
            <v>-35.45002985</v>
          </cell>
        </row>
        <row r="2974">
          <cell r="A2974" t="str">
            <v>Macarani</v>
          </cell>
          <cell r="B2974">
            <v>301608</v>
          </cell>
          <cell r="C2974">
            <v>-15.56502396</v>
          </cell>
          <cell r="D2974">
            <v>-40.421225460000002</v>
          </cell>
        </row>
        <row r="2975">
          <cell r="A2975" t="str">
            <v>Macatuba</v>
          </cell>
          <cell r="B2975">
            <v>303835</v>
          </cell>
          <cell r="C2975">
            <v>-22.500690850000002</v>
          </cell>
          <cell r="D2975">
            <v>-48.71063882</v>
          </cell>
        </row>
        <row r="2976">
          <cell r="A2976" t="str">
            <v>Macau</v>
          </cell>
          <cell r="B2976">
            <v>301361</v>
          </cell>
          <cell r="C2976">
            <v>-5.1130263720000002</v>
          </cell>
          <cell r="D2976">
            <v>-36.634517610000003</v>
          </cell>
        </row>
        <row r="2977">
          <cell r="A2977" t="str">
            <v>Macaubal</v>
          </cell>
          <cell r="B2977">
            <v>303487</v>
          </cell>
          <cell r="C2977">
            <v>-20.805992289999999</v>
          </cell>
          <cell r="D2977">
            <v>-49.96394823</v>
          </cell>
        </row>
        <row r="2978">
          <cell r="A2978" t="str">
            <v>Macaúbas</v>
          </cell>
          <cell r="B2978">
            <v>302100</v>
          </cell>
          <cell r="C2978">
            <v>-13.01904641</v>
          </cell>
          <cell r="D2978">
            <v>-42.694864529999997</v>
          </cell>
        </row>
        <row r="2979">
          <cell r="A2979" t="str">
            <v>Macedônia</v>
          </cell>
          <cell r="B2979">
            <v>303477</v>
          </cell>
          <cell r="C2979">
            <v>-20.145993319999999</v>
          </cell>
          <cell r="D2979">
            <v>-50.193948110000001</v>
          </cell>
        </row>
        <row r="2980">
          <cell r="A2980" t="str">
            <v>Maceió</v>
          </cell>
          <cell r="B2980">
            <v>295768</v>
          </cell>
          <cell r="C2980">
            <v>-9.6668546049999993</v>
          </cell>
          <cell r="D2980">
            <v>-35.735552310000003</v>
          </cell>
        </row>
        <row r="2981">
          <cell r="A2981" t="str">
            <v>Machacalis</v>
          </cell>
          <cell r="B2981">
            <v>303596</v>
          </cell>
          <cell r="C2981">
            <v>-17.072740459999999</v>
          </cell>
          <cell r="D2981">
            <v>-40.724818249999998</v>
          </cell>
        </row>
        <row r="2982">
          <cell r="A2982" t="str">
            <v>Machadinho</v>
          </cell>
          <cell r="B2982">
            <v>305586</v>
          </cell>
          <cell r="C2982">
            <v>-27.567143510000001</v>
          </cell>
          <cell r="D2982">
            <v>-51.667251489999998</v>
          </cell>
        </row>
        <row r="2983">
          <cell r="A2983" t="str">
            <v>Machadinho D'Oeste</v>
          </cell>
          <cell r="B2983">
            <v>304274</v>
          </cell>
          <cell r="C2983">
            <v>-9.4274747580000007</v>
          </cell>
          <cell r="D2983">
            <v>-61.997591749999998</v>
          </cell>
        </row>
        <row r="2984">
          <cell r="A2984" t="str">
            <v>Machado</v>
          </cell>
          <cell r="B2984">
            <v>304418</v>
          </cell>
          <cell r="C2984">
            <v>-21.678232090000002</v>
          </cell>
          <cell r="D2984">
            <v>-45.922243940000001</v>
          </cell>
        </row>
        <row r="2985">
          <cell r="A2985" t="str">
            <v>Machados</v>
          </cell>
          <cell r="B2985">
            <v>300492</v>
          </cell>
          <cell r="C2985">
            <v>-7.6850719940000003</v>
          </cell>
          <cell r="D2985">
            <v>-35.515381570000002</v>
          </cell>
        </row>
        <row r="2986">
          <cell r="A2986" t="str">
            <v>Macieira</v>
          </cell>
          <cell r="B2986">
            <v>305077</v>
          </cell>
          <cell r="C2986">
            <v>-26.855706059999999</v>
          </cell>
          <cell r="D2986">
            <v>-51.370951769999998</v>
          </cell>
        </row>
        <row r="2987">
          <cell r="A2987" t="str">
            <v>Maciel</v>
          </cell>
          <cell r="B2987">
            <v>314354</v>
          </cell>
          <cell r="C2987">
            <v>-26.1656586</v>
          </cell>
          <cell r="D2987">
            <v>-56.451682630000001</v>
          </cell>
        </row>
        <row r="2988">
          <cell r="A2988" t="str">
            <v>Macuco</v>
          </cell>
          <cell r="B2988">
            <v>304926</v>
          </cell>
          <cell r="C2988">
            <v>-21.981829520000002</v>
          </cell>
          <cell r="D2988">
            <v>-42.253651949999998</v>
          </cell>
        </row>
        <row r="2989">
          <cell r="A2989" t="str">
            <v>Macururé</v>
          </cell>
          <cell r="B2989">
            <v>301295</v>
          </cell>
          <cell r="C2989">
            <v>-9.1627300260000002</v>
          </cell>
          <cell r="D2989">
            <v>-39.052758070000003</v>
          </cell>
        </row>
        <row r="2990">
          <cell r="A2990" t="str">
            <v>Madalena</v>
          </cell>
          <cell r="B2990">
            <v>300914</v>
          </cell>
          <cell r="C2990">
            <v>-4.8464145890000001</v>
          </cell>
          <cell r="D2990">
            <v>-39.572862409999999</v>
          </cell>
        </row>
        <row r="2991">
          <cell r="A2991" t="str">
            <v>Madeiro</v>
          </cell>
          <cell r="B2991">
            <v>301638</v>
          </cell>
          <cell r="C2991">
            <v>-3.4847564759999998</v>
          </cell>
          <cell r="D2991">
            <v>-42.503100449999998</v>
          </cell>
        </row>
        <row r="2992">
          <cell r="A2992" t="str">
            <v>Madre de Deus</v>
          </cell>
          <cell r="B2992">
            <v>301516</v>
          </cell>
          <cell r="C2992">
            <v>-12.74507023</v>
          </cell>
          <cell r="D2992">
            <v>-38.615636379999998</v>
          </cell>
        </row>
        <row r="2993">
          <cell r="A2993" t="str">
            <v>Madre de Deus de Minas</v>
          </cell>
          <cell r="B2993">
            <v>304996</v>
          </cell>
          <cell r="C2993">
            <v>-21.483495090000002</v>
          </cell>
          <cell r="D2993">
            <v>-44.329107440000001</v>
          </cell>
        </row>
        <row r="2994">
          <cell r="A2994" t="str">
            <v>Mãe d'Água</v>
          </cell>
          <cell r="B2994">
            <v>300620</v>
          </cell>
          <cell r="C2994">
            <v>-7.2579232579999999</v>
          </cell>
          <cell r="D2994">
            <v>-37.427664849999999</v>
          </cell>
        </row>
        <row r="2995">
          <cell r="A2995" t="str">
            <v>Mãe do Rio</v>
          </cell>
          <cell r="B2995">
            <v>301910</v>
          </cell>
          <cell r="C2995">
            <v>-2.0456499159999999</v>
          </cell>
          <cell r="D2995">
            <v>-47.557091939999999</v>
          </cell>
        </row>
        <row r="2996">
          <cell r="A2996" t="str">
            <v>Maetinga</v>
          </cell>
          <cell r="B2996">
            <v>301592</v>
          </cell>
          <cell r="C2996">
            <v>-14.66279005</v>
          </cell>
          <cell r="D2996">
            <v>-41.491803619999999</v>
          </cell>
        </row>
        <row r="2997">
          <cell r="A2997" t="str">
            <v>Mafra</v>
          </cell>
          <cell r="B2997">
            <v>304602</v>
          </cell>
          <cell r="C2997">
            <v>-26.116412239999999</v>
          </cell>
          <cell r="D2997">
            <v>-49.809052880000003</v>
          </cell>
        </row>
        <row r="2998">
          <cell r="A2998" t="str">
            <v>Magalhães Barata</v>
          </cell>
          <cell r="B2998">
            <v>301897</v>
          </cell>
          <cell r="C2998">
            <v>-0.79746759199999995</v>
          </cell>
          <cell r="D2998">
            <v>-47.601013610000003</v>
          </cell>
        </row>
        <row r="2999">
          <cell r="A2999" t="str">
            <v>Magalhães de Almeida</v>
          </cell>
          <cell r="B2999">
            <v>303211</v>
          </cell>
          <cell r="C2999">
            <v>-3.3964453410000002</v>
          </cell>
          <cell r="D2999">
            <v>-42.20463015</v>
          </cell>
        </row>
        <row r="3000">
          <cell r="A3000" t="str">
            <v>Magda</v>
          </cell>
          <cell r="B3000">
            <v>303489</v>
          </cell>
          <cell r="C3000">
            <v>-20.643992610000002</v>
          </cell>
          <cell r="D3000">
            <v>-50.225947900000001</v>
          </cell>
        </row>
        <row r="3001">
          <cell r="A3001" t="str">
            <v>Magdalena</v>
          </cell>
          <cell r="B3001">
            <v>314286</v>
          </cell>
          <cell r="C3001">
            <v>-13.254009870000001</v>
          </cell>
          <cell r="D3001">
            <v>-64.05939893</v>
          </cell>
        </row>
        <row r="3002">
          <cell r="A3002" t="str">
            <v>Magé</v>
          </cell>
          <cell r="B3002">
            <v>303139</v>
          </cell>
          <cell r="C3002">
            <v>-22.663636189999998</v>
          </cell>
          <cell r="D3002">
            <v>-43.031854350000003</v>
          </cell>
        </row>
        <row r="3003">
          <cell r="A3003" t="str">
            <v>Maiquinique</v>
          </cell>
          <cell r="B3003">
            <v>301603</v>
          </cell>
          <cell r="C3003">
            <v>-15.62444649</v>
          </cell>
          <cell r="D3003">
            <v>-40.259058400000001</v>
          </cell>
        </row>
        <row r="3004">
          <cell r="A3004" t="str">
            <v>Mairi</v>
          </cell>
          <cell r="B3004">
            <v>301457</v>
          </cell>
          <cell r="C3004">
            <v>-11.706013609999999</v>
          </cell>
          <cell r="D3004">
            <v>-40.149818629999999</v>
          </cell>
        </row>
        <row r="3005">
          <cell r="A3005" t="str">
            <v>Mairinque</v>
          </cell>
          <cell r="B3005">
            <v>303746</v>
          </cell>
          <cell r="C3005">
            <v>-23.54029981</v>
          </cell>
          <cell r="D3005">
            <v>-47.185397829999999</v>
          </cell>
        </row>
        <row r="3006">
          <cell r="A3006" t="str">
            <v>Mairiporã</v>
          </cell>
          <cell r="B3006">
            <v>303938</v>
          </cell>
          <cell r="C3006">
            <v>-23.317608669999998</v>
          </cell>
          <cell r="D3006">
            <v>-46.590093119999999</v>
          </cell>
        </row>
        <row r="3007">
          <cell r="A3007" t="str">
            <v>Mairipotaba</v>
          </cell>
          <cell r="B3007">
            <v>303377</v>
          </cell>
          <cell r="C3007">
            <v>-17.29695332</v>
          </cell>
          <cell r="D3007">
            <v>-49.494422069999999</v>
          </cell>
        </row>
        <row r="3008">
          <cell r="A3008" t="str">
            <v>Major Gercino</v>
          </cell>
          <cell r="B3008">
            <v>304053</v>
          </cell>
          <cell r="C3008">
            <v>-27.419718750000001</v>
          </cell>
          <cell r="D3008">
            <v>-48.949208059999997</v>
          </cell>
        </row>
        <row r="3009">
          <cell r="A3009" t="str">
            <v>Major Isidoro</v>
          </cell>
          <cell r="B3009">
            <v>301207</v>
          </cell>
          <cell r="C3009">
            <v>-9.5339177599999996</v>
          </cell>
          <cell r="D3009">
            <v>-36.986940480000001</v>
          </cell>
        </row>
        <row r="3010">
          <cell r="A3010" t="str">
            <v>Major Sales</v>
          </cell>
          <cell r="B3010">
            <v>300988</v>
          </cell>
          <cell r="C3010">
            <v>-6.399897943</v>
          </cell>
          <cell r="D3010">
            <v>-38.324331409999999</v>
          </cell>
        </row>
        <row r="3011">
          <cell r="A3011" t="str">
            <v>Major Vieira</v>
          </cell>
          <cell r="B3011">
            <v>304611</v>
          </cell>
          <cell r="C3011">
            <v>-26.371377249999998</v>
          </cell>
          <cell r="D3011">
            <v>-50.327025200000001</v>
          </cell>
        </row>
        <row r="3012">
          <cell r="A3012" t="str">
            <v>Makallé</v>
          </cell>
          <cell r="B3012">
            <v>314324</v>
          </cell>
          <cell r="C3012">
            <v>-27.2005284</v>
          </cell>
          <cell r="D3012">
            <v>-59.279275409999997</v>
          </cell>
        </row>
        <row r="3013">
          <cell r="A3013" t="str">
            <v>Malacacheta</v>
          </cell>
          <cell r="B3013">
            <v>303029</v>
          </cell>
          <cell r="C3013">
            <v>-17.846115489999999</v>
          </cell>
          <cell r="D3013">
            <v>-42.077260359999997</v>
          </cell>
        </row>
        <row r="3014">
          <cell r="A3014" t="str">
            <v>Malhada</v>
          </cell>
          <cell r="B3014">
            <v>302114</v>
          </cell>
          <cell r="C3014">
            <v>-14.33889471</v>
          </cell>
          <cell r="D3014">
            <v>-43.773038450000001</v>
          </cell>
        </row>
        <row r="3015">
          <cell r="A3015" t="str">
            <v>Malhada de Pedras</v>
          </cell>
          <cell r="B3015">
            <v>301593</v>
          </cell>
          <cell r="C3015">
            <v>-14.38512615</v>
          </cell>
          <cell r="D3015">
            <v>-41.884565940000002</v>
          </cell>
        </row>
        <row r="3016">
          <cell r="A3016" t="str">
            <v>Malhada dos Bois</v>
          </cell>
          <cell r="B3016">
            <v>302366</v>
          </cell>
          <cell r="C3016">
            <v>-10.34461026</v>
          </cell>
          <cell r="D3016">
            <v>-36.92090142</v>
          </cell>
        </row>
        <row r="3017">
          <cell r="A3017" t="str">
            <v>Malhador</v>
          </cell>
          <cell r="B3017">
            <v>301247</v>
          </cell>
          <cell r="C3017">
            <v>-10.65861518</v>
          </cell>
          <cell r="D3017">
            <v>-37.306209350000003</v>
          </cell>
        </row>
        <row r="3018">
          <cell r="A3018" t="str">
            <v>Mallet</v>
          </cell>
          <cell r="B3018">
            <v>305252</v>
          </cell>
          <cell r="C3018">
            <v>-25.8810617</v>
          </cell>
          <cell r="D3018">
            <v>-50.817780560000003</v>
          </cell>
        </row>
        <row r="3019">
          <cell r="A3019" t="str">
            <v>Malta</v>
          </cell>
          <cell r="B3019">
            <v>300621</v>
          </cell>
          <cell r="C3019">
            <v>-6.9047046840000004</v>
          </cell>
          <cell r="D3019">
            <v>-37.521532620000002</v>
          </cell>
        </row>
        <row r="3020">
          <cell r="A3020" t="str">
            <v>Mamanguape</v>
          </cell>
          <cell r="B3020">
            <v>302340</v>
          </cell>
          <cell r="C3020">
            <v>-6.8341156209999996</v>
          </cell>
          <cell r="D3020">
            <v>-35.121605279999997</v>
          </cell>
        </row>
        <row r="3021">
          <cell r="A3021" t="str">
            <v>Mambaí</v>
          </cell>
          <cell r="B3021">
            <v>302168</v>
          </cell>
          <cell r="C3021">
            <v>-14.496599549999999</v>
          </cell>
          <cell r="D3021">
            <v>-46.109016459999999</v>
          </cell>
        </row>
        <row r="3022">
          <cell r="A3022" t="str">
            <v>Mamborê</v>
          </cell>
          <cell r="B3022">
            <v>305043</v>
          </cell>
          <cell r="C3022">
            <v>-24.317416170000001</v>
          </cell>
          <cell r="D3022">
            <v>-52.527558689999999</v>
          </cell>
        </row>
        <row r="3023">
          <cell r="A3023" t="str">
            <v>Mamonas</v>
          </cell>
          <cell r="B3023">
            <v>302125</v>
          </cell>
          <cell r="C3023">
            <v>-15.05088347</v>
          </cell>
          <cell r="D3023">
            <v>-42.951091679999998</v>
          </cell>
        </row>
        <row r="3024">
          <cell r="A3024" t="str">
            <v>Mampituba</v>
          </cell>
          <cell r="B3024">
            <v>304127</v>
          </cell>
          <cell r="C3024">
            <v>-29.21091229</v>
          </cell>
          <cell r="D3024">
            <v>-49.935017530000003</v>
          </cell>
        </row>
        <row r="3025">
          <cell r="A3025" t="str">
            <v>Manacapuru</v>
          </cell>
          <cell r="B3025">
            <v>304636</v>
          </cell>
          <cell r="C3025">
            <v>-3.2910415209999999</v>
          </cell>
          <cell r="D3025">
            <v>-60.622023509999998</v>
          </cell>
        </row>
        <row r="3026">
          <cell r="A3026" t="str">
            <v>Manaíra</v>
          </cell>
          <cell r="B3026">
            <v>300824</v>
          </cell>
          <cell r="C3026">
            <v>-7.7037340309999998</v>
          </cell>
          <cell r="D3026">
            <v>-38.152604050000001</v>
          </cell>
        </row>
        <row r="3027">
          <cell r="A3027" t="str">
            <v>Manaquiri</v>
          </cell>
          <cell r="B3027">
            <v>304635</v>
          </cell>
          <cell r="C3027">
            <v>-3.4411691919999998</v>
          </cell>
          <cell r="D3027">
            <v>-60.46168085</v>
          </cell>
        </row>
        <row r="3028">
          <cell r="A3028" t="str">
            <v>Manari</v>
          </cell>
          <cell r="B3028">
            <v>301201</v>
          </cell>
          <cell r="C3028">
            <v>-8.9610268499999997</v>
          </cell>
          <cell r="D3028">
            <v>-37.624539800000001</v>
          </cell>
        </row>
        <row r="3029">
          <cell r="A3029" t="str">
            <v>Manaus</v>
          </cell>
          <cell r="B3029">
            <v>295783</v>
          </cell>
          <cell r="C3029">
            <v>-3.1194301769999999</v>
          </cell>
          <cell r="D3029">
            <v>-60.022109389999997</v>
          </cell>
        </row>
        <row r="3030">
          <cell r="A3030" t="str">
            <v>Mâncio Lima</v>
          </cell>
          <cell r="B3030">
            <v>305853</v>
          </cell>
          <cell r="C3030">
            <v>-7.6169622769999998</v>
          </cell>
          <cell r="D3030">
            <v>-72.900199060000006</v>
          </cell>
        </row>
        <row r="3031">
          <cell r="A3031" t="str">
            <v>Mandaguaçu</v>
          </cell>
          <cell r="B3031">
            <v>304804</v>
          </cell>
          <cell r="C3031">
            <v>-23.346230120000001</v>
          </cell>
          <cell r="D3031">
            <v>-52.094802799999997</v>
          </cell>
        </row>
        <row r="3032">
          <cell r="A3032" t="str">
            <v>Mandaguari</v>
          </cell>
          <cell r="B3032">
            <v>304765</v>
          </cell>
          <cell r="C3032">
            <v>-23.545055779999998</v>
          </cell>
          <cell r="D3032">
            <v>-51.67145885</v>
          </cell>
        </row>
        <row r="3033">
          <cell r="A3033" t="str">
            <v>Mandirituba</v>
          </cell>
          <cell r="B3033">
            <v>304038</v>
          </cell>
          <cell r="C3033">
            <v>-25.777513859999999</v>
          </cell>
          <cell r="D3033">
            <v>-49.328649499999997</v>
          </cell>
        </row>
        <row r="3034">
          <cell r="A3034" t="str">
            <v>Manduri</v>
          </cell>
          <cell r="B3034">
            <v>303899</v>
          </cell>
          <cell r="C3034">
            <v>-23.00603972</v>
          </cell>
          <cell r="D3034">
            <v>-49.320579289999998</v>
          </cell>
        </row>
        <row r="3035">
          <cell r="A3035" t="str">
            <v>Manfrinópolis</v>
          </cell>
          <cell r="B3035">
            <v>305268</v>
          </cell>
          <cell r="C3035">
            <v>-26.148434590000001</v>
          </cell>
          <cell r="D3035">
            <v>-53.315708170000001</v>
          </cell>
        </row>
        <row r="3036">
          <cell r="A3036" t="str">
            <v>Manga</v>
          </cell>
          <cell r="B3036">
            <v>302185</v>
          </cell>
          <cell r="C3036">
            <v>-14.753343750000001</v>
          </cell>
          <cell r="D3036">
            <v>-43.939413649999999</v>
          </cell>
        </row>
        <row r="3037">
          <cell r="A3037" t="str">
            <v>Mangaratiba</v>
          </cell>
          <cell r="B3037">
            <v>303190</v>
          </cell>
          <cell r="C3037">
            <v>-22.95988582</v>
          </cell>
          <cell r="D3037">
            <v>-44.041271369999997</v>
          </cell>
        </row>
        <row r="3038">
          <cell r="A3038" t="str">
            <v>Mangueirinha</v>
          </cell>
          <cell r="B3038">
            <v>305096</v>
          </cell>
          <cell r="C3038">
            <v>-25.94257172</v>
          </cell>
          <cell r="D3038">
            <v>-52.17471836</v>
          </cell>
        </row>
        <row r="3039">
          <cell r="A3039" t="str">
            <v>Manhuaçu</v>
          </cell>
          <cell r="B3039">
            <v>303567</v>
          </cell>
          <cell r="C3039">
            <v>-20.25770447</v>
          </cell>
          <cell r="D3039">
            <v>-42.02834515</v>
          </cell>
        </row>
        <row r="3040">
          <cell r="A3040" t="str">
            <v>Manhumirim</v>
          </cell>
          <cell r="B3040">
            <v>303568</v>
          </cell>
          <cell r="C3040">
            <v>-20.35959501</v>
          </cell>
          <cell r="D3040">
            <v>-41.959290889999998</v>
          </cell>
        </row>
        <row r="3041">
          <cell r="A3041" t="str">
            <v>Manicoré</v>
          </cell>
          <cell r="B3041">
            <v>304248</v>
          </cell>
          <cell r="C3041">
            <v>-5.8050116169999999</v>
          </cell>
          <cell r="D3041">
            <v>-61.289930050000002</v>
          </cell>
        </row>
        <row r="3042">
          <cell r="A3042" t="str">
            <v>Manoa</v>
          </cell>
          <cell r="B3042">
            <v>314438</v>
          </cell>
          <cell r="C3042">
            <v>-9.7124981970000004</v>
          </cell>
          <cell r="D3042">
            <v>-65.377811410000007</v>
          </cell>
        </row>
        <row r="3043">
          <cell r="A3043" t="str">
            <v>Manoel Emídio</v>
          </cell>
          <cell r="B3043">
            <v>301854</v>
          </cell>
          <cell r="C3043">
            <v>-8.0043360400000001</v>
          </cell>
          <cell r="D3043">
            <v>-43.872259730000003</v>
          </cell>
        </row>
        <row r="3044">
          <cell r="A3044" t="str">
            <v>Manoel Ribas</v>
          </cell>
          <cell r="B3044">
            <v>304827</v>
          </cell>
          <cell r="C3044">
            <v>-24.514831109999999</v>
          </cell>
          <cell r="D3044">
            <v>-51.66625707</v>
          </cell>
        </row>
        <row r="3045">
          <cell r="A3045" t="str">
            <v>Manoel Urbano</v>
          </cell>
          <cell r="B3045">
            <v>305863</v>
          </cell>
          <cell r="C3045">
            <v>-8.8332839720000003</v>
          </cell>
          <cell r="D3045">
            <v>-69.268374359999996</v>
          </cell>
        </row>
        <row r="3046">
          <cell r="A3046" t="str">
            <v>Manoel Viana</v>
          </cell>
          <cell r="B3046">
            <v>305824</v>
          </cell>
          <cell r="C3046">
            <v>-29.586399589999999</v>
          </cell>
          <cell r="D3046">
            <v>-55.484590920000002</v>
          </cell>
        </row>
        <row r="3047">
          <cell r="A3047" t="str">
            <v>Manoel Vitorino</v>
          </cell>
          <cell r="B3047">
            <v>301563</v>
          </cell>
          <cell r="C3047">
            <v>-14.14807134</v>
          </cell>
          <cell r="D3047">
            <v>-40.240228979999998</v>
          </cell>
        </row>
        <row r="3048">
          <cell r="A3048" t="str">
            <v>Mansidão</v>
          </cell>
          <cell r="B3048">
            <v>302080</v>
          </cell>
          <cell r="C3048">
            <v>-10.72313932</v>
          </cell>
          <cell r="D3048">
            <v>-44.043153680000003</v>
          </cell>
        </row>
        <row r="3049">
          <cell r="A3049" t="str">
            <v>Mantena</v>
          </cell>
          <cell r="B3049">
            <v>302495</v>
          </cell>
          <cell r="C3049">
            <v>-18.77654545</v>
          </cell>
          <cell r="D3049">
            <v>-40.987715440000002</v>
          </cell>
        </row>
        <row r="3050">
          <cell r="A3050" t="str">
            <v>Mantenópolis</v>
          </cell>
          <cell r="B3050">
            <v>302496</v>
          </cell>
          <cell r="C3050">
            <v>-18.859902550000001</v>
          </cell>
          <cell r="D3050">
            <v>-41.124353599999999</v>
          </cell>
        </row>
        <row r="3051">
          <cell r="A3051" t="str">
            <v>Maquiné</v>
          </cell>
          <cell r="B3051">
            <v>304138</v>
          </cell>
          <cell r="C3051">
            <v>-29.675013280000002</v>
          </cell>
          <cell r="D3051">
            <v>-50.206863130000002</v>
          </cell>
        </row>
        <row r="3052">
          <cell r="A3052" t="str">
            <v>Mar de Espanha</v>
          </cell>
          <cell r="B3052">
            <v>303105</v>
          </cell>
          <cell r="C3052">
            <v>-21.871210439999999</v>
          </cell>
          <cell r="D3052">
            <v>-43.006575089999998</v>
          </cell>
        </row>
        <row r="3053">
          <cell r="A3053" t="str">
            <v>Mar Vermelho</v>
          </cell>
          <cell r="B3053">
            <v>301157</v>
          </cell>
          <cell r="C3053">
            <v>-9.4478259050000002</v>
          </cell>
          <cell r="D3053">
            <v>-36.38837659</v>
          </cell>
        </row>
        <row r="3054">
          <cell r="A3054" t="str">
            <v>Mara Rosa</v>
          </cell>
          <cell r="B3054">
            <v>302790</v>
          </cell>
          <cell r="C3054">
            <v>-14.015256239999999</v>
          </cell>
          <cell r="D3054">
            <v>-49.178045240000003</v>
          </cell>
        </row>
        <row r="3055">
          <cell r="A3055" t="str">
            <v>Maraã</v>
          </cell>
          <cell r="B3055">
            <v>304254</v>
          </cell>
          <cell r="C3055">
            <v>-1.853506407</v>
          </cell>
          <cell r="D3055">
            <v>-65.573457730000001</v>
          </cell>
        </row>
        <row r="3056">
          <cell r="A3056" t="str">
            <v>Marabá</v>
          </cell>
          <cell r="B3056">
            <v>302014</v>
          </cell>
          <cell r="C3056">
            <v>-5.3811503920000003</v>
          </cell>
          <cell r="D3056">
            <v>-49.13305502</v>
          </cell>
        </row>
        <row r="3057">
          <cell r="A3057" t="str">
            <v>Marabá Paulista</v>
          </cell>
          <cell r="B3057">
            <v>304704</v>
          </cell>
          <cell r="C3057">
            <v>-22.107227349999999</v>
          </cell>
          <cell r="D3057">
            <v>-51.962099100000003</v>
          </cell>
        </row>
        <row r="3058">
          <cell r="A3058" t="str">
            <v>Maracaçumé</v>
          </cell>
          <cell r="B3058">
            <v>301809</v>
          </cell>
          <cell r="C3058">
            <v>-2.0495602129999999</v>
          </cell>
          <cell r="D3058">
            <v>-45.95909606</v>
          </cell>
        </row>
        <row r="3059">
          <cell r="A3059" t="str">
            <v>Maracaí</v>
          </cell>
          <cell r="B3059">
            <v>304500</v>
          </cell>
          <cell r="C3059">
            <v>-22.615387089999999</v>
          </cell>
          <cell r="D3059">
            <v>-50.671710689999998</v>
          </cell>
        </row>
        <row r="3060">
          <cell r="A3060" t="str">
            <v>Maracajá</v>
          </cell>
          <cell r="B3060">
            <v>304113</v>
          </cell>
          <cell r="C3060">
            <v>-28.846821070000001</v>
          </cell>
          <cell r="D3060">
            <v>-49.460983249999998</v>
          </cell>
        </row>
        <row r="3061">
          <cell r="A3061" t="str">
            <v>Maracaju</v>
          </cell>
          <cell r="B3061">
            <v>305606</v>
          </cell>
          <cell r="C3061">
            <v>-21.61099561</v>
          </cell>
          <cell r="D3061">
            <v>-55.168209349999998</v>
          </cell>
        </row>
        <row r="3062">
          <cell r="A3062" t="str">
            <v>Maracanã</v>
          </cell>
          <cell r="B3062">
            <v>301895</v>
          </cell>
          <cell r="C3062">
            <v>-0.77152183799999996</v>
          </cell>
          <cell r="D3062">
            <v>-47.451614110000001</v>
          </cell>
        </row>
        <row r="3063">
          <cell r="A3063" t="str">
            <v>Maracanaú</v>
          </cell>
          <cell r="B3063">
            <v>302352</v>
          </cell>
          <cell r="C3063">
            <v>-3.867386749</v>
          </cell>
          <cell r="D3063">
            <v>-38.626214320000003</v>
          </cell>
        </row>
        <row r="3064">
          <cell r="A3064" t="str">
            <v>Maracás</v>
          </cell>
          <cell r="B3064">
            <v>301558</v>
          </cell>
          <cell r="C3064">
            <v>-13.43591851</v>
          </cell>
          <cell r="D3064">
            <v>-40.432667340000002</v>
          </cell>
        </row>
        <row r="3065">
          <cell r="A3065" t="str">
            <v>Maragogi</v>
          </cell>
          <cell r="B3065">
            <v>301092</v>
          </cell>
          <cell r="C3065">
            <v>-9.0078741989999997</v>
          </cell>
          <cell r="D3065">
            <v>-35.226983590000003</v>
          </cell>
        </row>
        <row r="3066">
          <cell r="A3066" t="str">
            <v>Maragogipe</v>
          </cell>
          <cell r="B3066">
            <v>301522</v>
          </cell>
          <cell r="C3066">
            <v>-12.776469029999999</v>
          </cell>
          <cell r="D3066">
            <v>-38.917841610000004</v>
          </cell>
        </row>
        <row r="3067">
          <cell r="A3067" t="str">
            <v>Maraial</v>
          </cell>
          <cell r="B3067">
            <v>301110</v>
          </cell>
          <cell r="C3067">
            <v>-8.7910533990000008</v>
          </cell>
          <cell r="D3067">
            <v>-35.826925879999997</v>
          </cell>
        </row>
        <row r="3068">
          <cell r="A3068" t="str">
            <v>Marajá do Sena</v>
          </cell>
          <cell r="B3068">
            <v>302456</v>
          </cell>
          <cell r="C3068">
            <v>-4.6288509470000001</v>
          </cell>
          <cell r="D3068">
            <v>-45.456792399999998</v>
          </cell>
        </row>
        <row r="3069">
          <cell r="A3069" t="str">
            <v>Maranguape</v>
          </cell>
          <cell r="B3069">
            <v>302353</v>
          </cell>
          <cell r="C3069">
            <v>-3.8918288859999999</v>
          </cell>
          <cell r="D3069">
            <v>-38.68322474</v>
          </cell>
        </row>
        <row r="3070">
          <cell r="A3070" t="str">
            <v>Maranhãozinho</v>
          </cell>
          <cell r="B3070">
            <v>301715</v>
          </cell>
          <cell r="C3070">
            <v>-2.2410930609999999</v>
          </cell>
          <cell r="D3070">
            <v>-45.857484550000002</v>
          </cell>
        </row>
        <row r="3071">
          <cell r="A3071" t="str">
            <v>Marapanim</v>
          </cell>
          <cell r="B3071">
            <v>301896</v>
          </cell>
          <cell r="C3071">
            <v>-0.71139850900000001</v>
          </cell>
          <cell r="D3071">
            <v>-47.696375699999997</v>
          </cell>
        </row>
        <row r="3072">
          <cell r="A3072" t="str">
            <v>Marapoama</v>
          </cell>
          <cell r="B3072">
            <v>303829</v>
          </cell>
          <cell r="C3072">
            <v>-21.2591851</v>
          </cell>
          <cell r="D3072">
            <v>-49.130376990000002</v>
          </cell>
        </row>
        <row r="3073">
          <cell r="A3073" t="str">
            <v>Maratá</v>
          </cell>
          <cell r="B3073">
            <v>305766</v>
          </cell>
          <cell r="C3073">
            <v>-29.549633960000001</v>
          </cell>
          <cell r="D3073">
            <v>-51.555711510000002</v>
          </cell>
        </row>
        <row r="3074">
          <cell r="A3074" t="str">
            <v>Marataízes</v>
          </cell>
          <cell r="B3074">
            <v>302631</v>
          </cell>
          <cell r="C3074">
            <v>-21.040296990000002</v>
          </cell>
          <cell r="D3074">
            <v>-40.838787320000002</v>
          </cell>
        </row>
        <row r="3075">
          <cell r="A3075" t="str">
            <v>Marau</v>
          </cell>
          <cell r="B3075">
            <v>305212</v>
          </cell>
          <cell r="C3075">
            <v>-28.45022835</v>
          </cell>
          <cell r="D3075">
            <v>-52.199078550000003</v>
          </cell>
        </row>
        <row r="3076">
          <cell r="A3076" t="str">
            <v>Maraú</v>
          </cell>
          <cell r="B3076">
            <v>301737</v>
          </cell>
          <cell r="C3076">
            <v>-14.104004789999999</v>
          </cell>
          <cell r="D3076">
            <v>-39.013981090000001</v>
          </cell>
        </row>
        <row r="3077">
          <cell r="A3077" t="str">
            <v>Maravilha</v>
          </cell>
          <cell r="B3077">
            <v>302560</v>
          </cell>
          <cell r="C3077">
            <v>-9.2308797909999996</v>
          </cell>
          <cell r="D3077">
            <v>-37.352726480000001</v>
          </cell>
        </row>
        <row r="3078">
          <cell r="A3078" t="str">
            <v>Maravilha</v>
          </cell>
          <cell r="B3078">
            <v>305309</v>
          </cell>
          <cell r="C3078">
            <v>-26.766997199999999</v>
          </cell>
          <cell r="D3078">
            <v>-53.174151719999998</v>
          </cell>
        </row>
        <row r="3079">
          <cell r="A3079" t="str">
            <v>Maravilhas</v>
          </cell>
          <cell r="B3079">
            <v>302968</v>
          </cell>
          <cell r="C3079">
            <v>-19.515992789999999</v>
          </cell>
          <cell r="D3079">
            <v>-44.675956720000002</v>
          </cell>
        </row>
        <row r="3080">
          <cell r="A3080" t="str">
            <v>Marcação</v>
          </cell>
          <cell r="B3080">
            <v>302336</v>
          </cell>
          <cell r="C3080">
            <v>-6.7657672480000004</v>
          </cell>
          <cell r="D3080">
            <v>-35.008949399999999</v>
          </cell>
        </row>
        <row r="3081">
          <cell r="A3081" t="str">
            <v>Marcelândia</v>
          </cell>
          <cell r="B3081">
            <v>304195</v>
          </cell>
          <cell r="C3081">
            <v>-11.04662978</v>
          </cell>
          <cell r="D3081">
            <v>-54.438673829999999</v>
          </cell>
        </row>
        <row r="3082">
          <cell r="A3082" t="str">
            <v>Marcelino Ramos</v>
          </cell>
          <cell r="B3082">
            <v>305664</v>
          </cell>
          <cell r="C3082">
            <v>-27.468095550000001</v>
          </cell>
          <cell r="D3082">
            <v>-51.909950629999997</v>
          </cell>
        </row>
        <row r="3083">
          <cell r="A3083" t="str">
            <v>Marcelino Vieira</v>
          </cell>
          <cell r="B3083">
            <v>300973</v>
          </cell>
          <cell r="C3083">
            <v>-6.2850073259999997</v>
          </cell>
          <cell r="D3083">
            <v>-38.164473190000002</v>
          </cell>
        </row>
        <row r="3084">
          <cell r="A3084" t="str">
            <v>Marcionílio Souza</v>
          </cell>
          <cell r="B3084">
            <v>301557</v>
          </cell>
          <cell r="C3084">
            <v>-13.006885199999999</v>
          </cell>
          <cell r="D3084">
            <v>-40.529791439999997</v>
          </cell>
        </row>
        <row r="3085">
          <cell r="A3085" t="str">
            <v>Marco</v>
          </cell>
          <cell r="B3085">
            <v>300701</v>
          </cell>
          <cell r="C3085">
            <v>-3.1208477010000002</v>
          </cell>
          <cell r="D3085">
            <v>-40.154185839999997</v>
          </cell>
        </row>
        <row r="3086">
          <cell r="A3086" t="str">
            <v>Marcolândia</v>
          </cell>
          <cell r="B3086">
            <v>301028</v>
          </cell>
          <cell r="C3086">
            <v>-7.442108631</v>
          </cell>
          <cell r="D3086">
            <v>-40.660508569999998</v>
          </cell>
        </row>
        <row r="3087">
          <cell r="A3087" t="str">
            <v>Marcos Parente</v>
          </cell>
          <cell r="B3087">
            <v>301845</v>
          </cell>
          <cell r="C3087">
            <v>-7.1160623469999997</v>
          </cell>
          <cell r="D3087">
            <v>-43.892953220000003</v>
          </cell>
        </row>
        <row r="3088">
          <cell r="A3088" t="str">
            <v>Marechal Cândido Rondon</v>
          </cell>
          <cell r="B3088">
            <v>305016</v>
          </cell>
          <cell r="C3088">
            <v>-24.558352190000001</v>
          </cell>
          <cell r="D3088">
            <v>-54.056564710000004</v>
          </cell>
        </row>
        <row r="3089">
          <cell r="A3089" t="str">
            <v>Marechal Deodoro</v>
          </cell>
          <cell r="B3089">
            <v>301147</v>
          </cell>
          <cell r="C3089">
            <v>-9.7101498960000008</v>
          </cell>
          <cell r="D3089">
            <v>-35.89702818</v>
          </cell>
        </row>
        <row r="3090">
          <cell r="A3090" t="str">
            <v>Marechal Floriano</v>
          </cell>
          <cell r="B3090">
            <v>302519</v>
          </cell>
          <cell r="C3090">
            <v>-20.41637085</v>
          </cell>
          <cell r="D3090">
            <v>-40.670346649999999</v>
          </cell>
        </row>
        <row r="3091">
          <cell r="A3091" t="str">
            <v>Marechal Thaumaturgo</v>
          </cell>
          <cell r="B3091">
            <v>305867</v>
          </cell>
          <cell r="C3091">
            <v>-8.9393725740000001</v>
          </cell>
          <cell r="D3091">
            <v>-72.800196420000006</v>
          </cell>
        </row>
        <row r="3092">
          <cell r="A3092" t="str">
            <v>Marema</v>
          </cell>
          <cell r="B3092">
            <v>305288</v>
          </cell>
          <cell r="C3092">
            <v>-26.802831009999998</v>
          </cell>
          <cell r="D3092">
            <v>-52.626894479999997</v>
          </cell>
        </row>
        <row r="3093">
          <cell r="A3093" t="str">
            <v>Mari</v>
          </cell>
          <cell r="B3093">
            <v>300450</v>
          </cell>
          <cell r="C3093">
            <v>-7.0598429459999998</v>
          </cell>
          <cell r="D3093">
            <v>-35.318334880000002</v>
          </cell>
        </row>
        <row r="3094">
          <cell r="A3094" t="str">
            <v>Maria da Fé</v>
          </cell>
          <cell r="B3094">
            <v>303448</v>
          </cell>
          <cell r="C3094">
            <v>-22.30489545</v>
          </cell>
          <cell r="D3094">
            <v>-45.377663910000003</v>
          </cell>
        </row>
        <row r="3095">
          <cell r="A3095" t="str">
            <v>Maria Helena</v>
          </cell>
          <cell r="B3095">
            <v>305037</v>
          </cell>
          <cell r="C3095">
            <v>-23.61621564</v>
          </cell>
          <cell r="D3095">
            <v>-53.205774400000003</v>
          </cell>
        </row>
        <row r="3096">
          <cell r="A3096" t="str">
            <v>Marialva</v>
          </cell>
          <cell r="B3096">
            <v>304767</v>
          </cell>
          <cell r="C3096">
            <v>-23.484781300000002</v>
          </cell>
          <cell r="D3096">
            <v>-51.793234400000003</v>
          </cell>
        </row>
        <row r="3097">
          <cell r="A3097" t="str">
            <v>Mariana</v>
          </cell>
          <cell r="B3097">
            <v>303574</v>
          </cell>
          <cell r="C3097">
            <v>-20.37699005</v>
          </cell>
          <cell r="D3097">
            <v>-43.414402289999998</v>
          </cell>
        </row>
        <row r="3098">
          <cell r="A3098" t="str">
            <v>Mariana Pimentel</v>
          </cell>
          <cell r="B3098">
            <v>305779</v>
          </cell>
          <cell r="C3098">
            <v>-30.352979309999998</v>
          </cell>
          <cell r="D3098">
            <v>-51.582941349999999</v>
          </cell>
        </row>
        <row r="3099">
          <cell r="A3099" t="str">
            <v>Mariano Moro</v>
          </cell>
          <cell r="B3099">
            <v>305665</v>
          </cell>
          <cell r="C3099">
            <v>-27.357225580000001</v>
          </cell>
          <cell r="D3099">
            <v>-52.14710968</v>
          </cell>
        </row>
        <row r="3100">
          <cell r="A3100" t="str">
            <v>Marianópolis do Tocantins</v>
          </cell>
          <cell r="B3100">
            <v>302251</v>
          </cell>
          <cell r="C3100">
            <v>-9.7941894059999992</v>
          </cell>
          <cell r="D3100">
            <v>-49.655650090000002</v>
          </cell>
        </row>
        <row r="3101">
          <cell r="A3101" t="str">
            <v>Mariápolis</v>
          </cell>
          <cell r="B3101">
            <v>304489</v>
          </cell>
          <cell r="C3101">
            <v>-21.79638254</v>
          </cell>
          <cell r="D3101">
            <v>-51.182857409999997</v>
          </cell>
        </row>
        <row r="3102">
          <cell r="A3102" t="str">
            <v>Maribondo</v>
          </cell>
          <cell r="B3102">
            <v>301156</v>
          </cell>
          <cell r="C3102">
            <v>-9.583961789</v>
          </cell>
          <cell r="D3102">
            <v>-36.304788090000002</v>
          </cell>
        </row>
        <row r="3103">
          <cell r="A3103" t="str">
            <v>Maricá</v>
          </cell>
          <cell r="B3103">
            <v>303083</v>
          </cell>
          <cell r="C3103">
            <v>-22.93592061</v>
          </cell>
          <cell r="D3103">
            <v>-42.824957599999998</v>
          </cell>
        </row>
        <row r="3104">
          <cell r="A3104" t="str">
            <v>Marilac</v>
          </cell>
          <cell r="B3104">
            <v>303033</v>
          </cell>
          <cell r="C3104">
            <v>-18.508368279999999</v>
          </cell>
          <cell r="D3104">
            <v>-42.082561730000002</v>
          </cell>
        </row>
        <row r="3105">
          <cell r="A3105" t="str">
            <v>Marilândia</v>
          </cell>
          <cell r="B3105">
            <v>302503</v>
          </cell>
          <cell r="C3105">
            <v>-19.411835960000001</v>
          </cell>
          <cell r="D3105">
            <v>-40.545993549999999</v>
          </cell>
        </row>
        <row r="3106">
          <cell r="A3106" t="str">
            <v>Marilândia do Sul</v>
          </cell>
          <cell r="B3106">
            <v>304743</v>
          </cell>
          <cell r="C3106">
            <v>-23.74300126</v>
          </cell>
          <cell r="D3106">
            <v>-51.314167279999999</v>
          </cell>
        </row>
        <row r="3107">
          <cell r="A3107" t="str">
            <v>Marilena</v>
          </cell>
          <cell r="B3107">
            <v>304854</v>
          </cell>
          <cell r="C3107">
            <v>-22.734012029999999</v>
          </cell>
          <cell r="D3107">
            <v>-53.04067654</v>
          </cell>
        </row>
        <row r="3108">
          <cell r="A3108" t="str">
            <v>Marília</v>
          </cell>
          <cell r="B3108">
            <v>304430</v>
          </cell>
          <cell r="C3108">
            <v>-22.21757487</v>
          </cell>
          <cell r="D3108">
            <v>-49.950476950000002</v>
          </cell>
        </row>
        <row r="3109">
          <cell r="A3109" t="str">
            <v>Mariluz</v>
          </cell>
          <cell r="B3109">
            <v>305039</v>
          </cell>
          <cell r="C3109">
            <v>-24.009350699999999</v>
          </cell>
          <cell r="D3109">
            <v>-53.143684360000002</v>
          </cell>
        </row>
        <row r="3110">
          <cell r="A3110" t="str">
            <v>Maringá</v>
          </cell>
          <cell r="B3110">
            <v>304803</v>
          </cell>
          <cell r="C3110">
            <v>-23.42100975</v>
          </cell>
          <cell r="D3110">
            <v>-51.93373106</v>
          </cell>
        </row>
        <row r="3111">
          <cell r="A3111" t="str">
            <v>Marinópolis</v>
          </cell>
          <cell r="B3111">
            <v>304376</v>
          </cell>
          <cell r="C3111">
            <v>-20.440993079999998</v>
          </cell>
          <cell r="D3111">
            <v>-50.822947079999999</v>
          </cell>
        </row>
        <row r="3112">
          <cell r="A3112" t="str">
            <v>Mário Campos</v>
          </cell>
          <cell r="B3112">
            <v>302921</v>
          </cell>
          <cell r="C3112">
            <v>-20.058628219999999</v>
          </cell>
          <cell r="D3112">
            <v>-44.18869694</v>
          </cell>
        </row>
        <row r="3113">
          <cell r="A3113" t="str">
            <v>Mariópolis</v>
          </cell>
          <cell r="B3113">
            <v>305270</v>
          </cell>
          <cell r="C3113">
            <v>-26.35154138</v>
          </cell>
          <cell r="D3113">
            <v>-52.550183250000003</v>
          </cell>
        </row>
        <row r="3114">
          <cell r="A3114" t="str">
            <v>Maripá</v>
          </cell>
          <cell r="B3114">
            <v>305006</v>
          </cell>
          <cell r="C3114">
            <v>-24.42043958</v>
          </cell>
          <cell r="D3114">
            <v>-53.82908888</v>
          </cell>
        </row>
        <row r="3115">
          <cell r="A3115" t="str">
            <v>Maripá de Minas</v>
          </cell>
          <cell r="B3115">
            <v>304409</v>
          </cell>
          <cell r="C3115">
            <v>-21.698400929999998</v>
          </cell>
          <cell r="D3115">
            <v>-42.954957280000002</v>
          </cell>
        </row>
        <row r="3116">
          <cell r="A3116" t="str">
            <v>Maripasoula</v>
          </cell>
          <cell r="B3116">
            <v>314431</v>
          </cell>
          <cell r="C3116">
            <v>3.6358679559999998</v>
          </cell>
          <cell r="D3116">
            <v>-54.030869950000003</v>
          </cell>
        </row>
        <row r="3117">
          <cell r="A3117" t="str">
            <v>Marituba</v>
          </cell>
          <cell r="B3117">
            <v>301931</v>
          </cell>
          <cell r="C3117">
            <v>-1.364693814</v>
          </cell>
          <cell r="D3117">
            <v>-48.33104471</v>
          </cell>
        </row>
        <row r="3118">
          <cell r="A3118" t="str">
            <v>Marizópolis</v>
          </cell>
          <cell r="B3118">
            <v>300799</v>
          </cell>
          <cell r="C3118">
            <v>-6.8458470680000003</v>
          </cell>
          <cell r="D3118">
            <v>-38.348607100000002</v>
          </cell>
        </row>
        <row r="3119">
          <cell r="A3119" t="str">
            <v>Marliéria</v>
          </cell>
          <cell r="B3119">
            <v>303561</v>
          </cell>
          <cell r="C3119">
            <v>-19.710075880000002</v>
          </cell>
          <cell r="D3119">
            <v>-42.733054940000002</v>
          </cell>
        </row>
        <row r="3120">
          <cell r="A3120" t="str">
            <v>Marmeleiro</v>
          </cell>
          <cell r="B3120">
            <v>305264</v>
          </cell>
          <cell r="C3120">
            <v>-26.14766749</v>
          </cell>
          <cell r="D3120">
            <v>-53.027190400000002</v>
          </cell>
        </row>
        <row r="3121">
          <cell r="A3121" t="str">
            <v>Marmelópolis</v>
          </cell>
          <cell r="B3121">
            <v>303442</v>
          </cell>
          <cell r="C3121">
            <v>-22.447483429999998</v>
          </cell>
          <cell r="D3121">
            <v>-45.164926829999999</v>
          </cell>
        </row>
        <row r="3122">
          <cell r="A3122" t="str">
            <v>Maroa</v>
          </cell>
          <cell r="B3122">
            <v>314436</v>
          </cell>
          <cell r="C3122">
            <v>2.71928086</v>
          </cell>
          <cell r="D3122">
            <v>-67.556513350000003</v>
          </cell>
        </row>
        <row r="3123">
          <cell r="A3123" t="str">
            <v>Marques de Souza</v>
          </cell>
          <cell r="B3123">
            <v>305223</v>
          </cell>
          <cell r="C3123">
            <v>-29.329824030000001</v>
          </cell>
          <cell r="D3123">
            <v>-52.097555360000001</v>
          </cell>
        </row>
        <row r="3124">
          <cell r="A3124" t="str">
            <v>Marquinho</v>
          </cell>
          <cell r="B3124">
            <v>304840</v>
          </cell>
          <cell r="C3124">
            <v>-25.11246774</v>
          </cell>
          <cell r="D3124">
            <v>-52.25011679</v>
          </cell>
        </row>
        <row r="3125">
          <cell r="A3125" t="str">
            <v>Martinho Campos</v>
          </cell>
          <cell r="B3125">
            <v>303002</v>
          </cell>
          <cell r="C3125">
            <v>-19.321144700000001</v>
          </cell>
          <cell r="D3125">
            <v>-45.238373269999997</v>
          </cell>
        </row>
        <row r="3126">
          <cell r="A3126" t="str">
            <v>Martinópole</v>
          </cell>
          <cell r="B3126">
            <v>301332</v>
          </cell>
          <cell r="C3126">
            <v>-3.2233571240000001</v>
          </cell>
          <cell r="D3126">
            <v>-40.694959799999999</v>
          </cell>
        </row>
        <row r="3127">
          <cell r="A3127" t="str">
            <v>Martinópolis</v>
          </cell>
          <cell r="B3127">
            <v>304506</v>
          </cell>
          <cell r="C3127">
            <v>-22.146616519999998</v>
          </cell>
          <cell r="D3127">
            <v>-51.171373379999999</v>
          </cell>
        </row>
        <row r="3128">
          <cell r="A3128" t="str">
            <v>Martins</v>
          </cell>
          <cell r="B3128">
            <v>300759</v>
          </cell>
          <cell r="C3128">
            <v>-6.0832012149999999</v>
          </cell>
          <cell r="D3128">
            <v>-37.908282239999998</v>
          </cell>
        </row>
        <row r="3129">
          <cell r="A3129" t="str">
            <v>Martins Soares</v>
          </cell>
          <cell r="B3129">
            <v>302672</v>
          </cell>
          <cell r="C3129">
            <v>-20.25504076</v>
          </cell>
          <cell r="D3129">
            <v>-41.878949069999997</v>
          </cell>
        </row>
        <row r="3130">
          <cell r="A3130" t="str">
            <v>Maruim</v>
          </cell>
          <cell r="B3130">
            <v>301236</v>
          </cell>
          <cell r="C3130">
            <v>-10.742462529999999</v>
          </cell>
          <cell r="D3130">
            <v>-37.086479359999998</v>
          </cell>
        </row>
        <row r="3131">
          <cell r="A3131" t="str">
            <v>Marumbi</v>
          </cell>
          <cell r="B3131">
            <v>304770</v>
          </cell>
          <cell r="C3131">
            <v>-23.706230260000002</v>
          </cell>
          <cell r="D3131">
            <v>-51.640806179999998</v>
          </cell>
        </row>
        <row r="3132">
          <cell r="A3132" t="str">
            <v>Marzagão</v>
          </cell>
          <cell r="B3132">
            <v>303364</v>
          </cell>
          <cell r="C3132">
            <v>-17.978847760000001</v>
          </cell>
          <cell r="D3132">
            <v>-48.643485419999998</v>
          </cell>
        </row>
        <row r="3133">
          <cell r="A3133" t="str">
            <v>Mascote</v>
          </cell>
          <cell r="B3133">
            <v>301751</v>
          </cell>
          <cell r="C3133">
            <v>-15.56481297</v>
          </cell>
          <cell r="D3133">
            <v>-39.302087839999999</v>
          </cell>
        </row>
        <row r="3134">
          <cell r="A3134" t="str">
            <v>Massapê</v>
          </cell>
          <cell r="B3134">
            <v>300708</v>
          </cell>
          <cell r="C3134">
            <v>-3.5240389259999998</v>
          </cell>
          <cell r="D3134">
            <v>-40.342596239999999</v>
          </cell>
        </row>
        <row r="3135">
          <cell r="A3135" t="str">
            <v>Massapê do Piauí</v>
          </cell>
          <cell r="B3135">
            <v>301059</v>
          </cell>
          <cell r="C3135">
            <v>-7.4751044860000002</v>
          </cell>
          <cell r="D3135">
            <v>-41.110655710000003</v>
          </cell>
        </row>
        <row r="3136">
          <cell r="A3136" t="str">
            <v>Massaranduba</v>
          </cell>
          <cell r="B3136">
            <v>300629</v>
          </cell>
          <cell r="C3136">
            <v>-7.1903694790000001</v>
          </cell>
          <cell r="D3136">
            <v>-35.785062420000003</v>
          </cell>
        </row>
        <row r="3137">
          <cell r="A3137" t="str">
            <v>Massaranduba</v>
          </cell>
          <cell r="B3137">
            <v>304014</v>
          </cell>
          <cell r="C3137">
            <v>-26.611348769999999</v>
          </cell>
          <cell r="D3137">
            <v>-49.005776390000001</v>
          </cell>
        </row>
        <row r="3138">
          <cell r="A3138" t="str">
            <v>Mata</v>
          </cell>
          <cell r="B3138">
            <v>305712</v>
          </cell>
          <cell r="C3138">
            <v>-29.56536122</v>
          </cell>
          <cell r="D3138">
            <v>-54.464577660000003</v>
          </cell>
        </row>
        <row r="3139">
          <cell r="A3139" t="str">
            <v>Mata de São João</v>
          </cell>
          <cell r="B3139">
            <v>301382</v>
          </cell>
          <cell r="C3139">
            <v>-12.53113346</v>
          </cell>
          <cell r="D3139">
            <v>-38.301215829999997</v>
          </cell>
        </row>
        <row r="3140">
          <cell r="A3140" t="str">
            <v>Mata Grande</v>
          </cell>
          <cell r="B3140">
            <v>301202</v>
          </cell>
          <cell r="C3140">
            <v>-9.1191596659999998</v>
          </cell>
          <cell r="D3140">
            <v>-37.731229290000002</v>
          </cell>
        </row>
        <row r="3141">
          <cell r="A3141" t="str">
            <v>Mata Roma</v>
          </cell>
          <cell r="B3141">
            <v>301653</v>
          </cell>
          <cell r="C3141">
            <v>-3.6199700130000001</v>
          </cell>
          <cell r="D3141">
            <v>-43.116303559999999</v>
          </cell>
        </row>
        <row r="3142">
          <cell r="A3142" t="str">
            <v>Mata Verde</v>
          </cell>
          <cell r="B3142">
            <v>301610</v>
          </cell>
          <cell r="C3142">
            <v>-15.687134090000001</v>
          </cell>
          <cell r="D3142">
            <v>-40.738085820000002</v>
          </cell>
        </row>
        <row r="3143">
          <cell r="A3143" t="str">
            <v>Matão</v>
          </cell>
          <cell r="B3143">
            <v>303811</v>
          </cell>
          <cell r="C3143">
            <v>-21.60298001</v>
          </cell>
          <cell r="D3143">
            <v>-48.364373000000001</v>
          </cell>
        </row>
        <row r="3144">
          <cell r="A3144" t="str">
            <v>Mataraca</v>
          </cell>
          <cell r="B3144">
            <v>302335</v>
          </cell>
          <cell r="C3144">
            <v>-6.5971461339999999</v>
          </cell>
          <cell r="D3144">
            <v>-35.053368630000001</v>
          </cell>
        </row>
        <row r="3145">
          <cell r="A3145" t="str">
            <v>Mateiros</v>
          </cell>
          <cell r="B3145">
            <v>302209</v>
          </cell>
          <cell r="C3145">
            <v>-10.5468077</v>
          </cell>
          <cell r="D3145">
            <v>-46.417128939999998</v>
          </cell>
        </row>
        <row r="3146">
          <cell r="A3146" t="str">
            <v>Matelândia</v>
          </cell>
          <cell r="B3146">
            <v>305326</v>
          </cell>
          <cell r="C3146">
            <v>-25.250033760000001</v>
          </cell>
          <cell r="D3146">
            <v>-53.993943860000002</v>
          </cell>
        </row>
        <row r="3147">
          <cell r="A3147" t="str">
            <v>Materlândia</v>
          </cell>
          <cell r="B3147">
            <v>302714</v>
          </cell>
          <cell r="C3147">
            <v>-18.47038027</v>
          </cell>
          <cell r="D3147">
            <v>-43.058261530000003</v>
          </cell>
        </row>
        <row r="3148">
          <cell r="A3148" t="str">
            <v>Mateus Leme</v>
          </cell>
          <cell r="B3148">
            <v>302927</v>
          </cell>
          <cell r="C3148">
            <v>-19.98599201</v>
          </cell>
          <cell r="D3148">
            <v>-44.427956979999998</v>
          </cell>
        </row>
        <row r="3149">
          <cell r="A3149" t="str">
            <v>Mathias Lobato</v>
          </cell>
          <cell r="B3149">
            <v>302883</v>
          </cell>
          <cell r="C3149">
            <v>-18.59050693</v>
          </cell>
          <cell r="D3149">
            <v>-41.916917730000002</v>
          </cell>
        </row>
        <row r="3150">
          <cell r="A3150" t="str">
            <v>Matias Barbosa</v>
          </cell>
          <cell r="B3150">
            <v>303111</v>
          </cell>
          <cell r="C3150">
            <v>-21.86943475</v>
          </cell>
          <cell r="D3150">
            <v>-43.31384628</v>
          </cell>
        </row>
        <row r="3151">
          <cell r="A3151" t="str">
            <v>Matias Cardoso</v>
          </cell>
          <cell r="B3151">
            <v>302186</v>
          </cell>
          <cell r="C3151">
            <v>-14.8529296</v>
          </cell>
          <cell r="D3151">
            <v>-43.920301520000002</v>
          </cell>
        </row>
        <row r="3152">
          <cell r="A3152" t="str">
            <v>Matias Olímpio</v>
          </cell>
          <cell r="B3152">
            <v>301641</v>
          </cell>
          <cell r="C3152">
            <v>-3.7149401549999999</v>
          </cell>
          <cell r="D3152">
            <v>-42.555026929999997</v>
          </cell>
        </row>
        <row r="3153">
          <cell r="A3153" t="str">
            <v>Matina</v>
          </cell>
          <cell r="B3153">
            <v>303199</v>
          </cell>
          <cell r="C3153">
            <v>-13.9113665</v>
          </cell>
          <cell r="D3153">
            <v>-42.84426586</v>
          </cell>
        </row>
        <row r="3154">
          <cell r="A3154" t="str">
            <v>Matinha</v>
          </cell>
          <cell r="B3154">
            <v>301696</v>
          </cell>
          <cell r="C3154">
            <v>-3.098876696</v>
          </cell>
          <cell r="D3154">
            <v>-45.035372459999998</v>
          </cell>
        </row>
        <row r="3155">
          <cell r="A3155" t="str">
            <v>Matinhas</v>
          </cell>
          <cell r="B3155">
            <v>300581</v>
          </cell>
          <cell r="C3155">
            <v>-7.1220515100000004</v>
          </cell>
          <cell r="D3155">
            <v>-35.770111190000001</v>
          </cell>
        </row>
        <row r="3156">
          <cell r="A3156" t="str">
            <v>Matinhos</v>
          </cell>
          <cell r="B3156">
            <v>303982</v>
          </cell>
          <cell r="C3156">
            <v>-25.82413523</v>
          </cell>
          <cell r="D3156">
            <v>-48.549431490000003</v>
          </cell>
        </row>
        <row r="3157">
          <cell r="A3157" t="str">
            <v>Matipó</v>
          </cell>
          <cell r="B3157">
            <v>302909</v>
          </cell>
          <cell r="C3157">
            <v>-20.287741950000001</v>
          </cell>
          <cell r="D3157">
            <v>-42.340505460000003</v>
          </cell>
        </row>
        <row r="3158">
          <cell r="A3158" t="str">
            <v>Mato Castelhano</v>
          </cell>
          <cell r="B3158">
            <v>305171</v>
          </cell>
          <cell r="C3158">
            <v>-28.280493079999999</v>
          </cell>
          <cell r="D3158">
            <v>-52.193683790000001</v>
          </cell>
        </row>
        <row r="3159">
          <cell r="A3159" t="str">
            <v>Mato Grosso</v>
          </cell>
          <cell r="B3159">
            <v>300611</v>
          </cell>
          <cell r="C3159">
            <v>-6.5413576080000002</v>
          </cell>
          <cell r="D3159">
            <v>-37.714854189999997</v>
          </cell>
        </row>
        <row r="3160">
          <cell r="A3160" t="str">
            <v>Mato Leitão</v>
          </cell>
          <cell r="B3160">
            <v>305791</v>
          </cell>
          <cell r="C3160">
            <v>-29.528950340000002</v>
          </cell>
          <cell r="D3160">
            <v>-52.128217820000003</v>
          </cell>
        </row>
        <row r="3161">
          <cell r="A3161" t="str">
            <v>Mato Queimado</v>
          </cell>
          <cell r="B3161">
            <v>300943</v>
          </cell>
          <cell r="C3161">
            <v>-28.256201560000001</v>
          </cell>
          <cell r="D3161">
            <v>-54.61626888</v>
          </cell>
        </row>
        <row r="3162">
          <cell r="A3162" t="str">
            <v>Mato Rico</v>
          </cell>
          <cell r="B3162">
            <v>304838</v>
          </cell>
          <cell r="C3162">
            <v>-24.700005139999998</v>
          </cell>
          <cell r="D3162">
            <v>-52.145878680000003</v>
          </cell>
        </row>
        <row r="3163">
          <cell r="A3163" t="str">
            <v>Mato Verde</v>
          </cell>
          <cell r="B3163">
            <v>302129</v>
          </cell>
          <cell r="C3163">
            <v>-15.39485236</v>
          </cell>
          <cell r="D3163">
            <v>-42.860338339999998</v>
          </cell>
        </row>
        <row r="3164">
          <cell r="A3164" t="str">
            <v>Matões</v>
          </cell>
          <cell r="B3164">
            <v>302568</v>
          </cell>
          <cell r="C3164">
            <v>-5.5240259729999996</v>
          </cell>
          <cell r="D3164">
            <v>-43.204321780000001</v>
          </cell>
        </row>
        <row r="3165">
          <cell r="A3165" t="str">
            <v>Matões do Norte</v>
          </cell>
          <cell r="B3165">
            <v>301699</v>
          </cell>
          <cell r="C3165">
            <v>-3.624796983</v>
          </cell>
          <cell r="D3165">
            <v>-44.547125489999999</v>
          </cell>
        </row>
        <row r="3166">
          <cell r="A3166" t="str">
            <v>Matos Costa</v>
          </cell>
          <cell r="B3166">
            <v>305622</v>
          </cell>
          <cell r="C3166">
            <v>-26.471343959999999</v>
          </cell>
          <cell r="D3166">
            <v>-51.150533889999998</v>
          </cell>
        </row>
        <row r="3167">
          <cell r="A3167" t="str">
            <v>Matozinhos</v>
          </cell>
          <cell r="B3167">
            <v>304398</v>
          </cell>
          <cell r="C3167">
            <v>-19.55478952</v>
          </cell>
          <cell r="D3167">
            <v>-44.087157070000004</v>
          </cell>
        </row>
        <row r="3168">
          <cell r="A3168" t="str">
            <v>Matrinchã</v>
          </cell>
          <cell r="B3168">
            <v>304544</v>
          </cell>
          <cell r="C3168">
            <v>-15.43461402</v>
          </cell>
          <cell r="D3168">
            <v>-50.746049339999999</v>
          </cell>
        </row>
        <row r="3169">
          <cell r="A3169" t="str">
            <v>Matriz de Camaragibe</v>
          </cell>
          <cell r="B3169">
            <v>301098</v>
          </cell>
          <cell r="C3169">
            <v>-9.1548048580000003</v>
          </cell>
          <cell r="D3169">
            <v>-35.524595929999997</v>
          </cell>
        </row>
        <row r="3170">
          <cell r="A3170" t="str">
            <v>Matucana</v>
          </cell>
          <cell r="B3170">
            <v>314417</v>
          </cell>
          <cell r="C3170">
            <v>-11.836235289999999</v>
          </cell>
          <cell r="D3170">
            <v>-76.383024219999996</v>
          </cell>
        </row>
        <row r="3171">
          <cell r="A3171" t="str">
            <v>Matupá</v>
          </cell>
          <cell r="B3171">
            <v>304259</v>
          </cell>
          <cell r="C3171">
            <v>-10.182481599999999</v>
          </cell>
          <cell r="D3171">
            <v>-54.947090590000002</v>
          </cell>
        </row>
        <row r="3172">
          <cell r="A3172" t="str">
            <v>Maturéia</v>
          </cell>
          <cell r="B3172">
            <v>300618</v>
          </cell>
          <cell r="C3172">
            <v>-7.2622978979999999</v>
          </cell>
          <cell r="D3172">
            <v>-37.351297950000003</v>
          </cell>
        </row>
        <row r="3173">
          <cell r="A3173" t="str">
            <v>Matutina</v>
          </cell>
          <cell r="B3173">
            <v>303011</v>
          </cell>
          <cell r="C3173">
            <v>-19.221785430000001</v>
          </cell>
          <cell r="D3173">
            <v>-45.968411379999999</v>
          </cell>
        </row>
        <row r="3174">
          <cell r="A3174" t="str">
            <v>Mauá</v>
          </cell>
          <cell r="B3174">
            <v>303718</v>
          </cell>
          <cell r="C3174">
            <v>-23.668150050000001</v>
          </cell>
          <cell r="D3174">
            <v>-46.461661300000003</v>
          </cell>
        </row>
        <row r="3175">
          <cell r="A3175" t="str">
            <v>Mauá da Serra</v>
          </cell>
          <cell r="B3175">
            <v>304744</v>
          </cell>
          <cell r="C3175">
            <v>-23.89922889</v>
          </cell>
          <cell r="D3175">
            <v>-51.228162259999998</v>
          </cell>
        </row>
        <row r="3176">
          <cell r="A3176" t="str">
            <v>Maués</v>
          </cell>
          <cell r="B3176">
            <v>304180</v>
          </cell>
          <cell r="C3176">
            <v>-3.3932772459999998</v>
          </cell>
          <cell r="D3176">
            <v>-57.707159789999999</v>
          </cell>
        </row>
        <row r="3177">
          <cell r="A3177" t="str">
            <v>Maurício J. Troché</v>
          </cell>
          <cell r="B3177">
            <v>314337</v>
          </cell>
          <cell r="C3177">
            <v>-25.616711299999999</v>
          </cell>
          <cell r="D3177">
            <v>-56.272348450000003</v>
          </cell>
        </row>
        <row r="3178">
          <cell r="A3178" t="str">
            <v>Maurilândia</v>
          </cell>
          <cell r="B3178">
            <v>304340</v>
          </cell>
          <cell r="C3178">
            <v>-17.972311779999998</v>
          </cell>
          <cell r="D3178">
            <v>-50.33924425</v>
          </cell>
        </row>
        <row r="3179">
          <cell r="A3179" t="str">
            <v>Maurilândia do Tocantins</v>
          </cell>
          <cell r="B3179">
            <v>301976</v>
          </cell>
          <cell r="C3179">
            <v>-5.9549291159999997</v>
          </cell>
          <cell r="D3179">
            <v>-47.509999370000003</v>
          </cell>
        </row>
        <row r="3180">
          <cell r="A3180" t="str">
            <v>Mauriti</v>
          </cell>
          <cell r="B3180">
            <v>300854</v>
          </cell>
          <cell r="C3180">
            <v>-7.3863926729999996</v>
          </cell>
          <cell r="D3180">
            <v>-38.771102249999998</v>
          </cell>
        </row>
        <row r="3181">
          <cell r="A3181" t="str">
            <v>Maxaranguape</v>
          </cell>
          <cell r="B3181">
            <v>302308</v>
          </cell>
          <cell r="C3181">
            <v>-5.5183198490000001</v>
          </cell>
          <cell r="D3181">
            <v>-35.25797506</v>
          </cell>
        </row>
        <row r="3182">
          <cell r="A3182" t="str">
            <v>Maximiliano de Almeida</v>
          </cell>
          <cell r="B3182">
            <v>305589</v>
          </cell>
          <cell r="C3182">
            <v>-27.6329922</v>
          </cell>
          <cell r="D3182">
            <v>-51.802496619999999</v>
          </cell>
        </row>
        <row r="3183">
          <cell r="A3183" t="str">
            <v>Mayor Martinez</v>
          </cell>
          <cell r="B3183">
            <v>314406</v>
          </cell>
          <cell r="C3183">
            <v>-27.15846303</v>
          </cell>
          <cell r="D3183">
            <v>-58.219085550000003</v>
          </cell>
        </row>
        <row r="3184">
          <cell r="A3184" t="str">
            <v>Mazagão</v>
          </cell>
          <cell r="B3184">
            <v>304668</v>
          </cell>
          <cell r="C3184">
            <v>-0.113731422</v>
          </cell>
          <cell r="D3184">
            <v>-51.289523930000001</v>
          </cell>
        </row>
        <row r="3185">
          <cell r="A3185" t="str">
            <v>Mburucuyá</v>
          </cell>
          <cell r="B3185">
            <v>314293</v>
          </cell>
          <cell r="C3185">
            <v>-28.04424302</v>
          </cell>
          <cell r="D3185">
            <v>-58.226961490000001</v>
          </cell>
        </row>
        <row r="3186">
          <cell r="A3186" t="str">
            <v>Mbuyabey</v>
          </cell>
          <cell r="B3186">
            <v>314507</v>
          </cell>
          <cell r="C3186">
            <v>-26.22040981</v>
          </cell>
          <cell r="D3186">
            <v>-56.717681339999999</v>
          </cell>
        </row>
        <row r="3187">
          <cell r="A3187" t="str">
            <v>Medeiros</v>
          </cell>
          <cell r="B3187">
            <v>303319</v>
          </cell>
          <cell r="C3187">
            <v>-19.994498950000001</v>
          </cell>
          <cell r="D3187">
            <v>-46.22506576</v>
          </cell>
        </row>
        <row r="3188">
          <cell r="A3188" t="str">
            <v>Medeiros Neto</v>
          </cell>
          <cell r="B3188">
            <v>303589</v>
          </cell>
          <cell r="C3188">
            <v>-17.371145649999999</v>
          </cell>
          <cell r="D3188">
            <v>-40.224115179999998</v>
          </cell>
        </row>
        <row r="3189">
          <cell r="A3189" t="str">
            <v>Medianeira</v>
          </cell>
          <cell r="B3189">
            <v>305338</v>
          </cell>
          <cell r="C3189">
            <v>-25.29812755</v>
          </cell>
          <cell r="D3189">
            <v>-54.094760630000003</v>
          </cell>
        </row>
        <row r="3190">
          <cell r="A3190" t="str">
            <v>Medicilândia</v>
          </cell>
          <cell r="B3190">
            <v>304150</v>
          </cell>
          <cell r="C3190">
            <v>-3.4467635950000002</v>
          </cell>
          <cell r="D3190">
            <v>-52.887883629999997</v>
          </cell>
        </row>
        <row r="3191">
          <cell r="A3191" t="str">
            <v>Medina</v>
          </cell>
          <cell r="B3191">
            <v>301636</v>
          </cell>
          <cell r="C3191">
            <v>-16.22500037</v>
          </cell>
          <cell r="D3191">
            <v>-41.473110069999997</v>
          </cell>
        </row>
        <row r="3192">
          <cell r="A3192" t="str">
            <v>Meleiro</v>
          </cell>
          <cell r="B3192">
            <v>304111</v>
          </cell>
          <cell r="C3192">
            <v>-28.824916460000001</v>
          </cell>
          <cell r="D3192">
            <v>-49.638259349999998</v>
          </cell>
        </row>
        <row r="3193">
          <cell r="A3193" t="str">
            <v>Melgaço</v>
          </cell>
          <cell r="B3193">
            <v>304670</v>
          </cell>
          <cell r="C3193">
            <v>-1.8035827579999999</v>
          </cell>
          <cell r="D3193">
            <v>-50.715317829999996</v>
          </cell>
        </row>
        <row r="3194">
          <cell r="A3194" t="str">
            <v>Mendes</v>
          </cell>
          <cell r="B3194">
            <v>303150</v>
          </cell>
          <cell r="C3194">
            <v>-22.525031080000002</v>
          </cell>
          <cell r="D3194">
            <v>-43.73159098</v>
          </cell>
        </row>
        <row r="3195">
          <cell r="A3195" t="str">
            <v>Mendes Pimentel</v>
          </cell>
          <cell r="B3195">
            <v>302871</v>
          </cell>
          <cell r="C3195">
            <v>-18.66358919</v>
          </cell>
          <cell r="D3195">
            <v>-41.405578220000002</v>
          </cell>
        </row>
        <row r="3196">
          <cell r="A3196" t="str">
            <v>Mendonça</v>
          </cell>
          <cell r="B3196">
            <v>303856</v>
          </cell>
          <cell r="C3196">
            <v>-21.184083780000002</v>
          </cell>
          <cell r="D3196">
            <v>-49.579063429999998</v>
          </cell>
        </row>
        <row r="3197">
          <cell r="A3197" t="str">
            <v>Mendoza</v>
          </cell>
          <cell r="B3197">
            <v>314500</v>
          </cell>
          <cell r="C3197">
            <v>-6.3069746269999998</v>
          </cell>
          <cell r="D3197">
            <v>-77.425801809999996</v>
          </cell>
        </row>
        <row r="3198">
          <cell r="A3198" t="str">
            <v>Mercedes</v>
          </cell>
          <cell r="B3198">
            <v>305017</v>
          </cell>
          <cell r="C3198">
            <v>-24.454251660000001</v>
          </cell>
          <cell r="D3198">
            <v>-54.162275970000003</v>
          </cell>
        </row>
        <row r="3199">
          <cell r="A3199" t="str">
            <v>Mercedes</v>
          </cell>
          <cell r="B3199">
            <v>314296</v>
          </cell>
          <cell r="C3199">
            <v>-29.17806968</v>
          </cell>
          <cell r="D3199">
            <v>-58.084619969999999</v>
          </cell>
        </row>
        <row r="3200">
          <cell r="A3200" t="str">
            <v>Mercês</v>
          </cell>
          <cell r="B3200">
            <v>303093</v>
          </cell>
          <cell r="C3200">
            <v>-21.198064280000001</v>
          </cell>
          <cell r="D3200">
            <v>-43.334031719999999</v>
          </cell>
        </row>
        <row r="3201">
          <cell r="A3201" t="str">
            <v>Meridiano</v>
          </cell>
          <cell r="B3201">
            <v>303481</v>
          </cell>
          <cell r="C3201">
            <v>-20.349947490000002</v>
          </cell>
          <cell r="D3201">
            <v>-50.182092580000003</v>
          </cell>
        </row>
        <row r="3202">
          <cell r="A3202" t="str">
            <v>Meruoca</v>
          </cell>
          <cell r="B3202">
            <v>301330</v>
          </cell>
          <cell r="C3202">
            <v>-3.5401349899999999</v>
          </cell>
          <cell r="D3202">
            <v>-40.45343201</v>
          </cell>
        </row>
        <row r="3203">
          <cell r="A3203" t="str">
            <v>Mesópolis</v>
          </cell>
          <cell r="B3203">
            <v>304367</v>
          </cell>
          <cell r="C3203">
            <v>-19.969766379999999</v>
          </cell>
          <cell r="D3203">
            <v>-50.617007129999998</v>
          </cell>
        </row>
        <row r="3204">
          <cell r="A3204" t="str">
            <v>Mesquita</v>
          </cell>
          <cell r="B3204">
            <v>300947</v>
          </cell>
          <cell r="C3204">
            <v>-22.80329605</v>
          </cell>
          <cell r="D3204">
            <v>-43.460441170000003</v>
          </cell>
        </row>
        <row r="3205">
          <cell r="A3205" t="str">
            <v>Mesquita</v>
          </cell>
          <cell r="B3205">
            <v>302835</v>
          </cell>
          <cell r="C3205">
            <v>-19.2244952</v>
          </cell>
          <cell r="D3205">
            <v>-42.608236980000001</v>
          </cell>
        </row>
        <row r="3206">
          <cell r="A3206" t="str">
            <v>Messias</v>
          </cell>
          <cell r="B3206">
            <v>301472</v>
          </cell>
          <cell r="C3206">
            <v>-9.3942760490000001</v>
          </cell>
          <cell r="D3206">
            <v>-35.839478470000003</v>
          </cell>
        </row>
        <row r="3207">
          <cell r="A3207" t="str">
            <v>Messias Targino</v>
          </cell>
          <cell r="B3207">
            <v>300558</v>
          </cell>
          <cell r="C3207">
            <v>-6.07234637</v>
          </cell>
          <cell r="D3207">
            <v>-37.516123409999999</v>
          </cell>
        </row>
        <row r="3208">
          <cell r="A3208" t="str">
            <v>Miguel Alves</v>
          </cell>
          <cell r="B3208">
            <v>301647</v>
          </cell>
          <cell r="C3208">
            <v>-4.1689719109999999</v>
          </cell>
          <cell r="D3208">
            <v>-42.896643849999997</v>
          </cell>
        </row>
        <row r="3209">
          <cell r="A3209" t="str">
            <v>Miguel Calmon</v>
          </cell>
          <cell r="B3209">
            <v>301454</v>
          </cell>
          <cell r="C3209">
            <v>-11.43123529</v>
          </cell>
          <cell r="D3209">
            <v>-40.596863689999999</v>
          </cell>
        </row>
        <row r="3210">
          <cell r="A3210" t="str">
            <v>Miguel Leão</v>
          </cell>
          <cell r="B3210">
            <v>301818</v>
          </cell>
          <cell r="C3210">
            <v>-5.6827134380000004</v>
          </cell>
          <cell r="D3210">
            <v>-42.736420160000002</v>
          </cell>
        </row>
        <row r="3211">
          <cell r="A3211" t="str">
            <v>Miguel Pereira</v>
          </cell>
          <cell r="B3211">
            <v>303138</v>
          </cell>
          <cell r="C3211">
            <v>-22.45772543</v>
          </cell>
          <cell r="D3211">
            <v>-43.48064901</v>
          </cell>
        </row>
        <row r="3212">
          <cell r="A3212" t="str">
            <v>Miguelópolis</v>
          </cell>
          <cell r="B3212">
            <v>303351</v>
          </cell>
          <cell r="C3212">
            <v>-20.180077229999998</v>
          </cell>
          <cell r="D3212">
            <v>-48.031396039999997</v>
          </cell>
        </row>
        <row r="3213">
          <cell r="A3213" t="str">
            <v>Milagres</v>
          </cell>
          <cell r="B3213">
            <v>301547</v>
          </cell>
          <cell r="C3213">
            <v>-12.867092980000001</v>
          </cell>
          <cell r="D3213">
            <v>-39.861523409999997</v>
          </cell>
        </row>
        <row r="3214">
          <cell r="A3214" t="str">
            <v>Milagres</v>
          </cell>
          <cell r="B3214">
            <v>301173</v>
          </cell>
          <cell r="C3214">
            <v>-7.3008432519999999</v>
          </cell>
          <cell r="D3214">
            <v>-38.942084639999997</v>
          </cell>
        </row>
        <row r="3215">
          <cell r="A3215" t="str">
            <v>Milagres do Maranhão</v>
          </cell>
          <cell r="B3215">
            <v>301640</v>
          </cell>
          <cell r="C3215">
            <v>-3.5822019100000002</v>
          </cell>
          <cell r="D3215">
            <v>-42.607234589999997</v>
          </cell>
        </row>
        <row r="3216">
          <cell r="A3216" t="str">
            <v>Milhã</v>
          </cell>
          <cell r="B3216">
            <v>300918</v>
          </cell>
          <cell r="C3216">
            <v>-5.6729329389999998</v>
          </cell>
          <cell r="D3216">
            <v>-39.187801120000003</v>
          </cell>
        </row>
        <row r="3217">
          <cell r="A3217" t="str">
            <v>Milton Brandão</v>
          </cell>
          <cell r="B3217">
            <v>300887</v>
          </cell>
          <cell r="C3217">
            <v>-4.6833467039999999</v>
          </cell>
          <cell r="D3217">
            <v>-41.417676100000001</v>
          </cell>
        </row>
        <row r="3218">
          <cell r="A3218" t="str">
            <v>Mimoso de Goiás</v>
          </cell>
          <cell r="B3218">
            <v>302774</v>
          </cell>
          <cell r="C3218">
            <v>-15.055068220000001</v>
          </cell>
          <cell r="D3218">
            <v>-48.163230820000003</v>
          </cell>
        </row>
        <row r="3219">
          <cell r="A3219" t="str">
            <v>Mimoso do Sul</v>
          </cell>
          <cell r="B3219">
            <v>302633</v>
          </cell>
          <cell r="C3219">
            <v>-21.063259989999999</v>
          </cell>
          <cell r="D3219">
            <v>-41.361884209999999</v>
          </cell>
        </row>
        <row r="3220">
          <cell r="A3220" t="str">
            <v>Minaçu</v>
          </cell>
          <cell r="B3220">
            <v>302298</v>
          </cell>
          <cell r="C3220">
            <v>-13.530852749999999</v>
          </cell>
          <cell r="D3220">
            <v>-48.220966509999997</v>
          </cell>
        </row>
        <row r="3221">
          <cell r="A3221" t="str">
            <v>Minador do Negrão</v>
          </cell>
          <cell r="B3221">
            <v>301200</v>
          </cell>
          <cell r="C3221">
            <v>-9.3078054039999998</v>
          </cell>
          <cell r="D3221">
            <v>-36.866017360000001</v>
          </cell>
        </row>
        <row r="3222">
          <cell r="A3222" t="str">
            <v>Minas do Leão</v>
          </cell>
          <cell r="B3222">
            <v>305514</v>
          </cell>
          <cell r="C3222">
            <v>-30.12697983</v>
          </cell>
          <cell r="D3222">
            <v>-52.047940740000001</v>
          </cell>
        </row>
        <row r="3223">
          <cell r="A3223" t="str">
            <v>Minas Novas</v>
          </cell>
          <cell r="B3223">
            <v>302659</v>
          </cell>
          <cell r="C3223">
            <v>-17.21606787</v>
          </cell>
          <cell r="D3223">
            <v>-42.58879074</v>
          </cell>
        </row>
        <row r="3224">
          <cell r="A3224" t="str">
            <v>Minduri</v>
          </cell>
          <cell r="B3224">
            <v>303171</v>
          </cell>
          <cell r="C3224">
            <v>-21.68019215</v>
          </cell>
          <cell r="D3224">
            <v>-44.60547588</v>
          </cell>
        </row>
        <row r="3225">
          <cell r="A3225" t="str">
            <v>Mineiros</v>
          </cell>
          <cell r="B3225">
            <v>304785</v>
          </cell>
          <cell r="C3225">
            <v>-17.565834760000001</v>
          </cell>
          <cell r="D3225">
            <v>-52.55409255</v>
          </cell>
        </row>
        <row r="3226">
          <cell r="A3226" t="str">
            <v>Mineiros do Tietê</v>
          </cell>
          <cell r="B3226">
            <v>304593</v>
          </cell>
          <cell r="C3226">
            <v>-22.412478249999999</v>
          </cell>
          <cell r="D3226">
            <v>-48.451405870000002</v>
          </cell>
        </row>
        <row r="3227">
          <cell r="A3227" t="str">
            <v>Ministro Andreazza</v>
          </cell>
          <cell r="B3227">
            <v>304282</v>
          </cell>
          <cell r="C3227">
            <v>-11.196370440000001</v>
          </cell>
          <cell r="D3227">
            <v>-61.51789179</v>
          </cell>
        </row>
        <row r="3228">
          <cell r="A3228" t="str">
            <v>Mira Estrela</v>
          </cell>
          <cell r="B3228">
            <v>303476</v>
          </cell>
          <cell r="C3228">
            <v>-19.978993549999998</v>
          </cell>
          <cell r="D3228">
            <v>-50.136948250000003</v>
          </cell>
        </row>
        <row r="3229">
          <cell r="A3229" t="str">
            <v>Mirabela</v>
          </cell>
          <cell r="B3229">
            <v>302188</v>
          </cell>
          <cell r="C3229">
            <v>-16.251961990000002</v>
          </cell>
          <cell r="D3229">
            <v>-44.162601879999997</v>
          </cell>
        </row>
        <row r="3230">
          <cell r="A3230" t="str">
            <v>Miracatu</v>
          </cell>
          <cell r="B3230">
            <v>303789</v>
          </cell>
          <cell r="C3230">
            <v>-24.277118189999999</v>
          </cell>
          <cell r="D3230">
            <v>-47.462865000000001</v>
          </cell>
        </row>
        <row r="3231">
          <cell r="A3231" t="str">
            <v>Miracema</v>
          </cell>
          <cell r="B3231">
            <v>304914</v>
          </cell>
          <cell r="C3231">
            <v>-21.415330560000001</v>
          </cell>
          <cell r="D3231">
            <v>-42.194194099999997</v>
          </cell>
        </row>
        <row r="3232">
          <cell r="A3232" t="str">
            <v>Miracema do Tocantins</v>
          </cell>
          <cell r="B3232">
            <v>302237</v>
          </cell>
          <cell r="C3232">
            <v>-9.5659777659999996</v>
          </cell>
          <cell r="D3232">
            <v>-48.393362179999997</v>
          </cell>
        </row>
        <row r="3233">
          <cell r="A3233" t="str">
            <v>Mirador</v>
          </cell>
          <cell r="B3233">
            <v>301866</v>
          </cell>
          <cell r="C3233">
            <v>-6.3749518820000004</v>
          </cell>
          <cell r="D3233">
            <v>-44.368629810000002</v>
          </cell>
        </row>
        <row r="3234">
          <cell r="A3234" t="str">
            <v>Mirador</v>
          </cell>
          <cell r="B3234">
            <v>304870</v>
          </cell>
          <cell r="C3234">
            <v>-23.255413010000002</v>
          </cell>
          <cell r="D3234">
            <v>-52.776518639999999</v>
          </cell>
        </row>
        <row r="3235">
          <cell r="A3235" t="str">
            <v>Miradouro</v>
          </cell>
          <cell r="B3235">
            <v>302734</v>
          </cell>
          <cell r="C3235">
            <v>-20.890426250000001</v>
          </cell>
          <cell r="D3235">
            <v>-42.346198919999999</v>
          </cell>
        </row>
        <row r="3236">
          <cell r="A3236" t="str">
            <v>Miraguaí</v>
          </cell>
          <cell r="B3236">
            <v>305412</v>
          </cell>
          <cell r="C3236">
            <v>-27.4974378</v>
          </cell>
          <cell r="D3236">
            <v>-53.689536830000002</v>
          </cell>
        </row>
        <row r="3237">
          <cell r="A3237" t="str">
            <v>Miraí</v>
          </cell>
          <cell r="B3237">
            <v>303255</v>
          </cell>
          <cell r="C3237">
            <v>-21.20262086</v>
          </cell>
          <cell r="D3237">
            <v>-42.612573589999997</v>
          </cell>
        </row>
        <row r="3238">
          <cell r="A3238" t="str">
            <v>Miraíma</v>
          </cell>
          <cell r="B3238">
            <v>300705</v>
          </cell>
          <cell r="C3238">
            <v>-3.5692121299999999</v>
          </cell>
          <cell r="D3238">
            <v>-39.96839902</v>
          </cell>
        </row>
        <row r="3239">
          <cell r="A3239" t="str">
            <v>Miranda</v>
          </cell>
          <cell r="B3239">
            <v>305601</v>
          </cell>
          <cell r="C3239">
            <v>-20.235953219999999</v>
          </cell>
          <cell r="D3239">
            <v>-56.375042929999999</v>
          </cell>
        </row>
        <row r="3240">
          <cell r="A3240" t="str">
            <v>Miranda do Norte</v>
          </cell>
          <cell r="B3240">
            <v>301704</v>
          </cell>
          <cell r="C3240">
            <v>-3.5635216079999998</v>
          </cell>
          <cell r="D3240">
            <v>-44.581802690000004</v>
          </cell>
        </row>
        <row r="3241">
          <cell r="A3241" t="str">
            <v>Mirandiba</v>
          </cell>
          <cell r="B3241">
            <v>300858</v>
          </cell>
          <cell r="C3241">
            <v>-8.121554089</v>
          </cell>
          <cell r="D3241">
            <v>-38.739157570000003</v>
          </cell>
        </row>
        <row r="3242">
          <cell r="A3242" t="str">
            <v>Mirandópolis</v>
          </cell>
          <cell r="B3242">
            <v>304476</v>
          </cell>
          <cell r="C3242">
            <v>-21.131805870000001</v>
          </cell>
          <cell r="D3242">
            <v>-51.103921010000001</v>
          </cell>
        </row>
        <row r="3243">
          <cell r="A3243" t="str">
            <v>Mirangaba</v>
          </cell>
          <cell r="B3243">
            <v>301451</v>
          </cell>
          <cell r="C3243">
            <v>-10.954261049999999</v>
          </cell>
          <cell r="D3243">
            <v>-40.574814600000003</v>
          </cell>
        </row>
        <row r="3244">
          <cell r="A3244" t="str">
            <v>Miranorte</v>
          </cell>
          <cell r="B3244">
            <v>302239</v>
          </cell>
          <cell r="C3244">
            <v>-9.5294893750000007</v>
          </cell>
          <cell r="D3244">
            <v>-48.592605349999999</v>
          </cell>
        </row>
        <row r="3245">
          <cell r="A3245" t="str">
            <v>Mirante</v>
          </cell>
          <cell r="B3245">
            <v>301570</v>
          </cell>
          <cell r="C3245">
            <v>-14.240503439999999</v>
          </cell>
          <cell r="D3245">
            <v>-40.77310671</v>
          </cell>
        </row>
        <row r="3246">
          <cell r="A3246" t="str">
            <v>Mirante da Serra</v>
          </cell>
          <cell r="B3246">
            <v>304301</v>
          </cell>
          <cell r="C3246">
            <v>-11.029375590000001</v>
          </cell>
          <cell r="D3246">
            <v>-62.670052179999999</v>
          </cell>
        </row>
        <row r="3247">
          <cell r="A3247" t="str">
            <v>Mirante do Paranapanema</v>
          </cell>
          <cell r="B3247">
            <v>304705</v>
          </cell>
          <cell r="C3247">
            <v>-22.290888970000001</v>
          </cell>
          <cell r="D3247">
            <v>-51.908779340000002</v>
          </cell>
        </row>
        <row r="3248">
          <cell r="A3248" t="str">
            <v>Miraselva</v>
          </cell>
          <cell r="B3248">
            <v>304695</v>
          </cell>
          <cell r="C3248">
            <v>-22.966127839999999</v>
          </cell>
          <cell r="D3248">
            <v>-51.485034839999997</v>
          </cell>
        </row>
        <row r="3249">
          <cell r="A3249" t="str">
            <v>Mirassol</v>
          </cell>
          <cell r="B3249">
            <v>303427</v>
          </cell>
          <cell r="C3249">
            <v>-20.817337800000001</v>
          </cell>
          <cell r="D3249">
            <v>-49.521020270000001</v>
          </cell>
        </row>
        <row r="3250">
          <cell r="A3250" t="str">
            <v>Mirassol d'Oeste</v>
          </cell>
          <cell r="B3250">
            <v>304680</v>
          </cell>
          <cell r="C3250">
            <v>-15.67458832</v>
          </cell>
          <cell r="D3250">
            <v>-58.089572500000003</v>
          </cell>
        </row>
        <row r="3251">
          <cell r="A3251" t="str">
            <v>Mirassolândia</v>
          </cell>
          <cell r="B3251">
            <v>303425</v>
          </cell>
          <cell r="C3251">
            <v>-20.616992419999999</v>
          </cell>
          <cell r="D3251">
            <v>-49.463949049999997</v>
          </cell>
        </row>
        <row r="3252">
          <cell r="A3252" t="str">
            <v>Miravânia</v>
          </cell>
          <cell r="B3252">
            <v>302171</v>
          </cell>
          <cell r="C3252">
            <v>-14.7430529</v>
          </cell>
          <cell r="D3252">
            <v>-44.417681250000001</v>
          </cell>
        </row>
        <row r="3253">
          <cell r="A3253" t="str">
            <v>Mirim Doce</v>
          </cell>
          <cell r="B3253">
            <v>304618</v>
          </cell>
          <cell r="C3253">
            <v>-27.19748079</v>
          </cell>
          <cell r="D3253">
            <v>-50.079057730000002</v>
          </cell>
        </row>
        <row r="3254">
          <cell r="A3254" t="str">
            <v>Mirinzal</v>
          </cell>
          <cell r="B3254">
            <v>301665</v>
          </cell>
          <cell r="C3254">
            <v>-2.0671932210000001</v>
          </cell>
          <cell r="D3254">
            <v>-44.784690769999997</v>
          </cell>
        </row>
        <row r="3255">
          <cell r="A3255" t="str">
            <v>Missal</v>
          </cell>
          <cell r="B3255">
            <v>305023</v>
          </cell>
          <cell r="C3255">
            <v>-25.09231668</v>
          </cell>
          <cell r="D3255">
            <v>-54.248116779999997</v>
          </cell>
        </row>
        <row r="3256">
          <cell r="A3256" t="str">
            <v>Missão Velha</v>
          </cell>
          <cell r="B3256">
            <v>301176</v>
          </cell>
          <cell r="C3256">
            <v>-7.2488909990000003</v>
          </cell>
          <cell r="D3256">
            <v>-39.140543950000001</v>
          </cell>
        </row>
        <row r="3257">
          <cell r="A3257" t="str">
            <v>Mitu</v>
          </cell>
          <cell r="B3257">
            <v>314437</v>
          </cell>
          <cell r="C3257">
            <v>1.2648011050000001</v>
          </cell>
          <cell r="D3257">
            <v>-70.211796879999994</v>
          </cell>
        </row>
        <row r="3258">
          <cell r="A3258" t="str">
            <v>Mocajuba</v>
          </cell>
          <cell r="B3258">
            <v>301947</v>
          </cell>
          <cell r="C3258">
            <v>-2.5834833210000001</v>
          </cell>
          <cell r="D3258">
            <v>-49.50460794</v>
          </cell>
        </row>
        <row r="3259">
          <cell r="A3259" t="str">
            <v>Mococa</v>
          </cell>
          <cell r="B3259">
            <v>303520</v>
          </cell>
          <cell r="C3259">
            <v>-21.46520284</v>
          </cell>
          <cell r="D3259">
            <v>-47.002800649999998</v>
          </cell>
        </row>
        <row r="3260">
          <cell r="A3260" t="str">
            <v>Modelo</v>
          </cell>
          <cell r="B3260">
            <v>305307</v>
          </cell>
          <cell r="C3260">
            <v>-26.773392640000001</v>
          </cell>
          <cell r="D3260">
            <v>-53.04040792</v>
          </cell>
        </row>
        <row r="3261">
          <cell r="A3261" t="str">
            <v>Moeda</v>
          </cell>
          <cell r="B3261">
            <v>302924</v>
          </cell>
          <cell r="C3261">
            <v>-20.34034256</v>
          </cell>
          <cell r="D3261">
            <v>-44.051319659999997</v>
          </cell>
        </row>
        <row r="3262">
          <cell r="A3262" t="str">
            <v>Moema</v>
          </cell>
          <cell r="B3262">
            <v>303008</v>
          </cell>
          <cell r="C3262">
            <v>-19.84162362</v>
          </cell>
          <cell r="D3262">
            <v>-45.414530290000002</v>
          </cell>
        </row>
        <row r="3263">
          <cell r="A3263" t="str">
            <v>Mogeiro</v>
          </cell>
          <cell r="B3263">
            <v>300671</v>
          </cell>
          <cell r="C3263">
            <v>-7.2955042299999997</v>
          </cell>
          <cell r="D3263">
            <v>-35.48016191</v>
          </cell>
        </row>
        <row r="3264">
          <cell r="A3264" t="str">
            <v>Mogi das Cruzes</v>
          </cell>
          <cell r="B3264">
            <v>303930</v>
          </cell>
          <cell r="C3264">
            <v>-23.521300320000002</v>
          </cell>
          <cell r="D3264">
            <v>-46.185805969999997</v>
          </cell>
        </row>
        <row r="3265">
          <cell r="A3265" t="str">
            <v>Mogi Guaçu</v>
          </cell>
          <cell r="B3265">
            <v>303640</v>
          </cell>
          <cell r="C3265">
            <v>-22.367927869999999</v>
          </cell>
          <cell r="D3265">
            <v>-46.943197750000003</v>
          </cell>
        </row>
        <row r="3266">
          <cell r="A3266" t="str">
            <v>Moiporá</v>
          </cell>
          <cell r="B3266">
            <v>304979</v>
          </cell>
          <cell r="C3266">
            <v>-16.54488568</v>
          </cell>
          <cell r="D3266">
            <v>-50.738707439999999</v>
          </cell>
        </row>
        <row r="3267">
          <cell r="A3267" t="str">
            <v>Moita Bonita</v>
          </cell>
          <cell r="B3267">
            <v>301246</v>
          </cell>
          <cell r="C3267">
            <v>-10.579109430000001</v>
          </cell>
          <cell r="D3267">
            <v>-37.343104439999998</v>
          </cell>
        </row>
        <row r="3268">
          <cell r="A3268" t="str">
            <v>Moji Mirim</v>
          </cell>
          <cell r="B3268">
            <v>303641</v>
          </cell>
          <cell r="C3268">
            <v>-22.43235305</v>
          </cell>
          <cell r="D3268">
            <v>-46.950911980000001</v>
          </cell>
        </row>
        <row r="3269">
          <cell r="A3269" t="str">
            <v>Moju</v>
          </cell>
          <cell r="B3269">
            <v>301937</v>
          </cell>
          <cell r="C3269">
            <v>-1.890307663</v>
          </cell>
          <cell r="D3269">
            <v>-48.767144360000003</v>
          </cell>
        </row>
        <row r="3270">
          <cell r="A3270" t="str">
            <v>Mojuí dos Campos</v>
          </cell>
          <cell r="B3270">
            <v>300360</v>
          </cell>
          <cell r="C3270">
            <v>-2.6819360969999999</v>
          </cell>
          <cell r="D3270">
            <v>-54.65151195</v>
          </cell>
        </row>
        <row r="3271">
          <cell r="A3271" t="str">
            <v>Mombaça</v>
          </cell>
          <cell r="B3271">
            <v>300924</v>
          </cell>
          <cell r="C3271">
            <v>-5.7388500999999996</v>
          </cell>
          <cell r="D3271">
            <v>-39.630330270000002</v>
          </cell>
        </row>
        <row r="3272">
          <cell r="A3272" t="str">
            <v>Mombuca</v>
          </cell>
          <cell r="B3272">
            <v>303910</v>
          </cell>
          <cell r="C3272">
            <v>-22.92901604</v>
          </cell>
          <cell r="D3272">
            <v>-47.559360499999997</v>
          </cell>
        </row>
        <row r="3273">
          <cell r="A3273" t="str">
            <v>Monção</v>
          </cell>
          <cell r="B3273">
            <v>303579</v>
          </cell>
          <cell r="C3273">
            <v>-3.4816458699999999</v>
          </cell>
          <cell r="D3273">
            <v>-45.249957969999997</v>
          </cell>
        </row>
        <row r="3274">
          <cell r="A3274" t="str">
            <v>Monções</v>
          </cell>
          <cell r="B3274">
            <v>303491</v>
          </cell>
          <cell r="C3274">
            <v>-20.849992270000001</v>
          </cell>
          <cell r="D3274">
            <v>-50.091948029999998</v>
          </cell>
        </row>
        <row r="3275">
          <cell r="A3275" t="str">
            <v>Mondaí</v>
          </cell>
          <cell r="B3275">
            <v>305321</v>
          </cell>
          <cell r="C3275">
            <v>-27.101253060000001</v>
          </cell>
          <cell r="D3275">
            <v>-53.403632459999997</v>
          </cell>
        </row>
        <row r="3276">
          <cell r="A3276" t="str">
            <v>Mongaguá</v>
          </cell>
          <cell r="B3276">
            <v>303725</v>
          </cell>
          <cell r="C3276">
            <v>-24.08698644</v>
          </cell>
          <cell r="D3276">
            <v>-46.628952200000001</v>
          </cell>
        </row>
        <row r="3277">
          <cell r="A3277" t="str">
            <v>Monjolos</v>
          </cell>
          <cell r="B3277">
            <v>302949</v>
          </cell>
          <cell r="C3277">
            <v>-18.32493865</v>
          </cell>
          <cell r="D3277">
            <v>-44.118344579999999</v>
          </cell>
        </row>
        <row r="3278">
          <cell r="A3278" t="str">
            <v>Monsenhor Gil</v>
          </cell>
          <cell r="B3278">
            <v>301816</v>
          </cell>
          <cell r="C3278">
            <v>-5.5624043399999996</v>
          </cell>
          <cell r="D3278">
            <v>-42.607834619999998</v>
          </cell>
        </row>
        <row r="3279">
          <cell r="A3279" t="str">
            <v>Monsenhor Hipólito</v>
          </cell>
          <cell r="B3279">
            <v>301034</v>
          </cell>
          <cell r="C3279">
            <v>-6.9958200430000002</v>
          </cell>
          <cell r="D3279">
            <v>-41.030016250000003</v>
          </cell>
        </row>
        <row r="3280">
          <cell r="A3280" t="str">
            <v>Monsenhor Paulo</v>
          </cell>
          <cell r="B3280">
            <v>303225</v>
          </cell>
          <cell r="C3280">
            <v>-21.75836125</v>
          </cell>
          <cell r="D3280">
            <v>-45.539441539999999</v>
          </cell>
        </row>
        <row r="3281">
          <cell r="A3281" t="str">
            <v>Monsenhor Tabosa</v>
          </cell>
          <cell r="B3281">
            <v>300860</v>
          </cell>
          <cell r="C3281">
            <v>-4.7914240130000003</v>
          </cell>
          <cell r="D3281">
            <v>-40.064960829999997</v>
          </cell>
        </row>
        <row r="3282">
          <cell r="A3282" t="str">
            <v>Montadas</v>
          </cell>
          <cell r="B3282">
            <v>300630</v>
          </cell>
          <cell r="C3282">
            <v>-7.0889007739999998</v>
          </cell>
          <cell r="D3282">
            <v>-35.959494079999999</v>
          </cell>
        </row>
        <row r="3283">
          <cell r="A3283" t="str">
            <v>Montalvânia</v>
          </cell>
          <cell r="B3283">
            <v>302167</v>
          </cell>
          <cell r="C3283">
            <v>-14.423847950000001</v>
          </cell>
          <cell r="D3283">
            <v>-44.369938470000001</v>
          </cell>
        </row>
        <row r="3284">
          <cell r="A3284" t="str">
            <v>Montanha</v>
          </cell>
          <cell r="B3284">
            <v>302468</v>
          </cell>
          <cell r="C3284">
            <v>-18.130759789999999</v>
          </cell>
          <cell r="D3284">
            <v>-40.367122649999999</v>
          </cell>
        </row>
        <row r="3285">
          <cell r="A3285" t="str">
            <v>Montanhas</v>
          </cell>
          <cell r="B3285">
            <v>300424</v>
          </cell>
          <cell r="C3285">
            <v>-6.4856322799999999</v>
          </cell>
          <cell r="D3285">
            <v>-35.284448279999999</v>
          </cell>
        </row>
        <row r="3286">
          <cell r="A3286" t="str">
            <v>Montauri</v>
          </cell>
          <cell r="B3286">
            <v>305210</v>
          </cell>
          <cell r="C3286">
            <v>-28.646636090000001</v>
          </cell>
          <cell r="D3286">
            <v>-52.077181609999997</v>
          </cell>
        </row>
        <row r="3287">
          <cell r="A3287" t="str">
            <v>Monte Alegre</v>
          </cell>
          <cell r="B3287">
            <v>302321</v>
          </cell>
          <cell r="C3287">
            <v>-6.0691740799999998</v>
          </cell>
          <cell r="D3287">
            <v>-35.332573369999999</v>
          </cell>
        </row>
        <row r="3288">
          <cell r="A3288" t="str">
            <v>Monte Alegre</v>
          </cell>
          <cell r="B3288">
            <v>304148</v>
          </cell>
          <cell r="C3288">
            <v>-1.998059987</v>
          </cell>
          <cell r="D3288">
            <v>-54.07279561</v>
          </cell>
        </row>
        <row r="3289">
          <cell r="A3289" t="str">
            <v>Monte Alegre de Goiás</v>
          </cell>
          <cell r="B3289">
            <v>303051</v>
          </cell>
          <cell r="C3289">
            <v>-13.25828437</v>
          </cell>
          <cell r="D3289">
            <v>-46.891497299999997</v>
          </cell>
        </row>
        <row r="3290">
          <cell r="A3290" t="str">
            <v>Monte Alegre de Minas</v>
          </cell>
          <cell r="B3290">
            <v>303369</v>
          </cell>
          <cell r="C3290">
            <v>-18.870994809999999</v>
          </cell>
          <cell r="D3290">
            <v>-48.880950480000003</v>
          </cell>
        </row>
        <row r="3291">
          <cell r="A3291" t="str">
            <v>Monte Alegre de Sergipe</v>
          </cell>
          <cell r="B3291">
            <v>301228</v>
          </cell>
          <cell r="C3291">
            <v>-10.02600926</v>
          </cell>
          <cell r="D3291">
            <v>-37.561914729999998</v>
          </cell>
        </row>
        <row r="3292">
          <cell r="A3292" t="str">
            <v>Monte Alegre do Piauí</v>
          </cell>
          <cell r="B3292">
            <v>302075</v>
          </cell>
          <cell r="C3292">
            <v>-9.7540640310000004</v>
          </cell>
          <cell r="D3292">
            <v>-45.30409787</v>
          </cell>
        </row>
        <row r="3293">
          <cell r="A3293" t="str">
            <v>Monte Alegre do Sul</v>
          </cell>
          <cell r="B3293">
            <v>303644</v>
          </cell>
          <cell r="C3293">
            <v>-22.682175489999999</v>
          </cell>
          <cell r="D3293">
            <v>-46.681376880000002</v>
          </cell>
        </row>
        <row r="3294">
          <cell r="A3294" t="str">
            <v>Monte Alegre dos Campos</v>
          </cell>
          <cell r="B3294">
            <v>305143</v>
          </cell>
          <cell r="C3294">
            <v>-28.68097444</v>
          </cell>
          <cell r="D3294">
            <v>-50.783830369999997</v>
          </cell>
        </row>
        <row r="3295">
          <cell r="A3295" t="str">
            <v>Monte Alto</v>
          </cell>
          <cell r="B3295">
            <v>303807</v>
          </cell>
          <cell r="C3295">
            <v>-21.26601265</v>
          </cell>
          <cell r="D3295">
            <v>-48.497470929999999</v>
          </cell>
        </row>
        <row r="3296">
          <cell r="A3296" t="str">
            <v>Monte Aprazível</v>
          </cell>
          <cell r="B3296">
            <v>303434</v>
          </cell>
          <cell r="C3296">
            <v>-20.772992259999999</v>
          </cell>
          <cell r="D3296">
            <v>-49.713948619999996</v>
          </cell>
        </row>
        <row r="3297">
          <cell r="A3297" t="str">
            <v>Monte Azul</v>
          </cell>
          <cell r="B3297">
            <v>302126</v>
          </cell>
          <cell r="C3297">
            <v>-15.151817230000001</v>
          </cell>
          <cell r="D3297">
            <v>-42.872122019999999</v>
          </cell>
        </row>
        <row r="3298">
          <cell r="A3298" t="str">
            <v>Monte Azul Paulista</v>
          </cell>
          <cell r="B3298">
            <v>303629</v>
          </cell>
          <cell r="C3298">
            <v>-20.906956180000002</v>
          </cell>
          <cell r="D3298">
            <v>-48.639121869999997</v>
          </cell>
        </row>
        <row r="3299">
          <cell r="A3299" t="str">
            <v>Monte Belo</v>
          </cell>
          <cell r="B3299">
            <v>303498</v>
          </cell>
          <cell r="C3299">
            <v>-21.32755689</v>
          </cell>
          <cell r="D3299">
            <v>-46.363852999999999</v>
          </cell>
        </row>
        <row r="3300">
          <cell r="A3300" t="str">
            <v>Monte Belo do Sul</v>
          </cell>
          <cell r="B3300">
            <v>305190</v>
          </cell>
          <cell r="C3300">
            <v>-29.161217440000001</v>
          </cell>
          <cell r="D3300">
            <v>-51.633715989999999</v>
          </cell>
        </row>
        <row r="3301">
          <cell r="A3301" t="str">
            <v>Monte Carlo</v>
          </cell>
          <cell r="B3301">
            <v>305076</v>
          </cell>
          <cell r="C3301">
            <v>-27.224392030000001</v>
          </cell>
          <cell r="D3301">
            <v>-50.981225709999997</v>
          </cell>
        </row>
        <row r="3302">
          <cell r="A3302" t="str">
            <v>Monte Carmelo</v>
          </cell>
          <cell r="B3302">
            <v>304946</v>
          </cell>
          <cell r="C3302">
            <v>-18.730706399999999</v>
          </cell>
          <cell r="D3302">
            <v>-47.49162003</v>
          </cell>
        </row>
        <row r="3303">
          <cell r="A3303" t="str">
            <v>Monte Caseros</v>
          </cell>
          <cell r="B3303">
            <v>314309</v>
          </cell>
          <cell r="C3303">
            <v>-30.251142250000001</v>
          </cell>
          <cell r="D3303">
            <v>-57.65324279</v>
          </cell>
        </row>
        <row r="3304">
          <cell r="A3304" t="str">
            <v>Monte Castelo</v>
          </cell>
          <cell r="B3304">
            <v>305744</v>
          </cell>
          <cell r="C3304">
            <v>-21.298552180000001</v>
          </cell>
          <cell r="D3304">
            <v>-51.568313330000002</v>
          </cell>
        </row>
        <row r="3305">
          <cell r="A3305" t="str">
            <v>Monte Castelo</v>
          </cell>
          <cell r="B3305">
            <v>304610</v>
          </cell>
          <cell r="C3305">
            <v>-26.461465740000001</v>
          </cell>
          <cell r="D3305">
            <v>-50.23315693</v>
          </cell>
        </row>
        <row r="3306">
          <cell r="A3306" t="str">
            <v>Monte das Gameleiras</v>
          </cell>
          <cell r="B3306">
            <v>300565</v>
          </cell>
          <cell r="C3306">
            <v>-6.437394683</v>
          </cell>
          <cell r="D3306">
            <v>-35.783426949999999</v>
          </cell>
        </row>
        <row r="3307">
          <cell r="A3307" t="str">
            <v>Monte do Carmo</v>
          </cell>
          <cell r="B3307">
            <v>302220</v>
          </cell>
          <cell r="C3307">
            <v>-10.76148167</v>
          </cell>
          <cell r="D3307">
            <v>-48.111807859999999</v>
          </cell>
        </row>
        <row r="3308">
          <cell r="A3308" t="str">
            <v>Monte Formoso</v>
          </cell>
          <cell r="B3308">
            <v>302480</v>
          </cell>
          <cell r="C3308">
            <v>-16.868060570000001</v>
          </cell>
          <cell r="D3308">
            <v>-41.254675200000001</v>
          </cell>
        </row>
        <row r="3309">
          <cell r="A3309" t="str">
            <v>Monte Horebe</v>
          </cell>
          <cell r="B3309">
            <v>300808</v>
          </cell>
          <cell r="C3309">
            <v>-7.2155923690000003</v>
          </cell>
          <cell r="D3309">
            <v>-38.586041479999999</v>
          </cell>
        </row>
        <row r="3310">
          <cell r="A3310" t="str">
            <v>Monte Mor</v>
          </cell>
          <cell r="B3310">
            <v>303906</v>
          </cell>
          <cell r="C3310">
            <v>-22.945518719999999</v>
          </cell>
          <cell r="D3310">
            <v>-47.3125839</v>
          </cell>
        </row>
        <row r="3311">
          <cell r="A3311" t="str">
            <v>Monte Negro</v>
          </cell>
          <cell r="B3311">
            <v>304324</v>
          </cell>
          <cell r="C3311">
            <v>-10.25940396</v>
          </cell>
          <cell r="D3311">
            <v>-63.298341669999999</v>
          </cell>
        </row>
        <row r="3312">
          <cell r="A3312" t="str">
            <v>Monte Santo</v>
          </cell>
          <cell r="B3312">
            <v>301482</v>
          </cell>
          <cell r="C3312">
            <v>-10.43784887</v>
          </cell>
          <cell r="D3312">
            <v>-39.332399899999999</v>
          </cell>
        </row>
        <row r="3313">
          <cell r="A3313" t="str">
            <v>Monte Santo de Minas</v>
          </cell>
          <cell r="B3313">
            <v>303517</v>
          </cell>
          <cell r="C3313">
            <v>-21.187781000000001</v>
          </cell>
          <cell r="D3313">
            <v>-46.97570872</v>
          </cell>
        </row>
        <row r="3314">
          <cell r="A3314" t="str">
            <v>Monte Santo do Tocantins</v>
          </cell>
          <cell r="B3314">
            <v>302244</v>
          </cell>
          <cell r="C3314">
            <v>-10.006308089999999</v>
          </cell>
          <cell r="D3314">
            <v>-48.992267679999998</v>
          </cell>
        </row>
        <row r="3315">
          <cell r="A3315" t="str">
            <v>Monte Sião</v>
          </cell>
          <cell r="B3315">
            <v>303542</v>
          </cell>
          <cell r="C3315">
            <v>-22.43401398</v>
          </cell>
          <cell r="D3315">
            <v>-46.57337544</v>
          </cell>
        </row>
        <row r="3316">
          <cell r="A3316" t="str">
            <v>Monteiro</v>
          </cell>
          <cell r="B3316">
            <v>300775</v>
          </cell>
          <cell r="C3316">
            <v>-7.8946564629999996</v>
          </cell>
          <cell r="D3316">
            <v>-37.122100439999997</v>
          </cell>
        </row>
        <row r="3317">
          <cell r="A3317" t="str">
            <v>Monteiro Lobato</v>
          </cell>
          <cell r="B3317">
            <v>303276</v>
          </cell>
          <cell r="C3317">
            <v>-22.954892430000001</v>
          </cell>
          <cell r="D3317">
            <v>-45.841052929999996</v>
          </cell>
        </row>
        <row r="3318">
          <cell r="A3318" t="str">
            <v>Monteirópolis</v>
          </cell>
          <cell r="B3318">
            <v>301215</v>
          </cell>
          <cell r="C3318">
            <v>-9.6040020790000007</v>
          </cell>
          <cell r="D3318">
            <v>-37.250770060000001</v>
          </cell>
        </row>
        <row r="3319">
          <cell r="A3319" t="str">
            <v>Montenegro</v>
          </cell>
          <cell r="B3319">
            <v>305769</v>
          </cell>
          <cell r="C3319">
            <v>-29.68723628</v>
          </cell>
          <cell r="D3319">
            <v>-51.460345150000002</v>
          </cell>
        </row>
        <row r="3320">
          <cell r="A3320" t="str">
            <v>Montes Altos</v>
          </cell>
          <cell r="B3320">
            <v>301957</v>
          </cell>
          <cell r="C3320">
            <v>-5.8310690899999997</v>
          </cell>
          <cell r="D3320">
            <v>-47.06766468</v>
          </cell>
        </row>
        <row r="3321">
          <cell r="A3321" t="str">
            <v>Montes Claros</v>
          </cell>
          <cell r="B3321">
            <v>302156</v>
          </cell>
          <cell r="C3321">
            <v>-16.728637549999998</v>
          </cell>
          <cell r="D3321">
            <v>-43.858172590000002</v>
          </cell>
        </row>
        <row r="3322">
          <cell r="A3322" t="str">
            <v>Montes Claros de Goiás</v>
          </cell>
          <cell r="B3322">
            <v>304517</v>
          </cell>
          <cell r="C3322">
            <v>-16.006389859999999</v>
          </cell>
          <cell r="D3322">
            <v>-51.398288360000002</v>
          </cell>
        </row>
        <row r="3323">
          <cell r="A3323" t="str">
            <v>Montevideo</v>
          </cell>
          <cell r="B3323">
            <v>295795</v>
          </cell>
          <cell r="C3323">
            <v>-34.860932009999999</v>
          </cell>
          <cell r="D3323">
            <v>-56.171023429999998</v>
          </cell>
        </row>
        <row r="3324">
          <cell r="A3324" t="str">
            <v>Montezuma</v>
          </cell>
          <cell r="B3324">
            <v>302123</v>
          </cell>
          <cell r="C3324">
            <v>-15.17530253</v>
          </cell>
          <cell r="D3324">
            <v>-42.500948139999998</v>
          </cell>
        </row>
        <row r="3325">
          <cell r="A3325" t="str">
            <v>Montividiu</v>
          </cell>
          <cell r="B3325">
            <v>304339</v>
          </cell>
          <cell r="C3325">
            <v>-17.444383259999999</v>
          </cell>
          <cell r="D3325">
            <v>-51.173227099999998</v>
          </cell>
        </row>
        <row r="3326">
          <cell r="A3326" t="str">
            <v>Montividiu do Norte</v>
          </cell>
          <cell r="B3326">
            <v>303042</v>
          </cell>
          <cell r="C3326">
            <v>-13.34943526</v>
          </cell>
          <cell r="D3326">
            <v>-48.687184299999998</v>
          </cell>
        </row>
        <row r="3327">
          <cell r="A3327" t="str">
            <v>Morada Nova</v>
          </cell>
          <cell r="B3327">
            <v>300742</v>
          </cell>
          <cell r="C3327">
            <v>-5.0977647519999998</v>
          </cell>
          <cell r="D3327">
            <v>-38.37047003</v>
          </cell>
        </row>
        <row r="3328">
          <cell r="A3328" t="str">
            <v>Morada Nova de Minas</v>
          </cell>
          <cell r="B3328">
            <v>302961</v>
          </cell>
          <cell r="C3328">
            <v>-18.600239290000001</v>
          </cell>
          <cell r="D3328">
            <v>-45.358780609999997</v>
          </cell>
        </row>
        <row r="3329">
          <cell r="A3329" t="str">
            <v>Moraújo</v>
          </cell>
          <cell r="B3329">
            <v>301333</v>
          </cell>
          <cell r="C3329">
            <v>-3.46689443</v>
          </cell>
          <cell r="D3329">
            <v>-40.679854300000002</v>
          </cell>
        </row>
        <row r="3330">
          <cell r="A3330" t="str">
            <v>Moreilândia</v>
          </cell>
          <cell r="B3330">
            <v>300865</v>
          </cell>
          <cell r="C3330">
            <v>-7.6209901200000001</v>
          </cell>
          <cell r="D3330">
            <v>-39.546916609999997</v>
          </cell>
        </row>
        <row r="3331">
          <cell r="A3331" t="str">
            <v>Moreira Sales</v>
          </cell>
          <cell r="B3331">
            <v>305038</v>
          </cell>
          <cell r="C3331">
            <v>-24.053120190000001</v>
          </cell>
          <cell r="D3331">
            <v>-53.006081690000002</v>
          </cell>
        </row>
        <row r="3332">
          <cell r="A3332" t="str">
            <v>Moreno</v>
          </cell>
          <cell r="B3332">
            <v>300475</v>
          </cell>
          <cell r="C3332">
            <v>-8.1091317360000001</v>
          </cell>
          <cell r="D3332">
            <v>-35.083829829999999</v>
          </cell>
        </row>
        <row r="3333">
          <cell r="A3333" t="str">
            <v>Mormaço</v>
          </cell>
          <cell r="B3333">
            <v>305391</v>
          </cell>
          <cell r="C3333">
            <v>-28.691982100000001</v>
          </cell>
          <cell r="D3333">
            <v>-52.69194057</v>
          </cell>
        </row>
        <row r="3334">
          <cell r="A3334" t="str">
            <v>Morpará</v>
          </cell>
          <cell r="B3334">
            <v>302278</v>
          </cell>
          <cell r="C3334">
            <v>-11.55732942</v>
          </cell>
          <cell r="D3334">
            <v>-43.276917560000001</v>
          </cell>
        </row>
        <row r="3335">
          <cell r="A3335" t="str">
            <v>Morretes</v>
          </cell>
          <cell r="B3335">
            <v>303985</v>
          </cell>
          <cell r="C3335">
            <v>-25.474843549999999</v>
          </cell>
          <cell r="D3335">
            <v>-48.834953169999999</v>
          </cell>
        </row>
        <row r="3336">
          <cell r="A3336" t="str">
            <v>Morrinhos</v>
          </cell>
          <cell r="B3336">
            <v>303362</v>
          </cell>
          <cell r="C3336">
            <v>-17.733823510000001</v>
          </cell>
          <cell r="D3336">
            <v>-49.106308069999997</v>
          </cell>
        </row>
        <row r="3337">
          <cell r="A3337" t="str">
            <v>Morrinhos</v>
          </cell>
          <cell r="B3337">
            <v>300706</v>
          </cell>
          <cell r="C3337">
            <v>-3.2288611409999999</v>
          </cell>
          <cell r="D3337">
            <v>-40.124679919999998</v>
          </cell>
        </row>
        <row r="3338">
          <cell r="A3338" t="str">
            <v>Morrinhos do Sul</v>
          </cell>
          <cell r="B3338">
            <v>304128</v>
          </cell>
          <cell r="C3338">
            <v>-29.364999269999998</v>
          </cell>
          <cell r="D3338">
            <v>-49.934896940000002</v>
          </cell>
        </row>
        <row r="3339">
          <cell r="A3339" t="str">
            <v>Morro Agudo</v>
          </cell>
          <cell r="B3339">
            <v>304568</v>
          </cell>
          <cell r="C3339">
            <v>-20.729294979999999</v>
          </cell>
          <cell r="D3339">
            <v>-48.058484640000003</v>
          </cell>
        </row>
        <row r="3340">
          <cell r="A3340" t="str">
            <v>Morro Agudo de Goiás</v>
          </cell>
          <cell r="B3340">
            <v>302462</v>
          </cell>
          <cell r="C3340">
            <v>-15.31887384</v>
          </cell>
          <cell r="D3340">
            <v>-50.05568195</v>
          </cell>
        </row>
        <row r="3341">
          <cell r="A3341" t="str">
            <v>Morro Cabeça no Tempo</v>
          </cell>
          <cell r="B3341">
            <v>302063</v>
          </cell>
          <cell r="C3341">
            <v>-9.7276805700000004</v>
          </cell>
          <cell r="D3341">
            <v>-43.9081732</v>
          </cell>
        </row>
        <row r="3342">
          <cell r="A3342" t="str">
            <v>Morro da Fumaça</v>
          </cell>
          <cell r="B3342">
            <v>304078</v>
          </cell>
          <cell r="C3342">
            <v>-28.65160148</v>
          </cell>
          <cell r="D3342">
            <v>-49.217371790000001</v>
          </cell>
        </row>
        <row r="3343">
          <cell r="A3343" t="str">
            <v>Morro da Garça</v>
          </cell>
          <cell r="B3343">
            <v>302957</v>
          </cell>
          <cell r="C3343">
            <v>-18.546994250000001</v>
          </cell>
          <cell r="D3343">
            <v>-44.602957080000003</v>
          </cell>
        </row>
        <row r="3344">
          <cell r="A3344" t="str">
            <v>Morro do Chapéu</v>
          </cell>
          <cell r="B3344">
            <v>301498</v>
          </cell>
          <cell r="C3344">
            <v>-11.5492439</v>
          </cell>
          <cell r="D3344">
            <v>-41.156798000000002</v>
          </cell>
        </row>
        <row r="3345">
          <cell r="A3345" t="str">
            <v>Morro do Chapéu do Piauí</v>
          </cell>
          <cell r="B3345">
            <v>302426</v>
          </cell>
          <cell r="C3345">
            <v>-3.7434433829999998</v>
          </cell>
          <cell r="D3345">
            <v>-42.310325599999999</v>
          </cell>
        </row>
        <row r="3346">
          <cell r="A3346" t="str">
            <v>Morro do Pilar</v>
          </cell>
          <cell r="B3346">
            <v>304902</v>
          </cell>
          <cell r="C3346">
            <v>-19.21882175</v>
          </cell>
          <cell r="D3346">
            <v>-43.381174479999999</v>
          </cell>
        </row>
        <row r="3347">
          <cell r="A3347" t="str">
            <v>Morro Grande</v>
          </cell>
          <cell r="B3347">
            <v>304112</v>
          </cell>
          <cell r="C3347">
            <v>-28.80105314</v>
          </cell>
          <cell r="D3347">
            <v>-49.721800809999998</v>
          </cell>
        </row>
        <row r="3348">
          <cell r="A3348" t="str">
            <v>Morro Redondo</v>
          </cell>
          <cell r="B3348">
            <v>305812</v>
          </cell>
          <cell r="C3348">
            <v>-31.58921441</v>
          </cell>
          <cell r="D3348">
            <v>-52.62653486</v>
          </cell>
        </row>
        <row r="3349">
          <cell r="A3349" t="str">
            <v>Morro Reuter</v>
          </cell>
          <cell r="B3349">
            <v>305472</v>
          </cell>
          <cell r="C3349">
            <v>-29.538413940000002</v>
          </cell>
          <cell r="D3349">
            <v>-51.081570050000003</v>
          </cell>
        </row>
        <row r="3350">
          <cell r="A3350" t="str">
            <v>Morros</v>
          </cell>
          <cell r="B3350">
            <v>301652</v>
          </cell>
          <cell r="C3350">
            <v>-2.8659195990000002</v>
          </cell>
          <cell r="D3350">
            <v>-44.036413230000001</v>
          </cell>
        </row>
        <row r="3351">
          <cell r="A3351" t="str">
            <v>Mortugaba</v>
          </cell>
          <cell r="B3351">
            <v>302117</v>
          </cell>
          <cell r="C3351">
            <v>-15.02262998</v>
          </cell>
          <cell r="D3351">
            <v>-42.36966829</v>
          </cell>
        </row>
        <row r="3352">
          <cell r="A3352" t="str">
            <v>Morungaba</v>
          </cell>
          <cell r="B3352">
            <v>303649</v>
          </cell>
          <cell r="C3352">
            <v>-22.88154784</v>
          </cell>
          <cell r="D3352">
            <v>-46.789999190000003</v>
          </cell>
        </row>
        <row r="3353">
          <cell r="A3353" t="str">
            <v>Mossâmedes</v>
          </cell>
          <cell r="B3353">
            <v>302614</v>
          </cell>
          <cell r="C3353">
            <v>-16.124395369999998</v>
          </cell>
          <cell r="D3353">
            <v>-50.207054579999998</v>
          </cell>
        </row>
        <row r="3354">
          <cell r="A3354" t="str">
            <v>Mossoró</v>
          </cell>
          <cell r="B3354">
            <v>300536</v>
          </cell>
          <cell r="C3354">
            <v>-5.184142799</v>
          </cell>
          <cell r="D3354">
            <v>-37.347750730000001</v>
          </cell>
        </row>
        <row r="3355">
          <cell r="A3355" t="str">
            <v>Mostardas</v>
          </cell>
          <cell r="B3355">
            <v>305503</v>
          </cell>
          <cell r="C3355">
            <v>-31.105862949999999</v>
          </cell>
          <cell r="D3355">
            <v>-50.917149180000003</v>
          </cell>
        </row>
        <row r="3356">
          <cell r="A3356" t="str">
            <v>Motuca</v>
          </cell>
          <cell r="B3356">
            <v>303682</v>
          </cell>
          <cell r="C3356">
            <v>-21.507990719999999</v>
          </cell>
          <cell r="D3356">
            <v>-48.150950760000001</v>
          </cell>
        </row>
        <row r="3357">
          <cell r="A3357" t="str">
            <v>Moyobamba</v>
          </cell>
          <cell r="B3357">
            <v>314487</v>
          </cell>
          <cell r="C3357">
            <v>-6.0180906920000004</v>
          </cell>
          <cell r="D3357">
            <v>-76.972995569999995</v>
          </cell>
        </row>
        <row r="3358">
          <cell r="A3358" t="str">
            <v>Mozarlândia</v>
          </cell>
          <cell r="B3358">
            <v>304541</v>
          </cell>
          <cell r="C3358">
            <v>-14.746145759999999</v>
          </cell>
          <cell r="D3358">
            <v>-50.571723990000002</v>
          </cell>
        </row>
        <row r="3359">
          <cell r="A3359" t="str">
            <v>Muaná</v>
          </cell>
          <cell r="B3359">
            <v>301935</v>
          </cell>
          <cell r="C3359">
            <v>-1.5397385960000001</v>
          </cell>
          <cell r="D3359">
            <v>-49.222760010000002</v>
          </cell>
        </row>
        <row r="3360">
          <cell r="A3360" t="str">
            <v>Mucajaí</v>
          </cell>
          <cell r="B3360">
            <v>305888</v>
          </cell>
          <cell r="C3360">
            <v>2.444843922</v>
          </cell>
          <cell r="D3360">
            <v>-60.920944380000002</v>
          </cell>
        </row>
        <row r="3361">
          <cell r="A3361" t="str">
            <v>Mucambo</v>
          </cell>
          <cell r="B3361">
            <v>301339</v>
          </cell>
          <cell r="C3361">
            <v>-3.9059985400000001</v>
          </cell>
          <cell r="D3361">
            <v>-40.745992110000003</v>
          </cell>
        </row>
        <row r="3362">
          <cell r="A3362" t="str">
            <v>Mucugê</v>
          </cell>
          <cell r="B3362">
            <v>301575</v>
          </cell>
          <cell r="C3362">
            <v>-13.005747100000001</v>
          </cell>
          <cell r="D3362">
            <v>-41.370611349999997</v>
          </cell>
        </row>
        <row r="3363">
          <cell r="A3363" t="str">
            <v>Muçum</v>
          </cell>
          <cell r="B3363">
            <v>305200</v>
          </cell>
          <cell r="C3363">
            <v>-29.16679354</v>
          </cell>
          <cell r="D3363">
            <v>-51.874720760000002</v>
          </cell>
        </row>
        <row r="3364">
          <cell r="A3364" t="str">
            <v>Mucuri</v>
          </cell>
          <cell r="B3364">
            <v>302418</v>
          </cell>
          <cell r="C3364">
            <v>-18.075865969999999</v>
          </cell>
          <cell r="D3364">
            <v>-39.556802619999999</v>
          </cell>
        </row>
        <row r="3365">
          <cell r="A3365" t="str">
            <v>Mucurici</v>
          </cell>
          <cell r="B3365">
            <v>302472</v>
          </cell>
          <cell r="C3365">
            <v>-18.096988369999998</v>
          </cell>
          <cell r="D3365">
            <v>-40.5203177</v>
          </cell>
        </row>
        <row r="3366">
          <cell r="A3366" t="str">
            <v>Muitos Capões</v>
          </cell>
          <cell r="B3366">
            <v>305148</v>
          </cell>
          <cell r="C3366">
            <v>-28.313660460000001</v>
          </cell>
          <cell r="D3366">
            <v>-51.184039439999999</v>
          </cell>
        </row>
        <row r="3367">
          <cell r="A3367" t="str">
            <v>Muliterno</v>
          </cell>
          <cell r="B3367">
            <v>305174</v>
          </cell>
          <cell r="C3367">
            <v>-28.325774559999999</v>
          </cell>
          <cell r="D3367">
            <v>-51.770125280000002</v>
          </cell>
        </row>
        <row r="3368">
          <cell r="A3368" t="str">
            <v>Mulungu</v>
          </cell>
          <cell r="B3368">
            <v>300460</v>
          </cell>
          <cell r="C3368">
            <v>-7.0256636390000002</v>
          </cell>
          <cell r="D3368">
            <v>-35.460314910000001</v>
          </cell>
        </row>
        <row r="3369">
          <cell r="A3369" t="str">
            <v>Mulungu</v>
          </cell>
          <cell r="B3369">
            <v>300909</v>
          </cell>
          <cell r="C3369">
            <v>-4.3033374090000001</v>
          </cell>
          <cell r="D3369">
            <v>-38.995449110000003</v>
          </cell>
        </row>
        <row r="3370">
          <cell r="A3370" t="str">
            <v>Mulungu do Morro</v>
          </cell>
          <cell r="B3370">
            <v>301505</v>
          </cell>
          <cell r="C3370">
            <v>-11.96521748</v>
          </cell>
          <cell r="D3370">
            <v>-41.637692850000001</v>
          </cell>
        </row>
        <row r="3371">
          <cell r="A3371" t="str">
            <v>Mundo Novo</v>
          </cell>
          <cell r="B3371">
            <v>301462</v>
          </cell>
          <cell r="C3371">
            <v>-11.86598618</v>
          </cell>
          <cell r="D3371">
            <v>-40.47066324</v>
          </cell>
        </row>
        <row r="3372">
          <cell r="A3372" t="str">
            <v>Mundo Novo</v>
          </cell>
          <cell r="B3372">
            <v>305765</v>
          </cell>
          <cell r="C3372">
            <v>-23.935999240000001</v>
          </cell>
          <cell r="D3372">
            <v>-54.281460850000002</v>
          </cell>
        </row>
        <row r="3373">
          <cell r="A3373" t="str">
            <v>Mundo Novo</v>
          </cell>
          <cell r="B3373">
            <v>302802</v>
          </cell>
          <cell r="C3373">
            <v>-13.77338048</v>
          </cell>
          <cell r="D3373">
            <v>-50.281777529999999</v>
          </cell>
        </row>
        <row r="3374">
          <cell r="A3374" t="str">
            <v>Munhoz</v>
          </cell>
          <cell r="B3374">
            <v>303548</v>
          </cell>
          <cell r="C3374">
            <v>-22.609649050000002</v>
          </cell>
          <cell r="D3374">
            <v>-46.362364509999999</v>
          </cell>
        </row>
        <row r="3375">
          <cell r="A3375" t="str">
            <v>Munhoz de Melo</v>
          </cell>
          <cell r="B3375">
            <v>304762</v>
          </cell>
          <cell r="C3375">
            <v>-23.146474510000001</v>
          </cell>
          <cell r="D3375">
            <v>-51.77359319</v>
          </cell>
        </row>
        <row r="3376">
          <cell r="A3376" t="str">
            <v>Muniz Ferreira</v>
          </cell>
          <cell r="B3376">
            <v>301533</v>
          </cell>
          <cell r="C3376">
            <v>-13.001988040000001</v>
          </cell>
          <cell r="D3376">
            <v>-39.108554050000002</v>
          </cell>
        </row>
        <row r="3377">
          <cell r="A3377" t="str">
            <v>Muniz Freire</v>
          </cell>
          <cell r="B3377">
            <v>302619</v>
          </cell>
          <cell r="C3377">
            <v>-20.465667539999998</v>
          </cell>
          <cell r="D3377">
            <v>-41.415984209999998</v>
          </cell>
        </row>
        <row r="3378">
          <cell r="A3378" t="str">
            <v>Muquém de São Francisco</v>
          </cell>
          <cell r="B3378">
            <v>302280</v>
          </cell>
          <cell r="C3378">
            <v>-12.06536137</v>
          </cell>
          <cell r="D3378">
            <v>-43.549204629999998</v>
          </cell>
        </row>
        <row r="3379">
          <cell r="A3379" t="str">
            <v>Muqui</v>
          </cell>
          <cell r="B3379">
            <v>302622</v>
          </cell>
          <cell r="C3379">
            <v>-20.951341589999998</v>
          </cell>
          <cell r="D3379">
            <v>-41.346348829999997</v>
          </cell>
        </row>
        <row r="3380">
          <cell r="A3380" t="str">
            <v>Muriaé</v>
          </cell>
          <cell r="B3380">
            <v>304916</v>
          </cell>
          <cell r="C3380">
            <v>-21.130446110000001</v>
          </cell>
          <cell r="D3380">
            <v>-42.369666670000001</v>
          </cell>
        </row>
        <row r="3381">
          <cell r="A3381" t="str">
            <v>Muribeca</v>
          </cell>
          <cell r="B3381">
            <v>302367</v>
          </cell>
          <cell r="C3381">
            <v>-10.42432799</v>
          </cell>
          <cell r="D3381">
            <v>-36.956534570000002</v>
          </cell>
        </row>
        <row r="3382">
          <cell r="A3382" t="str">
            <v>Murici</v>
          </cell>
          <cell r="B3382">
            <v>301477</v>
          </cell>
          <cell r="C3382">
            <v>-9.3072554370000002</v>
          </cell>
          <cell r="D3382">
            <v>-35.943095169999999</v>
          </cell>
        </row>
        <row r="3383">
          <cell r="A3383" t="str">
            <v>Murici dos Portelas</v>
          </cell>
          <cell r="B3383">
            <v>303209</v>
          </cell>
          <cell r="C3383">
            <v>-3.319391956</v>
          </cell>
          <cell r="D3383">
            <v>-42.094336939999998</v>
          </cell>
        </row>
        <row r="3384">
          <cell r="A3384" t="str">
            <v>Muricilândia</v>
          </cell>
          <cell r="B3384">
            <v>302026</v>
          </cell>
          <cell r="C3384">
            <v>-7.1450766970000004</v>
          </cell>
          <cell r="D3384">
            <v>-48.607628439999999</v>
          </cell>
        </row>
        <row r="3385">
          <cell r="A3385" t="str">
            <v>Muritiba</v>
          </cell>
          <cell r="B3385">
            <v>301525</v>
          </cell>
          <cell r="C3385">
            <v>-12.620026380000001</v>
          </cell>
          <cell r="D3385">
            <v>-38.990269359999999</v>
          </cell>
        </row>
        <row r="3386">
          <cell r="A3386" t="str">
            <v>Murutinga do Sul</v>
          </cell>
          <cell r="B3386">
            <v>304478</v>
          </cell>
          <cell r="C3386">
            <v>-20.99126304</v>
          </cell>
          <cell r="D3386">
            <v>-51.277810680000002</v>
          </cell>
        </row>
        <row r="3387">
          <cell r="A3387" t="str">
            <v>Mutuípe</v>
          </cell>
          <cell r="B3387">
            <v>301730</v>
          </cell>
          <cell r="C3387">
            <v>-13.228831660000001</v>
          </cell>
          <cell r="D3387">
            <v>-39.504694430000001</v>
          </cell>
        </row>
        <row r="3388">
          <cell r="A3388" t="str">
            <v>Mutum</v>
          </cell>
          <cell r="B3388">
            <v>302541</v>
          </cell>
          <cell r="C3388">
            <v>-19.812576870000001</v>
          </cell>
          <cell r="D3388">
            <v>-41.441041920000004</v>
          </cell>
        </row>
        <row r="3389">
          <cell r="A3389" t="str">
            <v>Mutunópolis</v>
          </cell>
          <cell r="B3389">
            <v>302789</v>
          </cell>
          <cell r="C3389">
            <v>-13.730776929999999</v>
          </cell>
          <cell r="D3389">
            <v>-49.274942359999997</v>
          </cell>
        </row>
        <row r="3390">
          <cell r="A3390" t="str">
            <v>Muzambinho</v>
          </cell>
          <cell r="B3390">
            <v>303503</v>
          </cell>
          <cell r="C3390">
            <v>-21.369627659999999</v>
          </cell>
          <cell r="D3390">
            <v>-46.521692170000001</v>
          </cell>
        </row>
        <row r="3391">
          <cell r="A3391" t="str">
            <v>Nacip Raydan</v>
          </cell>
          <cell r="B3391">
            <v>302678</v>
          </cell>
          <cell r="C3391">
            <v>-18.454906739999998</v>
          </cell>
          <cell r="D3391">
            <v>-42.248476799999999</v>
          </cell>
        </row>
        <row r="3392">
          <cell r="A3392" t="str">
            <v>Nantes</v>
          </cell>
          <cell r="B3392">
            <v>305739</v>
          </cell>
          <cell r="C3392">
            <v>-22.619470589999999</v>
          </cell>
          <cell r="D3392">
            <v>-51.237538610000001</v>
          </cell>
        </row>
        <row r="3393">
          <cell r="A3393" t="str">
            <v>Nanuque</v>
          </cell>
          <cell r="B3393">
            <v>302467</v>
          </cell>
          <cell r="C3393">
            <v>-17.848582570000001</v>
          </cell>
          <cell r="D3393">
            <v>-40.353628010000001</v>
          </cell>
        </row>
        <row r="3394">
          <cell r="A3394" t="str">
            <v>Não-Me-Toque</v>
          </cell>
          <cell r="B3394">
            <v>305389</v>
          </cell>
          <cell r="C3394">
            <v>-28.45524829</v>
          </cell>
          <cell r="D3394">
            <v>-52.818613489999997</v>
          </cell>
        </row>
        <row r="3395">
          <cell r="A3395" t="str">
            <v>Naque</v>
          </cell>
          <cell r="B3395">
            <v>302891</v>
          </cell>
          <cell r="C3395">
            <v>-19.225807150000001</v>
          </cell>
          <cell r="D3395">
            <v>-42.330226179999997</v>
          </cell>
        </row>
        <row r="3396">
          <cell r="A3396" t="str">
            <v>Narandiba</v>
          </cell>
          <cell r="B3396">
            <v>304690</v>
          </cell>
          <cell r="C3396">
            <v>-22.406925600000001</v>
          </cell>
          <cell r="D3396">
            <v>-51.523878449999998</v>
          </cell>
        </row>
        <row r="3397">
          <cell r="A3397" t="str">
            <v>Natal</v>
          </cell>
          <cell r="B3397">
            <v>295764</v>
          </cell>
          <cell r="C3397">
            <v>-5.7943886569999998</v>
          </cell>
          <cell r="D3397">
            <v>-35.199182550000003</v>
          </cell>
        </row>
        <row r="3398">
          <cell r="A3398" t="str">
            <v>Natalândia</v>
          </cell>
          <cell r="B3398">
            <v>302766</v>
          </cell>
          <cell r="C3398">
            <v>-16.505916469999999</v>
          </cell>
          <cell r="D3398">
            <v>-46.494126719999997</v>
          </cell>
        </row>
        <row r="3399">
          <cell r="A3399" t="str">
            <v>Natércia</v>
          </cell>
          <cell r="B3399">
            <v>303447</v>
          </cell>
          <cell r="C3399">
            <v>-22.116231509999999</v>
          </cell>
          <cell r="D3399">
            <v>-45.512671320000003</v>
          </cell>
        </row>
        <row r="3400">
          <cell r="A3400" t="str">
            <v>Natividade</v>
          </cell>
          <cell r="B3400">
            <v>302225</v>
          </cell>
          <cell r="C3400">
            <v>-11.707229910000001</v>
          </cell>
          <cell r="D3400">
            <v>-47.728102550000003</v>
          </cell>
        </row>
        <row r="3401">
          <cell r="A3401" t="str">
            <v>Natividade</v>
          </cell>
          <cell r="B3401">
            <v>303251</v>
          </cell>
          <cell r="C3401">
            <v>-21.039455619999998</v>
          </cell>
          <cell r="D3401">
            <v>-41.970022569999998</v>
          </cell>
        </row>
        <row r="3402">
          <cell r="A3402" t="str">
            <v>Natividade da Serra</v>
          </cell>
          <cell r="B3402">
            <v>303285</v>
          </cell>
          <cell r="C3402">
            <v>-23.371146710000001</v>
          </cell>
          <cell r="D3402">
            <v>-45.447154419999997</v>
          </cell>
        </row>
        <row r="3403">
          <cell r="A3403" t="str">
            <v>Natuba</v>
          </cell>
          <cell r="B3403">
            <v>300493</v>
          </cell>
          <cell r="C3403">
            <v>-7.6435100890000003</v>
          </cell>
          <cell r="D3403">
            <v>-35.553085279999998</v>
          </cell>
        </row>
        <row r="3404">
          <cell r="A3404" t="str">
            <v>Nauta</v>
          </cell>
          <cell r="B3404">
            <v>314463</v>
          </cell>
          <cell r="C3404">
            <v>-4.5049079040000004</v>
          </cell>
          <cell r="D3404">
            <v>-73.585610130000006</v>
          </cell>
        </row>
        <row r="3405">
          <cell r="A3405" t="str">
            <v>Navegantes</v>
          </cell>
          <cell r="B3405">
            <v>304002</v>
          </cell>
          <cell r="C3405">
            <v>-26.894775469999999</v>
          </cell>
          <cell r="D3405">
            <v>-48.65501708</v>
          </cell>
        </row>
        <row r="3406">
          <cell r="A3406" t="str">
            <v>Naviraí</v>
          </cell>
          <cell r="B3406">
            <v>304860</v>
          </cell>
          <cell r="C3406">
            <v>-23.06226758</v>
          </cell>
          <cell r="D3406">
            <v>-54.199910430000003</v>
          </cell>
        </row>
        <row r="3407">
          <cell r="A3407" t="str">
            <v>Nazaré</v>
          </cell>
          <cell r="B3407">
            <v>301527</v>
          </cell>
          <cell r="C3407">
            <v>-13.03362332</v>
          </cell>
          <cell r="D3407">
            <v>-39.010391169999998</v>
          </cell>
        </row>
        <row r="3408">
          <cell r="A3408" t="str">
            <v>Nazaré</v>
          </cell>
          <cell r="B3408">
            <v>302000</v>
          </cell>
          <cell r="C3408">
            <v>-6.3753665550000003</v>
          </cell>
          <cell r="D3408">
            <v>-47.664673759999999</v>
          </cell>
        </row>
        <row r="3409">
          <cell r="A3409" t="str">
            <v>Nazaré da Mata</v>
          </cell>
          <cell r="B3409">
            <v>300482</v>
          </cell>
          <cell r="C3409">
            <v>-7.7419143339999996</v>
          </cell>
          <cell r="D3409">
            <v>-35.219587590000003</v>
          </cell>
        </row>
        <row r="3410">
          <cell r="A3410" t="str">
            <v>Nazaré do Piauí</v>
          </cell>
          <cell r="B3410">
            <v>301824</v>
          </cell>
          <cell r="C3410">
            <v>-6.974721261</v>
          </cell>
          <cell r="D3410">
            <v>-42.673357000000003</v>
          </cell>
        </row>
        <row r="3411">
          <cell r="A3411" t="str">
            <v>Nazaré Paulista</v>
          </cell>
          <cell r="B3411">
            <v>303929</v>
          </cell>
          <cell r="C3411">
            <v>-23.175209720000002</v>
          </cell>
          <cell r="D3411">
            <v>-46.398691399999997</v>
          </cell>
        </row>
        <row r="3412">
          <cell r="A3412" t="str">
            <v>Nazareno</v>
          </cell>
          <cell r="B3412">
            <v>303161</v>
          </cell>
          <cell r="C3412">
            <v>-21.217255510000001</v>
          </cell>
          <cell r="D3412">
            <v>-44.61417874</v>
          </cell>
        </row>
        <row r="3413">
          <cell r="A3413" t="str">
            <v>Nazarezinho</v>
          </cell>
          <cell r="B3413">
            <v>300798</v>
          </cell>
          <cell r="C3413">
            <v>-6.9118170970000001</v>
          </cell>
          <cell r="D3413">
            <v>-38.322344719999997</v>
          </cell>
        </row>
        <row r="3414">
          <cell r="A3414" t="str">
            <v>Nazária</v>
          </cell>
          <cell r="B3414">
            <v>300363</v>
          </cell>
          <cell r="C3414">
            <v>-5.3473289590000004</v>
          </cell>
          <cell r="D3414">
            <v>-42.814390889999999</v>
          </cell>
        </row>
        <row r="3415">
          <cell r="A3415" t="str">
            <v>Nazário</v>
          </cell>
          <cell r="B3415">
            <v>302617</v>
          </cell>
          <cell r="C3415">
            <v>-16.58121783</v>
          </cell>
          <cell r="D3415">
            <v>-49.882073400000003</v>
          </cell>
        </row>
        <row r="3416">
          <cell r="A3416" t="str">
            <v>Neópolis</v>
          </cell>
          <cell r="B3416">
            <v>301190</v>
          </cell>
          <cell r="C3416">
            <v>-10.32194089</v>
          </cell>
          <cell r="D3416">
            <v>-36.585254839999998</v>
          </cell>
        </row>
        <row r="3417">
          <cell r="A3417" t="str">
            <v>Nepomuceno</v>
          </cell>
          <cell r="B3417">
            <v>303213</v>
          </cell>
          <cell r="C3417">
            <v>-21.23289016</v>
          </cell>
          <cell r="D3417">
            <v>-45.235339070000002</v>
          </cell>
        </row>
        <row r="3418">
          <cell r="A3418" t="str">
            <v>Nerópolis</v>
          </cell>
          <cell r="B3418">
            <v>302407</v>
          </cell>
          <cell r="C3418">
            <v>-16.405157450000001</v>
          </cell>
          <cell r="D3418">
            <v>-49.22310598</v>
          </cell>
        </row>
        <row r="3419">
          <cell r="A3419" t="str">
            <v>Neves Paulista</v>
          </cell>
          <cell r="B3419">
            <v>303433</v>
          </cell>
          <cell r="C3419">
            <v>-20.845992129999999</v>
          </cell>
          <cell r="D3419">
            <v>-49.629948720000002</v>
          </cell>
        </row>
        <row r="3420">
          <cell r="A3420" t="str">
            <v>Nhamundá</v>
          </cell>
          <cell r="B3420">
            <v>304169</v>
          </cell>
          <cell r="C3420">
            <v>-2.208313027</v>
          </cell>
          <cell r="D3420">
            <v>-56.711574429999999</v>
          </cell>
        </row>
        <row r="3421">
          <cell r="A3421" t="str">
            <v>Nhandeara</v>
          </cell>
          <cell r="B3421">
            <v>303484</v>
          </cell>
          <cell r="C3421">
            <v>-20.695012179999999</v>
          </cell>
          <cell r="D3421">
            <v>-50.04400923</v>
          </cell>
        </row>
        <row r="3422">
          <cell r="A3422" t="str">
            <v>Nicolau Vergueiro</v>
          </cell>
          <cell r="B3422">
            <v>305690</v>
          </cell>
          <cell r="C3422">
            <v>-28.530315590000001</v>
          </cell>
          <cell r="D3422">
            <v>-52.468084599999997</v>
          </cell>
        </row>
        <row r="3423">
          <cell r="A3423" t="str">
            <v>Nilo Peçanha</v>
          </cell>
          <cell r="B3423">
            <v>301540</v>
          </cell>
          <cell r="C3423">
            <v>-13.60083204</v>
          </cell>
          <cell r="D3423">
            <v>-39.105852810000002</v>
          </cell>
        </row>
        <row r="3424">
          <cell r="A3424" t="str">
            <v>Nilópolis</v>
          </cell>
          <cell r="B3424">
            <v>303145</v>
          </cell>
          <cell r="C3424">
            <v>-22.80614276</v>
          </cell>
          <cell r="D3424">
            <v>-43.423718549999997</v>
          </cell>
        </row>
        <row r="3425">
          <cell r="A3425" t="str">
            <v>Nina Rodrigues</v>
          </cell>
          <cell r="B3425">
            <v>301661</v>
          </cell>
          <cell r="C3425">
            <v>-3.4676015699999998</v>
          </cell>
          <cell r="D3425">
            <v>-43.911455779999997</v>
          </cell>
        </row>
        <row r="3426">
          <cell r="A3426" t="str">
            <v>Ninheira</v>
          </cell>
          <cell r="B3426">
            <v>301629</v>
          </cell>
          <cell r="C3426">
            <v>-15.32004871</v>
          </cell>
          <cell r="D3426">
            <v>-41.755642229999999</v>
          </cell>
        </row>
        <row r="3427">
          <cell r="A3427" t="str">
            <v>Nioaque</v>
          </cell>
          <cell r="B3427">
            <v>305613</v>
          </cell>
          <cell r="C3427">
            <v>-21.158068579999998</v>
          </cell>
          <cell r="D3427">
            <v>-55.828316309999998</v>
          </cell>
        </row>
        <row r="3428">
          <cell r="A3428" t="str">
            <v>Nipoã</v>
          </cell>
          <cell r="B3428">
            <v>303435</v>
          </cell>
          <cell r="C3428">
            <v>-20.912992079999999</v>
          </cell>
          <cell r="D3428">
            <v>-49.777948479999999</v>
          </cell>
        </row>
        <row r="3429">
          <cell r="A3429" t="str">
            <v>Niquelândia</v>
          </cell>
          <cell r="B3429">
            <v>302785</v>
          </cell>
          <cell r="C3429">
            <v>-14.46663525</v>
          </cell>
          <cell r="D3429">
            <v>-48.460276569999998</v>
          </cell>
        </row>
        <row r="3430">
          <cell r="A3430" t="str">
            <v>Nísia Floresta</v>
          </cell>
          <cell r="B3430">
            <v>302317</v>
          </cell>
          <cell r="C3430">
            <v>-6.088574543</v>
          </cell>
          <cell r="D3430">
            <v>-35.208955850000002</v>
          </cell>
        </row>
        <row r="3431">
          <cell r="A3431" t="str">
            <v>Niterói</v>
          </cell>
          <cell r="B3431">
            <v>303141</v>
          </cell>
          <cell r="C3431">
            <v>-22.88369578</v>
          </cell>
          <cell r="D3431">
            <v>-43.103739470000001</v>
          </cell>
        </row>
        <row r="3432">
          <cell r="A3432" t="str">
            <v>Nobres</v>
          </cell>
          <cell r="B3432">
            <v>304647</v>
          </cell>
          <cell r="C3432">
            <v>-14.719597240000001</v>
          </cell>
          <cell r="D3432">
            <v>-56.328793349999998</v>
          </cell>
        </row>
        <row r="3433">
          <cell r="A3433" t="str">
            <v>Nonoai</v>
          </cell>
          <cell r="B3433">
            <v>305367</v>
          </cell>
          <cell r="C3433">
            <v>-27.369388570000002</v>
          </cell>
          <cell r="D3433">
            <v>-52.776016679999998</v>
          </cell>
        </row>
        <row r="3434">
          <cell r="A3434" t="str">
            <v>Nordestina</v>
          </cell>
          <cell r="B3434">
            <v>301396</v>
          </cell>
          <cell r="C3434">
            <v>-10.82622179</v>
          </cell>
          <cell r="D3434">
            <v>-39.430131060000001</v>
          </cell>
        </row>
        <row r="3435">
          <cell r="A3435" t="str">
            <v>Normandia</v>
          </cell>
          <cell r="B3435">
            <v>305879</v>
          </cell>
          <cell r="C3435">
            <v>3.8820663629999999</v>
          </cell>
          <cell r="D3435">
            <v>-59.631737880000003</v>
          </cell>
        </row>
        <row r="3436">
          <cell r="A3436" t="str">
            <v>Nortelândia</v>
          </cell>
          <cell r="B3436">
            <v>304446</v>
          </cell>
          <cell r="C3436">
            <v>-14.453650919999999</v>
          </cell>
          <cell r="D3436">
            <v>-56.802289289999997</v>
          </cell>
        </row>
        <row r="3437">
          <cell r="A3437" t="str">
            <v>Nossa Senhora Aparecida</v>
          </cell>
          <cell r="B3437">
            <v>301227</v>
          </cell>
          <cell r="C3437">
            <v>-10.39746942</v>
          </cell>
          <cell r="D3437">
            <v>-37.451791909999997</v>
          </cell>
        </row>
        <row r="3438">
          <cell r="A3438" t="str">
            <v>Nossa Senhora da Glória</v>
          </cell>
          <cell r="B3438">
            <v>301224</v>
          </cell>
          <cell r="C3438">
            <v>-10.21624549</v>
          </cell>
          <cell r="D3438">
            <v>-37.421433880000002</v>
          </cell>
        </row>
        <row r="3439">
          <cell r="A3439" t="str">
            <v>Nossa Senhora das Dores</v>
          </cell>
          <cell r="B3439">
            <v>302376</v>
          </cell>
          <cell r="C3439">
            <v>-10.49108605</v>
          </cell>
          <cell r="D3439">
            <v>-37.196634170000003</v>
          </cell>
        </row>
        <row r="3440">
          <cell r="A3440" t="str">
            <v>Nossa Senhora das Graças</v>
          </cell>
          <cell r="B3440">
            <v>304702</v>
          </cell>
          <cell r="C3440">
            <v>-22.913389859999999</v>
          </cell>
          <cell r="D3440">
            <v>-51.798194600000002</v>
          </cell>
        </row>
        <row r="3441">
          <cell r="A3441" t="str">
            <v>Nossa Senhora de Lourdes</v>
          </cell>
          <cell r="B3441">
            <v>302370</v>
          </cell>
          <cell r="C3441">
            <v>-10.07882304</v>
          </cell>
          <cell r="D3441">
            <v>-37.057492519999997</v>
          </cell>
        </row>
        <row r="3442">
          <cell r="A3442" t="str">
            <v>Nossa Senhora de Nazaré</v>
          </cell>
          <cell r="B3442">
            <v>301772</v>
          </cell>
          <cell r="C3442">
            <v>-4.6305880229999996</v>
          </cell>
          <cell r="D3442">
            <v>-42.17329221</v>
          </cell>
        </row>
        <row r="3443">
          <cell r="A3443" t="str">
            <v>Nossa Senhora do Livramento</v>
          </cell>
          <cell r="B3443">
            <v>304443</v>
          </cell>
          <cell r="C3443">
            <v>-15.7724574</v>
          </cell>
          <cell r="D3443">
            <v>-56.343679600000002</v>
          </cell>
        </row>
        <row r="3444">
          <cell r="A3444" t="str">
            <v>Nossa Senhora do Socorro</v>
          </cell>
          <cell r="B3444">
            <v>301243</v>
          </cell>
          <cell r="C3444">
            <v>-10.84463369</v>
          </cell>
          <cell r="D3444">
            <v>-37.120355910000001</v>
          </cell>
        </row>
        <row r="3445">
          <cell r="A3445" t="str">
            <v>Nossa Senhora dos Remédios</v>
          </cell>
          <cell r="B3445">
            <v>301644</v>
          </cell>
          <cell r="C3445">
            <v>-3.9817689550000002</v>
          </cell>
          <cell r="D3445">
            <v>-42.620754259999998</v>
          </cell>
        </row>
        <row r="3446">
          <cell r="A3446" t="str">
            <v>Nova Aliança</v>
          </cell>
          <cell r="B3446">
            <v>303853</v>
          </cell>
          <cell r="C3446">
            <v>-21.01611346</v>
          </cell>
          <cell r="D3446">
            <v>-49.499052669999998</v>
          </cell>
        </row>
        <row r="3447">
          <cell r="A3447" t="str">
            <v>Nova Aliança do Ivaí</v>
          </cell>
          <cell r="B3447">
            <v>304864</v>
          </cell>
          <cell r="C3447">
            <v>-23.176733299999999</v>
          </cell>
          <cell r="D3447">
            <v>-52.603680339999997</v>
          </cell>
        </row>
        <row r="3448">
          <cell r="A3448" t="str">
            <v>Nova Alvorada</v>
          </cell>
          <cell r="B3448">
            <v>305211</v>
          </cell>
          <cell r="C3448">
            <v>-28.682705859999999</v>
          </cell>
          <cell r="D3448">
            <v>-52.163534319999997</v>
          </cell>
        </row>
        <row r="3449">
          <cell r="A3449" t="str">
            <v>Nova Alvorada do Sul</v>
          </cell>
          <cell r="B3449">
            <v>305751</v>
          </cell>
          <cell r="C3449">
            <v>-21.466141350000001</v>
          </cell>
          <cell r="D3449">
            <v>-54.382932449999998</v>
          </cell>
        </row>
        <row r="3450">
          <cell r="A3450" t="str">
            <v>Nova América</v>
          </cell>
          <cell r="B3450">
            <v>302460</v>
          </cell>
          <cell r="C3450">
            <v>-15.021031990000001</v>
          </cell>
          <cell r="D3450">
            <v>-49.89569642</v>
          </cell>
        </row>
        <row r="3451">
          <cell r="A3451" t="str">
            <v>Nova América da Colina</v>
          </cell>
          <cell r="B3451">
            <v>304724</v>
          </cell>
          <cell r="C3451">
            <v>-23.33123986</v>
          </cell>
          <cell r="D3451">
            <v>-50.717246209999999</v>
          </cell>
        </row>
        <row r="3452">
          <cell r="A3452" t="str">
            <v>Nova Andradina</v>
          </cell>
          <cell r="B3452">
            <v>304849</v>
          </cell>
          <cell r="C3452">
            <v>-22.238429010000001</v>
          </cell>
          <cell r="D3452">
            <v>-53.344152780000002</v>
          </cell>
        </row>
        <row r="3453">
          <cell r="A3453" t="str">
            <v>Nova Araçá</v>
          </cell>
          <cell r="B3453">
            <v>305181</v>
          </cell>
          <cell r="C3453">
            <v>-28.654217209999999</v>
          </cell>
          <cell r="D3453">
            <v>-51.746253520000003</v>
          </cell>
        </row>
        <row r="3454">
          <cell r="A3454" t="str">
            <v>Nova Aurora</v>
          </cell>
          <cell r="B3454">
            <v>305058</v>
          </cell>
          <cell r="C3454">
            <v>-24.529322499999999</v>
          </cell>
          <cell r="D3454">
            <v>-53.257893850000002</v>
          </cell>
        </row>
        <row r="3455">
          <cell r="A3455" t="str">
            <v>Nova Aurora</v>
          </cell>
          <cell r="B3455">
            <v>303363</v>
          </cell>
          <cell r="C3455">
            <v>-18.060109409999999</v>
          </cell>
          <cell r="D3455">
            <v>-48.255567419999998</v>
          </cell>
        </row>
        <row r="3456">
          <cell r="A3456" t="str">
            <v>Nova Bandeirantes</v>
          </cell>
          <cell r="B3456">
            <v>304221</v>
          </cell>
          <cell r="C3456">
            <v>-9.8093704679999991</v>
          </cell>
          <cell r="D3456">
            <v>-57.865122130000003</v>
          </cell>
        </row>
        <row r="3457">
          <cell r="A3457" t="str">
            <v>Nova Bassano</v>
          </cell>
          <cell r="B3457">
            <v>305182</v>
          </cell>
          <cell r="C3457">
            <v>-28.72956447</v>
          </cell>
          <cell r="D3457">
            <v>-51.707645589999998</v>
          </cell>
        </row>
        <row r="3458">
          <cell r="A3458" t="str">
            <v>Nova Belém</v>
          </cell>
          <cell r="B3458">
            <v>302493</v>
          </cell>
          <cell r="C3458">
            <v>-18.492990020000001</v>
          </cell>
          <cell r="D3458">
            <v>-41.111017750000002</v>
          </cell>
        </row>
        <row r="3459">
          <cell r="A3459" t="str">
            <v>Nova Boa Vista</v>
          </cell>
          <cell r="B3459">
            <v>305685</v>
          </cell>
          <cell r="C3459">
            <v>-27.99307099</v>
          </cell>
          <cell r="D3459">
            <v>-52.978833520000002</v>
          </cell>
        </row>
        <row r="3460">
          <cell r="A3460" t="str">
            <v>Nova Brasilândia</v>
          </cell>
          <cell r="B3460">
            <v>304677</v>
          </cell>
          <cell r="C3460">
            <v>-14.92922495</v>
          </cell>
          <cell r="D3460">
            <v>-54.9736148</v>
          </cell>
        </row>
        <row r="3461">
          <cell r="A3461" t="str">
            <v>Nova Brasilândia D'Oeste</v>
          </cell>
          <cell r="B3461">
            <v>304304</v>
          </cell>
          <cell r="C3461">
            <v>-11.72509105</v>
          </cell>
          <cell r="D3461">
            <v>-62.313123750000003</v>
          </cell>
        </row>
        <row r="3462">
          <cell r="A3462" t="str">
            <v>Nova Bréscia</v>
          </cell>
          <cell r="B3462">
            <v>305219</v>
          </cell>
          <cell r="C3462">
            <v>-29.213981090000001</v>
          </cell>
          <cell r="D3462">
            <v>-52.027941310000003</v>
          </cell>
        </row>
        <row r="3463">
          <cell r="A3463" t="str">
            <v>Nova Campina</v>
          </cell>
          <cell r="B3463">
            <v>304950</v>
          </cell>
          <cell r="C3463">
            <v>-24.122841879999999</v>
          </cell>
          <cell r="D3463">
            <v>-48.902595089999998</v>
          </cell>
        </row>
        <row r="3464">
          <cell r="A3464" t="str">
            <v>Nova Canaã</v>
          </cell>
          <cell r="B3464">
            <v>301599</v>
          </cell>
          <cell r="C3464">
            <v>-14.795008879999999</v>
          </cell>
          <cell r="D3464">
            <v>-40.144308189999997</v>
          </cell>
        </row>
        <row r="3465">
          <cell r="A3465" t="str">
            <v>Nova Canaã do Norte</v>
          </cell>
          <cell r="B3465">
            <v>304563</v>
          </cell>
          <cell r="C3465">
            <v>-10.55841627</v>
          </cell>
          <cell r="D3465">
            <v>-55.953427740000002</v>
          </cell>
        </row>
        <row r="3466">
          <cell r="A3466" t="str">
            <v>Nova Canaã Paulista</v>
          </cell>
          <cell r="B3466">
            <v>304389</v>
          </cell>
          <cell r="C3466">
            <v>-20.385993200000001</v>
          </cell>
          <cell r="D3466">
            <v>-50.948946909999997</v>
          </cell>
        </row>
        <row r="3467">
          <cell r="A3467" t="str">
            <v>Nova Candelária</v>
          </cell>
          <cell r="B3467">
            <v>305436</v>
          </cell>
          <cell r="C3467">
            <v>-27.614143609999999</v>
          </cell>
          <cell r="D3467">
            <v>-54.107862859999997</v>
          </cell>
        </row>
        <row r="3468">
          <cell r="A3468" t="str">
            <v>Nova Cantu</v>
          </cell>
          <cell r="B3468">
            <v>305050</v>
          </cell>
          <cell r="C3468">
            <v>-24.67278984</v>
          </cell>
          <cell r="D3468">
            <v>-52.566519169999999</v>
          </cell>
        </row>
        <row r="3469">
          <cell r="A3469" t="str">
            <v>Nova Castilho</v>
          </cell>
          <cell r="B3469">
            <v>304380</v>
          </cell>
          <cell r="C3469">
            <v>-20.76299247</v>
          </cell>
          <cell r="D3469">
            <v>-50.342947680000002</v>
          </cell>
        </row>
        <row r="3470">
          <cell r="A3470" t="str">
            <v>Nova Colinas</v>
          </cell>
          <cell r="B3470">
            <v>301991</v>
          </cell>
          <cell r="C3470">
            <v>-7.1230395489999996</v>
          </cell>
          <cell r="D3470">
            <v>-46.261034549999998</v>
          </cell>
        </row>
        <row r="3471">
          <cell r="A3471" t="str">
            <v>Nova Crixás</v>
          </cell>
          <cell r="B3471">
            <v>302803</v>
          </cell>
          <cell r="C3471">
            <v>-14.09911527</v>
          </cell>
          <cell r="D3471">
            <v>-50.334954600000003</v>
          </cell>
        </row>
        <row r="3472">
          <cell r="A3472" t="str">
            <v>Nova Cruz</v>
          </cell>
          <cell r="B3472">
            <v>300430</v>
          </cell>
          <cell r="C3472">
            <v>-6.4790669169999999</v>
          </cell>
          <cell r="D3472">
            <v>-35.434316719999998</v>
          </cell>
        </row>
        <row r="3473">
          <cell r="A3473" t="str">
            <v>Nova Era</v>
          </cell>
          <cell r="B3473">
            <v>304905</v>
          </cell>
          <cell r="C3473">
            <v>-19.763033539999999</v>
          </cell>
          <cell r="D3473">
            <v>-43.031263860000003</v>
          </cell>
        </row>
        <row r="3474">
          <cell r="A3474" t="str">
            <v>Nova Erechim</v>
          </cell>
          <cell r="B3474">
            <v>305297</v>
          </cell>
          <cell r="C3474">
            <v>-26.898628290000001</v>
          </cell>
          <cell r="D3474">
            <v>-52.907020590000002</v>
          </cell>
        </row>
        <row r="3475">
          <cell r="A3475" t="str">
            <v>Nova Esperança</v>
          </cell>
          <cell r="B3475">
            <v>304806</v>
          </cell>
          <cell r="C3475">
            <v>-23.182483420000001</v>
          </cell>
          <cell r="D3475">
            <v>-52.20357293</v>
          </cell>
        </row>
        <row r="3476">
          <cell r="A3476" t="str">
            <v>Nova Esperança do Piriá</v>
          </cell>
          <cell r="B3476">
            <v>302138</v>
          </cell>
          <cell r="C3476">
            <v>-2.268015686</v>
          </cell>
          <cell r="D3476">
            <v>-46.970266799999997</v>
          </cell>
        </row>
        <row r="3477">
          <cell r="A3477" t="str">
            <v>Nova Esperança do Sudoeste</v>
          </cell>
          <cell r="B3477">
            <v>305266</v>
          </cell>
          <cell r="C3477">
            <v>-25.906536280000001</v>
          </cell>
          <cell r="D3477">
            <v>-53.265689940000001</v>
          </cell>
        </row>
        <row r="3478">
          <cell r="A3478" t="str">
            <v>Nova Esperança do Sul</v>
          </cell>
          <cell r="B3478">
            <v>305820</v>
          </cell>
          <cell r="C3478">
            <v>-29.40710971</v>
          </cell>
          <cell r="D3478">
            <v>-54.82977614</v>
          </cell>
        </row>
        <row r="3479">
          <cell r="A3479" t="str">
            <v>Nova Europa</v>
          </cell>
          <cell r="B3479">
            <v>303816</v>
          </cell>
          <cell r="C3479">
            <v>-21.777990450000001</v>
          </cell>
          <cell r="D3479">
            <v>-48.560950030000001</v>
          </cell>
        </row>
        <row r="3480">
          <cell r="A3480" t="str">
            <v>Nova Fátima</v>
          </cell>
          <cell r="B3480">
            <v>301422</v>
          </cell>
          <cell r="C3480">
            <v>-11.608241810000001</v>
          </cell>
          <cell r="D3480">
            <v>-39.630127559999998</v>
          </cell>
        </row>
        <row r="3481">
          <cell r="A3481" t="str">
            <v>Nova Fátima</v>
          </cell>
          <cell r="B3481">
            <v>304721</v>
          </cell>
          <cell r="C3481">
            <v>-23.431988690000001</v>
          </cell>
          <cell r="D3481">
            <v>-50.563946350000002</v>
          </cell>
        </row>
        <row r="3482">
          <cell r="A3482" t="str">
            <v>Nova Floresta</v>
          </cell>
          <cell r="B3482">
            <v>300638</v>
          </cell>
          <cell r="C3482">
            <v>-6.4567137639999999</v>
          </cell>
          <cell r="D3482">
            <v>-36.204912319999998</v>
          </cell>
        </row>
        <row r="3483">
          <cell r="A3483" t="str">
            <v>Nova Friburgo</v>
          </cell>
          <cell r="B3483">
            <v>303074</v>
          </cell>
          <cell r="C3483">
            <v>-22.293709010000001</v>
          </cell>
          <cell r="D3483">
            <v>-42.538058810000003</v>
          </cell>
        </row>
        <row r="3484">
          <cell r="A3484" t="str">
            <v>Nova Glória</v>
          </cell>
          <cell r="B3484">
            <v>304878</v>
          </cell>
          <cell r="C3484">
            <v>-15.145770150000001</v>
          </cell>
          <cell r="D3484">
            <v>-49.574533369999997</v>
          </cell>
        </row>
        <row r="3485">
          <cell r="A3485" t="str">
            <v>Nova Granada</v>
          </cell>
          <cell r="B3485">
            <v>303422</v>
          </cell>
          <cell r="C3485">
            <v>-20.53253741</v>
          </cell>
          <cell r="D3485">
            <v>-49.312676179999997</v>
          </cell>
        </row>
        <row r="3486">
          <cell r="A3486" t="str">
            <v>Nova Guarita</v>
          </cell>
          <cell r="B3486">
            <v>304551</v>
          </cell>
          <cell r="C3486">
            <v>-10.3124085</v>
          </cell>
          <cell r="D3486">
            <v>-55.406485199999999</v>
          </cell>
        </row>
        <row r="3487">
          <cell r="A3487" t="str">
            <v>Nova Guataporanga</v>
          </cell>
          <cell r="B3487">
            <v>305564</v>
          </cell>
          <cell r="C3487">
            <v>-21.33398751</v>
          </cell>
          <cell r="D3487">
            <v>-51.643870339999999</v>
          </cell>
        </row>
        <row r="3488">
          <cell r="A3488" t="str">
            <v>Nova Hartz</v>
          </cell>
          <cell r="B3488">
            <v>305468</v>
          </cell>
          <cell r="C3488">
            <v>-29.581232610000001</v>
          </cell>
          <cell r="D3488">
            <v>-50.905558069999998</v>
          </cell>
        </row>
        <row r="3489">
          <cell r="A3489" t="str">
            <v>Nova Ibiá</v>
          </cell>
          <cell r="B3489">
            <v>302380</v>
          </cell>
          <cell r="C3489">
            <v>-13.81103418</v>
          </cell>
          <cell r="D3489">
            <v>-39.625560270000001</v>
          </cell>
        </row>
        <row r="3490">
          <cell r="A3490" t="str">
            <v>Nova Iguaçu</v>
          </cell>
          <cell r="B3490">
            <v>303146</v>
          </cell>
          <cell r="C3490">
            <v>-22.756119510000001</v>
          </cell>
          <cell r="D3490">
            <v>-43.460699679999998</v>
          </cell>
        </row>
        <row r="3491">
          <cell r="A3491" t="str">
            <v>Nova Iguaçu de Goiás</v>
          </cell>
          <cell r="B3491">
            <v>302798</v>
          </cell>
          <cell r="C3491">
            <v>-14.28726999</v>
          </cell>
          <cell r="D3491">
            <v>-49.387585989999998</v>
          </cell>
        </row>
        <row r="3492">
          <cell r="A3492" t="str">
            <v>Nova Independência</v>
          </cell>
          <cell r="B3492">
            <v>305743</v>
          </cell>
          <cell r="C3492">
            <v>-21.103089829999998</v>
          </cell>
          <cell r="D3492">
            <v>-51.490954299999999</v>
          </cell>
        </row>
        <row r="3493">
          <cell r="A3493" t="str">
            <v>Nova Iorque</v>
          </cell>
          <cell r="B3493">
            <v>301865</v>
          </cell>
          <cell r="C3493">
            <v>-6.730882093</v>
          </cell>
          <cell r="D3493">
            <v>-44.047488950000002</v>
          </cell>
        </row>
        <row r="3494">
          <cell r="A3494" t="str">
            <v>Nova Ipixuna</v>
          </cell>
          <cell r="B3494">
            <v>300408</v>
          </cell>
          <cell r="C3494">
            <v>-4.9166190030000001</v>
          </cell>
          <cell r="D3494">
            <v>-49.082576439999997</v>
          </cell>
        </row>
        <row r="3495">
          <cell r="A3495" t="str">
            <v>Nova Itaberaba</v>
          </cell>
          <cell r="B3495">
            <v>305294</v>
          </cell>
          <cell r="C3495">
            <v>-26.943274670000001</v>
          </cell>
          <cell r="D3495">
            <v>-52.814527200000001</v>
          </cell>
        </row>
        <row r="3496">
          <cell r="A3496" t="str">
            <v>Nova Itarana</v>
          </cell>
          <cell r="B3496">
            <v>301548</v>
          </cell>
          <cell r="C3496">
            <v>-13.026933590000001</v>
          </cell>
          <cell r="D3496">
            <v>-40.068299369999998</v>
          </cell>
        </row>
        <row r="3497">
          <cell r="A3497" t="str">
            <v>Nova Lacerda</v>
          </cell>
          <cell r="B3497">
            <v>304308</v>
          </cell>
          <cell r="C3497">
            <v>-14.47710011</v>
          </cell>
          <cell r="D3497">
            <v>-59.588498860000001</v>
          </cell>
        </row>
        <row r="3498">
          <cell r="A3498" t="str">
            <v>Nova Laranjeiras</v>
          </cell>
          <cell r="B3498">
            <v>305627</v>
          </cell>
          <cell r="C3498">
            <v>-25.30584327</v>
          </cell>
          <cell r="D3498">
            <v>-52.545125300000002</v>
          </cell>
        </row>
        <row r="3499">
          <cell r="A3499" t="str">
            <v>Nova Lima</v>
          </cell>
          <cell r="B3499">
            <v>302850</v>
          </cell>
          <cell r="C3499">
            <v>-19.976236620000002</v>
          </cell>
          <cell r="D3499">
            <v>-43.8512244</v>
          </cell>
        </row>
        <row r="3500">
          <cell r="A3500" t="str">
            <v>Nova Londrina</v>
          </cell>
          <cell r="B3500">
            <v>304853</v>
          </cell>
          <cell r="C3500">
            <v>-22.764391249999999</v>
          </cell>
          <cell r="D3500">
            <v>-52.987207320000003</v>
          </cell>
        </row>
        <row r="3501">
          <cell r="A3501" t="str">
            <v>Nova Luzitânia</v>
          </cell>
          <cell r="B3501">
            <v>303493</v>
          </cell>
          <cell r="C3501">
            <v>-20.856429139999999</v>
          </cell>
          <cell r="D3501">
            <v>-50.262098029999997</v>
          </cell>
        </row>
        <row r="3502">
          <cell r="A3502" t="str">
            <v>Nova Mamoré</v>
          </cell>
          <cell r="B3502">
            <v>304330</v>
          </cell>
          <cell r="C3502">
            <v>-10.408099999999999</v>
          </cell>
          <cell r="D3502">
            <v>-65.335065240000006</v>
          </cell>
        </row>
        <row r="3503">
          <cell r="A3503" t="str">
            <v>Nova Marilândia</v>
          </cell>
          <cell r="B3503">
            <v>304238</v>
          </cell>
          <cell r="C3503">
            <v>-14.368416870000001</v>
          </cell>
          <cell r="D3503">
            <v>-56.97528329</v>
          </cell>
        </row>
        <row r="3504">
          <cell r="A3504" t="str">
            <v>Nova Maringá</v>
          </cell>
          <cell r="B3504">
            <v>304444</v>
          </cell>
          <cell r="C3504">
            <v>-13.03067263</v>
          </cell>
          <cell r="D3504">
            <v>-57.092172679999997</v>
          </cell>
        </row>
        <row r="3505">
          <cell r="A3505" t="str">
            <v>Nova Módica</v>
          </cell>
          <cell r="B3505">
            <v>302877</v>
          </cell>
          <cell r="C3505">
            <v>-18.442165079999999</v>
          </cell>
          <cell r="D3505">
            <v>-41.498715429999997</v>
          </cell>
        </row>
        <row r="3506">
          <cell r="A3506" t="str">
            <v>Nova Monte Verde</v>
          </cell>
          <cell r="B3506">
            <v>304566</v>
          </cell>
          <cell r="C3506">
            <v>-10.00039458</v>
          </cell>
          <cell r="D3506">
            <v>-57.526485700000002</v>
          </cell>
        </row>
        <row r="3507">
          <cell r="A3507" t="str">
            <v>Nova Mutum</v>
          </cell>
          <cell r="B3507">
            <v>304234</v>
          </cell>
          <cell r="C3507">
            <v>-13.81956228</v>
          </cell>
          <cell r="D3507">
            <v>-56.080232840000001</v>
          </cell>
        </row>
        <row r="3508">
          <cell r="A3508" t="str">
            <v>Nova Nazaré</v>
          </cell>
          <cell r="B3508">
            <v>300371</v>
          </cell>
          <cell r="C3508">
            <v>-13.954997090000001</v>
          </cell>
          <cell r="D3508">
            <v>-51.794933260000001</v>
          </cell>
        </row>
        <row r="3509">
          <cell r="A3509" t="str">
            <v>Nova Odessa</v>
          </cell>
          <cell r="B3509">
            <v>304582</v>
          </cell>
          <cell r="C3509">
            <v>-22.78366127</v>
          </cell>
          <cell r="D3509">
            <v>-47.294460299999997</v>
          </cell>
        </row>
        <row r="3510">
          <cell r="A3510" t="str">
            <v>Nova Olímpia</v>
          </cell>
          <cell r="B3510">
            <v>305033</v>
          </cell>
          <cell r="C3510">
            <v>-23.470713629999999</v>
          </cell>
          <cell r="D3510">
            <v>-53.090239230000002</v>
          </cell>
        </row>
        <row r="3511">
          <cell r="A3511" t="str">
            <v>Nova Olímpia</v>
          </cell>
          <cell r="B3511">
            <v>304243</v>
          </cell>
          <cell r="C3511">
            <v>-14.78026545</v>
          </cell>
          <cell r="D3511">
            <v>-57.284934759999999</v>
          </cell>
        </row>
        <row r="3512">
          <cell r="A3512" t="str">
            <v>Nova Olinda</v>
          </cell>
          <cell r="B3512">
            <v>302029</v>
          </cell>
          <cell r="C3512">
            <v>-7.6321243499999998</v>
          </cell>
          <cell r="D3512">
            <v>-48.425612440000002</v>
          </cell>
        </row>
        <row r="3513">
          <cell r="A3513" t="str">
            <v>Nova Olinda</v>
          </cell>
          <cell r="B3513">
            <v>300835</v>
          </cell>
          <cell r="C3513">
            <v>-7.0887485090000002</v>
          </cell>
          <cell r="D3513">
            <v>-39.67518922</v>
          </cell>
        </row>
        <row r="3514">
          <cell r="A3514" t="str">
            <v>Nova Olinda</v>
          </cell>
          <cell r="B3514">
            <v>300818</v>
          </cell>
          <cell r="C3514">
            <v>-7.478411897</v>
          </cell>
          <cell r="D3514">
            <v>-38.039879859999999</v>
          </cell>
        </row>
        <row r="3515">
          <cell r="A3515" t="str">
            <v>Nova Olinda do Maranhão</v>
          </cell>
          <cell r="B3515">
            <v>303034</v>
          </cell>
          <cell r="C3515">
            <v>-2.8062871490000001</v>
          </cell>
          <cell r="D3515">
            <v>-45.702401039999998</v>
          </cell>
        </row>
        <row r="3516">
          <cell r="A3516" t="str">
            <v>Nova Olinda do Norte</v>
          </cell>
          <cell r="B3516">
            <v>304632</v>
          </cell>
          <cell r="C3516">
            <v>-3.9007547250000001</v>
          </cell>
          <cell r="D3516">
            <v>-59.094475719999998</v>
          </cell>
        </row>
        <row r="3517">
          <cell r="A3517" t="str">
            <v>Nova Pádua</v>
          </cell>
          <cell r="B3517">
            <v>305153</v>
          </cell>
          <cell r="C3517">
            <v>-29.028981030000001</v>
          </cell>
          <cell r="D3517">
            <v>-51.306942540000001</v>
          </cell>
        </row>
        <row r="3518">
          <cell r="A3518" t="str">
            <v>Nova Palma</v>
          </cell>
          <cell r="B3518">
            <v>305691</v>
          </cell>
          <cell r="C3518">
            <v>-29.471452599999999</v>
          </cell>
          <cell r="D3518">
            <v>-53.469390070000003</v>
          </cell>
        </row>
        <row r="3519">
          <cell r="A3519" t="str">
            <v>Nova Palmeira</v>
          </cell>
          <cell r="B3519">
            <v>300642</v>
          </cell>
          <cell r="C3519">
            <v>-6.6789126129999996</v>
          </cell>
          <cell r="D3519">
            <v>-36.419837149999999</v>
          </cell>
        </row>
        <row r="3520">
          <cell r="A3520" t="str">
            <v>Nova Petrópolis</v>
          </cell>
          <cell r="B3520">
            <v>305471</v>
          </cell>
          <cell r="C3520">
            <v>-29.374591559999999</v>
          </cell>
          <cell r="D3520">
            <v>-51.114002540000001</v>
          </cell>
        </row>
        <row r="3521">
          <cell r="A3521" t="str">
            <v>Nova Ponte</v>
          </cell>
          <cell r="B3521">
            <v>303696</v>
          </cell>
          <cell r="C3521">
            <v>-19.167258919999998</v>
          </cell>
          <cell r="D3521">
            <v>-47.674027819999999</v>
          </cell>
        </row>
        <row r="3522">
          <cell r="A3522" t="str">
            <v>Nova Porteirinha</v>
          </cell>
          <cell r="B3522">
            <v>302151</v>
          </cell>
          <cell r="C3522">
            <v>-15.80032162</v>
          </cell>
          <cell r="D3522">
            <v>-43.298054190000002</v>
          </cell>
        </row>
        <row r="3523">
          <cell r="A3523" t="str">
            <v>Nova Prata</v>
          </cell>
          <cell r="B3523">
            <v>305530</v>
          </cell>
          <cell r="C3523">
            <v>-28.78038987</v>
          </cell>
          <cell r="D3523">
            <v>-51.611722190000002</v>
          </cell>
        </row>
        <row r="3524">
          <cell r="A3524" t="str">
            <v>Nova Prata do Iguaçu</v>
          </cell>
          <cell r="B3524">
            <v>305645</v>
          </cell>
          <cell r="C3524">
            <v>-25.631373490000001</v>
          </cell>
          <cell r="D3524">
            <v>-53.347311400000002</v>
          </cell>
        </row>
        <row r="3525">
          <cell r="A3525" t="str">
            <v>Nova Ramada</v>
          </cell>
          <cell r="B3525">
            <v>305429</v>
          </cell>
          <cell r="C3525">
            <v>-28.0671997</v>
          </cell>
          <cell r="D3525">
            <v>-53.699629289999997</v>
          </cell>
        </row>
        <row r="3526">
          <cell r="A3526" t="str">
            <v>Nova Redenção</v>
          </cell>
          <cell r="B3526">
            <v>301572</v>
          </cell>
          <cell r="C3526">
            <v>-12.81666804</v>
          </cell>
          <cell r="D3526">
            <v>-41.068604720000003</v>
          </cell>
        </row>
        <row r="3527">
          <cell r="A3527" t="str">
            <v>Nova Resende</v>
          </cell>
          <cell r="B3527">
            <v>303501</v>
          </cell>
          <cell r="C3527">
            <v>-21.1290841</v>
          </cell>
          <cell r="D3527">
            <v>-46.416122819999998</v>
          </cell>
        </row>
        <row r="3528">
          <cell r="A3528" t="str">
            <v>Nova Roma</v>
          </cell>
          <cell r="B3528">
            <v>302869</v>
          </cell>
          <cell r="C3528">
            <v>-13.740915859999999</v>
          </cell>
          <cell r="D3528">
            <v>-46.885894139999998</v>
          </cell>
        </row>
        <row r="3529">
          <cell r="A3529" t="str">
            <v>Nova Roma do Sul</v>
          </cell>
          <cell r="B3529">
            <v>305185</v>
          </cell>
          <cell r="C3529">
            <v>-28.98865091</v>
          </cell>
          <cell r="D3529">
            <v>-51.409961780000003</v>
          </cell>
        </row>
        <row r="3530">
          <cell r="A3530" t="str">
            <v>Nova Rosalândia</v>
          </cell>
          <cell r="B3530">
            <v>302255</v>
          </cell>
          <cell r="C3530">
            <v>-10.5655278</v>
          </cell>
          <cell r="D3530">
            <v>-48.912863530000003</v>
          </cell>
        </row>
        <row r="3531">
          <cell r="A3531" t="str">
            <v>Nova Russas</v>
          </cell>
          <cell r="B3531">
            <v>300872</v>
          </cell>
          <cell r="C3531">
            <v>-4.705428285</v>
          </cell>
          <cell r="D3531">
            <v>-40.563940199999998</v>
          </cell>
        </row>
        <row r="3532">
          <cell r="A3532" t="str">
            <v>Nova Santa Bárbara</v>
          </cell>
          <cell r="B3532">
            <v>304731</v>
          </cell>
          <cell r="C3532">
            <v>-23.5935402</v>
          </cell>
          <cell r="D3532">
            <v>-50.7592839</v>
          </cell>
        </row>
        <row r="3533">
          <cell r="A3533" t="str">
            <v>Nova Santa Helena</v>
          </cell>
          <cell r="B3533">
            <v>300374</v>
          </cell>
          <cell r="C3533">
            <v>-10.848012779999999</v>
          </cell>
          <cell r="D3533">
            <v>-55.182629310000003</v>
          </cell>
        </row>
        <row r="3534">
          <cell r="A3534" t="str">
            <v>Nova Santa Rita</v>
          </cell>
          <cell r="B3534">
            <v>301828</v>
          </cell>
          <cell r="C3534">
            <v>-8.0974932870000007</v>
          </cell>
          <cell r="D3534">
            <v>-42.047466630000002</v>
          </cell>
        </row>
        <row r="3535">
          <cell r="A3535" t="str">
            <v>Nova Santa Rita</v>
          </cell>
          <cell r="B3535">
            <v>305495</v>
          </cell>
          <cell r="C3535">
            <v>-29.84835812</v>
          </cell>
          <cell r="D3535">
            <v>-51.269983269999997</v>
          </cell>
        </row>
        <row r="3536">
          <cell r="A3536" t="str">
            <v>Nova Santa Rosa</v>
          </cell>
          <cell r="B3536">
            <v>305007</v>
          </cell>
          <cell r="C3536">
            <v>-24.469754309999999</v>
          </cell>
          <cell r="D3536">
            <v>-53.955697800000003</v>
          </cell>
        </row>
        <row r="3537">
          <cell r="A3537" t="str">
            <v>Nova Serrana</v>
          </cell>
          <cell r="B3537">
            <v>302976</v>
          </cell>
          <cell r="C3537">
            <v>-19.871769839999999</v>
          </cell>
          <cell r="D3537">
            <v>-44.98503899</v>
          </cell>
        </row>
        <row r="3538">
          <cell r="A3538" t="str">
            <v>Nova Soure</v>
          </cell>
          <cell r="B3538">
            <v>301363</v>
          </cell>
          <cell r="C3538">
            <v>-11.23792261</v>
          </cell>
          <cell r="D3538">
            <v>-38.477997610000003</v>
          </cell>
        </row>
        <row r="3539">
          <cell r="A3539" t="str">
            <v>Nova Tebas</v>
          </cell>
          <cell r="B3539">
            <v>304834</v>
          </cell>
          <cell r="C3539">
            <v>-24.438425129999999</v>
          </cell>
          <cell r="D3539">
            <v>-51.945793539999997</v>
          </cell>
        </row>
        <row r="3540">
          <cell r="A3540" t="str">
            <v>Nova Timboteua</v>
          </cell>
          <cell r="B3540">
            <v>301904</v>
          </cell>
          <cell r="C3540">
            <v>-1.204441077</v>
          </cell>
          <cell r="D3540">
            <v>-47.391466999999999</v>
          </cell>
        </row>
        <row r="3541">
          <cell r="A3541" t="str">
            <v>Nova Trento</v>
          </cell>
          <cell r="B3541">
            <v>304052</v>
          </cell>
          <cell r="C3541">
            <v>-27.278458499999999</v>
          </cell>
          <cell r="D3541">
            <v>-48.93026339</v>
          </cell>
        </row>
        <row r="3542">
          <cell r="A3542" t="str">
            <v>Nova Ubiratã</v>
          </cell>
          <cell r="B3542">
            <v>304230</v>
          </cell>
          <cell r="C3542">
            <v>-13.035608140000001</v>
          </cell>
          <cell r="D3542">
            <v>-55.250354360000003</v>
          </cell>
        </row>
        <row r="3543">
          <cell r="A3543" t="str">
            <v>Nova União</v>
          </cell>
          <cell r="B3543">
            <v>302819</v>
          </cell>
          <cell r="C3543">
            <v>-19.688057069999999</v>
          </cell>
          <cell r="D3543">
            <v>-43.583415870000003</v>
          </cell>
        </row>
        <row r="3544">
          <cell r="A3544" t="str">
            <v>Nova União</v>
          </cell>
          <cell r="B3544">
            <v>304300</v>
          </cell>
          <cell r="C3544">
            <v>-10.91218076</v>
          </cell>
          <cell r="D3544">
            <v>-62.556216849999998</v>
          </cell>
        </row>
        <row r="3545">
          <cell r="A3545" t="str">
            <v>Nova Venécia</v>
          </cell>
          <cell r="B3545">
            <v>302475</v>
          </cell>
          <cell r="C3545">
            <v>-18.715492260000001</v>
          </cell>
          <cell r="D3545">
            <v>-40.405616090000002</v>
          </cell>
        </row>
        <row r="3546">
          <cell r="A3546" t="str">
            <v>Nova Veneza</v>
          </cell>
          <cell r="B3546">
            <v>304894</v>
          </cell>
          <cell r="C3546">
            <v>-16.371783140000002</v>
          </cell>
          <cell r="D3546">
            <v>-49.319583270000003</v>
          </cell>
        </row>
        <row r="3547">
          <cell r="A3547" t="str">
            <v>Nova Veneza</v>
          </cell>
          <cell r="B3547">
            <v>304972</v>
          </cell>
          <cell r="C3547">
            <v>-28.63425552</v>
          </cell>
          <cell r="D3547">
            <v>-49.50597767</v>
          </cell>
        </row>
        <row r="3548">
          <cell r="A3548" t="str">
            <v>Nova Viçosa</v>
          </cell>
          <cell r="B3548">
            <v>302417</v>
          </cell>
          <cell r="C3548">
            <v>-17.89312146</v>
          </cell>
          <cell r="D3548">
            <v>-39.374664940000002</v>
          </cell>
        </row>
        <row r="3549">
          <cell r="A3549" t="str">
            <v>Nova Xavantina</v>
          </cell>
          <cell r="B3549">
            <v>304540</v>
          </cell>
          <cell r="C3549">
            <v>-14.674559090000001</v>
          </cell>
          <cell r="D3549">
            <v>-52.352462940000002</v>
          </cell>
        </row>
        <row r="3550">
          <cell r="A3550" t="str">
            <v>Novais</v>
          </cell>
          <cell r="B3550">
            <v>303821</v>
          </cell>
          <cell r="C3550">
            <v>-20.991991710000001</v>
          </cell>
          <cell r="D3550">
            <v>-48.918949750000003</v>
          </cell>
        </row>
        <row r="3551">
          <cell r="A3551" t="str">
            <v>Novo Acordo</v>
          </cell>
          <cell r="B3551">
            <v>302205</v>
          </cell>
          <cell r="C3551">
            <v>-9.9710574859999994</v>
          </cell>
          <cell r="D3551">
            <v>-47.678911220000003</v>
          </cell>
        </row>
        <row r="3552">
          <cell r="A3552" t="str">
            <v>Novo Airão</v>
          </cell>
          <cell r="B3552">
            <v>304638</v>
          </cell>
          <cell r="C3552">
            <v>-2.636752778</v>
          </cell>
          <cell r="D3552">
            <v>-60.943847699999999</v>
          </cell>
        </row>
        <row r="3553">
          <cell r="A3553" t="str">
            <v>Novo Alegre</v>
          </cell>
          <cell r="B3553">
            <v>303046</v>
          </cell>
          <cell r="C3553">
            <v>-12.915137140000001</v>
          </cell>
          <cell r="D3553">
            <v>-46.577206420000003</v>
          </cell>
        </row>
        <row r="3554">
          <cell r="A3554" t="str">
            <v>Novo Aripuanã</v>
          </cell>
          <cell r="B3554">
            <v>304246</v>
          </cell>
          <cell r="C3554">
            <v>-5.1263207929999997</v>
          </cell>
          <cell r="D3554">
            <v>-60.373621409999998</v>
          </cell>
        </row>
        <row r="3555">
          <cell r="A3555" t="str">
            <v>Novo Barreiro</v>
          </cell>
          <cell r="B3555">
            <v>305687</v>
          </cell>
          <cell r="C3555">
            <v>-27.90817041</v>
          </cell>
          <cell r="D3555">
            <v>-53.110748979999997</v>
          </cell>
        </row>
        <row r="3556">
          <cell r="A3556" t="str">
            <v>Novo Brasil</v>
          </cell>
          <cell r="B3556">
            <v>304549</v>
          </cell>
          <cell r="C3556">
            <v>-16.031771259999999</v>
          </cell>
          <cell r="D3556">
            <v>-50.71168531</v>
          </cell>
        </row>
        <row r="3557">
          <cell r="A3557" t="str">
            <v>Novo Cabrais</v>
          </cell>
          <cell r="B3557">
            <v>305558</v>
          </cell>
          <cell r="C3557">
            <v>-29.734225800000001</v>
          </cell>
          <cell r="D3557">
            <v>-52.949404010000002</v>
          </cell>
        </row>
        <row r="3558">
          <cell r="A3558" t="str">
            <v>Novo Cruzeiro</v>
          </cell>
          <cell r="B3558">
            <v>302487</v>
          </cell>
          <cell r="C3558">
            <v>-17.465905200000002</v>
          </cell>
          <cell r="D3558">
            <v>-41.88298425</v>
          </cell>
        </row>
        <row r="3559">
          <cell r="A3559" t="str">
            <v>Novo Gama</v>
          </cell>
          <cell r="B3559">
            <v>302779</v>
          </cell>
          <cell r="C3559">
            <v>-16.053272190000001</v>
          </cell>
          <cell r="D3559">
            <v>-48.031863729999998</v>
          </cell>
        </row>
        <row r="3560">
          <cell r="A3560" t="str">
            <v>Novo Hamburgo</v>
          </cell>
          <cell r="B3560">
            <v>305488</v>
          </cell>
          <cell r="C3560">
            <v>-29.68802801</v>
          </cell>
          <cell r="D3560">
            <v>-51.133280050000003</v>
          </cell>
        </row>
        <row r="3561">
          <cell r="A3561" t="str">
            <v>Novo Horizonte</v>
          </cell>
          <cell r="B3561">
            <v>302093</v>
          </cell>
          <cell r="C3561">
            <v>-12.808763069999999</v>
          </cell>
          <cell r="D3561">
            <v>-42.168517620000003</v>
          </cell>
        </row>
        <row r="3562">
          <cell r="A3562" t="str">
            <v>Novo Horizonte</v>
          </cell>
          <cell r="B3562">
            <v>303830</v>
          </cell>
          <cell r="C3562">
            <v>-21.465611500000001</v>
          </cell>
          <cell r="D3562">
            <v>-49.223819159999998</v>
          </cell>
        </row>
        <row r="3563">
          <cell r="A3563" t="str">
            <v>Novo Horizonte</v>
          </cell>
          <cell r="B3563">
            <v>305281</v>
          </cell>
          <cell r="C3563">
            <v>-26.444686690000001</v>
          </cell>
          <cell r="D3563">
            <v>-52.828553329999998</v>
          </cell>
        </row>
        <row r="3564">
          <cell r="A3564" t="str">
            <v>Novo Horizonte do Norte</v>
          </cell>
          <cell r="B3564">
            <v>304225</v>
          </cell>
          <cell r="C3564">
            <v>-11.390190949999999</v>
          </cell>
          <cell r="D3564">
            <v>-57.317736570000001</v>
          </cell>
        </row>
        <row r="3565">
          <cell r="A3565" t="str">
            <v>Novo Horizonte do Oeste</v>
          </cell>
          <cell r="B3565">
            <v>304302</v>
          </cell>
          <cell r="C3565">
            <v>-11.709061330000001</v>
          </cell>
          <cell r="D3565">
            <v>-61.999286240000004</v>
          </cell>
        </row>
        <row r="3566">
          <cell r="A3566" t="str">
            <v>Novo Horizonte do Sul</v>
          </cell>
          <cell r="B3566">
            <v>305754</v>
          </cell>
          <cell r="C3566">
            <v>-22.655653619999999</v>
          </cell>
          <cell r="D3566">
            <v>-53.857719150000001</v>
          </cell>
        </row>
        <row r="3567">
          <cell r="A3567" t="str">
            <v>Novo Itacolomi</v>
          </cell>
          <cell r="B3567">
            <v>304769</v>
          </cell>
          <cell r="C3567">
            <v>-23.763546770000001</v>
          </cell>
          <cell r="D3567">
            <v>-51.508321549999998</v>
          </cell>
        </row>
        <row r="3568">
          <cell r="A3568" t="str">
            <v>Novo Jardim</v>
          </cell>
          <cell r="B3568">
            <v>302211</v>
          </cell>
          <cell r="C3568">
            <v>-11.82051525</v>
          </cell>
          <cell r="D3568">
            <v>-46.62498008</v>
          </cell>
        </row>
        <row r="3569">
          <cell r="A3569" t="str">
            <v>Novo Lino</v>
          </cell>
          <cell r="B3569">
            <v>301468</v>
          </cell>
          <cell r="C3569">
            <v>-8.9423354509999999</v>
          </cell>
          <cell r="D3569">
            <v>-35.664295799999998</v>
          </cell>
        </row>
        <row r="3570">
          <cell r="A3570" t="str">
            <v>Novo Machado</v>
          </cell>
          <cell r="B3570">
            <v>305442</v>
          </cell>
          <cell r="C3570">
            <v>-27.57693823</v>
          </cell>
          <cell r="D3570">
            <v>-54.504056089999999</v>
          </cell>
        </row>
        <row r="3571">
          <cell r="A3571" t="str">
            <v>Novo Mundo</v>
          </cell>
          <cell r="B3571">
            <v>304676</v>
          </cell>
          <cell r="C3571">
            <v>-9.9565744009999992</v>
          </cell>
          <cell r="D3571">
            <v>-55.203371660000002</v>
          </cell>
        </row>
        <row r="3572">
          <cell r="A3572" t="str">
            <v>Novo Oriente</v>
          </cell>
          <cell r="B3572">
            <v>300882</v>
          </cell>
          <cell r="C3572">
            <v>-5.5259251630000001</v>
          </cell>
          <cell r="D3572">
            <v>-40.771625100000001</v>
          </cell>
        </row>
        <row r="3573">
          <cell r="A3573" t="str">
            <v>Novo Oriente de Minas</v>
          </cell>
          <cell r="B3573">
            <v>302482</v>
          </cell>
          <cell r="C3573">
            <v>-17.40940011</v>
          </cell>
          <cell r="D3573">
            <v>-41.219707419999999</v>
          </cell>
        </row>
        <row r="3574">
          <cell r="A3574" t="str">
            <v>Novo Oriente do Piauí</v>
          </cell>
          <cell r="B3574">
            <v>301045</v>
          </cell>
          <cell r="C3574">
            <v>-6.4494209529999997</v>
          </cell>
          <cell r="D3574">
            <v>-41.926461570000001</v>
          </cell>
        </row>
        <row r="3575">
          <cell r="A3575" t="str">
            <v>Novo Planalto</v>
          </cell>
          <cell r="B3575">
            <v>302793</v>
          </cell>
          <cell r="C3575">
            <v>-13.24281856</v>
          </cell>
          <cell r="D3575">
            <v>-49.506418969999999</v>
          </cell>
        </row>
        <row r="3576">
          <cell r="A3576" t="str">
            <v>Novo Progresso</v>
          </cell>
          <cell r="B3576">
            <v>304183</v>
          </cell>
          <cell r="C3576">
            <v>-7.1438688729999997</v>
          </cell>
          <cell r="D3576">
            <v>-55.3790105</v>
          </cell>
        </row>
        <row r="3577">
          <cell r="A3577" t="str">
            <v>Novo Repartimento</v>
          </cell>
          <cell r="B3577">
            <v>302016</v>
          </cell>
          <cell r="C3577">
            <v>-4.2478860389999999</v>
          </cell>
          <cell r="D3577">
            <v>-49.950315230000001</v>
          </cell>
        </row>
        <row r="3578">
          <cell r="A3578" t="str">
            <v>Novo Santo Antônio</v>
          </cell>
          <cell r="B3578">
            <v>300368</v>
          </cell>
          <cell r="C3578">
            <v>-12.291499399999999</v>
          </cell>
          <cell r="D3578">
            <v>-50.968279600000002</v>
          </cell>
        </row>
        <row r="3579">
          <cell r="A3579" t="str">
            <v>Novo Santo Antônio</v>
          </cell>
          <cell r="B3579">
            <v>301007</v>
          </cell>
          <cell r="C3579">
            <v>-5.2878910929999998</v>
          </cell>
          <cell r="D3579">
            <v>-41.932869920000002</v>
          </cell>
        </row>
        <row r="3580">
          <cell r="A3580" t="str">
            <v>Novo São Joaquim</v>
          </cell>
          <cell r="B3580">
            <v>304531</v>
          </cell>
          <cell r="C3580">
            <v>-14.91123252</v>
          </cell>
          <cell r="D3580">
            <v>-53.027365860000003</v>
          </cell>
        </row>
        <row r="3581">
          <cell r="A3581" t="str">
            <v>Novo Tiradentes</v>
          </cell>
          <cell r="B3581">
            <v>305673</v>
          </cell>
          <cell r="C3581">
            <v>-27.565387579999999</v>
          </cell>
          <cell r="D3581">
            <v>-53.18417101</v>
          </cell>
        </row>
        <row r="3582">
          <cell r="A3582" t="str">
            <v>Novo Triunfo</v>
          </cell>
          <cell r="B3582">
            <v>301290</v>
          </cell>
          <cell r="C3582">
            <v>-10.33463456</v>
          </cell>
          <cell r="D3582">
            <v>-38.420982010000003</v>
          </cell>
        </row>
        <row r="3583">
          <cell r="A3583" t="str">
            <v>Novo Xingu</v>
          </cell>
          <cell r="B3583">
            <v>300399</v>
          </cell>
          <cell r="C3583">
            <v>-27.749519339999999</v>
          </cell>
          <cell r="D3583">
            <v>-53.064397130000003</v>
          </cell>
        </row>
        <row r="3584">
          <cell r="A3584" t="str">
            <v>Novorizonte</v>
          </cell>
          <cell r="B3584">
            <v>302146</v>
          </cell>
          <cell r="C3584">
            <v>-16.016673910000002</v>
          </cell>
          <cell r="D3584">
            <v>-42.404785250000003</v>
          </cell>
        </row>
        <row r="3585">
          <cell r="A3585" t="str">
            <v>Nueva Germania</v>
          </cell>
          <cell r="B3585">
            <v>314274</v>
          </cell>
          <cell r="C3585">
            <v>-23.94464309</v>
          </cell>
          <cell r="D3585">
            <v>-56.696637590000002</v>
          </cell>
        </row>
        <row r="3586">
          <cell r="A3586" t="str">
            <v>Nueva Italia</v>
          </cell>
          <cell r="B3586">
            <v>314501</v>
          </cell>
          <cell r="C3586">
            <v>-25.61789357</v>
          </cell>
          <cell r="D3586">
            <v>-57.434356919999999</v>
          </cell>
        </row>
        <row r="3587">
          <cell r="A3587" t="str">
            <v>Nuporanga</v>
          </cell>
          <cell r="B3587">
            <v>303355</v>
          </cell>
          <cell r="C3587">
            <v>-20.730086709999998</v>
          </cell>
          <cell r="D3587">
            <v>-47.743340590000003</v>
          </cell>
        </row>
        <row r="3588">
          <cell r="A3588" t="str">
            <v>Óbidos</v>
          </cell>
          <cell r="B3588">
            <v>304161</v>
          </cell>
          <cell r="C3588">
            <v>-1.9014521559999999</v>
          </cell>
          <cell r="D3588">
            <v>-55.521229230000003</v>
          </cell>
        </row>
        <row r="3589">
          <cell r="A3589" t="str">
            <v>Ocara</v>
          </cell>
          <cell r="B3589">
            <v>300741</v>
          </cell>
          <cell r="C3589">
            <v>-4.4856307449999999</v>
          </cell>
          <cell r="D3589">
            <v>-38.593569340000002</v>
          </cell>
        </row>
        <row r="3590">
          <cell r="A3590" t="str">
            <v>Ocauçu</v>
          </cell>
          <cell r="B3590">
            <v>304432</v>
          </cell>
          <cell r="C3590">
            <v>-22.438446559999999</v>
          </cell>
          <cell r="D3590">
            <v>-49.922422429999997</v>
          </cell>
        </row>
        <row r="3591">
          <cell r="A3591" t="str">
            <v>Oeiras</v>
          </cell>
          <cell r="B3591">
            <v>301820</v>
          </cell>
          <cell r="C3591">
            <v>-7.0195671099999997</v>
          </cell>
          <cell r="D3591">
            <v>-42.128637339999997</v>
          </cell>
        </row>
        <row r="3592">
          <cell r="A3592" t="str">
            <v>Oeiras do Pará</v>
          </cell>
          <cell r="B3592">
            <v>301944</v>
          </cell>
          <cell r="C3592">
            <v>-2.0039580450000001</v>
          </cell>
          <cell r="D3592">
            <v>-49.863177899999997</v>
          </cell>
        </row>
        <row r="3593">
          <cell r="A3593" t="str">
            <v>Oiapoque</v>
          </cell>
          <cell r="B3593">
            <v>305869</v>
          </cell>
          <cell r="C3593">
            <v>3.8403911530000001</v>
          </cell>
          <cell r="D3593">
            <v>-51.833520909999997</v>
          </cell>
        </row>
        <row r="3594">
          <cell r="A3594" t="str">
            <v>Olaria</v>
          </cell>
          <cell r="B3594">
            <v>303131</v>
          </cell>
          <cell r="C3594">
            <v>-21.860269299999999</v>
          </cell>
          <cell r="D3594">
            <v>-43.935933660000003</v>
          </cell>
        </row>
        <row r="3595">
          <cell r="A3595" t="str">
            <v>Óleo</v>
          </cell>
          <cell r="B3595">
            <v>303898</v>
          </cell>
          <cell r="C3595">
            <v>-22.943931490000001</v>
          </cell>
          <cell r="D3595">
            <v>-49.342339240000001</v>
          </cell>
        </row>
        <row r="3596">
          <cell r="A3596" t="str">
            <v>Olho d'Água</v>
          </cell>
          <cell r="B3596">
            <v>300626</v>
          </cell>
          <cell r="C3596">
            <v>-7.228603304</v>
          </cell>
          <cell r="D3596">
            <v>-37.746566510000001</v>
          </cell>
        </row>
        <row r="3597">
          <cell r="A3597" t="str">
            <v>Olho d'Água das Cunhãs</v>
          </cell>
          <cell r="B3597">
            <v>303586</v>
          </cell>
          <cell r="C3597">
            <v>-4.1375528810000004</v>
          </cell>
          <cell r="D3597">
            <v>-45.119095219999998</v>
          </cell>
        </row>
        <row r="3598">
          <cell r="A3598" t="str">
            <v>Olho d'Água das Flores</v>
          </cell>
          <cell r="B3598">
            <v>301214</v>
          </cell>
          <cell r="C3598">
            <v>-9.5334655490000006</v>
          </cell>
          <cell r="D3598">
            <v>-37.295772229999997</v>
          </cell>
        </row>
        <row r="3599">
          <cell r="A3599" t="str">
            <v>Olho d'Água do Casado</v>
          </cell>
          <cell r="B3599">
            <v>301282</v>
          </cell>
          <cell r="C3599">
            <v>-9.5036581420000008</v>
          </cell>
          <cell r="D3599">
            <v>-37.827014179999999</v>
          </cell>
        </row>
        <row r="3600">
          <cell r="A3600" t="str">
            <v>Olho d'Água do Piauí</v>
          </cell>
          <cell r="B3600">
            <v>301789</v>
          </cell>
          <cell r="C3600">
            <v>-5.847981732</v>
          </cell>
          <cell r="D3600">
            <v>-42.574921699999997</v>
          </cell>
        </row>
        <row r="3601">
          <cell r="A3601" t="str">
            <v>Olho d'Água Grande</v>
          </cell>
          <cell r="B3601">
            <v>301212</v>
          </cell>
          <cell r="C3601">
            <v>-10.05714081</v>
          </cell>
          <cell r="D3601">
            <v>-36.81326361</v>
          </cell>
        </row>
        <row r="3602">
          <cell r="A3602" t="str">
            <v>Olho-d'Água do Borges</v>
          </cell>
          <cell r="B3602">
            <v>300557</v>
          </cell>
          <cell r="C3602">
            <v>-5.9490074860000002</v>
          </cell>
          <cell r="D3602">
            <v>-37.705003699999999</v>
          </cell>
        </row>
        <row r="3603">
          <cell r="A3603" t="str">
            <v>Olhos-d'Água</v>
          </cell>
          <cell r="B3603">
            <v>302708</v>
          </cell>
          <cell r="C3603">
            <v>-17.396375880000001</v>
          </cell>
          <cell r="D3603">
            <v>-43.57081591</v>
          </cell>
        </row>
        <row r="3604">
          <cell r="A3604" t="str">
            <v>Olímpia</v>
          </cell>
          <cell r="B3604">
            <v>303701</v>
          </cell>
          <cell r="C3604">
            <v>-20.737099000000001</v>
          </cell>
          <cell r="D3604">
            <v>-48.911031170000001</v>
          </cell>
        </row>
        <row r="3605">
          <cell r="A3605" t="str">
            <v>Olímpio Noronha</v>
          </cell>
          <cell r="B3605">
            <v>303439</v>
          </cell>
          <cell r="C3605">
            <v>-22.06902594</v>
          </cell>
          <cell r="D3605">
            <v>-45.266111500000001</v>
          </cell>
        </row>
        <row r="3606">
          <cell r="A3606" t="str">
            <v>Olinda</v>
          </cell>
          <cell r="B3606">
            <v>300470</v>
          </cell>
          <cell r="C3606">
            <v>-8.0105912779999997</v>
          </cell>
          <cell r="D3606">
            <v>-34.85479205</v>
          </cell>
        </row>
        <row r="3607">
          <cell r="A3607" t="str">
            <v>Olinda Nova do Maranhão</v>
          </cell>
          <cell r="B3607">
            <v>301695</v>
          </cell>
          <cell r="C3607">
            <v>-3.0017612420000002</v>
          </cell>
          <cell r="D3607">
            <v>-44.992641949999999</v>
          </cell>
        </row>
        <row r="3608">
          <cell r="A3608" t="str">
            <v>Olindina</v>
          </cell>
          <cell r="B3608">
            <v>301364</v>
          </cell>
          <cell r="C3608">
            <v>-11.359155640000001</v>
          </cell>
          <cell r="D3608">
            <v>-38.326526059999999</v>
          </cell>
        </row>
        <row r="3609">
          <cell r="A3609" t="str">
            <v>Olivedos</v>
          </cell>
          <cell r="B3609">
            <v>300648</v>
          </cell>
          <cell r="C3609">
            <v>-6.99167775</v>
          </cell>
          <cell r="D3609">
            <v>-36.243978349999999</v>
          </cell>
        </row>
        <row r="3610">
          <cell r="A3610" t="str">
            <v>Oliveira</v>
          </cell>
          <cell r="B3610">
            <v>302999</v>
          </cell>
          <cell r="C3610">
            <v>-20.698692179999998</v>
          </cell>
          <cell r="D3610">
            <v>-44.829415920000002</v>
          </cell>
        </row>
        <row r="3611">
          <cell r="A3611" t="str">
            <v>Oliveira de Fátima</v>
          </cell>
          <cell r="B3611">
            <v>302256</v>
          </cell>
          <cell r="C3611">
            <v>-10.70738244</v>
          </cell>
          <cell r="D3611">
            <v>-48.908996690000002</v>
          </cell>
        </row>
        <row r="3612">
          <cell r="A3612" t="str">
            <v>Oliveira dos Brejinhos</v>
          </cell>
          <cell r="B3612">
            <v>302275</v>
          </cell>
          <cell r="C3612">
            <v>-12.317682230000001</v>
          </cell>
          <cell r="D3612">
            <v>-42.889837180000001</v>
          </cell>
        </row>
        <row r="3613">
          <cell r="A3613" t="str">
            <v>Oliveira Fortes</v>
          </cell>
          <cell r="B3613">
            <v>303097</v>
          </cell>
          <cell r="C3613">
            <v>-21.340533539999999</v>
          </cell>
          <cell r="D3613">
            <v>-43.450263900000003</v>
          </cell>
        </row>
        <row r="3614">
          <cell r="A3614" t="str">
            <v>Olivença</v>
          </cell>
          <cell r="B3614">
            <v>301209</v>
          </cell>
          <cell r="C3614">
            <v>-9.5180847059999998</v>
          </cell>
          <cell r="D3614">
            <v>-37.191171140000002</v>
          </cell>
        </row>
        <row r="3615">
          <cell r="A3615" t="str">
            <v>Onça de Pitangui</v>
          </cell>
          <cell r="B3615">
            <v>302972</v>
          </cell>
          <cell r="C3615">
            <v>-19.728021689999999</v>
          </cell>
          <cell r="D3615">
            <v>-44.806147420000002</v>
          </cell>
        </row>
        <row r="3616">
          <cell r="A3616" t="str">
            <v>Onda Verde</v>
          </cell>
          <cell r="B3616">
            <v>303423</v>
          </cell>
          <cell r="C3616">
            <v>-20.607246379999999</v>
          </cell>
          <cell r="D3616">
            <v>-49.295279409999999</v>
          </cell>
        </row>
        <row r="3617">
          <cell r="A3617" t="str">
            <v>Oratórios</v>
          </cell>
          <cell r="B3617">
            <v>302744</v>
          </cell>
          <cell r="C3617">
            <v>-20.430235549999999</v>
          </cell>
          <cell r="D3617">
            <v>-42.798062059999999</v>
          </cell>
        </row>
        <row r="3618">
          <cell r="A3618" t="str">
            <v>Oriente</v>
          </cell>
          <cell r="B3618">
            <v>304434</v>
          </cell>
          <cell r="C3618">
            <v>-22.152990379999999</v>
          </cell>
          <cell r="D3618">
            <v>-50.090947559999996</v>
          </cell>
        </row>
        <row r="3619">
          <cell r="A3619" t="str">
            <v>Orindiúva</v>
          </cell>
          <cell r="B3619">
            <v>303417</v>
          </cell>
          <cell r="C3619">
            <v>-20.18199302</v>
          </cell>
          <cell r="D3619">
            <v>-49.350949360000001</v>
          </cell>
        </row>
        <row r="3620">
          <cell r="A3620" t="str">
            <v>Oriximiná</v>
          </cell>
          <cell r="B3620">
            <v>304162</v>
          </cell>
          <cell r="C3620">
            <v>-1.760267399</v>
          </cell>
          <cell r="D3620">
            <v>-55.858355940000003</v>
          </cell>
        </row>
        <row r="3621">
          <cell r="A3621" t="str">
            <v>Orizânia</v>
          </cell>
          <cell r="B3621">
            <v>302910</v>
          </cell>
          <cell r="C3621">
            <v>-20.51464112</v>
          </cell>
          <cell r="D3621">
            <v>-42.199483979999997</v>
          </cell>
        </row>
        <row r="3622">
          <cell r="A3622" t="str">
            <v>Orizona</v>
          </cell>
          <cell r="B3622">
            <v>304569</v>
          </cell>
          <cell r="C3622">
            <v>-17.034123279999999</v>
          </cell>
          <cell r="D3622">
            <v>-48.302025059999998</v>
          </cell>
        </row>
        <row r="3623">
          <cell r="A3623" t="str">
            <v>Orlândia</v>
          </cell>
          <cell r="B3623">
            <v>304567</v>
          </cell>
          <cell r="C3623">
            <v>-20.71739234</v>
          </cell>
          <cell r="D3623">
            <v>-47.885604479999998</v>
          </cell>
        </row>
        <row r="3624">
          <cell r="A3624" t="str">
            <v>Orleans</v>
          </cell>
          <cell r="B3624">
            <v>304102</v>
          </cell>
          <cell r="C3624">
            <v>-28.349157609999999</v>
          </cell>
          <cell r="D3624">
            <v>-49.299050100000002</v>
          </cell>
        </row>
        <row r="3625">
          <cell r="A3625" t="str">
            <v>Orobó</v>
          </cell>
          <cell r="B3625">
            <v>300495</v>
          </cell>
          <cell r="C3625">
            <v>-7.7472658589999996</v>
          </cell>
          <cell r="D3625">
            <v>-35.604482169999997</v>
          </cell>
        </row>
        <row r="3626">
          <cell r="A3626" t="str">
            <v>Orocó</v>
          </cell>
          <cell r="B3626">
            <v>301297</v>
          </cell>
          <cell r="C3626">
            <v>-8.6106832549999996</v>
          </cell>
          <cell r="D3626">
            <v>-39.602954099999998</v>
          </cell>
        </row>
        <row r="3627">
          <cell r="A3627" t="str">
            <v>Orós</v>
          </cell>
          <cell r="B3627">
            <v>300919</v>
          </cell>
          <cell r="C3627">
            <v>-6.2522276799999998</v>
          </cell>
          <cell r="D3627">
            <v>-38.905580460000003</v>
          </cell>
        </row>
        <row r="3628">
          <cell r="A3628" t="str">
            <v>Ortigueira</v>
          </cell>
          <cell r="B3628">
            <v>304751</v>
          </cell>
          <cell r="C3628">
            <v>-24.211969499999999</v>
          </cell>
          <cell r="D3628">
            <v>-50.927380810000002</v>
          </cell>
        </row>
        <row r="3629">
          <cell r="A3629" t="str">
            <v>Osasco</v>
          </cell>
          <cell r="B3629">
            <v>303733</v>
          </cell>
          <cell r="C3629">
            <v>-23.532868799999999</v>
          </cell>
          <cell r="D3629">
            <v>-46.791955139999999</v>
          </cell>
        </row>
        <row r="3630">
          <cell r="A3630" t="str">
            <v>Oscar Bressane</v>
          </cell>
          <cell r="B3630">
            <v>304436</v>
          </cell>
          <cell r="C3630">
            <v>-22.315340290000002</v>
          </cell>
          <cell r="D3630">
            <v>-50.281537329999999</v>
          </cell>
        </row>
        <row r="3631">
          <cell r="A3631" t="str">
            <v>Osório</v>
          </cell>
          <cell r="B3631">
            <v>304141</v>
          </cell>
          <cell r="C3631">
            <v>-29.888572289999999</v>
          </cell>
          <cell r="D3631">
            <v>-50.267160179999998</v>
          </cell>
        </row>
        <row r="3632">
          <cell r="A3632" t="str">
            <v>Osvaldo Cruz</v>
          </cell>
          <cell r="B3632">
            <v>304482</v>
          </cell>
          <cell r="C3632">
            <v>-21.79721631</v>
          </cell>
          <cell r="D3632">
            <v>-50.87970954</v>
          </cell>
        </row>
        <row r="3633">
          <cell r="A3633" t="str">
            <v>Otacílio Costa</v>
          </cell>
          <cell r="B3633">
            <v>304096</v>
          </cell>
          <cell r="C3633">
            <v>-27.47939624</v>
          </cell>
          <cell r="D3633">
            <v>-50.12354912</v>
          </cell>
        </row>
        <row r="3634">
          <cell r="A3634" t="str">
            <v>Ourém</v>
          </cell>
          <cell r="B3634">
            <v>301890</v>
          </cell>
          <cell r="C3634">
            <v>-1.546221096</v>
          </cell>
          <cell r="D3634">
            <v>-47.115460769999999</v>
          </cell>
        </row>
        <row r="3635">
          <cell r="A3635" t="str">
            <v>Ouriçangas</v>
          </cell>
          <cell r="B3635">
            <v>301375</v>
          </cell>
          <cell r="C3635">
            <v>-12.01168165</v>
          </cell>
          <cell r="D3635">
            <v>-38.62947664</v>
          </cell>
        </row>
        <row r="3636">
          <cell r="A3636" t="str">
            <v>Ouricuri</v>
          </cell>
          <cell r="B3636">
            <v>301025</v>
          </cell>
          <cell r="C3636">
            <v>-7.8796046239999997</v>
          </cell>
          <cell r="D3636">
            <v>-40.080308860000002</v>
          </cell>
        </row>
        <row r="3637">
          <cell r="A3637" t="str">
            <v>Ourilândia do Norte</v>
          </cell>
          <cell r="B3637">
            <v>304154</v>
          </cell>
          <cell r="C3637">
            <v>-6.7533108139999998</v>
          </cell>
          <cell r="D3637">
            <v>-51.086187500000001</v>
          </cell>
        </row>
        <row r="3638">
          <cell r="A3638" t="str">
            <v>Ourinhos</v>
          </cell>
          <cell r="B3638">
            <v>304440</v>
          </cell>
          <cell r="C3638">
            <v>-22.980164200000001</v>
          </cell>
          <cell r="D3638">
            <v>-49.870120739999997</v>
          </cell>
        </row>
        <row r="3639">
          <cell r="A3639" t="str">
            <v>Ourizona</v>
          </cell>
          <cell r="B3639">
            <v>304809</v>
          </cell>
          <cell r="C3639">
            <v>-23.40580598</v>
          </cell>
          <cell r="D3639">
            <v>-52.196814619999998</v>
          </cell>
        </row>
        <row r="3640">
          <cell r="A3640" t="str">
            <v>Ouro</v>
          </cell>
          <cell r="B3640">
            <v>305578</v>
          </cell>
          <cell r="C3640">
            <v>-27.338379230000001</v>
          </cell>
          <cell r="D3640">
            <v>-51.619818260000002</v>
          </cell>
        </row>
        <row r="3641">
          <cell r="A3641" t="str">
            <v>Ouro Branco</v>
          </cell>
          <cell r="B3641">
            <v>300964</v>
          </cell>
          <cell r="C3641">
            <v>-6.7023933839999996</v>
          </cell>
          <cell r="D3641">
            <v>-36.945229730000001</v>
          </cell>
        </row>
        <row r="3642">
          <cell r="A3642" t="str">
            <v>Ouro Branco</v>
          </cell>
          <cell r="B3642">
            <v>302559</v>
          </cell>
          <cell r="C3642">
            <v>-9.1592723649999996</v>
          </cell>
          <cell r="D3642">
            <v>-37.355946439999997</v>
          </cell>
        </row>
        <row r="3643">
          <cell r="A3643" t="str">
            <v>Ouro Branco</v>
          </cell>
          <cell r="B3643">
            <v>302855</v>
          </cell>
          <cell r="C3643">
            <v>-20.526766009999999</v>
          </cell>
          <cell r="D3643">
            <v>-43.696587630000003</v>
          </cell>
        </row>
        <row r="3644">
          <cell r="A3644" t="str">
            <v>Ouro Fino</v>
          </cell>
          <cell r="B3644">
            <v>303534</v>
          </cell>
          <cell r="C3644">
            <v>-22.278343979999999</v>
          </cell>
          <cell r="D3644">
            <v>-46.371992640000002</v>
          </cell>
        </row>
        <row r="3645">
          <cell r="A3645" t="str">
            <v>Ouro Preto</v>
          </cell>
          <cell r="B3645">
            <v>303575</v>
          </cell>
          <cell r="C3645">
            <v>-20.380045849999998</v>
          </cell>
          <cell r="D3645">
            <v>-43.512413979999998</v>
          </cell>
        </row>
        <row r="3646">
          <cell r="A3646" t="str">
            <v>Ouro Preto do Oeste</v>
          </cell>
          <cell r="B3646">
            <v>304293</v>
          </cell>
          <cell r="C3646">
            <v>-10.71712533</v>
          </cell>
          <cell r="D3646">
            <v>-62.256988909999997</v>
          </cell>
        </row>
        <row r="3647">
          <cell r="A3647" t="str">
            <v>Ouro Velho</v>
          </cell>
          <cell r="B3647">
            <v>300669</v>
          </cell>
          <cell r="C3647">
            <v>-7.6164582149999998</v>
          </cell>
          <cell r="D3647">
            <v>-37.152161749999998</v>
          </cell>
        </row>
        <row r="3648">
          <cell r="A3648" t="str">
            <v>Ouro Verde</v>
          </cell>
          <cell r="B3648">
            <v>305114</v>
          </cell>
          <cell r="C3648">
            <v>-26.692497790000001</v>
          </cell>
          <cell r="D3648">
            <v>-52.311292080000001</v>
          </cell>
        </row>
        <row r="3649">
          <cell r="A3649" t="str">
            <v>Ouro Verde</v>
          </cell>
          <cell r="B3649">
            <v>305566</v>
          </cell>
          <cell r="C3649">
            <v>-21.487610360000001</v>
          </cell>
          <cell r="D3649">
            <v>-51.702823690000002</v>
          </cell>
        </row>
        <row r="3650">
          <cell r="A3650" t="str">
            <v>Ouro Verde de Goiás</v>
          </cell>
          <cell r="B3650">
            <v>302401</v>
          </cell>
          <cell r="C3650">
            <v>-16.21826518</v>
          </cell>
          <cell r="D3650">
            <v>-49.196642599999997</v>
          </cell>
        </row>
        <row r="3651">
          <cell r="A3651" t="str">
            <v>Ouro Verde de Minas</v>
          </cell>
          <cell r="B3651">
            <v>302491</v>
          </cell>
          <cell r="C3651">
            <v>-18.072393909999999</v>
          </cell>
          <cell r="D3651">
            <v>-41.273760080000002</v>
          </cell>
        </row>
        <row r="3652">
          <cell r="A3652" t="str">
            <v>Ouro Verde do Oeste</v>
          </cell>
          <cell r="B3652">
            <v>305011</v>
          </cell>
          <cell r="C3652">
            <v>-24.79372012</v>
          </cell>
          <cell r="D3652">
            <v>-53.90475266</v>
          </cell>
        </row>
        <row r="3653">
          <cell r="A3653" t="str">
            <v>Ouroeste</v>
          </cell>
          <cell r="B3653">
            <v>304356</v>
          </cell>
          <cell r="C3653">
            <v>-19.997545469999999</v>
          </cell>
          <cell r="D3653">
            <v>-50.374534070000003</v>
          </cell>
        </row>
        <row r="3654">
          <cell r="A3654" t="str">
            <v>Ourolândia</v>
          </cell>
          <cell r="B3654">
            <v>301490</v>
          </cell>
          <cell r="C3654">
            <v>-10.97033386</v>
          </cell>
          <cell r="D3654">
            <v>-41.081167999999998</v>
          </cell>
        </row>
        <row r="3655">
          <cell r="A3655" t="str">
            <v>Ouvidor</v>
          </cell>
          <cell r="B3655">
            <v>303299</v>
          </cell>
          <cell r="C3655">
            <v>-18.233645339999999</v>
          </cell>
          <cell r="D3655">
            <v>-47.83415694</v>
          </cell>
        </row>
        <row r="3656">
          <cell r="A3656" t="str">
            <v>Oxapampa</v>
          </cell>
          <cell r="B3656">
            <v>314479</v>
          </cell>
          <cell r="C3656">
            <v>-10.56439686</v>
          </cell>
          <cell r="D3656">
            <v>-75.405781700000006</v>
          </cell>
        </row>
        <row r="3657">
          <cell r="A3657" t="str">
            <v>Pacaembu</v>
          </cell>
          <cell r="B3657">
            <v>304487</v>
          </cell>
          <cell r="C3657">
            <v>-21.563122679999999</v>
          </cell>
          <cell r="D3657">
            <v>-51.265789239999997</v>
          </cell>
        </row>
        <row r="3658">
          <cell r="A3658" t="str">
            <v>Pacajá</v>
          </cell>
          <cell r="B3658">
            <v>304675</v>
          </cell>
          <cell r="C3658">
            <v>-3.8377055740000001</v>
          </cell>
          <cell r="D3658">
            <v>-50.639016060000003</v>
          </cell>
        </row>
        <row r="3659">
          <cell r="A3659" t="str">
            <v>Pacajus</v>
          </cell>
          <cell r="B3659">
            <v>302349</v>
          </cell>
          <cell r="C3659">
            <v>-4.1714717779999999</v>
          </cell>
          <cell r="D3659">
            <v>-38.465300300000003</v>
          </cell>
        </row>
        <row r="3660">
          <cell r="A3660" t="str">
            <v>Pacaraima</v>
          </cell>
          <cell r="B3660">
            <v>305878</v>
          </cell>
          <cell r="C3660">
            <v>4.4795445750000003</v>
          </cell>
          <cell r="D3660">
            <v>-61.148140499999997</v>
          </cell>
        </row>
        <row r="3661">
          <cell r="A3661" t="str">
            <v>Pacatuba</v>
          </cell>
          <cell r="B3661">
            <v>301192</v>
          </cell>
          <cell r="C3661">
            <v>-10.45546216</v>
          </cell>
          <cell r="D3661">
            <v>-36.648524369999997</v>
          </cell>
        </row>
        <row r="3662">
          <cell r="A3662" t="str">
            <v>Pacatuba</v>
          </cell>
          <cell r="B3662">
            <v>302354</v>
          </cell>
          <cell r="C3662">
            <v>-3.9787934730000001</v>
          </cell>
          <cell r="D3662">
            <v>-38.618609309999997</v>
          </cell>
        </row>
        <row r="3663">
          <cell r="A3663" t="str">
            <v>Paço do Lumiar</v>
          </cell>
          <cell r="B3663">
            <v>301675</v>
          </cell>
          <cell r="C3663">
            <v>-2.5176293790000002</v>
          </cell>
          <cell r="D3663">
            <v>-44.109144890000003</v>
          </cell>
        </row>
        <row r="3664">
          <cell r="A3664" t="str">
            <v>Pacoti</v>
          </cell>
          <cell r="B3664">
            <v>300904</v>
          </cell>
          <cell r="C3664">
            <v>-4.2253169399999999</v>
          </cell>
          <cell r="D3664">
            <v>-38.922326560000002</v>
          </cell>
        </row>
        <row r="3665">
          <cell r="A3665" t="str">
            <v>Pacujá</v>
          </cell>
          <cell r="B3665">
            <v>301342</v>
          </cell>
          <cell r="C3665">
            <v>-3.9836686920000002</v>
          </cell>
          <cell r="D3665">
            <v>-40.699212869999997</v>
          </cell>
        </row>
        <row r="3666">
          <cell r="A3666" t="str">
            <v>Padre Bernardo</v>
          </cell>
          <cell r="B3666">
            <v>302806</v>
          </cell>
          <cell r="C3666">
            <v>-15.1642186</v>
          </cell>
          <cell r="D3666">
            <v>-48.286528179999998</v>
          </cell>
        </row>
        <row r="3667">
          <cell r="A3667" t="str">
            <v>Padre Carvalho</v>
          </cell>
          <cell r="B3667">
            <v>302179</v>
          </cell>
          <cell r="C3667">
            <v>-16.364365119999999</v>
          </cell>
          <cell r="D3667">
            <v>-42.515780030000002</v>
          </cell>
        </row>
        <row r="3668">
          <cell r="A3668" t="str">
            <v>Padre Marcos</v>
          </cell>
          <cell r="B3668">
            <v>301056</v>
          </cell>
          <cell r="C3668">
            <v>-7.3470425879999999</v>
          </cell>
          <cell r="D3668">
            <v>-40.908648370000002</v>
          </cell>
        </row>
        <row r="3669">
          <cell r="A3669" t="str">
            <v>Padre Paraíso</v>
          </cell>
          <cell r="B3669">
            <v>302483</v>
          </cell>
          <cell r="C3669">
            <v>-17.076255190000001</v>
          </cell>
          <cell r="D3669">
            <v>-41.482400669999997</v>
          </cell>
        </row>
        <row r="3670">
          <cell r="A3670" t="str">
            <v>Paes Landim</v>
          </cell>
          <cell r="B3670">
            <v>301827</v>
          </cell>
          <cell r="C3670">
            <v>-7.77667866</v>
          </cell>
          <cell r="D3670">
            <v>-42.254791310000002</v>
          </cell>
        </row>
        <row r="3671">
          <cell r="A3671" t="str">
            <v>Pai Pedro</v>
          </cell>
          <cell r="B3671">
            <v>302184</v>
          </cell>
          <cell r="C3671">
            <v>-15.531356840000001</v>
          </cell>
          <cell r="D3671">
            <v>-43.067905979999999</v>
          </cell>
        </row>
        <row r="3672">
          <cell r="A3672" t="str">
            <v>Paial</v>
          </cell>
          <cell r="B3672">
            <v>305291</v>
          </cell>
          <cell r="C3672">
            <v>-27.25457626</v>
          </cell>
          <cell r="D3672">
            <v>-52.49796748</v>
          </cell>
        </row>
        <row r="3673">
          <cell r="A3673" t="str">
            <v>Paiçandu</v>
          </cell>
          <cell r="B3673">
            <v>304805</v>
          </cell>
          <cell r="C3673">
            <v>-23.455998520000001</v>
          </cell>
          <cell r="D3673">
            <v>-52.046446860000003</v>
          </cell>
        </row>
        <row r="3674">
          <cell r="A3674" t="str">
            <v>Paim Filho</v>
          </cell>
          <cell r="B3674">
            <v>305588</v>
          </cell>
          <cell r="C3674">
            <v>-27.707990460000001</v>
          </cell>
          <cell r="D3674">
            <v>-51.76343567</v>
          </cell>
        </row>
        <row r="3675">
          <cell r="A3675" t="str">
            <v>Paineiras</v>
          </cell>
          <cell r="B3675">
            <v>303003</v>
          </cell>
          <cell r="C3675">
            <v>-18.904741479999998</v>
          </cell>
          <cell r="D3675">
            <v>-45.535962019999999</v>
          </cell>
        </row>
        <row r="3676">
          <cell r="A3676" t="str">
            <v>Painel</v>
          </cell>
          <cell r="B3676">
            <v>304100</v>
          </cell>
          <cell r="C3676">
            <v>-27.92389322</v>
          </cell>
          <cell r="D3676">
            <v>-50.097612720000001</v>
          </cell>
        </row>
        <row r="3677">
          <cell r="A3677" t="str">
            <v>Pains</v>
          </cell>
          <cell r="B3677">
            <v>303243</v>
          </cell>
          <cell r="C3677">
            <v>-20.37093818</v>
          </cell>
          <cell r="D3677">
            <v>-45.663068809999999</v>
          </cell>
        </row>
        <row r="3678">
          <cell r="A3678" t="str">
            <v>Paiva</v>
          </cell>
          <cell r="B3678">
            <v>303096</v>
          </cell>
          <cell r="C3678">
            <v>-21.291766450000001</v>
          </cell>
          <cell r="D3678">
            <v>-43.409126479999998</v>
          </cell>
        </row>
        <row r="3679">
          <cell r="A3679" t="str">
            <v>Pajeú do Piauí</v>
          </cell>
          <cell r="B3679">
            <v>301833</v>
          </cell>
          <cell r="C3679">
            <v>-7.8556601209999997</v>
          </cell>
          <cell r="D3679">
            <v>-42.821862879999998</v>
          </cell>
        </row>
        <row r="3680">
          <cell r="A3680" t="str">
            <v>Palestina</v>
          </cell>
          <cell r="B3680">
            <v>301216</v>
          </cell>
          <cell r="C3680">
            <v>-9.6724578260000005</v>
          </cell>
          <cell r="D3680">
            <v>-37.338629619999999</v>
          </cell>
        </row>
        <row r="3681">
          <cell r="A3681" t="str">
            <v>Palestina</v>
          </cell>
          <cell r="B3681">
            <v>303418</v>
          </cell>
          <cell r="C3681">
            <v>-20.390508690000001</v>
          </cell>
          <cell r="D3681">
            <v>-49.43126256</v>
          </cell>
        </row>
        <row r="3682">
          <cell r="A3682" t="str">
            <v>Palestina de Goiás</v>
          </cell>
          <cell r="B3682">
            <v>304520</v>
          </cell>
          <cell r="C3682">
            <v>-16.744597599999999</v>
          </cell>
          <cell r="D3682">
            <v>-51.527768649999999</v>
          </cell>
        </row>
        <row r="3683">
          <cell r="A3683" t="str">
            <v>Palestina do Pará</v>
          </cell>
          <cell r="B3683">
            <v>302582</v>
          </cell>
          <cell r="C3683">
            <v>-5.7406717870000001</v>
          </cell>
          <cell r="D3683">
            <v>-48.318454330000002</v>
          </cell>
        </row>
        <row r="3684">
          <cell r="A3684" t="str">
            <v>Palhano</v>
          </cell>
          <cell r="B3684">
            <v>300733</v>
          </cell>
          <cell r="C3684">
            <v>-4.7371246349999998</v>
          </cell>
          <cell r="D3684">
            <v>-37.965857970000002</v>
          </cell>
        </row>
        <row r="3685">
          <cell r="A3685" t="str">
            <v>Palhoça</v>
          </cell>
          <cell r="B3685">
            <v>304046</v>
          </cell>
          <cell r="C3685">
            <v>-27.646002110000001</v>
          </cell>
          <cell r="D3685">
            <v>-48.670088049999997</v>
          </cell>
        </row>
        <row r="3686">
          <cell r="A3686" t="str">
            <v>Palma</v>
          </cell>
          <cell r="B3686">
            <v>304918</v>
          </cell>
          <cell r="C3686">
            <v>-21.375258150000001</v>
          </cell>
          <cell r="D3686">
            <v>-42.312647859999998</v>
          </cell>
        </row>
        <row r="3687">
          <cell r="A3687" t="str">
            <v>Palma Sola</v>
          </cell>
          <cell r="B3687">
            <v>305539</v>
          </cell>
          <cell r="C3687">
            <v>-26.347536089999998</v>
          </cell>
          <cell r="D3687">
            <v>-53.277542699999998</v>
          </cell>
        </row>
        <row r="3688">
          <cell r="A3688" t="str">
            <v>Palmácia</v>
          </cell>
          <cell r="B3688">
            <v>300684</v>
          </cell>
          <cell r="C3688">
            <v>-4.1387064149999997</v>
          </cell>
          <cell r="D3688">
            <v>-38.844915980000003</v>
          </cell>
        </row>
        <row r="3689">
          <cell r="A3689" t="str">
            <v>Palmares</v>
          </cell>
          <cell r="B3689">
            <v>301089</v>
          </cell>
          <cell r="C3689">
            <v>-8.6846549320000008</v>
          </cell>
          <cell r="D3689">
            <v>-35.589326040000003</v>
          </cell>
        </row>
        <row r="3690">
          <cell r="A3690" t="str">
            <v>Palmares do Sul</v>
          </cell>
          <cell r="B3690">
            <v>305466</v>
          </cell>
          <cell r="C3690">
            <v>-30.25797897</v>
          </cell>
          <cell r="D3690">
            <v>-50.509943120000003</v>
          </cell>
        </row>
        <row r="3691">
          <cell r="A3691" t="str">
            <v>Palmares Paulista</v>
          </cell>
          <cell r="B3691">
            <v>303818</v>
          </cell>
          <cell r="C3691">
            <v>-21.08583535</v>
          </cell>
          <cell r="D3691">
            <v>-48.804062420000001</v>
          </cell>
        </row>
        <row r="3692">
          <cell r="A3692" t="str">
            <v>Palmas</v>
          </cell>
          <cell r="B3692">
            <v>305111</v>
          </cell>
          <cell r="C3692">
            <v>-26.484339389999999</v>
          </cell>
          <cell r="D3692">
            <v>-51.989256259999998</v>
          </cell>
        </row>
        <row r="3693">
          <cell r="A3693" t="str">
            <v>Palmas</v>
          </cell>
          <cell r="B3693">
            <v>295774</v>
          </cell>
          <cell r="C3693">
            <v>-10.240822959999999</v>
          </cell>
          <cell r="D3693">
            <v>-48.356516239999998</v>
          </cell>
        </row>
        <row r="3694">
          <cell r="A3694" t="str">
            <v>Palmas de Monte Alto</v>
          </cell>
          <cell r="B3694">
            <v>302111</v>
          </cell>
          <cell r="C3694">
            <v>-14.268012710000001</v>
          </cell>
          <cell r="D3694">
            <v>-43.161214579999999</v>
          </cell>
        </row>
        <row r="3695">
          <cell r="A3695" t="str">
            <v>Palmeira</v>
          </cell>
          <cell r="B3695">
            <v>304097</v>
          </cell>
          <cell r="C3695">
            <v>-27.583492339999999</v>
          </cell>
          <cell r="D3695">
            <v>-50.158153759999998</v>
          </cell>
        </row>
        <row r="3696">
          <cell r="A3696" t="str">
            <v>Palmeira</v>
          </cell>
          <cell r="B3696">
            <v>304599</v>
          </cell>
          <cell r="C3696">
            <v>-25.42619105</v>
          </cell>
          <cell r="D3696">
            <v>-50.007454699999997</v>
          </cell>
        </row>
        <row r="3697">
          <cell r="A3697" t="str">
            <v>Palmeira das Missões</v>
          </cell>
          <cell r="B3697">
            <v>305689</v>
          </cell>
          <cell r="C3697">
            <v>-27.901121719999999</v>
          </cell>
          <cell r="D3697">
            <v>-53.313836209999998</v>
          </cell>
        </row>
        <row r="3698">
          <cell r="A3698" t="str">
            <v>Palmeira do Piauí</v>
          </cell>
          <cell r="B3698">
            <v>302283</v>
          </cell>
          <cell r="C3698">
            <v>-8.7319979599999993</v>
          </cell>
          <cell r="D3698">
            <v>-44.247070809999997</v>
          </cell>
        </row>
        <row r="3699">
          <cell r="A3699" t="str">
            <v>Palmeira d'Oeste</v>
          </cell>
          <cell r="B3699">
            <v>304375</v>
          </cell>
          <cell r="C3699">
            <v>-20.41523561</v>
          </cell>
          <cell r="D3699">
            <v>-50.763615940000001</v>
          </cell>
        </row>
        <row r="3700">
          <cell r="A3700" t="str">
            <v>Palmeira dos Índios</v>
          </cell>
          <cell r="B3700">
            <v>301142</v>
          </cell>
          <cell r="C3700">
            <v>-9.4113229779999994</v>
          </cell>
          <cell r="D3700">
            <v>-36.632380240000003</v>
          </cell>
        </row>
        <row r="3701">
          <cell r="A3701" t="str">
            <v>Palmeirais</v>
          </cell>
          <cell r="B3701">
            <v>302569</v>
          </cell>
          <cell r="C3701">
            <v>-5.9712714499999997</v>
          </cell>
          <cell r="D3701">
            <v>-43.05636587</v>
          </cell>
        </row>
        <row r="3702">
          <cell r="A3702" t="str">
            <v>Palmeirândia</v>
          </cell>
          <cell r="B3702">
            <v>301693</v>
          </cell>
          <cell r="C3702">
            <v>-2.64658214</v>
          </cell>
          <cell r="D3702">
            <v>-44.897394069999997</v>
          </cell>
        </row>
        <row r="3703">
          <cell r="A3703" t="str">
            <v>Palmeirante</v>
          </cell>
          <cell r="B3703">
            <v>302576</v>
          </cell>
          <cell r="C3703">
            <v>-7.8478547619999999</v>
          </cell>
          <cell r="D3703">
            <v>-47.926065389999998</v>
          </cell>
        </row>
        <row r="3704">
          <cell r="A3704" t="str">
            <v>Palmeiras</v>
          </cell>
          <cell r="B3704">
            <v>301510</v>
          </cell>
          <cell r="C3704">
            <v>-12.506309310000001</v>
          </cell>
          <cell r="D3704">
            <v>-41.581227149999997</v>
          </cell>
        </row>
        <row r="3705">
          <cell r="A3705" t="str">
            <v>Palmeiras de Goiás</v>
          </cell>
          <cell r="B3705">
            <v>303385</v>
          </cell>
          <cell r="C3705">
            <v>-16.804895559999999</v>
          </cell>
          <cell r="D3705">
            <v>-49.92443213</v>
          </cell>
        </row>
        <row r="3706">
          <cell r="A3706" t="str">
            <v>Palmeiras do Tocantins</v>
          </cell>
          <cell r="B3706">
            <v>305899</v>
          </cell>
          <cell r="C3706">
            <v>-6.6112554340000003</v>
          </cell>
          <cell r="D3706">
            <v>-47.54844027</v>
          </cell>
        </row>
        <row r="3707">
          <cell r="A3707" t="str">
            <v>Palmeirina</v>
          </cell>
          <cell r="B3707">
            <v>301130</v>
          </cell>
          <cell r="C3707">
            <v>-9.0113263379999999</v>
          </cell>
          <cell r="D3707">
            <v>-36.324501750000003</v>
          </cell>
        </row>
        <row r="3708">
          <cell r="A3708" t="str">
            <v>Palmeirópolis</v>
          </cell>
          <cell r="B3708">
            <v>302781</v>
          </cell>
          <cell r="C3708">
            <v>-13.039972329999999</v>
          </cell>
          <cell r="D3708">
            <v>-48.413355619999997</v>
          </cell>
        </row>
        <row r="3709">
          <cell r="A3709" t="str">
            <v>Palmelo</v>
          </cell>
          <cell r="B3709">
            <v>304573</v>
          </cell>
          <cell r="C3709">
            <v>-17.326273400000002</v>
          </cell>
          <cell r="D3709">
            <v>-48.426424900000001</v>
          </cell>
        </row>
        <row r="3710">
          <cell r="A3710" t="str">
            <v>Palminópolis</v>
          </cell>
          <cell r="B3710">
            <v>303387</v>
          </cell>
          <cell r="C3710">
            <v>-16.792879039999999</v>
          </cell>
          <cell r="D3710">
            <v>-50.165644579999999</v>
          </cell>
        </row>
        <row r="3711">
          <cell r="A3711" t="str">
            <v>Palmital</v>
          </cell>
          <cell r="B3711">
            <v>303902</v>
          </cell>
          <cell r="C3711">
            <v>-22.786316750000001</v>
          </cell>
          <cell r="D3711">
            <v>-50.218384360000002</v>
          </cell>
        </row>
        <row r="3712">
          <cell r="A3712" t="str">
            <v>Palmital</v>
          </cell>
          <cell r="B3712">
            <v>304839</v>
          </cell>
          <cell r="C3712">
            <v>-24.885768379999998</v>
          </cell>
          <cell r="D3712">
            <v>-52.203293690000002</v>
          </cell>
        </row>
        <row r="3713">
          <cell r="A3713" t="str">
            <v>Palmitinho</v>
          </cell>
          <cell r="B3713">
            <v>305410</v>
          </cell>
          <cell r="C3713">
            <v>-27.360042</v>
          </cell>
          <cell r="D3713">
            <v>-53.558486459999997</v>
          </cell>
        </row>
        <row r="3714">
          <cell r="A3714" t="str">
            <v>Palmitos</v>
          </cell>
          <cell r="B3714">
            <v>305315</v>
          </cell>
          <cell r="C3714">
            <v>-27.070687790000001</v>
          </cell>
          <cell r="D3714">
            <v>-53.159065839999997</v>
          </cell>
        </row>
        <row r="3715">
          <cell r="A3715" t="str">
            <v>Palmópolis</v>
          </cell>
          <cell r="B3715">
            <v>301616</v>
          </cell>
          <cell r="C3715">
            <v>-16.736841420000001</v>
          </cell>
          <cell r="D3715">
            <v>-40.429948520000003</v>
          </cell>
        </row>
        <row r="3716">
          <cell r="A3716" t="str">
            <v>Palotina</v>
          </cell>
          <cell r="B3716">
            <v>305005</v>
          </cell>
          <cell r="C3716">
            <v>-24.28724527</v>
          </cell>
          <cell r="D3716">
            <v>-53.840869480000002</v>
          </cell>
        </row>
        <row r="3717">
          <cell r="A3717" t="str">
            <v>Panamá</v>
          </cell>
          <cell r="B3717">
            <v>303392</v>
          </cell>
          <cell r="C3717">
            <v>-18.176995959999999</v>
          </cell>
          <cell r="D3717">
            <v>-49.353949970000002</v>
          </cell>
        </row>
        <row r="3718">
          <cell r="A3718" t="str">
            <v>Panambi</v>
          </cell>
          <cell r="B3718">
            <v>305428</v>
          </cell>
          <cell r="C3718">
            <v>-28.283797710000002</v>
          </cell>
          <cell r="D3718">
            <v>-53.502722009999999</v>
          </cell>
        </row>
        <row r="3719">
          <cell r="A3719" t="str">
            <v>Panao</v>
          </cell>
          <cell r="B3719">
            <v>314373</v>
          </cell>
          <cell r="C3719">
            <v>-9.8881643439999998</v>
          </cell>
          <cell r="D3719">
            <v>-75.953900959999999</v>
          </cell>
        </row>
        <row r="3720">
          <cell r="A3720" t="str">
            <v>Pancas</v>
          </cell>
          <cell r="B3720">
            <v>302502</v>
          </cell>
          <cell r="C3720">
            <v>-19.223416579999999</v>
          </cell>
          <cell r="D3720">
            <v>-40.853791399999999</v>
          </cell>
        </row>
        <row r="3721">
          <cell r="A3721" t="str">
            <v>Panelas</v>
          </cell>
          <cell r="B3721">
            <v>301114</v>
          </cell>
          <cell r="C3721">
            <v>-8.664575997</v>
          </cell>
          <cell r="D3721">
            <v>-36.007146050000003</v>
          </cell>
        </row>
        <row r="3722">
          <cell r="A3722" t="str">
            <v>Panorama</v>
          </cell>
          <cell r="B3722">
            <v>305568</v>
          </cell>
          <cell r="C3722">
            <v>-21.35443261</v>
          </cell>
          <cell r="D3722">
            <v>-51.856611239999999</v>
          </cell>
        </row>
        <row r="3723">
          <cell r="A3723" t="str">
            <v>Pantano Grande</v>
          </cell>
          <cell r="B3723">
            <v>305516</v>
          </cell>
          <cell r="C3723">
            <v>-30.19063148</v>
          </cell>
          <cell r="D3723">
            <v>-52.373377439999999</v>
          </cell>
        </row>
        <row r="3724">
          <cell r="A3724" t="str">
            <v>Pão de Açúcar</v>
          </cell>
          <cell r="B3724">
            <v>301222</v>
          </cell>
          <cell r="C3724">
            <v>-9.7414570890000007</v>
          </cell>
          <cell r="D3724">
            <v>-37.440737830000003</v>
          </cell>
        </row>
        <row r="3725">
          <cell r="A3725" t="str">
            <v>Papagaios</v>
          </cell>
          <cell r="B3725">
            <v>302970</v>
          </cell>
          <cell r="C3725">
            <v>-19.442391740000001</v>
          </cell>
          <cell r="D3725">
            <v>-44.747174360000002</v>
          </cell>
        </row>
        <row r="3726">
          <cell r="A3726" t="str">
            <v>Papaichton</v>
          </cell>
          <cell r="B3726">
            <v>314430</v>
          </cell>
          <cell r="C3726">
            <v>3.8002788399999998</v>
          </cell>
          <cell r="D3726">
            <v>-54.123142530000003</v>
          </cell>
        </row>
        <row r="3727">
          <cell r="A3727" t="str">
            <v>Papanduva</v>
          </cell>
          <cell r="B3727">
            <v>304609</v>
          </cell>
          <cell r="C3727">
            <v>-26.37818583</v>
          </cell>
          <cell r="D3727">
            <v>-50.142370030000002</v>
          </cell>
        </row>
        <row r="3728">
          <cell r="A3728" t="str">
            <v>Paquetá</v>
          </cell>
          <cell r="B3728">
            <v>301053</v>
          </cell>
          <cell r="C3728">
            <v>-7.1034459029999999</v>
          </cell>
          <cell r="D3728">
            <v>-41.700367479999997</v>
          </cell>
        </row>
        <row r="3729">
          <cell r="A3729" t="str">
            <v>Pará de Minas</v>
          </cell>
          <cell r="B3729">
            <v>302971</v>
          </cell>
          <cell r="C3729">
            <v>-19.853912560000001</v>
          </cell>
          <cell r="D3729">
            <v>-44.611730379999997</v>
          </cell>
        </row>
        <row r="3730">
          <cell r="A3730" t="str">
            <v>Paracambi</v>
          </cell>
          <cell r="B3730">
            <v>303156</v>
          </cell>
          <cell r="C3730">
            <v>-22.608294409999999</v>
          </cell>
          <cell r="D3730">
            <v>-43.711212060000001</v>
          </cell>
        </row>
        <row r="3731">
          <cell r="A3731" t="str">
            <v>Paracatu</v>
          </cell>
          <cell r="B3731">
            <v>304930</v>
          </cell>
          <cell r="C3731">
            <v>-17.225623039999999</v>
          </cell>
          <cell r="D3731">
            <v>-46.871448700000002</v>
          </cell>
        </row>
        <row r="3732">
          <cell r="A3732" t="str">
            <v>Paracuru</v>
          </cell>
          <cell r="B3732">
            <v>302356</v>
          </cell>
          <cell r="C3732">
            <v>-3.4147536710000002</v>
          </cell>
          <cell r="D3732">
            <v>-39.030344030000002</v>
          </cell>
        </row>
        <row r="3733">
          <cell r="A3733" t="str">
            <v>Paragominas</v>
          </cell>
          <cell r="B3733">
            <v>301921</v>
          </cell>
          <cell r="C3733">
            <v>-3.0025043509999998</v>
          </cell>
          <cell r="D3733">
            <v>-47.353063050000003</v>
          </cell>
        </row>
        <row r="3734">
          <cell r="A3734" t="str">
            <v>Paraguaçu</v>
          </cell>
          <cell r="B3734">
            <v>304414</v>
          </cell>
          <cell r="C3734">
            <v>-21.546982079999999</v>
          </cell>
          <cell r="D3734">
            <v>-45.737806329999998</v>
          </cell>
        </row>
        <row r="3735">
          <cell r="A3735" t="str">
            <v>Paraguaçu Paulista</v>
          </cell>
          <cell r="B3735">
            <v>304493</v>
          </cell>
          <cell r="C3735">
            <v>-22.41299016</v>
          </cell>
          <cell r="D3735">
            <v>-50.575946739999999</v>
          </cell>
        </row>
        <row r="3736">
          <cell r="A3736" t="str">
            <v>Paraguari</v>
          </cell>
          <cell r="B3736">
            <v>314474</v>
          </cell>
          <cell r="C3736">
            <v>-25.632107560000001</v>
          </cell>
          <cell r="D3736">
            <v>-57.13414332</v>
          </cell>
        </row>
        <row r="3737">
          <cell r="A3737" t="str">
            <v>Paraí</v>
          </cell>
          <cell r="B3737">
            <v>305183</v>
          </cell>
          <cell r="C3737">
            <v>-28.59685996</v>
          </cell>
          <cell r="D3737">
            <v>-51.790053559999997</v>
          </cell>
        </row>
        <row r="3738">
          <cell r="A3738" t="str">
            <v>Paraíba do Sul</v>
          </cell>
          <cell r="B3738">
            <v>303136</v>
          </cell>
          <cell r="C3738">
            <v>-22.15894479</v>
          </cell>
          <cell r="D3738">
            <v>-43.304375960000002</v>
          </cell>
        </row>
        <row r="3739">
          <cell r="A3739" t="str">
            <v>Paraibano</v>
          </cell>
          <cell r="B3739">
            <v>301844</v>
          </cell>
          <cell r="C3739">
            <v>-6.4319858229999998</v>
          </cell>
          <cell r="D3739">
            <v>-43.98954861</v>
          </cell>
        </row>
        <row r="3740">
          <cell r="A3740" t="str">
            <v>Paraibuna</v>
          </cell>
          <cell r="B3740">
            <v>303291</v>
          </cell>
          <cell r="C3740">
            <v>-23.38769422</v>
          </cell>
          <cell r="D3740">
            <v>-45.664334969999999</v>
          </cell>
        </row>
        <row r="3741">
          <cell r="A3741" t="str">
            <v>Paraipaba</v>
          </cell>
          <cell r="B3741">
            <v>300682</v>
          </cell>
          <cell r="C3741">
            <v>-3.4383807850000001</v>
          </cell>
          <cell r="D3741">
            <v>-39.148184860000001</v>
          </cell>
        </row>
        <row r="3742">
          <cell r="A3742" t="str">
            <v>Paraíso</v>
          </cell>
          <cell r="B3742">
            <v>303817</v>
          </cell>
          <cell r="C3742">
            <v>-21.016377200000001</v>
          </cell>
          <cell r="D3742">
            <v>-48.776511050000003</v>
          </cell>
        </row>
        <row r="3743">
          <cell r="A3743" t="str">
            <v>Paraíso</v>
          </cell>
          <cell r="B3743">
            <v>305348</v>
          </cell>
          <cell r="C3743">
            <v>-26.62049034</v>
          </cell>
          <cell r="D3743">
            <v>-53.672050169999999</v>
          </cell>
        </row>
        <row r="3744">
          <cell r="A3744" t="str">
            <v>Paraíso das Águas</v>
          </cell>
          <cell r="B3744">
            <v>300359</v>
          </cell>
          <cell r="C3744">
            <v>-19.023518630000002</v>
          </cell>
          <cell r="D3744">
            <v>-53.01289439</v>
          </cell>
        </row>
        <row r="3745">
          <cell r="A3745" t="str">
            <v>Paraíso do Norte</v>
          </cell>
          <cell r="B3745">
            <v>304865</v>
          </cell>
          <cell r="C3745">
            <v>-23.28288255</v>
          </cell>
          <cell r="D3745">
            <v>-52.605865700000003</v>
          </cell>
        </row>
        <row r="3746">
          <cell r="A3746" t="str">
            <v>Paraíso do Sul</v>
          </cell>
          <cell r="B3746">
            <v>305563</v>
          </cell>
          <cell r="C3746">
            <v>-29.66599282</v>
          </cell>
          <cell r="D3746">
            <v>-53.14174148</v>
          </cell>
        </row>
        <row r="3747">
          <cell r="A3747" t="str">
            <v>Paraíso do Tocantins</v>
          </cell>
          <cell r="B3747">
            <v>302243</v>
          </cell>
          <cell r="C3747">
            <v>-10.17542205</v>
          </cell>
          <cell r="D3747">
            <v>-48.882654870000003</v>
          </cell>
        </row>
        <row r="3748">
          <cell r="A3748" t="str">
            <v>Paraisópolis</v>
          </cell>
          <cell r="B3748">
            <v>303273</v>
          </cell>
          <cell r="C3748">
            <v>-22.554390300000001</v>
          </cell>
          <cell r="D3748">
            <v>-45.780685380000001</v>
          </cell>
        </row>
        <row r="3749">
          <cell r="A3749" t="str">
            <v>Paramaribo</v>
          </cell>
          <cell r="B3749">
            <v>295797</v>
          </cell>
          <cell r="C3749">
            <v>5.8293214710000001</v>
          </cell>
          <cell r="D3749">
            <v>-55.170834650000003</v>
          </cell>
        </row>
        <row r="3750">
          <cell r="A3750" t="str">
            <v>Parambu</v>
          </cell>
          <cell r="B3750">
            <v>300884</v>
          </cell>
          <cell r="C3750">
            <v>-6.2080913200000003</v>
          </cell>
          <cell r="D3750">
            <v>-40.690852939999999</v>
          </cell>
        </row>
        <row r="3751">
          <cell r="A3751" t="str">
            <v>Paramirim</v>
          </cell>
          <cell r="B3751">
            <v>302098</v>
          </cell>
          <cell r="C3751">
            <v>-13.444537159999999</v>
          </cell>
          <cell r="D3751">
            <v>-42.24244152</v>
          </cell>
        </row>
        <row r="3752">
          <cell r="A3752" t="str">
            <v>Paramoti</v>
          </cell>
          <cell r="B3752">
            <v>300686</v>
          </cell>
          <cell r="C3752">
            <v>-4.0885439359999998</v>
          </cell>
          <cell r="D3752">
            <v>-39.242008759999997</v>
          </cell>
        </row>
        <row r="3753">
          <cell r="A3753" t="str">
            <v>Paraná</v>
          </cell>
          <cell r="B3753">
            <v>300990</v>
          </cell>
          <cell r="C3753">
            <v>-6.4814973409999999</v>
          </cell>
          <cell r="D3753">
            <v>-38.311054400000003</v>
          </cell>
        </row>
        <row r="3754">
          <cell r="A3754" t="str">
            <v>Paranã</v>
          </cell>
          <cell r="B3754">
            <v>302297</v>
          </cell>
          <cell r="C3754">
            <v>-12.61718333</v>
          </cell>
          <cell r="D3754">
            <v>-47.873760920000002</v>
          </cell>
        </row>
        <row r="3755">
          <cell r="A3755" t="str">
            <v>Paranacity</v>
          </cell>
          <cell r="B3755">
            <v>304712</v>
          </cell>
          <cell r="C3755">
            <v>-22.930175930000001</v>
          </cell>
          <cell r="D3755">
            <v>-52.155378829999997</v>
          </cell>
        </row>
        <row r="3756">
          <cell r="A3756" t="str">
            <v>Paranaguá</v>
          </cell>
          <cell r="B3756">
            <v>303979</v>
          </cell>
          <cell r="C3756">
            <v>-25.516557550000002</v>
          </cell>
          <cell r="D3756">
            <v>-48.522946240000003</v>
          </cell>
        </row>
        <row r="3757">
          <cell r="A3757" t="str">
            <v>Paranaíba</v>
          </cell>
          <cell r="B3757">
            <v>304355</v>
          </cell>
          <cell r="C3757">
            <v>-19.675104359999999</v>
          </cell>
          <cell r="D3757">
            <v>-51.191280599999999</v>
          </cell>
        </row>
        <row r="3758">
          <cell r="A3758" t="str">
            <v>Paranaiguara</v>
          </cell>
          <cell r="B3758">
            <v>304351</v>
          </cell>
          <cell r="C3758">
            <v>-18.914510199999999</v>
          </cell>
          <cell r="D3758">
            <v>-50.654340410000003</v>
          </cell>
        </row>
        <row r="3759">
          <cell r="A3759" t="str">
            <v>Paranaíta</v>
          </cell>
          <cell r="B3759">
            <v>304554</v>
          </cell>
          <cell r="C3759">
            <v>-9.6587606709999996</v>
          </cell>
          <cell r="D3759">
            <v>-56.47905094</v>
          </cell>
        </row>
        <row r="3760">
          <cell r="A3760" t="str">
            <v>Paranapanema</v>
          </cell>
          <cell r="B3760">
            <v>304660</v>
          </cell>
          <cell r="C3760">
            <v>-23.386669349999998</v>
          </cell>
          <cell r="D3760">
            <v>-48.721847570000001</v>
          </cell>
        </row>
        <row r="3761">
          <cell r="A3761" t="str">
            <v>Paranapoema</v>
          </cell>
          <cell r="B3761">
            <v>304709</v>
          </cell>
          <cell r="C3761">
            <v>-22.656268310000002</v>
          </cell>
          <cell r="D3761">
            <v>-52.083916019999997</v>
          </cell>
        </row>
        <row r="3762">
          <cell r="A3762" t="str">
            <v>Paranapuã</v>
          </cell>
          <cell r="B3762">
            <v>304361</v>
          </cell>
          <cell r="C3762">
            <v>-20.105233089999999</v>
          </cell>
          <cell r="D3762">
            <v>-50.589049039999999</v>
          </cell>
        </row>
        <row r="3763">
          <cell r="A3763" t="str">
            <v>Paranatama</v>
          </cell>
          <cell r="B3763">
            <v>301137</v>
          </cell>
          <cell r="C3763">
            <v>-8.9191795139999996</v>
          </cell>
          <cell r="D3763">
            <v>-36.655207109999999</v>
          </cell>
        </row>
        <row r="3764">
          <cell r="A3764" t="str">
            <v>Paranatinga</v>
          </cell>
          <cell r="B3764">
            <v>304529</v>
          </cell>
          <cell r="C3764">
            <v>-14.42690846</v>
          </cell>
          <cell r="D3764">
            <v>-54.052848490000002</v>
          </cell>
        </row>
        <row r="3765">
          <cell r="A3765" t="str">
            <v>Paranavaí</v>
          </cell>
          <cell r="B3765">
            <v>304861</v>
          </cell>
          <cell r="C3765">
            <v>-23.082112469999998</v>
          </cell>
          <cell r="D3765">
            <v>-52.46215918</v>
          </cell>
        </row>
        <row r="3766">
          <cell r="A3766" t="str">
            <v>Paranhos</v>
          </cell>
          <cell r="B3766">
            <v>305240</v>
          </cell>
          <cell r="C3766">
            <v>-23.891522770000002</v>
          </cell>
          <cell r="D3766">
            <v>-55.429473309999999</v>
          </cell>
        </row>
        <row r="3767">
          <cell r="A3767" t="str">
            <v>Paraopeba</v>
          </cell>
          <cell r="B3767">
            <v>303061</v>
          </cell>
          <cell r="C3767">
            <v>-19.273661799999999</v>
          </cell>
          <cell r="D3767">
            <v>-44.404739620000001</v>
          </cell>
        </row>
        <row r="3768">
          <cell r="A3768" t="str">
            <v>Parapuã</v>
          </cell>
          <cell r="B3768">
            <v>304472</v>
          </cell>
          <cell r="C3768">
            <v>-21.779668480000002</v>
          </cell>
          <cell r="D3768">
            <v>-50.795302960000001</v>
          </cell>
        </row>
        <row r="3769">
          <cell r="A3769" t="str">
            <v>Parari</v>
          </cell>
          <cell r="B3769">
            <v>300656</v>
          </cell>
          <cell r="C3769">
            <v>-7.3182191320000003</v>
          </cell>
          <cell r="D3769">
            <v>-36.656207879999997</v>
          </cell>
        </row>
        <row r="3770">
          <cell r="A3770" t="str">
            <v>Parati</v>
          </cell>
          <cell r="B3770">
            <v>303279</v>
          </cell>
          <cell r="C3770">
            <v>-23.222889049999999</v>
          </cell>
          <cell r="D3770">
            <v>-44.716975890000001</v>
          </cell>
        </row>
        <row r="3771">
          <cell r="A3771" t="str">
            <v>Paratinga</v>
          </cell>
          <cell r="B3771">
            <v>302105</v>
          </cell>
          <cell r="C3771">
            <v>-12.687417140000001</v>
          </cell>
          <cell r="D3771">
            <v>-43.180146379999996</v>
          </cell>
        </row>
        <row r="3772">
          <cell r="A3772" t="str">
            <v>Paraú</v>
          </cell>
          <cell r="B3772">
            <v>300547</v>
          </cell>
          <cell r="C3772">
            <v>-5.7772711599999997</v>
          </cell>
          <cell r="D3772">
            <v>-37.102035669999999</v>
          </cell>
        </row>
        <row r="3773">
          <cell r="A3773" t="str">
            <v>Parauapebas</v>
          </cell>
          <cell r="B3773">
            <v>302019</v>
          </cell>
          <cell r="C3773">
            <v>-6.0682153689999998</v>
          </cell>
          <cell r="D3773">
            <v>-49.904121070000002</v>
          </cell>
        </row>
        <row r="3774">
          <cell r="A3774" t="str">
            <v>Paraúna</v>
          </cell>
          <cell r="B3774">
            <v>304334</v>
          </cell>
          <cell r="C3774">
            <v>-16.946708019999999</v>
          </cell>
          <cell r="D3774">
            <v>-50.448763640000003</v>
          </cell>
        </row>
        <row r="3775">
          <cell r="A3775" t="str">
            <v>Parazinho</v>
          </cell>
          <cell r="B3775">
            <v>301356</v>
          </cell>
          <cell r="C3775">
            <v>-5.2231649789999999</v>
          </cell>
          <cell r="D3775">
            <v>-35.840080489999998</v>
          </cell>
        </row>
        <row r="3776">
          <cell r="A3776" t="str">
            <v>Pardinho</v>
          </cell>
          <cell r="B3776">
            <v>304656</v>
          </cell>
          <cell r="C3776">
            <v>-23.080988479999998</v>
          </cell>
          <cell r="D3776">
            <v>-48.373949840000002</v>
          </cell>
        </row>
        <row r="3777">
          <cell r="A3777" t="str">
            <v>Pareci Novo</v>
          </cell>
          <cell r="B3777">
            <v>305768</v>
          </cell>
          <cell r="C3777">
            <v>-29.637017019999998</v>
          </cell>
          <cell r="D3777">
            <v>-51.397853560000001</v>
          </cell>
        </row>
        <row r="3778">
          <cell r="A3778" t="str">
            <v>Parecis</v>
          </cell>
          <cell r="B3778">
            <v>304290</v>
          </cell>
          <cell r="C3778">
            <v>-12.17582904</v>
          </cell>
          <cell r="D3778">
            <v>-61.603681520000002</v>
          </cell>
        </row>
        <row r="3779">
          <cell r="A3779" t="str">
            <v>Parelhas</v>
          </cell>
          <cell r="B3779">
            <v>300647</v>
          </cell>
          <cell r="C3779">
            <v>-6.6853237429999997</v>
          </cell>
          <cell r="D3779">
            <v>-36.656926519999999</v>
          </cell>
        </row>
        <row r="3780">
          <cell r="A3780" t="str">
            <v>Pariconha</v>
          </cell>
          <cell r="B3780">
            <v>301272</v>
          </cell>
          <cell r="C3780">
            <v>-9.2567723859999997</v>
          </cell>
          <cell r="D3780">
            <v>-37.999063200000002</v>
          </cell>
        </row>
        <row r="3781">
          <cell r="A3781" t="str">
            <v>Parintins</v>
          </cell>
          <cell r="B3781">
            <v>304171</v>
          </cell>
          <cell r="C3781">
            <v>-2.6377952589999998</v>
          </cell>
          <cell r="D3781">
            <v>-56.72946863</v>
          </cell>
        </row>
        <row r="3782">
          <cell r="A3782" t="str">
            <v>Paripiranga</v>
          </cell>
          <cell r="B3782">
            <v>301485</v>
          </cell>
          <cell r="C3782">
            <v>-10.68632375</v>
          </cell>
          <cell r="D3782">
            <v>-37.862873569999998</v>
          </cell>
        </row>
        <row r="3783">
          <cell r="A3783" t="str">
            <v>Paripueira</v>
          </cell>
          <cell r="B3783">
            <v>301102</v>
          </cell>
          <cell r="C3783">
            <v>-9.4635667080000001</v>
          </cell>
          <cell r="D3783">
            <v>-35.552271390000001</v>
          </cell>
        </row>
        <row r="3784">
          <cell r="A3784" t="str">
            <v>Pariquera-Açu</v>
          </cell>
          <cell r="B3784">
            <v>303796</v>
          </cell>
          <cell r="C3784">
            <v>-24.71498592</v>
          </cell>
          <cell r="D3784">
            <v>-47.880949979999997</v>
          </cell>
        </row>
        <row r="3785">
          <cell r="A3785" t="str">
            <v>Parisi</v>
          </cell>
          <cell r="B3785">
            <v>303474</v>
          </cell>
          <cell r="C3785">
            <v>-20.302398950000001</v>
          </cell>
          <cell r="D3785">
            <v>-50.021270909999998</v>
          </cell>
        </row>
        <row r="3786">
          <cell r="A3786" t="str">
            <v>Parnaguá</v>
          </cell>
          <cell r="B3786">
            <v>302070</v>
          </cell>
          <cell r="C3786">
            <v>-10.22397971</v>
          </cell>
          <cell r="D3786">
            <v>-44.637584140000001</v>
          </cell>
        </row>
        <row r="3787">
          <cell r="A3787" t="str">
            <v>Parnaíba</v>
          </cell>
          <cell r="B3787">
            <v>300716</v>
          </cell>
          <cell r="C3787">
            <v>-2.9062365570000002</v>
          </cell>
          <cell r="D3787">
            <v>-41.775722860000002</v>
          </cell>
        </row>
        <row r="3788">
          <cell r="A3788" t="str">
            <v>Parnamirim</v>
          </cell>
          <cell r="B3788">
            <v>300868</v>
          </cell>
          <cell r="C3788">
            <v>-8.0915675979999993</v>
          </cell>
          <cell r="D3788">
            <v>-39.578205879999999</v>
          </cell>
        </row>
        <row r="3789">
          <cell r="A3789" t="str">
            <v>Parnamirim</v>
          </cell>
          <cell r="B3789">
            <v>302315</v>
          </cell>
          <cell r="C3789">
            <v>-5.9115675589999999</v>
          </cell>
          <cell r="D3789">
            <v>-35.271289869999997</v>
          </cell>
        </row>
        <row r="3790">
          <cell r="A3790" t="str">
            <v>Parnarama</v>
          </cell>
          <cell r="B3790">
            <v>302567</v>
          </cell>
          <cell r="C3790">
            <v>-5.6839004849999997</v>
          </cell>
          <cell r="D3790">
            <v>-43.106928269999997</v>
          </cell>
        </row>
        <row r="3791">
          <cell r="A3791" t="str">
            <v>Parobé</v>
          </cell>
          <cell r="B3791">
            <v>305463</v>
          </cell>
          <cell r="C3791">
            <v>-29.62901544</v>
          </cell>
          <cell r="D3791">
            <v>-50.834897460000001</v>
          </cell>
        </row>
        <row r="3792">
          <cell r="A3792" t="str">
            <v>Paso de los Libres</v>
          </cell>
          <cell r="B3792">
            <v>314303</v>
          </cell>
          <cell r="C3792">
            <v>-29.71845983</v>
          </cell>
          <cell r="D3792">
            <v>-57.101011010000001</v>
          </cell>
        </row>
        <row r="3793">
          <cell r="A3793" t="str">
            <v>Paso de Patria</v>
          </cell>
          <cell r="B3793">
            <v>314410</v>
          </cell>
          <cell r="C3793">
            <v>-27.250978119999999</v>
          </cell>
          <cell r="D3793">
            <v>-58.515197550000003</v>
          </cell>
        </row>
        <row r="3794">
          <cell r="A3794" t="str">
            <v>Passa e Fica</v>
          </cell>
          <cell r="B3794">
            <v>300432</v>
          </cell>
          <cell r="C3794">
            <v>-6.4305977189999997</v>
          </cell>
          <cell r="D3794">
            <v>-35.644471920000001</v>
          </cell>
        </row>
        <row r="3795">
          <cell r="A3795" t="str">
            <v>Passa Quatro</v>
          </cell>
          <cell r="B3795">
            <v>303612</v>
          </cell>
          <cell r="C3795">
            <v>-22.3875557</v>
          </cell>
          <cell r="D3795">
            <v>-44.971310320000001</v>
          </cell>
        </row>
        <row r="3796">
          <cell r="A3796" t="str">
            <v>Passa Sete</v>
          </cell>
          <cell r="B3796">
            <v>305560</v>
          </cell>
          <cell r="C3796">
            <v>-29.447406470000001</v>
          </cell>
          <cell r="D3796">
            <v>-52.965259539999998</v>
          </cell>
        </row>
        <row r="3797">
          <cell r="A3797" t="str">
            <v>Passa Tempo</v>
          </cell>
          <cell r="B3797">
            <v>302987</v>
          </cell>
          <cell r="C3797">
            <v>-20.65439276</v>
          </cell>
          <cell r="D3797">
            <v>-44.493011490000001</v>
          </cell>
        </row>
        <row r="3798">
          <cell r="A3798" t="str">
            <v>Passabém</v>
          </cell>
          <cell r="B3798">
            <v>304898</v>
          </cell>
          <cell r="C3798">
            <v>-19.351389659999999</v>
          </cell>
          <cell r="D3798">
            <v>-43.138696000000003</v>
          </cell>
        </row>
        <row r="3799">
          <cell r="A3799" t="str">
            <v>Passagem</v>
          </cell>
          <cell r="B3799">
            <v>300791</v>
          </cell>
          <cell r="C3799">
            <v>-7.1368930900000001</v>
          </cell>
          <cell r="D3799">
            <v>-37.049438909999999</v>
          </cell>
        </row>
        <row r="3800">
          <cell r="A3800" t="str">
            <v>Passagem</v>
          </cell>
          <cell r="B3800">
            <v>302323</v>
          </cell>
          <cell r="C3800">
            <v>-6.2730975009999996</v>
          </cell>
          <cell r="D3800">
            <v>-35.370328120000003</v>
          </cell>
        </row>
        <row r="3801">
          <cell r="A3801" t="str">
            <v>Passagem Franca</v>
          </cell>
          <cell r="B3801">
            <v>302571</v>
          </cell>
          <cell r="C3801">
            <v>-6.1778591699999996</v>
          </cell>
          <cell r="D3801">
            <v>-43.775860780000002</v>
          </cell>
        </row>
        <row r="3802">
          <cell r="A3802" t="str">
            <v>Passagem Franca do Piauí</v>
          </cell>
          <cell r="B3802">
            <v>301813</v>
          </cell>
          <cell r="C3802">
            <v>-5.8570651109999998</v>
          </cell>
          <cell r="D3802">
            <v>-42.441198489999998</v>
          </cell>
        </row>
        <row r="3803">
          <cell r="A3803" t="str">
            <v>Passa-Vinte</v>
          </cell>
          <cell r="B3803">
            <v>303181</v>
          </cell>
          <cell r="C3803">
            <v>-22.207063810000001</v>
          </cell>
          <cell r="D3803">
            <v>-44.236948699999999</v>
          </cell>
        </row>
        <row r="3804">
          <cell r="A3804" t="str">
            <v>Passira</v>
          </cell>
          <cell r="B3804">
            <v>301351</v>
          </cell>
          <cell r="C3804">
            <v>-7.977602965</v>
          </cell>
          <cell r="D3804">
            <v>-35.583919989999998</v>
          </cell>
        </row>
        <row r="3805">
          <cell r="A3805" t="str">
            <v>Passo de Camaragibe</v>
          </cell>
          <cell r="B3805">
            <v>301099</v>
          </cell>
          <cell r="C3805">
            <v>-9.2455424500000003</v>
          </cell>
          <cell r="D3805">
            <v>-35.474783629999997</v>
          </cell>
        </row>
        <row r="3806">
          <cell r="A3806" t="str">
            <v>Passo de Torres</v>
          </cell>
          <cell r="B3806">
            <v>304122</v>
          </cell>
          <cell r="C3806">
            <v>-29.310368319999998</v>
          </cell>
          <cell r="D3806">
            <v>-49.722603229999997</v>
          </cell>
        </row>
        <row r="3807">
          <cell r="A3807" t="str">
            <v>Passo do Sobrado</v>
          </cell>
          <cell r="B3807">
            <v>305511</v>
          </cell>
          <cell r="C3807">
            <v>-29.74851717</v>
          </cell>
          <cell r="D3807">
            <v>-52.275217759999997</v>
          </cell>
        </row>
        <row r="3808">
          <cell r="A3808" t="str">
            <v>Passo Fundo</v>
          </cell>
          <cell r="B3808">
            <v>305173</v>
          </cell>
          <cell r="C3808">
            <v>-28.25803732</v>
          </cell>
          <cell r="D3808">
            <v>-52.409566069999997</v>
          </cell>
        </row>
        <row r="3809">
          <cell r="A3809" t="str">
            <v>Passos</v>
          </cell>
          <cell r="B3809">
            <v>303325</v>
          </cell>
          <cell r="C3809">
            <v>-20.719741280000001</v>
          </cell>
          <cell r="D3809">
            <v>-46.609399060000001</v>
          </cell>
        </row>
        <row r="3810">
          <cell r="A3810" t="str">
            <v>Passos Maia</v>
          </cell>
          <cell r="B3810">
            <v>305117</v>
          </cell>
          <cell r="C3810">
            <v>-26.783416769999999</v>
          </cell>
          <cell r="D3810">
            <v>-52.057213840000003</v>
          </cell>
        </row>
        <row r="3811">
          <cell r="A3811" t="str">
            <v>Pastos Bons</v>
          </cell>
          <cell r="B3811">
            <v>301864</v>
          </cell>
          <cell r="C3811">
            <v>-6.5988686950000002</v>
          </cell>
          <cell r="D3811">
            <v>-44.084499149999999</v>
          </cell>
        </row>
        <row r="3812">
          <cell r="A3812" t="str">
            <v>Patis</v>
          </cell>
          <cell r="B3812">
            <v>303040</v>
          </cell>
          <cell r="C3812">
            <v>-16.07963784</v>
          </cell>
          <cell r="D3812">
            <v>-44.081235399999997</v>
          </cell>
        </row>
        <row r="3813">
          <cell r="A3813" t="str">
            <v>Pato Bragado</v>
          </cell>
          <cell r="B3813">
            <v>305018</v>
          </cell>
          <cell r="C3813">
            <v>-24.625085810000002</v>
          </cell>
          <cell r="D3813">
            <v>-54.228565969999998</v>
          </cell>
        </row>
        <row r="3814">
          <cell r="A3814" t="str">
            <v>Pato Branco</v>
          </cell>
          <cell r="B3814">
            <v>305271</v>
          </cell>
          <cell r="C3814">
            <v>-26.229705760000002</v>
          </cell>
          <cell r="D3814">
            <v>-52.671077529999998</v>
          </cell>
        </row>
        <row r="3815">
          <cell r="A3815" t="str">
            <v>Patos</v>
          </cell>
          <cell r="B3815">
            <v>300615</v>
          </cell>
          <cell r="C3815">
            <v>-7.0178444349999998</v>
          </cell>
          <cell r="D3815">
            <v>-37.27500723</v>
          </cell>
        </row>
        <row r="3816">
          <cell r="A3816" t="str">
            <v>Patos de Minas</v>
          </cell>
          <cell r="B3816">
            <v>304934</v>
          </cell>
          <cell r="C3816">
            <v>-18.578187029999999</v>
          </cell>
          <cell r="D3816">
            <v>-46.51339651</v>
          </cell>
        </row>
        <row r="3817">
          <cell r="A3817" t="str">
            <v>Patos do Piauí</v>
          </cell>
          <cell r="B3817">
            <v>301062</v>
          </cell>
          <cell r="C3817">
            <v>-7.6784607859999996</v>
          </cell>
          <cell r="D3817">
            <v>-41.244494400000001</v>
          </cell>
        </row>
        <row r="3818">
          <cell r="A3818" t="str">
            <v>Patrocínio</v>
          </cell>
          <cell r="B3818">
            <v>303316</v>
          </cell>
          <cell r="C3818">
            <v>-18.938330189999999</v>
          </cell>
          <cell r="D3818">
            <v>-46.993808260000002</v>
          </cell>
        </row>
        <row r="3819">
          <cell r="A3819" t="str">
            <v>Patrocínio do Muriaé</v>
          </cell>
          <cell r="B3819">
            <v>304915</v>
          </cell>
          <cell r="C3819">
            <v>-21.154868539999999</v>
          </cell>
          <cell r="D3819">
            <v>-42.212852599999998</v>
          </cell>
        </row>
        <row r="3820">
          <cell r="A3820" t="str">
            <v>Patrocínio Paulista</v>
          </cell>
          <cell r="B3820">
            <v>303340</v>
          </cell>
          <cell r="C3820">
            <v>-20.638829470000001</v>
          </cell>
          <cell r="D3820">
            <v>-47.280519310000003</v>
          </cell>
        </row>
        <row r="3821">
          <cell r="A3821" t="str">
            <v>Patu</v>
          </cell>
          <cell r="B3821">
            <v>300560</v>
          </cell>
          <cell r="C3821">
            <v>-6.10697052</v>
          </cell>
          <cell r="D3821">
            <v>-37.635945290000002</v>
          </cell>
        </row>
        <row r="3822">
          <cell r="A3822" t="str">
            <v>Paty do Alferes</v>
          </cell>
          <cell r="B3822">
            <v>303137</v>
          </cell>
          <cell r="C3822">
            <v>-22.431379459999999</v>
          </cell>
          <cell r="D3822">
            <v>-43.42890757</v>
          </cell>
        </row>
        <row r="3823">
          <cell r="A3823" t="str">
            <v>Pau Brasil</v>
          </cell>
          <cell r="B3823">
            <v>301763</v>
          </cell>
          <cell r="C3823">
            <v>-15.45991678</v>
          </cell>
          <cell r="D3823">
            <v>-39.643436100000002</v>
          </cell>
        </row>
        <row r="3824">
          <cell r="A3824" t="str">
            <v>Pau D'Arco</v>
          </cell>
          <cell r="B3824">
            <v>302040</v>
          </cell>
          <cell r="C3824">
            <v>-7.5396020659999996</v>
          </cell>
          <cell r="D3824">
            <v>-49.367357050000003</v>
          </cell>
        </row>
        <row r="3825">
          <cell r="A3825" t="str">
            <v>Pau D'Arco</v>
          </cell>
          <cell r="B3825">
            <v>302042</v>
          </cell>
          <cell r="C3825">
            <v>-7.8343278730000003</v>
          </cell>
          <cell r="D3825">
            <v>-50.04439035</v>
          </cell>
        </row>
        <row r="3826">
          <cell r="A3826" t="str">
            <v>Pau D'Arco do Piauí</v>
          </cell>
          <cell r="B3826">
            <v>300953</v>
          </cell>
          <cell r="C3826">
            <v>-5.254429698</v>
          </cell>
          <cell r="D3826">
            <v>-42.388037179999998</v>
          </cell>
        </row>
        <row r="3827">
          <cell r="A3827" t="str">
            <v>Pau dos Ferros</v>
          </cell>
          <cell r="B3827">
            <v>300972</v>
          </cell>
          <cell r="C3827">
            <v>-6.1053871820000003</v>
          </cell>
          <cell r="D3827">
            <v>-38.208025399999997</v>
          </cell>
        </row>
        <row r="3828">
          <cell r="A3828" t="str">
            <v>Paudalho</v>
          </cell>
          <cell r="B3828">
            <v>300496</v>
          </cell>
          <cell r="C3828">
            <v>-7.9032943830000004</v>
          </cell>
          <cell r="D3828">
            <v>-35.171929349999999</v>
          </cell>
        </row>
        <row r="3829">
          <cell r="A3829" t="str">
            <v>Pauini</v>
          </cell>
          <cell r="B3829">
            <v>304270</v>
          </cell>
          <cell r="C3829">
            <v>-7.7135030970000003</v>
          </cell>
          <cell r="D3829">
            <v>-66.992511039999997</v>
          </cell>
        </row>
        <row r="3830">
          <cell r="A3830" t="str">
            <v>Paula Cândido</v>
          </cell>
          <cell r="B3830">
            <v>302760</v>
          </cell>
          <cell r="C3830">
            <v>-20.87585086</v>
          </cell>
          <cell r="D3830">
            <v>-42.975550380000001</v>
          </cell>
        </row>
        <row r="3831">
          <cell r="A3831" t="str">
            <v>Paula Freitas</v>
          </cell>
          <cell r="B3831">
            <v>305256</v>
          </cell>
          <cell r="C3831">
            <v>-26.210987070000002</v>
          </cell>
          <cell r="D3831">
            <v>-50.931419509999998</v>
          </cell>
        </row>
        <row r="3832">
          <cell r="A3832" t="str">
            <v>Paulicéia</v>
          </cell>
          <cell r="B3832">
            <v>305567</v>
          </cell>
          <cell r="C3832">
            <v>-21.31572156</v>
          </cell>
          <cell r="D3832">
            <v>-51.832523979999998</v>
          </cell>
        </row>
        <row r="3833">
          <cell r="A3833" t="str">
            <v>Paulínia</v>
          </cell>
          <cell r="B3833">
            <v>303712</v>
          </cell>
          <cell r="C3833">
            <v>-22.75465355</v>
          </cell>
          <cell r="D3833">
            <v>-47.149176240000003</v>
          </cell>
        </row>
        <row r="3834">
          <cell r="A3834" t="str">
            <v>Paulino Neves</v>
          </cell>
          <cell r="B3834">
            <v>303207</v>
          </cell>
          <cell r="C3834">
            <v>-2.722242778</v>
          </cell>
          <cell r="D3834">
            <v>-42.5369302</v>
          </cell>
        </row>
        <row r="3835">
          <cell r="A3835" t="str">
            <v>Paulista</v>
          </cell>
          <cell r="B3835">
            <v>300472</v>
          </cell>
          <cell r="C3835">
            <v>-7.9406030159999998</v>
          </cell>
          <cell r="D3835">
            <v>-34.867359569999998</v>
          </cell>
        </row>
        <row r="3836">
          <cell r="A3836" t="str">
            <v>Paulista</v>
          </cell>
          <cell r="B3836">
            <v>300613</v>
          </cell>
          <cell r="C3836">
            <v>-6.5917955670000001</v>
          </cell>
          <cell r="D3836">
            <v>-37.618855449999998</v>
          </cell>
        </row>
        <row r="3837">
          <cell r="A3837" t="str">
            <v>Paulistana</v>
          </cell>
          <cell r="B3837">
            <v>301064</v>
          </cell>
          <cell r="C3837">
            <v>-8.1347782449999997</v>
          </cell>
          <cell r="D3837">
            <v>-41.143405459999997</v>
          </cell>
        </row>
        <row r="3838">
          <cell r="A3838" t="str">
            <v>Paulistânia</v>
          </cell>
          <cell r="B3838">
            <v>303896</v>
          </cell>
          <cell r="C3838">
            <v>-22.577300300000001</v>
          </cell>
          <cell r="D3838">
            <v>-49.401259510000003</v>
          </cell>
        </row>
        <row r="3839">
          <cell r="A3839" t="str">
            <v>Paulistas</v>
          </cell>
          <cell r="B3839">
            <v>302698</v>
          </cell>
          <cell r="C3839">
            <v>-18.431732050000001</v>
          </cell>
          <cell r="D3839">
            <v>-42.872584809999999</v>
          </cell>
        </row>
        <row r="3840">
          <cell r="A3840" t="str">
            <v>Paulo Afonso</v>
          </cell>
          <cell r="B3840">
            <v>301277</v>
          </cell>
          <cell r="C3840">
            <v>-9.3987270170000006</v>
          </cell>
          <cell r="D3840">
            <v>-38.221873930000001</v>
          </cell>
        </row>
        <row r="3841">
          <cell r="A3841" t="str">
            <v>Paulo Bento</v>
          </cell>
          <cell r="B3841">
            <v>300393</v>
          </cell>
          <cell r="C3841">
            <v>-27.705610149999998</v>
          </cell>
          <cell r="D3841">
            <v>-52.417370550000001</v>
          </cell>
        </row>
        <row r="3842">
          <cell r="A3842" t="str">
            <v>Paulo de Faria</v>
          </cell>
          <cell r="B3842">
            <v>303416</v>
          </cell>
          <cell r="C3842">
            <v>-20.03007362</v>
          </cell>
          <cell r="D3842">
            <v>-49.400420420000003</v>
          </cell>
        </row>
        <row r="3843">
          <cell r="A3843" t="str">
            <v>Paulo Frontin</v>
          </cell>
          <cell r="B3843">
            <v>305253</v>
          </cell>
          <cell r="C3843">
            <v>-26.04703902</v>
          </cell>
          <cell r="D3843">
            <v>-50.830858249999999</v>
          </cell>
        </row>
        <row r="3844">
          <cell r="A3844" t="str">
            <v>Paulo Jacinto</v>
          </cell>
          <cell r="B3844">
            <v>301134</v>
          </cell>
          <cell r="C3844">
            <v>-9.3683504479999993</v>
          </cell>
          <cell r="D3844">
            <v>-36.367541369999998</v>
          </cell>
        </row>
        <row r="3845">
          <cell r="A3845" t="str">
            <v>Paulo Lopes</v>
          </cell>
          <cell r="B3845">
            <v>304048</v>
          </cell>
          <cell r="C3845">
            <v>-27.961182730000001</v>
          </cell>
          <cell r="D3845">
            <v>-48.686786400000003</v>
          </cell>
        </row>
        <row r="3846">
          <cell r="A3846" t="str">
            <v>Paulo Ramos</v>
          </cell>
          <cell r="B3846">
            <v>302454</v>
          </cell>
          <cell r="C3846">
            <v>-4.4452454530000001</v>
          </cell>
          <cell r="D3846">
            <v>-45.240118320000001</v>
          </cell>
        </row>
        <row r="3847">
          <cell r="A3847" t="str">
            <v>Pavão</v>
          </cell>
          <cell r="B3847">
            <v>302481</v>
          </cell>
          <cell r="C3847">
            <v>-17.427171569999999</v>
          </cell>
          <cell r="D3847">
            <v>-41.00381591</v>
          </cell>
        </row>
        <row r="3848">
          <cell r="A3848" t="str">
            <v>Paverama</v>
          </cell>
          <cell r="B3848">
            <v>305771</v>
          </cell>
          <cell r="C3848">
            <v>-29.549031729999999</v>
          </cell>
          <cell r="D3848">
            <v>-51.734380369999997</v>
          </cell>
        </row>
        <row r="3849">
          <cell r="A3849" t="str">
            <v>Pavussu</v>
          </cell>
          <cell r="B3849">
            <v>301849</v>
          </cell>
          <cell r="C3849">
            <v>-7.9650018600000001</v>
          </cell>
          <cell r="D3849">
            <v>-43.225137539999999</v>
          </cell>
        </row>
        <row r="3850">
          <cell r="A3850" t="str">
            <v>Pé de Serra</v>
          </cell>
          <cell r="B3850">
            <v>301424</v>
          </cell>
          <cell r="C3850">
            <v>-11.831732179999999</v>
          </cell>
          <cell r="D3850">
            <v>-39.611363429999997</v>
          </cell>
        </row>
        <row r="3851">
          <cell r="A3851" t="str">
            <v>Peabiru</v>
          </cell>
          <cell r="B3851">
            <v>304820</v>
          </cell>
          <cell r="C3851">
            <v>-23.914477779999999</v>
          </cell>
          <cell r="D3851">
            <v>-52.343544199999997</v>
          </cell>
        </row>
        <row r="3852">
          <cell r="A3852" t="str">
            <v>Peçanha</v>
          </cell>
          <cell r="B3852">
            <v>302692</v>
          </cell>
          <cell r="C3852">
            <v>-18.544549530000001</v>
          </cell>
          <cell r="D3852">
            <v>-42.558634179999999</v>
          </cell>
        </row>
        <row r="3853">
          <cell r="A3853" t="str">
            <v>Pederneiras</v>
          </cell>
          <cell r="B3853">
            <v>303842</v>
          </cell>
          <cell r="C3853">
            <v>-22.351556240000001</v>
          </cell>
          <cell r="D3853">
            <v>-48.778522819999999</v>
          </cell>
        </row>
        <row r="3854">
          <cell r="A3854" t="str">
            <v>Pedra</v>
          </cell>
          <cell r="B3854">
            <v>301194</v>
          </cell>
          <cell r="C3854">
            <v>-8.4999557889999995</v>
          </cell>
          <cell r="D3854">
            <v>-36.945873249999998</v>
          </cell>
        </row>
        <row r="3855">
          <cell r="A3855" t="str">
            <v>Pedra Azul</v>
          </cell>
          <cell r="B3855">
            <v>301631</v>
          </cell>
          <cell r="C3855">
            <v>-16.009109680000002</v>
          </cell>
          <cell r="D3855">
            <v>-41.291292409999997</v>
          </cell>
        </row>
        <row r="3856">
          <cell r="A3856" t="str">
            <v>Pedra Bela</v>
          </cell>
          <cell r="B3856">
            <v>303554</v>
          </cell>
          <cell r="C3856">
            <v>-22.790651409999999</v>
          </cell>
          <cell r="D3856">
            <v>-46.445945600000002</v>
          </cell>
        </row>
        <row r="3857">
          <cell r="A3857" t="str">
            <v>Pedra Bonita</v>
          </cell>
          <cell r="B3857">
            <v>302917</v>
          </cell>
          <cell r="C3857">
            <v>-20.522357880000001</v>
          </cell>
          <cell r="D3857">
            <v>-42.330799939999999</v>
          </cell>
        </row>
        <row r="3858">
          <cell r="A3858" t="str">
            <v>Pedra Branca</v>
          </cell>
          <cell r="B3858">
            <v>300923</v>
          </cell>
          <cell r="C3858">
            <v>-5.4538169620000003</v>
          </cell>
          <cell r="D3858">
            <v>-39.708092739999998</v>
          </cell>
        </row>
        <row r="3859">
          <cell r="A3859" t="str">
            <v>Pedra Branca</v>
          </cell>
          <cell r="B3859">
            <v>300817</v>
          </cell>
          <cell r="C3859">
            <v>-7.4288252870000004</v>
          </cell>
          <cell r="D3859">
            <v>-38.071103129999997</v>
          </cell>
        </row>
        <row r="3860">
          <cell r="A3860" t="str">
            <v>Pedra Branca do Amapari</v>
          </cell>
          <cell r="B3860">
            <v>305876</v>
          </cell>
          <cell r="C3860">
            <v>0.77705750500000004</v>
          </cell>
          <cell r="D3860">
            <v>-51.95070372</v>
          </cell>
        </row>
        <row r="3861">
          <cell r="A3861" t="str">
            <v>Pedra do Anta</v>
          </cell>
          <cell r="B3861">
            <v>302751</v>
          </cell>
          <cell r="C3861">
            <v>-20.597262359999998</v>
          </cell>
          <cell r="D3861">
            <v>-42.712654839999999</v>
          </cell>
        </row>
        <row r="3862">
          <cell r="A3862" t="str">
            <v>Pedra do Indaiá</v>
          </cell>
          <cell r="B3862">
            <v>303021</v>
          </cell>
          <cell r="C3862">
            <v>-20.256817760000001</v>
          </cell>
          <cell r="D3862">
            <v>-45.211033450000002</v>
          </cell>
        </row>
        <row r="3863">
          <cell r="A3863" t="str">
            <v>Pedra Dourada</v>
          </cell>
          <cell r="B3863">
            <v>302916</v>
          </cell>
          <cell r="C3863">
            <v>-20.827107420000001</v>
          </cell>
          <cell r="D3863">
            <v>-42.151862370000003</v>
          </cell>
        </row>
        <row r="3864">
          <cell r="A3864" t="str">
            <v>Pedra Grande</v>
          </cell>
          <cell r="B3864">
            <v>301357</v>
          </cell>
          <cell r="C3864">
            <v>-5.1502882730000001</v>
          </cell>
          <cell r="D3864">
            <v>-35.876311970000003</v>
          </cell>
        </row>
        <row r="3865">
          <cell r="A3865" t="str">
            <v>Pedra Lavrada</v>
          </cell>
          <cell r="B3865">
            <v>300646</v>
          </cell>
          <cell r="C3865">
            <v>-6.7560484000000001</v>
          </cell>
          <cell r="D3865">
            <v>-36.468324639999999</v>
          </cell>
        </row>
        <row r="3866">
          <cell r="A3866" t="str">
            <v>Pedra Mole</v>
          </cell>
          <cell r="B3866">
            <v>301255</v>
          </cell>
          <cell r="C3866">
            <v>-10.61897448</v>
          </cell>
          <cell r="D3866">
            <v>-37.687212940000002</v>
          </cell>
        </row>
        <row r="3867">
          <cell r="A3867" t="str">
            <v>Pedra Preta</v>
          </cell>
          <cell r="B3867">
            <v>301172</v>
          </cell>
          <cell r="C3867">
            <v>-5.5797331540000004</v>
          </cell>
          <cell r="D3867">
            <v>-36.103411950000002</v>
          </cell>
        </row>
        <row r="3868">
          <cell r="A3868" t="str">
            <v>Pedra Preta</v>
          </cell>
          <cell r="B3868">
            <v>304257</v>
          </cell>
          <cell r="C3868">
            <v>-16.621952669999999</v>
          </cell>
          <cell r="D3868">
            <v>-54.476376219999999</v>
          </cell>
        </row>
        <row r="3869">
          <cell r="A3869" t="str">
            <v>Pedralva</v>
          </cell>
          <cell r="B3869">
            <v>303445</v>
          </cell>
          <cell r="C3869">
            <v>-22.239123029999998</v>
          </cell>
          <cell r="D3869">
            <v>-45.465773339999998</v>
          </cell>
        </row>
        <row r="3870">
          <cell r="A3870" t="str">
            <v>Pedranópolis</v>
          </cell>
          <cell r="B3870">
            <v>303479</v>
          </cell>
          <cell r="C3870">
            <v>-20.247993149999999</v>
          </cell>
          <cell r="D3870">
            <v>-50.109948209999999</v>
          </cell>
        </row>
        <row r="3871">
          <cell r="A3871" t="str">
            <v>Pedrão</v>
          </cell>
          <cell r="B3871">
            <v>301384</v>
          </cell>
          <cell r="C3871">
            <v>-12.1456204</v>
          </cell>
          <cell r="D3871">
            <v>-38.642802850000002</v>
          </cell>
        </row>
        <row r="3872">
          <cell r="A3872" t="str">
            <v>Pedras Altas</v>
          </cell>
          <cell r="B3872">
            <v>300403</v>
          </cell>
          <cell r="C3872">
            <v>-31.73740377</v>
          </cell>
          <cell r="D3872">
            <v>-53.58228828</v>
          </cell>
        </row>
        <row r="3873">
          <cell r="A3873" t="str">
            <v>Pedras de Fogo</v>
          </cell>
          <cell r="B3873">
            <v>300679</v>
          </cell>
          <cell r="C3873">
            <v>-7.4025486469999997</v>
          </cell>
          <cell r="D3873">
            <v>-35.112453559999999</v>
          </cell>
        </row>
        <row r="3874">
          <cell r="A3874" t="str">
            <v>Pedras de Maria da Cruz</v>
          </cell>
          <cell r="B3874">
            <v>302175</v>
          </cell>
          <cell r="C3874">
            <v>-15.6036988</v>
          </cell>
          <cell r="D3874">
            <v>-44.391411150000003</v>
          </cell>
        </row>
        <row r="3875">
          <cell r="A3875" t="str">
            <v>Pedras Grandes</v>
          </cell>
          <cell r="B3875">
            <v>304074</v>
          </cell>
          <cell r="C3875">
            <v>-28.43434611</v>
          </cell>
          <cell r="D3875">
            <v>-49.195343749999999</v>
          </cell>
        </row>
        <row r="3876">
          <cell r="A3876" t="str">
            <v>Pedregulho</v>
          </cell>
          <cell r="B3876">
            <v>303336</v>
          </cell>
          <cell r="C3876">
            <v>-20.253934730000001</v>
          </cell>
          <cell r="D3876">
            <v>-47.477845619999997</v>
          </cell>
        </row>
        <row r="3877">
          <cell r="A3877" t="str">
            <v>Pedreira</v>
          </cell>
          <cell r="B3877">
            <v>303647</v>
          </cell>
          <cell r="C3877">
            <v>-22.741823149999998</v>
          </cell>
          <cell r="D3877">
            <v>-46.895244499999997</v>
          </cell>
        </row>
        <row r="3878">
          <cell r="A3878" t="str">
            <v>Pedreiras</v>
          </cell>
          <cell r="B3878">
            <v>302435</v>
          </cell>
          <cell r="C3878">
            <v>-4.5652154569999999</v>
          </cell>
          <cell r="D3878">
            <v>-44.600991260000001</v>
          </cell>
        </row>
        <row r="3879">
          <cell r="A3879" t="str">
            <v>Pedrinhas</v>
          </cell>
          <cell r="B3879">
            <v>301264</v>
          </cell>
          <cell r="C3879">
            <v>-11.190616220000001</v>
          </cell>
          <cell r="D3879">
            <v>-37.677801879999997</v>
          </cell>
        </row>
        <row r="3880">
          <cell r="A3880" t="str">
            <v>Pedrinhas Paulista</v>
          </cell>
          <cell r="B3880">
            <v>304503</v>
          </cell>
          <cell r="C3880">
            <v>-22.814989650000001</v>
          </cell>
          <cell r="D3880">
            <v>-50.793946249999998</v>
          </cell>
        </row>
        <row r="3881">
          <cell r="A3881" t="str">
            <v>Pedrinópolis</v>
          </cell>
          <cell r="B3881">
            <v>303694</v>
          </cell>
          <cell r="C3881">
            <v>-19.228170420000001</v>
          </cell>
          <cell r="D3881">
            <v>-47.464327660000002</v>
          </cell>
        </row>
        <row r="3882">
          <cell r="A3882" t="str">
            <v>Pedro Afonso</v>
          </cell>
          <cell r="B3882">
            <v>302203</v>
          </cell>
          <cell r="C3882">
            <v>-8.9707601550000007</v>
          </cell>
          <cell r="D3882">
            <v>-48.17332218</v>
          </cell>
        </row>
        <row r="3883">
          <cell r="A3883" t="str">
            <v>Pedro Alexandre</v>
          </cell>
          <cell r="B3883">
            <v>301286</v>
          </cell>
          <cell r="C3883">
            <v>-10.01243987</v>
          </cell>
          <cell r="D3883">
            <v>-37.893490120000003</v>
          </cell>
        </row>
        <row r="3884">
          <cell r="A3884" t="str">
            <v>Pedro Avelino</v>
          </cell>
          <cell r="B3884">
            <v>300519</v>
          </cell>
          <cell r="C3884">
            <v>-5.5165074179999998</v>
          </cell>
          <cell r="D3884">
            <v>-36.386950900000002</v>
          </cell>
        </row>
        <row r="3885">
          <cell r="A3885" t="str">
            <v>Pedro Canário</v>
          </cell>
          <cell r="B3885">
            <v>303598</v>
          </cell>
          <cell r="C3885">
            <v>-18.300892260000001</v>
          </cell>
          <cell r="D3885">
            <v>-39.957704</v>
          </cell>
        </row>
        <row r="3886">
          <cell r="A3886" t="str">
            <v>Pedro de Toledo</v>
          </cell>
          <cell r="B3886">
            <v>303788</v>
          </cell>
          <cell r="C3886">
            <v>-24.274986349999999</v>
          </cell>
          <cell r="D3886">
            <v>-47.23295117</v>
          </cell>
        </row>
        <row r="3887">
          <cell r="A3887" t="str">
            <v>Pedro do Rosário</v>
          </cell>
          <cell r="B3887">
            <v>301714</v>
          </cell>
          <cell r="C3887">
            <v>-2.9691813589999998</v>
          </cell>
          <cell r="D3887">
            <v>-45.34858071</v>
          </cell>
        </row>
        <row r="3888">
          <cell r="A3888" t="str">
            <v>Pedro Gomes</v>
          </cell>
          <cell r="B3888">
            <v>305027</v>
          </cell>
          <cell r="C3888">
            <v>-18.100599169999999</v>
          </cell>
          <cell r="D3888">
            <v>-54.553543640000001</v>
          </cell>
        </row>
        <row r="3889">
          <cell r="A3889" t="str">
            <v>Pedro II</v>
          </cell>
          <cell r="B3889">
            <v>300889</v>
          </cell>
          <cell r="C3889">
            <v>-4.4284723509999999</v>
          </cell>
          <cell r="D3889">
            <v>-41.452971669999997</v>
          </cell>
        </row>
        <row r="3890">
          <cell r="A3890" t="str">
            <v>Pedro Juan Caballero</v>
          </cell>
          <cell r="B3890">
            <v>314288</v>
          </cell>
          <cell r="C3890">
            <v>-22.541358110000001</v>
          </cell>
          <cell r="D3890">
            <v>-55.737904489999998</v>
          </cell>
        </row>
        <row r="3891">
          <cell r="A3891" t="str">
            <v>Pedro Laurentino</v>
          </cell>
          <cell r="B3891">
            <v>301829</v>
          </cell>
          <cell r="C3891">
            <v>-8.0684879269999996</v>
          </cell>
          <cell r="D3891">
            <v>-42.285085219999999</v>
          </cell>
        </row>
        <row r="3892">
          <cell r="A3892" t="str">
            <v>Pedro Leopoldo</v>
          </cell>
          <cell r="B3892">
            <v>302824</v>
          </cell>
          <cell r="C3892">
            <v>-19.617992480000002</v>
          </cell>
          <cell r="D3892">
            <v>-44.042957680000001</v>
          </cell>
        </row>
        <row r="3893">
          <cell r="A3893" t="str">
            <v>Pedro Osório</v>
          </cell>
          <cell r="B3893">
            <v>305815</v>
          </cell>
          <cell r="C3893">
            <v>-31.86472002</v>
          </cell>
          <cell r="D3893">
            <v>-52.818862510000002</v>
          </cell>
        </row>
        <row r="3894">
          <cell r="A3894" t="str">
            <v>Pedro Régis</v>
          </cell>
          <cell r="B3894">
            <v>300426</v>
          </cell>
          <cell r="C3894">
            <v>-6.6404246809999998</v>
          </cell>
          <cell r="D3894">
            <v>-35.273351009999999</v>
          </cell>
        </row>
        <row r="3895">
          <cell r="A3895" t="str">
            <v>Pedro Teixeira</v>
          </cell>
          <cell r="B3895">
            <v>303127</v>
          </cell>
          <cell r="C3895">
            <v>-21.7081102</v>
          </cell>
          <cell r="D3895">
            <v>-43.743322900000003</v>
          </cell>
        </row>
        <row r="3896">
          <cell r="A3896" t="str">
            <v>Pedro Velho</v>
          </cell>
          <cell r="B3896">
            <v>300421</v>
          </cell>
          <cell r="C3896">
            <v>-6.4390020320000003</v>
          </cell>
          <cell r="D3896">
            <v>-35.221656000000003</v>
          </cell>
        </row>
        <row r="3897">
          <cell r="A3897" t="str">
            <v>Peixe</v>
          </cell>
          <cell r="B3897">
            <v>302291</v>
          </cell>
          <cell r="C3897">
            <v>-12.037382389999999</v>
          </cell>
          <cell r="D3897">
            <v>-48.541771189999999</v>
          </cell>
        </row>
        <row r="3898">
          <cell r="A3898" t="str">
            <v>Peixe-Boi</v>
          </cell>
          <cell r="B3898">
            <v>301903</v>
          </cell>
          <cell r="C3898">
            <v>-1.1922883040000001</v>
          </cell>
          <cell r="D3898">
            <v>-47.32039606</v>
          </cell>
        </row>
        <row r="3899">
          <cell r="A3899" t="str">
            <v>Peixoto de Azevedo</v>
          </cell>
          <cell r="B3899">
            <v>304260</v>
          </cell>
          <cell r="C3899">
            <v>-10.226584730000001</v>
          </cell>
          <cell r="D3899">
            <v>-54.979796819999997</v>
          </cell>
        </row>
        <row r="3900">
          <cell r="A3900" t="str">
            <v>Pejuçara</v>
          </cell>
          <cell r="B3900">
            <v>305453</v>
          </cell>
          <cell r="C3900">
            <v>-28.422982900000001</v>
          </cell>
          <cell r="D3900">
            <v>-53.65593922</v>
          </cell>
        </row>
        <row r="3901">
          <cell r="A3901" t="str">
            <v>Pelotas</v>
          </cell>
          <cell r="B3901">
            <v>305548</v>
          </cell>
          <cell r="C3901">
            <v>-31.76537669</v>
          </cell>
          <cell r="D3901">
            <v>-52.337527860000002</v>
          </cell>
        </row>
        <row r="3902">
          <cell r="A3902" t="str">
            <v>Penaforte</v>
          </cell>
          <cell r="B3902">
            <v>300842</v>
          </cell>
          <cell r="C3902">
            <v>-7.8291185639999998</v>
          </cell>
          <cell r="D3902">
            <v>-39.072186240000001</v>
          </cell>
        </row>
        <row r="3903">
          <cell r="A3903" t="str">
            <v>Penalva</v>
          </cell>
          <cell r="B3903">
            <v>303036</v>
          </cell>
          <cell r="C3903">
            <v>-3.2771346979999998</v>
          </cell>
          <cell r="D3903">
            <v>-45.177165430000002</v>
          </cell>
        </row>
        <row r="3904">
          <cell r="A3904" t="str">
            <v>Penápolis</v>
          </cell>
          <cell r="B3904">
            <v>303875</v>
          </cell>
          <cell r="C3904">
            <v>-21.415229239999999</v>
          </cell>
          <cell r="D3904">
            <v>-50.077270429999999</v>
          </cell>
        </row>
        <row r="3905">
          <cell r="A3905" t="str">
            <v>Pendências</v>
          </cell>
          <cell r="B3905">
            <v>300538</v>
          </cell>
          <cell r="C3905">
            <v>-5.2608287540000003</v>
          </cell>
          <cell r="D3905">
            <v>-36.718549969999998</v>
          </cell>
        </row>
        <row r="3906">
          <cell r="A3906" t="str">
            <v>Penedo</v>
          </cell>
          <cell r="B3906">
            <v>301189</v>
          </cell>
          <cell r="C3906">
            <v>-10.287859689999999</v>
          </cell>
          <cell r="D3906">
            <v>-36.582207779999997</v>
          </cell>
        </row>
        <row r="3907">
          <cell r="A3907" t="str">
            <v>Penha</v>
          </cell>
          <cell r="B3907">
            <v>304000</v>
          </cell>
          <cell r="C3907">
            <v>-26.77590022</v>
          </cell>
          <cell r="D3907">
            <v>-48.646948590000001</v>
          </cell>
        </row>
        <row r="3908">
          <cell r="A3908" t="str">
            <v>Pentecoste</v>
          </cell>
          <cell r="B3908">
            <v>300685</v>
          </cell>
          <cell r="C3908">
            <v>-3.7931320319999999</v>
          </cell>
          <cell r="D3908">
            <v>-39.269476840000003</v>
          </cell>
        </row>
        <row r="3909">
          <cell r="A3909" t="str">
            <v>Pequeri</v>
          </cell>
          <cell r="B3909">
            <v>303106</v>
          </cell>
          <cell r="C3909">
            <v>-21.834595069999999</v>
          </cell>
          <cell r="D3909">
            <v>-43.114856770000003</v>
          </cell>
        </row>
        <row r="3910">
          <cell r="A3910" t="str">
            <v>Pequi</v>
          </cell>
          <cell r="B3910">
            <v>302969</v>
          </cell>
          <cell r="C3910">
            <v>-19.62883562</v>
          </cell>
          <cell r="D3910">
            <v>-44.660809190000002</v>
          </cell>
        </row>
        <row r="3911">
          <cell r="A3911" t="str">
            <v>Pequizeiro</v>
          </cell>
          <cell r="B3911">
            <v>302232</v>
          </cell>
          <cell r="C3911">
            <v>-8.5936205700000006</v>
          </cell>
          <cell r="D3911">
            <v>-48.933074429999998</v>
          </cell>
        </row>
        <row r="3912">
          <cell r="A3912" t="str">
            <v>Perdigão</v>
          </cell>
          <cell r="B3912">
            <v>302995</v>
          </cell>
          <cell r="C3912">
            <v>-19.95205571</v>
          </cell>
          <cell r="D3912">
            <v>-45.085788059999999</v>
          </cell>
        </row>
        <row r="3913">
          <cell r="A3913" t="str">
            <v>Perdizes</v>
          </cell>
          <cell r="B3913">
            <v>303691</v>
          </cell>
          <cell r="C3913">
            <v>-19.34915101</v>
          </cell>
          <cell r="D3913">
            <v>-47.293434679999997</v>
          </cell>
        </row>
        <row r="3914">
          <cell r="A3914" t="str">
            <v>Perdões</v>
          </cell>
          <cell r="B3914">
            <v>303620</v>
          </cell>
          <cell r="C3914">
            <v>-21.093699999999998</v>
          </cell>
          <cell r="D3914">
            <v>-45.089963709999999</v>
          </cell>
        </row>
        <row r="3915">
          <cell r="A3915" t="str">
            <v>Pereira Barreto</v>
          </cell>
          <cell r="B3915">
            <v>304394</v>
          </cell>
          <cell r="C3915">
            <v>-20.637226420000001</v>
          </cell>
          <cell r="D3915">
            <v>-51.112687690000001</v>
          </cell>
        </row>
        <row r="3916">
          <cell r="A3916" t="str">
            <v>Pereiras</v>
          </cell>
          <cell r="B3916">
            <v>303775</v>
          </cell>
          <cell r="C3916">
            <v>-23.080844429999999</v>
          </cell>
          <cell r="D3916">
            <v>-47.972411700000002</v>
          </cell>
        </row>
        <row r="3917">
          <cell r="A3917" t="str">
            <v>Pereiro</v>
          </cell>
          <cell r="B3917">
            <v>300900</v>
          </cell>
          <cell r="C3917">
            <v>-6.0361716029999997</v>
          </cell>
          <cell r="D3917">
            <v>-38.462710180000002</v>
          </cell>
        </row>
        <row r="3918">
          <cell r="A3918" t="str">
            <v>Perez Cardoso</v>
          </cell>
          <cell r="B3918">
            <v>314350</v>
          </cell>
          <cell r="C3918">
            <v>-25.71185105</v>
          </cell>
          <cell r="D3918">
            <v>-56.399653540000003</v>
          </cell>
        </row>
        <row r="3919">
          <cell r="A3919" t="str">
            <v>Peri Mirim</v>
          </cell>
          <cell r="B3919">
            <v>301687</v>
          </cell>
          <cell r="C3919">
            <v>-2.5777910049999999</v>
          </cell>
          <cell r="D3919">
            <v>-44.854936479999999</v>
          </cell>
        </row>
        <row r="3920">
          <cell r="A3920" t="str">
            <v>Periquito</v>
          </cell>
          <cell r="B3920">
            <v>302732</v>
          </cell>
          <cell r="C3920">
            <v>-19.15630157</v>
          </cell>
          <cell r="D3920">
            <v>-42.240973510000003</v>
          </cell>
        </row>
        <row r="3921">
          <cell r="A3921" t="str">
            <v>Peritiba</v>
          </cell>
          <cell r="B3921">
            <v>305583</v>
          </cell>
          <cell r="C3921">
            <v>-27.3759224</v>
          </cell>
          <cell r="D3921">
            <v>-51.902240210000002</v>
          </cell>
        </row>
        <row r="3922">
          <cell r="A3922" t="str">
            <v>Peritoró</v>
          </cell>
          <cell r="B3922">
            <v>301856</v>
          </cell>
          <cell r="C3922">
            <v>-4.3730182070000003</v>
          </cell>
          <cell r="D3922">
            <v>-44.331307529999997</v>
          </cell>
        </row>
        <row r="3923">
          <cell r="A3923" t="str">
            <v>Perobal</v>
          </cell>
          <cell r="B3923">
            <v>305041</v>
          </cell>
          <cell r="C3923">
            <v>-23.89532268</v>
          </cell>
          <cell r="D3923">
            <v>-53.410281570000002</v>
          </cell>
        </row>
        <row r="3924">
          <cell r="A3924" t="str">
            <v>Pérola</v>
          </cell>
          <cell r="B3924">
            <v>305073</v>
          </cell>
          <cell r="C3924">
            <v>-23.804358690000001</v>
          </cell>
          <cell r="D3924">
            <v>-53.68379788</v>
          </cell>
        </row>
        <row r="3925">
          <cell r="A3925" t="str">
            <v>Pérola d'Oeste</v>
          </cell>
          <cell r="B3925">
            <v>305335</v>
          </cell>
          <cell r="C3925">
            <v>-25.821422630000001</v>
          </cell>
          <cell r="D3925">
            <v>-53.745194509999997</v>
          </cell>
        </row>
        <row r="3926">
          <cell r="A3926" t="str">
            <v>Perolândia</v>
          </cell>
          <cell r="B3926">
            <v>304347</v>
          </cell>
          <cell r="C3926">
            <v>-17.526282670000001</v>
          </cell>
          <cell r="D3926">
            <v>-52.06540459</v>
          </cell>
        </row>
        <row r="3927">
          <cell r="A3927" t="str">
            <v>Peruíbe</v>
          </cell>
          <cell r="B3927">
            <v>303756</v>
          </cell>
          <cell r="C3927">
            <v>-24.312454519999999</v>
          </cell>
          <cell r="D3927">
            <v>-47.001603979999999</v>
          </cell>
        </row>
        <row r="3928">
          <cell r="A3928" t="str">
            <v>Pescador</v>
          </cell>
          <cell r="B3928">
            <v>302879</v>
          </cell>
          <cell r="C3928">
            <v>-18.357433539999999</v>
          </cell>
          <cell r="D3928">
            <v>-41.60092899</v>
          </cell>
        </row>
        <row r="3929">
          <cell r="A3929" t="str">
            <v>Pescaria Brava</v>
          </cell>
          <cell r="B3929">
            <v>300361</v>
          </cell>
          <cell r="C3929">
            <v>-28.3819579</v>
          </cell>
          <cell r="D3929">
            <v>-48.876384059999999</v>
          </cell>
        </row>
        <row r="3930">
          <cell r="A3930" t="str">
            <v>Pesqueira</v>
          </cell>
          <cell r="B3930">
            <v>300958</v>
          </cell>
          <cell r="C3930">
            <v>-8.3584000859999996</v>
          </cell>
          <cell r="D3930">
            <v>-36.698084979999997</v>
          </cell>
        </row>
        <row r="3931">
          <cell r="A3931" t="str">
            <v>Petrolândia</v>
          </cell>
          <cell r="B3931">
            <v>301281</v>
          </cell>
          <cell r="C3931">
            <v>-9.0771483750000002</v>
          </cell>
          <cell r="D3931">
            <v>-38.290026779999998</v>
          </cell>
        </row>
        <row r="3932">
          <cell r="A3932" t="str">
            <v>Petrolândia</v>
          </cell>
          <cell r="B3932">
            <v>304089</v>
          </cell>
          <cell r="C3932">
            <v>-27.53511069</v>
          </cell>
          <cell r="D3932">
            <v>-49.694180500000002</v>
          </cell>
        </row>
        <row r="3933">
          <cell r="A3933" t="str">
            <v>Petrolina</v>
          </cell>
          <cell r="B3933">
            <v>301428</v>
          </cell>
          <cell r="C3933">
            <v>-9.3890908839999998</v>
          </cell>
          <cell r="D3933">
            <v>-40.503061129999999</v>
          </cell>
        </row>
        <row r="3934">
          <cell r="A3934" t="str">
            <v>Petrolina de Goiás</v>
          </cell>
          <cell r="B3934">
            <v>304887</v>
          </cell>
          <cell r="C3934">
            <v>-16.097297080000001</v>
          </cell>
          <cell r="D3934">
            <v>-49.336769060000002</v>
          </cell>
        </row>
        <row r="3935">
          <cell r="A3935" t="str">
            <v>Petrópolis</v>
          </cell>
          <cell r="B3935">
            <v>303135</v>
          </cell>
          <cell r="C3935">
            <v>-22.520447319999999</v>
          </cell>
          <cell r="D3935">
            <v>-43.192985129999997</v>
          </cell>
        </row>
        <row r="3936">
          <cell r="A3936" t="str">
            <v>Piaçabuçu</v>
          </cell>
          <cell r="B3936">
            <v>301185</v>
          </cell>
          <cell r="C3936">
            <v>-10.40642787</v>
          </cell>
          <cell r="D3936">
            <v>-36.434269579999999</v>
          </cell>
        </row>
        <row r="3937">
          <cell r="A3937" t="str">
            <v>Piacatu</v>
          </cell>
          <cell r="B3937">
            <v>304469</v>
          </cell>
          <cell r="C3937">
            <v>-21.591991350000001</v>
          </cell>
          <cell r="D3937">
            <v>-50.598947010000003</v>
          </cell>
        </row>
        <row r="3938">
          <cell r="A3938" t="str">
            <v>Piancó</v>
          </cell>
          <cell r="B3938">
            <v>300982</v>
          </cell>
          <cell r="C3938">
            <v>-7.1932410830000002</v>
          </cell>
          <cell r="D3938">
            <v>-37.929190079999998</v>
          </cell>
        </row>
        <row r="3939">
          <cell r="A3939" t="str">
            <v>Piatã</v>
          </cell>
          <cell r="B3939">
            <v>301581</v>
          </cell>
          <cell r="C3939">
            <v>-13.15258274</v>
          </cell>
          <cell r="D3939">
            <v>-41.770408799999998</v>
          </cell>
        </row>
        <row r="3940">
          <cell r="A3940" t="str">
            <v>Piau</v>
          </cell>
          <cell r="B3940">
            <v>303109</v>
          </cell>
          <cell r="C3940">
            <v>-21.510125460000001</v>
          </cell>
          <cell r="D3940">
            <v>-43.313362349999998</v>
          </cell>
        </row>
        <row r="3941">
          <cell r="A3941" t="str">
            <v>Picada Café</v>
          </cell>
          <cell r="B3941">
            <v>305476</v>
          </cell>
          <cell r="C3941">
            <v>-29.450884779999999</v>
          </cell>
          <cell r="D3941">
            <v>-51.134405090000001</v>
          </cell>
        </row>
        <row r="3942">
          <cell r="A3942" t="str">
            <v>Piçarra</v>
          </cell>
          <cell r="B3942">
            <v>302028</v>
          </cell>
          <cell r="C3942">
            <v>-6.4427436010000001</v>
          </cell>
          <cell r="D3942">
            <v>-48.862214340000001</v>
          </cell>
        </row>
        <row r="3943">
          <cell r="A3943" t="str">
            <v>Picos</v>
          </cell>
          <cell r="B3943">
            <v>301048</v>
          </cell>
          <cell r="C3943">
            <v>-7.0776279219999996</v>
          </cell>
          <cell r="D3943">
            <v>-41.467337870000001</v>
          </cell>
        </row>
        <row r="3944">
          <cell r="A3944" t="str">
            <v>Picuí</v>
          </cell>
          <cell r="B3944">
            <v>300639</v>
          </cell>
          <cell r="C3944">
            <v>-6.5088658099999996</v>
          </cell>
          <cell r="D3944">
            <v>-36.350002170000003</v>
          </cell>
        </row>
        <row r="3945">
          <cell r="A3945" t="str">
            <v>Piedade</v>
          </cell>
          <cell r="B3945">
            <v>303769</v>
          </cell>
          <cell r="C3945">
            <v>-23.714418689999999</v>
          </cell>
          <cell r="D3945">
            <v>-47.425976980000002</v>
          </cell>
        </row>
        <row r="3946">
          <cell r="A3946" t="str">
            <v>Piedade de Caratinga</v>
          </cell>
          <cell r="B3946">
            <v>302897</v>
          </cell>
          <cell r="C3946">
            <v>-19.759758399999999</v>
          </cell>
          <cell r="D3946">
            <v>-42.07591437</v>
          </cell>
        </row>
        <row r="3947">
          <cell r="A3947" t="str">
            <v>Piedade de Ponte Nova</v>
          </cell>
          <cell r="B3947">
            <v>302741</v>
          </cell>
          <cell r="C3947">
            <v>-20.24432496</v>
          </cell>
          <cell r="D3947">
            <v>-42.738235199999998</v>
          </cell>
        </row>
        <row r="3948">
          <cell r="A3948" t="str">
            <v>Piedade do Rio Grande</v>
          </cell>
          <cell r="B3948">
            <v>304993</v>
          </cell>
          <cell r="C3948">
            <v>-21.469499339999999</v>
          </cell>
          <cell r="D3948">
            <v>-44.194210460000001</v>
          </cell>
        </row>
        <row r="3949">
          <cell r="A3949" t="str">
            <v>Piedade dos Gerais</v>
          </cell>
          <cell r="B3949">
            <v>302982</v>
          </cell>
          <cell r="C3949">
            <v>-20.471987680000002</v>
          </cell>
          <cell r="D3949">
            <v>-44.224709179999998</v>
          </cell>
        </row>
        <row r="3950">
          <cell r="A3950" t="str">
            <v>Piên</v>
          </cell>
          <cell r="B3950">
            <v>304041</v>
          </cell>
          <cell r="C3950">
            <v>-26.096948300000001</v>
          </cell>
          <cell r="D3950">
            <v>-49.433991349999999</v>
          </cell>
        </row>
        <row r="3951">
          <cell r="A3951" t="str">
            <v>Pilão Arcado</v>
          </cell>
          <cell r="B3951">
            <v>302055</v>
          </cell>
          <cell r="C3951">
            <v>-9.9969988880000002</v>
          </cell>
          <cell r="D3951">
            <v>-42.482036110000003</v>
          </cell>
        </row>
        <row r="3952">
          <cell r="A3952" t="str">
            <v>Pilar</v>
          </cell>
          <cell r="B3952">
            <v>300455</v>
          </cell>
          <cell r="C3952">
            <v>-7.2664773309999999</v>
          </cell>
          <cell r="D3952">
            <v>-35.256969159999997</v>
          </cell>
        </row>
        <row r="3953">
          <cell r="A3953" t="str">
            <v>Pilar</v>
          </cell>
          <cell r="B3953">
            <v>301150</v>
          </cell>
          <cell r="C3953">
            <v>-9.6017821980000004</v>
          </cell>
          <cell r="D3953">
            <v>-35.95459151</v>
          </cell>
        </row>
        <row r="3954">
          <cell r="A3954" t="str">
            <v>Pilar</v>
          </cell>
          <cell r="B3954">
            <v>314404</v>
          </cell>
          <cell r="C3954">
            <v>-26.88253752</v>
          </cell>
          <cell r="D3954">
            <v>-58.270460640000003</v>
          </cell>
        </row>
        <row r="3955">
          <cell r="A3955" t="str">
            <v>Pilar de Goiás</v>
          </cell>
          <cell r="B3955">
            <v>302598</v>
          </cell>
          <cell r="C3955">
            <v>-14.763337630000001</v>
          </cell>
          <cell r="D3955">
            <v>-49.580451230000001</v>
          </cell>
        </row>
        <row r="3956">
          <cell r="A3956" t="str">
            <v>Pilar do Sul</v>
          </cell>
          <cell r="B3956">
            <v>303786</v>
          </cell>
          <cell r="C3956">
            <v>-23.80819318</v>
          </cell>
          <cell r="D3956">
            <v>-47.72255826</v>
          </cell>
        </row>
        <row r="3957">
          <cell r="A3957" t="str">
            <v>Pilões</v>
          </cell>
          <cell r="B3957">
            <v>300464</v>
          </cell>
          <cell r="C3957">
            <v>-6.868686544</v>
          </cell>
          <cell r="D3957">
            <v>-35.613266950000003</v>
          </cell>
        </row>
        <row r="3958">
          <cell r="A3958" t="str">
            <v>Pilões</v>
          </cell>
          <cell r="B3958">
            <v>300971</v>
          </cell>
          <cell r="C3958">
            <v>-6.2640472660000004</v>
          </cell>
          <cell r="D3958">
            <v>-38.046360329999999</v>
          </cell>
        </row>
        <row r="3959">
          <cell r="A3959" t="str">
            <v>Pilõezinhos</v>
          </cell>
          <cell r="B3959">
            <v>300461</v>
          </cell>
          <cell r="C3959">
            <v>-6.8425325240000001</v>
          </cell>
          <cell r="D3959">
            <v>-35.529239609999998</v>
          </cell>
        </row>
        <row r="3960">
          <cell r="A3960" t="str">
            <v>Pimenta</v>
          </cell>
          <cell r="B3960">
            <v>303246</v>
          </cell>
          <cell r="C3960">
            <v>-20.48319326</v>
          </cell>
          <cell r="D3960">
            <v>-45.805262050000003</v>
          </cell>
        </row>
        <row r="3961">
          <cell r="A3961" t="str">
            <v>Pimenta Bueno</v>
          </cell>
          <cell r="B3961">
            <v>304284</v>
          </cell>
          <cell r="C3961">
            <v>-11.672371679999999</v>
          </cell>
          <cell r="D3961">
            <v>-61.198416690000002</v>
          </cell>
        </row>
        <row r="3962">
          <cell r="A3962" t="str">
            <v>Pimenteiras</v>
          </cell>
          <cell r="B3962">
            <v>301005</v>
          </cell>
          <cell r="C3962">
            <v>-6.2388010500000002</v>
          </cell>
          <cell r="D3962">
            <v>-41.411606919999997</v>
          </cell>
        </row>
        <row r="3963">
          <cell r="A3963" t="str">
            <v>Pimenteiras do Oeste</v>
          </cell>
          <cell r="B3963">
            <v>304319</v>
          </cell>
          <cell r="C3963">
            <v>-13.482688939999999</v>
          </cell>
          <cell r="D3963">
            <v>-61.047508190000002</v>
          </cell>
        </row>
        <row r="3964">
          <cell r="A3964" t="str">
            <v>Pindaí</v>
          </cell>
          <cell r="B3964">
            <v>303200</v>
          </cell>
          <cell r="C3964">
            <v>-14.49258047</v>
          </cell>
          <cell r="D3964">
            <v>-42.686335669999998</v>
          </cell>
        </row>
        <row r="3965">
          <cell r="A3965" t="str">
            <v>Pindamonhangaba</v>
          </cell>
          <cell r="B3965">
            <v>303462</v>
          </cell>
          <cell r="C3965">
            <v>-22.925110270000001</v>
          </cell>
          <cell r="D3965">
            <v>-45.461653230000003</v>
          </cell>
        </row>
        <row r="3966">
          <cell r="A3966" t="str">
            <v>Pindaré-Mirim</v>
          </cell>
          <cell r="B3966">
            <v>303580</v>
          </cell>
          <cell r="C3966">
            <v>-3.6102435850000001</v>
          </cell>
          <cell r="D3966">
            <v>-45.342346620000001</v>
          </cell>
        </row>
        <row r="3967">
          <cell r="A3967" t="str">
            <v>Pindoba</v>
          </cell>
          <cell r="B3967">
            <v>301154</v>
          </cell>
          <cell r="C3967">
            <v>-9.4742551450000008</v>
          </cell>
          <cell r="D3967">
            <v>-36.292128900000002</v>
          </cell>
        </row>
        <row r="3968">
          <cell r="A3968" t="str">
            <v>Pindobaçu</v>
          </cell>
          <cell r="B3968">
            <v>301442</v>
          </cell>
          <cell r="C3968">
            <v>-10.743774480000001</v>
          </cell>
          <cell r="D3968">
            <v>-40.36780255</v>
          </cell>
        </row>
        <row r="3969">
          <cell r="A3969" t="str">
            <v>Pindorama</v>
          </cell>
          <cell r="B3969">
            <v>303822</v>
          </cell>
          <cell r="C3969">
            <v>-21.185766409999999</v>
          </cell>
          <cell r="D3969">
            <v>-48.909017370000001</v>
          </cell>
        </row>
        <row r="3970">
          <cell r="A3970" t="str">
            <v>Pindorama do Tocantins</v>
          </cell>
          <cell r="B3970">
            <v>302219</v>
          </cell>
          <cell r="C3970">
            <v>-11.13583234</v>
          </cell>
          <cell r="D3970">
            <v>-47.578238149999997</v>
          </cell>
        </row>
        <row r="3971">
          <cell r="A3971" t="str">
            <v>Pindoretama</v>
          </cell>
          <cell r="B3971">
            <v>302347</v>
          </cell>
          <cell r="C3971">
            <v>-4.0162368349999999</v>
          </cell>
          <cell r="D3971">
            <v>-38.306429110000003</v>
          </cell>
        </row>
        <row r="3972">
          <cell r="A3972" t="str">
            <v>Pingo-d'Água</v>
          </cell>
          <cell r="B3972">
            <v>302906</v>
          </cell>
          <cell r="C3972">
            <v>-19.727814609999999</v>
          </cell>
          <cell r="D3972">
            <v>-42.408147669999998</v>
          </cell>
        </row>
        <row r="3973">
          <cell r="A3973" t="str">
            <v>Pinhais</v>
          </cell>
          <cell r="B3973">
            <v>303991</v>
          </cell>
          <cell r="C3973">
            <v>-25.44342645</v>
          </cell>
          <cell r="D3973">
            <v>-49.19309243</v>
          </cell>
        </row>
        <row r="3974">
          <cell r="A3974" t="str">
            <v>Pinhal</v>
          </cell>
          <cell r="B3974">
            <v>305383</v>
          </cell>
          <cell r="C3974">
            <v>-27.5084914</v>
          </cell>
          <cell r="D3974">
            <v>-53.208640930000001</v>
          </cell>
        </row>
        <row r="3975">
          <cell r="A3975" t="str">
            <v>Pinhal da Serra</v>
          </cell>
          <cell r="B3975">
            <v>300384</v>
          </cell>
          <cell r="C3975">
            <v>-27.875608799999998</v>
          </cell>
          <cell r="D3975">
            <v>-51.167773840000002</v>
          </cell>
        </row>
        <row r="3976">
          <cell r="A3976" t="str">
            <v>Pinhal de São Bento</v>
          </cell>
          <cell r="B3976">
            <v>305331</v>
          </cell>
          <cell r="C3976">
            <v>-26.032887850000002</v>
          </cell>
          <cell r="D3976">
            <v>-53.482449729999999</v>
          </cell>
        </row>
        <row r="3977">
          <cell r="A3977" t="str">
            <v>Pinhal Grande</v>
          </cell>
          <cell r="B3977">
            <v>305408</v>
          </cell>
          <cell r="C3977">
            <v>-29.335341509999999</v>
          </cell>
          <cell r="D3977">
            <v>-53.338577200000003</v>
          </cell>
        </row>
        <row r="3978">
          <cell r="A3978" t="str">
            <v>Pinhalão</v>
          </cell>
          <cell r="B3978">
            <v>303965</v>
          </cell>
          <cell r="C3978">
            <v>-23.792988000000001</v>
          </cell>
          <cell r="D3978">
            <v>-50.055946980000002</v>
          </cell>
        </row>
        <row r="3979">
          <cell r="A3979" t="str">
            <v>Pinhalzinho</v>
          </cell>
          <cell r="B3979">
            <v>303555</v>
          </cell>
          <cell r="C3979">
            <v>-22.781592029999999</v>
          </cell>
          <cell r="D3979">
            <v>-46.590075550000002</v>
          </cell>
        </row>
        <row r="3980">
          <cell r="A3980" t="str">
            <v>Pinhalzinho</v>
          </cell>
          <cell r="B3980">
            <v>305306</v>
          </cell>
          <cell r="C3980">
            <v>-26.85001493</v>
          </cell>
          <cell r="D3980">
            <v>-52.991719920000001</v>
          </cell>
        </row>
        <row r="3981">
          <cell r="A3981" t="str">
            <v>Pinhão</v>
          </cell>
          <cell r="B3981">
            <v>305087</v>
          </cell>
          <cell r="C3981">
            <v>-25.694858780000001</v>
          </cell>
          <cell r="D3981">
            <v>-51.654034179999996</v>
          </cell>
        </row>
        <row r="3982">
          <cell r="A3982" t="str">
            <v>Pinhão</v>
          </cell>
          <cell r="B3982">
            <v>301256</v>
          </cell>
          <cell r="C3982">
            <v>-10.568102209999999</v>
          </cell>
          <cell r="D3982">
            <v>-37.724557439999998</v>
          </cell>
        </row>
        <row r="3983">
          <cell r="A3983" t="str">
            <v>Pinheiral</v>
          </cell>
          <cell r="B3983">
            <v>303153</v>
          </cell>
          <cell r="C3983">
            <v>-22.517693420000001</v>
          </cell>
          <cell r="D3983">
            <v>-44.00252888</v>
          </cell>
        </row>
        <row r="3984">
          <cell r="A3984" t="str">
            <v>Pinheirinho do Vale</v>
          </cell>
          <cell r="B3984">
            <v>305356</v>
          </cell>
          <cell r="C3984">
            <v>-27.211353580000001</v>
          </cell>
          <cell r="D3984">
            <v>-53.60847416</v>
          </cell>
        </row>
        <row r="3985">
          <cell r="A3985" t="str">
            <v>Pinheiro</v>
          </cell>
          <cell r="B3985">
            <v>301688</v>
          </cell>
          <cell r="C3985">
            <v>-2.5226302550000002</v>
          </cell>
          <cell r="D3985">
            <v>-45.079181570000003</v>
          </cell>
        </row>
        <row r="3986">
          <cell r="A3986" t="str">
            <v>Pinheiro Machado</v>
          </cell>
          <cell r="B3986">
            <v>305816</v>
          </cell>
          <cell r="C3986">
            <v>-31.579914609999999</v>
          </cell>
          <cell r="D3986">
            <v>-53.380264680000003</v>
          </cell>
        </row>
        <row r="3987">
          <cell r="A3987" t="str">
            <v>Pinheiro Preto</v>
          </cell>
          <cell r="B3987">
            <v>305081</v>
          </cell>
          <cell r="C3987">
            <v>-27.04879291</v>
          </cell>
          <cell r="D3987">
            <v>-51.224690590000002</v>
          </cell>
        </row>
        <row r="3988">
          <cell r="A3988" t="str">
            <v>Pinheiros</v>
          </cell>
          <cell r="B3988">
            <v>302470</v>
          </cell>
          <cell r="C3988">
            <v>-18.414542300000001</v>
          </cell>
          <cell r="D3988">
            <v>-40.217483119999997</v>
          </cell>
        </row>
        <row r="3989">
          <cell r="A3989" t="str">
            <v>Pintadas</v>
          </cell>
          <cell r="B3989">
            <v>301455</v>
          </cell>
          <cell r="C3989">
            <v>-11.81223179</v>
          </cell>
          <cell r="D3989">
            <v>-39.908654009999999</v>
          </cell>
        </row>
        <row r="3990">
          <cell r="A3990" t="str">
            <v>Pinto Bandeira</v>
          </cell>
          <cell r="B3990">
            <v>300362</v>
          </cell>
          <cell r="C3990">
            <v>-29.097422040000001</v>
          </cell>
          <cell r="D3990">
            <v>-51.45295565</v>
          </cell>
        </row>
        <row r="3991">
          <cell r="A3991" t="str">
            <v>Pintópolis</v>
          </cell>
          <cell r="B3991">
            <v>302199</v>
          </cell>
          <cell r="C3991">
            <v>-16.05759879</v>
          </cell>
          <cell r="D3991">
            <v>-45.145491010000001</v>
          </cell>
        </row>
        <row r="3992">
          <cell r="A3992" t="str">
            <v>Pio IX</v>
          </cell>
          <cell r="B3992">
            <v>301018</v>
          </cell>
          <cell r="C3992">
            <v>-6.8338367919999996</v>
          </cell>
          <cell r="D3992">
            <v>-40.613953539999997</v>
          </cell>
        </row>
        <row r="3993">
          <cell r="A3993" t="str">
            <v>Pio XII</v>
          </cell>
          <cell r="B3993">
            <v>303583</v>
          </cell>
          <cell r="C3993">
            <v>-3.8935453</v>
          </cell>
          <cell r="D3993">
            <v>-45.176299669999999</v>
          </cell>
        </row>
        <row r="3994">
          <cell r="A3994" t="str">
            <v>Piquerobi</v>
          </cell>
          <cell r="B3994">
            <v>304797</v>
          </cell>
          <cell r="C3994">
            <v>-21.88719875</v>
          </cell>
          <cell r="D3994">
            <v>-51.730923349999998</v>
          </cell>
        </row>
        <row r="3995">
          <cell r="A3995" t="str">
            <v>Piquet Carneiro</v>
          </cell>
          <cell r="B3995">
            <v>300925</v>
          </cell>
          <cell r="C3995">
            <v>-5.8006596000000004</v>
          </cell>
          <cell r="D3995">
            <v>-39.417336810000002</v>
          </cell>
        </row>
        <row r="3996">
          <cell r="A3996" t="str">
            <v>Piquete</v>
          </cell>
          <cell r="B3996">
            <v>303455</v>
          </cell>
          <cell r="C3996">
            <v>-22.6073609</v>
          </cell>
          <cell r="D3996">
            <v>-45.187305430000002</v>
          </cell>
        </row>
        <row r="3997">
          <cell r="A3997" t="str">
            <v>Piracaia</v>
          </cell>
          <cell r="B3997">
            <v>303552</v>
          </cell>
          <cell r="C3997">
            <v>-23.05302344</v>
          </cell>
          <cell r="D3997">
            <v>-46.35976977</v>
          </cell>
        </row>
        <row r="3998">
          <cell r="A3998" t="str">
            <v>Piracanjuba</v>
          </cell>
          <cell r="B3998">
            <v>303360</v>
          </cell>
          <cell r="C3998">
            <v>-17.301919080000001</v>
          </cell>
          <cell r="D3998">
            <v>-49.025980250000003</v>
          </cell>
        </row>
        <row r="3999">
          <cell r="A3999" t="str">
            <v>Piracema</v>
          </cell>
          <cell r="B3999">
            <v>302986</v>
          </cell>
          <cell r="C3999">
            <v>-20.509340259999998</v>
          </cell>
          <cell r="D3999">
            <v>-44.478699040000002</v>
          </cell>
        </row>
        <row r="4000">
          <cell r="A4000" t="str">
            <v>Piracicaba</v>
          </cell>
          <cell r="B4000">
            <v>303909</v>
          </cell>
          <cell r="C4000">
            <v>-22.734275230000001</v>
          </cell>
          <cell r="D4000">
            <v>-47.648015520000001</v>
          </cell>
        </row>
        <row r="4001">
          <cell r="A4001" t="str">
            <v>Piracuruca</v>
          </cell>
          <cell r="B4001">
            <v>300727</v>
          </cell>
          <cell r="C4001">
            <v>-3.9337459770000001</v>
          </cell>
          <cell r="D4001">
            <v>-41.709113760000001</v>
          </cell>
        </row>
        <row r="4002">
          <cell r="A4002" t="str">
            <v>Piraí</v>
          </cell>
          <cell r="B4002">
            <v>304986</v>
          </cell>
          <cell r="C4002">
            <v>-22.62198025</v>
          </cell>
          <cell r="D4002">
            <v>-43.908448360000001</v>
          </cell>
        </row>
        <row r="4003">
          <cell r="A4003" t="str">
            <v>Piraí do Norte</v>
          </cell>
          <cell r="B4003">
            <v>302377</v>
          </cell>
          <cell r="C4003">
            <v>-13.76040895</v>
          </cell>
          <cell r="D4003">
            <v>-39.377236310000001</v>
          </cell>
        </row>
        <row r="4004">
          <cell r="A4004" t="str">
            <v>Piraí do Sul</v>
          </cell>
          <cell r="B4004">
            <v>303973</v>
          </cell>
          <cell r="C4004">
            <v>-24.531110049999999</v>
          </cell>
          <cell r="D4004">
            <v>-49.943736209999997</v>
          </cell>
        </row>
        <row r="4005">
          <cell r="A4005" t="str">
            <v>Piraiyu</v>
          </cell>
          <cell r="B4005">
            <v>314486</v>
          </cell>
          <cell r="C4005">
            <v>-25.490987090000001</v>
          </cell>
          <cell r="D4005">
            <v>-57.211721199999999</v>
          </cell>
        </row>
        <row r="4006">
          <cell r="A4006" t="str">
            <v>Piraju</v>
          </cell>
          <cell r="B4006">
            <v>304960</v>
          </cell>
          <cell r="C4006">
            <v>-23.198537089999999</v>
          </cell>
          <cell r="D4006">
            <v>-49.380751269999998</v>
          </cell>
        </row>
        <row r="4007">
          <cell r="A4007" t="str">
            <v>Pirajuba</v>
          </cell>
          <cell r="B4007">
            <v>303407</v>
          </cell>
          <cell r="C4007">
            <v>-19.90966882</v>
          </cell>
          <cell r="D4007">
            <v>-48.703092689999998</v>
          </cell>
        </row>
        <row r="4008">
          <cell r="A4008" t="str">
            <v>Pirajuí</v>
          </cell>
          <cell r="B4008">
            <v>303863</v>
          </cell>
          <cell r="C4008">
            <v>-21.9989904</v>
          </cell>
          <cell r="D4008">
            <v>-49.456948580000002</v>
          </cell>
        </row>
        <row r="4009">
          <cell r="A4009" t="str">
            <v>Pirambu</v>
          </cell>
          <cell r="B4009">
            <v>301231</v>
          </cell>
          <cell r="C4009">
            <v>-10.71894837</v>
          </cell>
          <cell r="D4009">
            <v>-36.853184810000002</v>
          </cell>
        </row>
        <row r="4010">
          <cell r="A4010" t="str">
            <v>Piranga</v>
          </cell>
          <cell r="B4010">
            <v>302843</v>
          </cell>
          <cell r="C4010">
            <v>-20.683884450000001</v>
          </cell>
          <cell r="D4010">
            <v>-43.297069200000003</v>
          </cell>
        </row>
        <row r="4011">
          <cell r="A4011" t="str">
            <v>Pirangi</v>
          </cell>
          <cell r="B4011">
            <v>303805</v>
          </cell>
          <cell r="C4011">
            <v>-21.0890667</v>
          </cell>
          <cell r="D4011">
            <v>-48.661138510000001</v>
          </cell>
        </row>
        <row r="4012">
          <cell r="A4012" t="str">
            <v>Piranguçu</v>
          </cell>
          <cell r="B4012">
            <v>303453</v>
          </cell>
          <cell r="C4012">
            <v>-22.525410900000001</v>
          </cell>
          <cell r="D4012">
            <v>-45.494916330000002</v>
          </cell>
        </row>
        <row r="4013">
          <cell r="A4013" t="str">
            <v>Piranguinho</v>
          </cell>
          <cell r="B4013">
            <v>303452</v>
          </cell>
          <cell r="C4013">
            <v>-22.395439379999999</v>
          </cell>
          <cell r="D4013">
            <v>-45.532793230000003</v>
          </cell>
        </row>
        <row r="4014">
          <cell r="A4014" t="str">
            <v>Piranhas</v>
          </cell>
          <cell r="B4014">
            <v>301283</v>
          </cell>
          <cell r="C4014">
            <v>-9.6156057700000002</v>
          </cell>
          <cell r="D4014">
            <v>-37.761301019999998</v>
          </cell>
        </row>
        <row r="4015">
          <cell r="A4015" t="str">
            <v>Piranhas</v>
          </cell>
          <cell r="B4015">
            <v>304521</v>
          </cell>
          <cell r="C4015">
            <v>-16.427202149999999</v>
          </cell>
          <cell r="D4015">
            <v>-51.819684119999998</v>
          </cell>
        </row>
        <row r="4016">
          <cell r="A4016" t="str">
            <v>Pirapemas</v>
          </cell>
          <cell r="B4016">
            <v>301700</v>
          </cell>
          <cell r="C4016">
            <v>-3.7259577579999998</v>
          </cell>
          <cell r="D4016">
            <v>-44.229170539999998</v>
          </cell>
        </row>
        <row r="4017">
          <cell r="A4017" t="str">
            <v>Pirapetinga</v>
          </cell>
          <cell r="B4017">
            <v>304924</v>
          </cell>
          <cell r="C4017">
            <v>-21.655917129999999</v>
          </cell>
          <cell r="D4017">
            <v>-42.34375378</v>
          </cell>
        </row>
        <row r="4018">
          <cell r="A4018" t="str">
            <v>Pirapó</v>
          </cell>
          <cell r="B4018">
            <v>305800</v>
          </cell>
          <cell r="C4018">
            <v>-28.04435157</v>
          </cell>
          <cell r="D4018">
            <v>-55.20060024</v>
          </cell>
        </row>
        <row r="4019">
          <cell r="A4019" t="str">
            <v>Pirapora</v>
          </cell>
          <cell r="B4019">
            <v>302946</v>
          </cell>
          <cell r="C4019">
            <v>-17.339631140000002</v>
          </cell>
          <cell r="D4019">
            <v>-44.934381090000002</v>
          </cell>
        </row>
        <row r="4020">
          <cell r="A4020" t="str">
            <v>Pirapora do Bom Jesus</v>
          </cell>
          <cell r="B4020">
            <v>303742</v>
          </cell>
          <cell r="C4020">
            <v>-23.396964860000001</v>
          </cell>
          <cell r="D4020">
            <v>-46.999504139999999</v>
          </cell>
        </row>
        <row r="4021">
          <cell r="A4021" t="str">
            <v>Pirapozinho</v>
          </cell>
          <cell r="B4021">
            <v>304687</v>
          </cell>
          <cell r="C4021">
            <v>-22.271588000000001</v>
          </cell>
          <cell r="D4021">
            <v>-51.49806177</v>
          </cell>
        </row>
        <row r="4022">
          <cell r="A4022" t="str">
            <v>Piraquara</v>
          </cell>
          <cell r="B4022">
            <v>303990</v>
          </cell>
          <cell r="C4022">
            <v>-25.442648819999999</v>
          </cell>
          <cell r="D4022">
            <v>-49.062832569999998</v>
          </cell>
        </row>
        <row r="4023">
          <cell r="A4023" t="str">
            <v>Piraquê</v>
          </cell>
          <cell r="B4023">
            <v>302020</v>
          </cell>
          <cell r="C4023">
            <v>-6.7684483350000004</v>
          </cell>
          <cell r="D4023">
            <v>-48.29490457</v>
          </cell>
        </row>
        <row r="4024">
          <cell r="A4024" t="str">
            <v>Pirassununga</v>
          </cell>
          <cell r="B4024">
            <v>303663</v>
          </cell>
          <cell r="C4024">
            <v>-21.99645452</v>
          </cell>
          <cell r="D4024">
            <v>-47.426145929999997</v>
          </cell>
        </row>
        <row r="4025">
          <cell r="A4025" t="str">
            <v>Piratini</v>
          </cell>
          <cell r="B4025">
            <v>305700</v>
          </cell>
          <cell r="C4025">
            <v>-31.448274269999999</v>
          </cell>
          <cell r="D4025">
            <v>-53.100314320000003</v>
          </cell>
        </row>
        <row r="4026">
          <cell r="A4026" t="str">
            <v>Piratininga</v>
          </cell>
          <cell r="B4026">
            <v>303845</v>
          </cell>
          <cell r="C4026">
            <v>-22.414629519999998</v>
          </cell>
          <cell r="D4026">
            <v>-49.134281309999999</v>
          </cell>
        </row>
        <row r="4027">
          <cell r="A4027" t="str">
            <v>Piratuba</v>
          </cell>
          <cell r="B4027">
            <v>305582</v>
          </cell>
          <cell r="C4027">
            <v>-27.42470192</v>
          </cell>
          <cell r="D4027">
            <v>-51.767280550000002</v>
          </cell>
        </row>
        <row r="4028">
          <cell r="A4028" t="str">
            <v>Piraúba</v>
          </cell>
          <cell r="B4028">
            <v>303088</v>
          </cell>
          <cell r="C4028">
            <v>-21.282972279999999</v>
          </cell>
          <cell r="D4028">
            <v>-43.017585680000003</v>
          </cell>
        </row>
        <row r="4029">
          <cell r="A4029" t="str">
            <v>Pirenópolis</v>
          </cell>
          <cell r="B4029">
            <v>302399</v>
          </cell>
          <cell r="C4029">
            <v>-15.85494123</v>
          </cell>
          <cell r="D4029">
            <v>-48.948722549999999</v>
          </cell>
        </row>
        <row r="4030">
          <cell r="A4030" t="str">
            <v>Pires do Rio</v>
          </cell>
          <cell r="B4030">
            <v>304572</v>
          </cell>
          <cell r="C4030">
            <v>-17.302355599999999</v>
          </cell>
          <cell r="D4030">
            <v>-48.277149909999999</v>
          </cell>
        </row>
        <row r="4031">
          <cell r="A4031" t="str">
            <v>Pires Ferreira</v>
          </cell>
          <cell r="B4031">
            <v>300873</v>
          </cell>
          <cell r="C4031">
            <v>-4.2396163140000001</v>
          </cell>
          <cell r="D4031">
            <v>-40.644507599999997</v>
          </cell>
        </row>
        <row r="4032">
          <cell r="A4032" t="str">
            <v>Piribebuy</v>
          </cell>
          <cell r="B4032">
            <v>314473</v>
          </cell>
          <cell r="C4032">
            <v>-25.462805629999998</v>
          </cell>
          <cell r="D4032">
            <v>-57.031502089999996</v>
          </cell>
        </row>
        <row r="4033">
          <cell r="A4033" t="str">
            <v>Piripá</v>
          </cell>
          <cell r="B4033">
            <v>301627</v>
          </cell>
          <cell r="C4033">
            <v>-14.94483505</v>
          </cell>
          <cell r="D4033">
            <v>-41.717186650000002</v>
          </cell>
        </row>
        <row r="4034">
          <cell r="A4034" t="str">
            <v>Piripiri</v>
          </cell>
          <cell r="B4034">
            <v>300891</v>
          </cell>
          <cell r="C4034">
            <v>-4.2746771409999997</v>
          </cell>
          <cell r="D4034">
            <v>-41.776168699999999</v>
          </cell>
        </row>
        <row r="4035">
          <cell r="A4035" t="str">
            <v>Piritiba</v>
          </cell>
          <cell r="B4035">
            <v>301461</v>
          </cell>
          <cell r="C4035">
            <v>-11.7307907</v>
          </cell>
          <cell r="D4035">
            <v>-40.554796529999997</v>
          </cell>
        </row>
        <row r="4036">
          <cell r="A4036" t="str">
            <v>Pirpirituba</v>
          </cell>
          <cell r="B4036">
            <v>300440</v>
          </cell>
          <cell r="C4036">
            <v>-6.7800271839999997</v>
          </cell>
          <cell r="D4036">
            <v>-35.491148889999998</v>
          </cell>
        </row>
        <row r="4037">
          <cell r="A4037" t="str">
            <v>Piscobamba</v>
          </cell>
          <cell r="B4037">
            <v>314385</v>
          </cell>
          <cell r="C4037">
            <v>-8.8625573749999997</v>
          </cell>
          <cell r="D4037">
            <v>-77.361823639999997</v>
          </cell>
        </row>
        <row r="4038">
          <cell r="A4038" t="str">
            <v>Pitanga</v>
          </cell>
          <cell r="B4038">
            <v>304829</v>
          </cell>
          <cell r="C4038">
            <v>-24.759241400000001</v>
          </cell>
          <cell r="D4038">
            <v>-51.760081499999998</v>
          </cell>
        </row>
        <row r="4039">
          <cell r="A4039" t="str">
            <v>Pitangueiras</v>
          </cell>
          <cell r="B4039">
            <v>304758</v>
          </cell>
          <cell r="C4039">
            <v>-23.22859923</v>
          </cell>
          <cell r="D4039">
            <v>-51.587707299999998</v>
          </cell>
        </row>
        <row r="4040">
          <cell r="A4040" t="str">
            <v>Pitangueiras</v>
          </cell>
          <cell r="B4040">
            <v>303674</v>
          </cell>
          <cell r="C4040">
            <v>-21.013670510000001</v>
          </cell>
          <cell r="D4040">
            <v>-48.221353460000003</v>
          </cell>
        </row>
        <row r="4041">
          <cell r="A4041" t="str">
            <v>Pitangui</v>
          </cell>
          <cell r="B4041">
            <v>302973</v>
          </cell>
          <cell r="C4041">
            <v>-19.682992580000001</v>
          </cell>
          <cell r="D4041">
            <v>-44.889956339999998</v>
          </cell>
        </row>
        <row r="4042">
          <cell r="A4042" t="str">
            <v>Pitimbu</v>
          </cell>
          <cell r="B4042">
            <v>300674</v>
          </cell>
          <cell r="C4042">
            <v>-7.4668198610000003</v>
          </cell>
          <cell r="D4042">
            <v>-34.81542039</v>
          </cell>
        </row>
        <row r="4043">
          <cell r="A4043" t="str">
            <v>Pium</v>
          </cell>
          <cell r="B4043">
            <v>302247</v>
          </cell>
          <cell r="C4043">
            <v>-10.44086111</v>
          </cell>
          <cell r="D4043">
            <v>-49.179678109999998</v>
          </cell>
        </row>
        <row r="4044">
          <cell r="A4044" t="str">
            <v>Piúma</v>
          </cell>
          <cell r="B4044">
            <v>302523</v>
          </cell>
          <cell r="C4044">
            <v>-20.8339164</v>
          </cell>
          <cell r="D4044">
            <v>-40.727163019999999</v>
          </cell>
        </row>
        <row r="4045">
          <cell r="A4045" t="str">
            <v>Piumhi</v>
          </cell>
          <cell r="B4045">
            <v>303248</v>
          </cell>
          <cell r="C4045">
            <v>-20.476700900000001</v>
          </cell>
          <cell r="D4045">
            <v>-45.959296080000001</v>
          </cell>
        </row>
        <row r="4046">
          <cell r="A4046" t="str">
            <v>Placas</v>
          </cell>
          <cell r="B4046">
            <v>304152</v>
          </cell>
          <cell r="C4046">
            <v>-3.8685210379999999</v>
          </cell>
          <cell r="D4046">
            <v>-54.21278204</v>
          </cell>
        </row>
        <row r="4047">
          <cell r="A4047" t="str">
            <v>Plácido de Castro</v>
          </cell>
          <cell r="B4047">
            <v>305893</v>
          </cell>
          <cell r="C4047">
            <v>-10.28104006</v>
          </cell>
          <cell r="D4047">
            <v>-67.137608909999997</v>
          </cell>
        </row>
        <row r="4048">
          <cell r="A4048" t="str">
            <v>Planaltina</v>
          </cell>
          <cell r="B4048">
            <v>302772</v>
          </cell>
          <cell r="C4048">
            <v>-15.452481690000001</v>
          </cell>
          <cell r="D4048">
            <v>-47.609270979999998</v>
          </cell>
        </row>
        <row r="4049">
          <cell r="A4049" t="str">
            <v>Planaltina do Paraná</v>
          </cell>
          <cell r="B4049">
            <v>304848</v>
          </cell>
          <cell r="C4049">
            <v>-23.01060704</v>
          </cell>
          <cell r="D4049">
            <v>-52.916679680000001</v>
          </cell>
        </row>
        <row r="4050">
          <cell r="A4050" t="str">
            <v>Planaltino</v>
          </cell>
          <cell r="B4050">
            <v>301553</v>
          </cell>
          <cell r="C4050">
            <v>-13.259054040000001</v>
          </cell>
          <cell r="D4050">
            <v>-40.369486010000003</v>
          </cell>
        </row>
        <row r="4051">
          <cell r="A4051" t="str">
            <v>Planalto</v>
          </cell>
          <cell r="B4051">
            <v>301569</v>
          </cell>
          <cell r="C4051">
            <v>-14.668024559999999</v>
          </cell>
          <cell r="D4051">
            <v>-40.474619670000003</v>
          </cell>
        </row>
        <row r="4052">
          <cell r="A4052" t="str">
            <v>Planalto</v>
          </cell>
          <cell r="B4052">
            <v>303869</v>
          </cell>
          <cell r="C4052">
            <v>-21.033991950000001</v>
          </cell>
          <cell r="D4052">
            <v>-49.928948210000001</v>
          </cell>
        </row>
        <row r="4053">
          <cell r="A4053" t="str">
            <v>Planalto</v>
          </cell>
          <cell r="B4053">
            <v>305334</v>
          </cell>
          <cell r="C4053">
            <v>-25.721599380000001</v>
          </cell>
          <cell r="D4053">
            <v>-53.764686249999997</v>
          </cell>
        </row>
        <row r="4054">
          <cell r="A4054" t="str">
            <v>Planalto</v>
          </cell>
          <cell r="B4054">
            <v>305380</v>
          </cell>
          <cell r="C4054">
            <v>-27.330164580000002</v>
          </cell>
          <cell r="D4054">
            <v>-53.057984259999998</v>
          </cell>
        </row>
        <row r="4055">
          <cell r="A4055" t="str">
            <v>Planalto Alegre</v>
          </cell>
          <cell r="B4055">
            <v>305299</v>
          </cell>
          <cell r="C4055">
            <v>-27.070892730000001</v>
          </cell>
          <cell r="D4055">
            <v>-52.86744204</v>
          </cell>
        </row>
        <row r="4056">
          <cell r="A4056" t="str">
            <v>Planalto da Serra</v>
          </cell>
          <cell r="B4056">
            <v>304231</v>
          </cell>
          <cell r="C4056">
            <v>-14.66163177</v>
          </cell>
          <cell r="D4056">
            <v>-54.776214119999999</v>
          </cell>
        </row>
        <row r="4057">
          <cell r="A4057" t="str">
            <v>Planura</v>
          </cell>
          <cell r="B4057">
            <v>303622</v>
          </cell>
          <cell r="C4057">
            <v>-20.1379929</v>
          </cell>
          <cell r="D4057">
            <v>-48.701950359999998</v>
          </cell>
        </row>
        <row r="4058">
          <cell r="A4058" t="str">
            <v>Platina</v>
          </cell>
          <cell r="B4058">
            <v>303901</v>
          </cell>
          <cell r="C4058">
            <v>-22.636262729999999</v>
          </cell>
          <cell r="D4058">
            <v>-50.204420970000001</v>
          </cell>
        </row>
        <row r="4059">
          <cell r="A4059" t="str">
            <v>Poá</v>
          </cell>
          <cell r="B4059">
            <v>303934</v>
          </cell>
          <cell r="C4059">
            <v>-23.533764940000001</v>
          </cell>
          <cell r="D4059">
            <v>-46.347689109999997</v>
          </cell>
        </row>
        <row r="4060">
          <cell r="A4060" t="str">
            <v>Poção</v>
          </cell>
          <cell r="B4060">
            <v>300774</v>
          </cell>
          <cell r="C4060">
            <v>-8.1862147200000006</v>
          </cell>
          <cell r="D4060">
            <v>-36.704024920000002</v>
          </cell>
        </row>
        <row r="4061">
          <cell r="A4061" t="str">
            <v>Poção de Pedras</v>
          </cell>
          <cell r="B4061">
            <v>302133</v>
          </cell>
          <cell r="C4061">
            <v>-4.7511198349999999</v>
          </cell>
          <cell r="D4061">
            <v>-44.942577300000004</v>
          </cell>
        </row>
        <row r="4062">
          <cell r="A4062" t="str">
            <v>Pocinhos</v>
          </cell>
          <cell r="B4062">
            <v>300634</v>
          </cell>
          <cell r="C4062">
            <v>-7.0738180540000002</v>
          </cell>
          <cell r="D4062">
            <v>-36.060806489999997</v>
          </cell>
        </row>
        <row r="4063">
          <cell r="A4063" t="str">
            <v>Poço Branco</v>
          </cell>
          <cell r="B4063">
            <v>301166</v>
          </cell>
          <cell r="C4063">
            <v>-5.6227354710000004</v>
          </cell>
          <cell r="D4063">
            <v>-35.66382763</v>
          </cell>
        </row>
        <row r="4064">
          <cell r="A4064" t="str">
            <v>Poço Dantas</v>
          </cell>
          <cell r="B4064">
            <v>300992</v>
          </cell>
          <cell r="C4064">
            <v>-6.3991758369999996</v>
          </cell>
          <cell r="D4064">
            <v>-38.491221600000003</v>
          </cell>
        </row>
        <row r="4065">
          <cell r="A4065" t="str">
            <v>Poço das Antas</v>
          </cell>
          <cell r="B4065">
            <v>305770</v>
          </cell>
          <cell r="C4065">
            <v>-29.448574780000001</v>
          </cell>
          <cell r="D4065">
            <v>-51.672392510000002</v>
          </cell>
        </row>
        <row r="4066">
          <cell r="A4066" t="str">
            <v>Poço das Trincheiras</v>
          </cell>
          <cell r="B4066">
            <v>302562</v>
          </cell>
          <cell r="C4066">
            <v>-9.3048832170000004</v>
          </cell>
          <cell r="D4066">
            <v>-37.284750129999999</v>
          </cell>
        </row>
        <row r="4067">
          <cell r="A4067" t="str">
            <v>Poço de José de Moura</v>
          </cell>
          <cell r="B4067">
            <v>300995</v>
          </cell>
          <cell r="C4067">
            <v>-6.5644248430000003</v>
          </cell>
          <cell r="D4067">
            <v>-38.511367849999999</v>
          </cell>
        </row>
        <row r="4068">
          <cell r="A4068" t="str">
            <v>Poço Fundo</v>
          </cell>
          <cell r="B4068">
            <v>304420</v>
          </cell>
          <cell r="C4068">
            <v>-21.78047733</v>
          </cell>
          <cell r="D4068">
            <v>-45.966139509999998</v>
          </cell>
        </row>
        <row r="4069">
          <cell r="A4069" t="str">
            <v>Poço Redondo</v>
          </cell>
          <cell r="B4069">
            <v>301223</v>
          </cell>
          <cell r="C4069">
            <v>-9.8065888710000007</v>
          </cell>
          <cell r="D4069">
            <v>-37.683573410000001</v>
          </cell>
        </row>
        <row r="4070">
          <cell r="A4070" t="str">
            <v>Poço Verde</v>
          </cell>
          <cell r="B4070">
            <v>301303</v>
          </cell>
          <cell r="C4070">
            <v>-10.715537210000001</v>
          </cell>
          <cell r="D4070">
            <v>-38.17804331</v>
          </cell>
        </row>
        <row r="4071">
          <cell r="A4071" t="str">
            <v>Poções</v>
          </cell>
          <cell r="B4071">
            <v>301567</v>
          </cell>
          <cell r="C4071">
            <v>-14.52384702</v>
          </cell>
          <cell r="D4071">
            <v>-40.36368942</v>
          </cell>
        </row>
        <row r="4072">
          <cell r="A4072" t="str">
            <v>Poconé</v>
          </cell>
          <cell r="B4072">
            <v>304623</v>
          </cell>
          <cell r="C4072">
            <v>-16.266471259999999</v>
          </cell>
          <cell r="D4072">
            <v>-56.626539170000001</v>
          </cell>
        </row>
        <row r="4073">
          <cell r="A4073" t="str">
            <v>Poços de Caldas</v>
          </cell>
          <cell r="B4073">
            <v>303511</v>
          </cell>
          <cell r="C4073">
            <v>-21.784750890000002</v>
          </cell>
          <cell r="D4073">
            <v>-46.56865827</v>
          </cell>
        </row>
        <row r="4074">
          <cell r="A4074" t="str">
            <v>Pocrane</v>
          </cell>
          <cell r="B4074">
            <v>302540</v>
          </cell>
          <cell r="C4074">
            <v>-19.621271719999999</v>
          </cell>
          <cell r="D4074">
            <v>-41.633778890000002</v>
          </cell>
        </row>
        <row r="4075">
          <cell r="A4075" t="str">
            <v>Pojuca</v>
          </cell>
          <cell r="B4075">
            <v>301380</v>
          </cell>
          <cell r="C4075">
            <v>-12.4307281</v>
          </cell>
          <cell r="D4075">
            <v>-38.337469079999998</v>
          </cell>
        </row>
        <row r="4076">
          <cell r="A4076" t="str">
            <v>Poloni</v>
          </cell>
          <cell r="B4076">
            <v>303485</v>
          </cell>
          <cell r="C4076">
            <v>-20.78543891</v>
          </cell>
          <cell r="D4076">
            <v>-49.81441993</v>
          </cell>
        </row>
        <row r="4077">
          <cell r="A4077" t="str">
            <v>Pomabamba</v>
          </cell>
          <cell r="B4077">
            <v>314387</v>
          </cell>
          <cell r="C4077">
            <v>-8.8115741940000003</v>
          </cell>
          <cell r="D4077">
            <v>-77.462308780000001</v>
          </cell>
        </row>
        <row r="4078">
          <cell r="A4078" t="str">
            <v>Pombal</v>
          </cell>
          <cell r="B4078">
            <v>300930</v>
          </cell>
          <cell r="C4078">
            <v>-6.7664745379999998</v>
          </cell>
          <cell r="D4078">
            <v>-37.800578870000002</v>
          </cell>
        </row>
        <row r="4079">
          <cell r="A4079" t="str">
            <v>Pombos</v>
          </cell>
          <cell r="B4079">
            <v>301352</v>
          </cell>
          <cell r="C4079">
            <v>-8.1402417059999994</v>
          </cell>
          <cell r="D4079">
            <v>-35.397024190000003</v>
          </cell>
        </row>
        <row r="4080">
          <cell r="A4080" t="str">
            <v>Pomerode</v>
          </cell>
          <cell r="B4080">
            <v>304018</v>
          </cell>
          <cell r="C4080">
            <v>-26.73883554</v>
          </cell>
          <cell r="D4080">
            <v>-49.178883020000001</v>
          </cell>
        </row>
        <row r="4081">
          <cell r="A4081" t="str">
            <v>Pompéia</v>
          </cell>
          <cell r="B4081">
            <v>304433</v>
          </cell>
          <cell r="C4081">
            <v>-22.107505979999999</v>
          </cell>
          <cell r="D4081">
            <v>-50.176382050000001</v>
          </cell>
        </row>
        <row r="4082">
          <cell r="A4082" t="str">
            <v>Pompéu</v>
          </cell>
          <cell r="B4082">
            <v>302967</v>
          </cell>
          <cell r="C4082">
            <v>-19.226128370000001</v>
          </cell>
          <cell r="D4082">
            <v>-45.014483689999999</v>
          </cell>
        </row>
        <row r="4083">
          <cell r="A4083" t="str">
            <v>Pongaí</v>
          </cell>
          <cell r="B4083">
            <v>303861</v>
          </cell>
          <cell r="C4083">
            <v>-21.736288760000001</v>
          </cell>
          <cell r="D4083">
            <v>-49.358400580000001</v>
          </cell>
        </row>
        <row r="4084">
          <cell r="A4084" t="str">
            <v>Ponta de Pedras</v>
          </cell>
          <cell r="B4084">
            <v>301934</v>
          </cell>
          <cell r="C4084">
            <v>-1.3962518450000001</v>
          </cell>
          <cell r="D4084">
            <v>-48.866452860000003</v>
          </cell>
        </row>
        <row r="4085">
          <cell r="A4085" t="str">
            <v>Ponta Grossa</v>
          </cell>
          <cell r="B4085">
            <v>303977</v>
          </cell>
          <cell r="C4085">
            <v>-25.092095789999998</v>
          </cell>
          <cell r="D4085">
            <v>-50.167214559999998</v>
          </cell>
        </row>
        <row r="4086">
          <cell r="A4086" t="str">
            <v>Ponta Porã</v>
          </cell>
          <cell r="B4086">
            <v>305231</v>
          </cell>
          <cell r="C4086">
            <v>-22.530069139999998</v>
          </cell>
          <cell r="D4086">
            <v>-55.720778359999997</v>
          </cell>
        </row>
        <row r="4087">
          <cell r="A4087" t="str">
            <v>Pontal</v>
          </cell>
          <cell r="B4087">
            <v>303671</v>
          </cell>
          <cell r="C4087">
            <v>-21.022032960000001</v>
          </cell>
          <cell r="D4087">
            <v>-48.042662319999998</v>
          </cell>
        </row>
        <row r="4088">
          <cell r="A4088" t="str">
            <v>Pontal do Araguaia</v>
          </cell>
          <cell r="B4088">
            <v>304524</v>
          </cell>
          <cell r="C4088">
            <v>-15.90596706</v>
          </cell>
          <cell r="D4088">
            <v>-52.258364350000001</v>
          </cell>
        </row>
        <row r="4089">
          <cell r="A4089" t="str">
            <v>Pontal do Paraná</v>
          </cell>
          <cell r="B4089">
            <v>303980</v>
          </cell>
          <cell r="C4089">
            <v>-25.67401297</v>
          </cell>
          <cell r="D4089">
            <v>-48.511480710000001</v>
          </cell>
        </row>
        <row r="4090">
          <cell r="A4090" t="str">
            <v>Pontalina</v>
          </cell>
          <cell r="B4090">
            <v>303380</v>
          </cell>
          <cell r="C4090">
            <v>-17.516552170000001</v>
          </cell>
          <cell r="D4090">
            <v>-49.449082949999998</v>
          </cell>
        </row>
        <row r="4091">
          <cell r="A4091" t="str">
            <v>Pontalinda</v>
          </cell>
          <cell r="B4091">
            <v>304366</v>
          </cell>
          <cell r="C4091">
            <v>-20.440992990000002</v>
          </cell>
          <cell r="D4091">
            <v>-50.522947530000003</v>
          </cell>
        </row>
        <row r="4092">
          <cell r="A4092" t="str">
            <v>Pontão</v>
          </cell>
          <cell r="B4092">
            <v>305375</v>
          </cell>
          <cell r="C4092">
            <v>-28.05895009</v>
          </cell>
          <cell r="D4092">
            <v>-52.679545930000003</v>
          </cell>
        </row>
        <row r="4093">
          <cell r="A4093" t="str">
            <v>Ponte Alta</v>
          </cell>
          <cell r="B4093">
            <v>305128</v>
          </cell>
          <cell r="C4093">
            <v>-27.483975449999999</v>
          </cell>
          <cell r="D4093">
            <v>-50.376841800000001</v>
          </cell>
        </row>
        <row r="4094">
          <cell r="A4094" t="str">
            <v>Ponte Alta do Bom Jesus</v>
          </cell>
          <cell r="B4094">
            <v>302212</v>
          </cell>
          <cell r="C4094">
            <v>-12.087793469999999</v>
          </cell>
          <cell r="D4094">
            <v>-46.47492493</v>
          </cell>
        </row>
        <row r="4095">
          <cell r="A4095" t="str">
            <v>Ponte Alta do Norte</v>
          </cell>
          <cell r="B4095">
            <v>305616</v>
          </cell>
          <cell r="C4095">
            <v>-27.15958951</v>
          </cell>
          <cell r="D4095">
            <v>-50.466384120000001</v>
          </cell>
        </row>
        <row r="4096">
          <cell r="A4096" t="str">
            <v>Ponte Alta do Tocantins</v>
          </cell>
          <cell r="B4096">
            <v>302218</v>
          </cell>
          <cell r="C4096">
            <v>-10.74190098</v>
          </cell>
          <cell r="D4096">
            <v>-47.539916249999997</v>
          </cell>
        </row>
        <row r="4097">
          <cell r="A4097" t="str">
            <v>Ponte Branca</v>
          </cell>
          <cell r="B4097">
            <v>304535</v>
          </cell>
          <cell r="C4097">
            <v>-16.766468889999999</v>
          </cell>
          <cell r="D4097">
            <v>-52.835321880000002</v>
          </cell>
        </row>
        <row r="4098">
          <cell r="A4098" t="str">
            <v>Ponte Nova</v>
          </cell>
          <cell r="B4098">
            <v>302746</v>
          </cell>
          <cell r="C4098">
            <v>-20.411577269999999</v>
          </cell>
          <cell r="D4098">
            <v>-42.898183719999999</v>
          </cell>
        </row>
        <row r="4099">
          <cell r="A4099" t="str">
            <v>Ponte Preta</v>
          </cell>
          <cell r="B4099">
            <v>305364</v>
          </cell>
          <cell r="C4099">
            <v>-27.659164029999999</v>
          </cell>
          <cell r="D4099">
            <v>-52.485269039999999</v>
          </cell>
        </row>
        <row r="4100">
          <cell r="A4100" t="str">
            <v>Ponte Serrada</v>
          </cell>
          <cell r="B4100">
            <v>305116</v>
          </cell>
          <cell r="C4100">
            <v>-26.873750090000001</v>
          </cell>
          <cell r="D4100">
            <v>-52.01169591</v>
          </cell>
        </row>
        <row r="4101">
          <cell r="A4101" t="str">
            <v>Pontes e Lacerda</v>
          </cell>
          <cell r="B4101">
            <v>304316</v>
          </cell>
          <cell r="C4101">
            <v>-15.2308632</v>
          </cell>
          <cell r="D4101">
            <v>-59.336843360000003</v>
          </cell>
        </row>
        <row r="4102">
          <cell r="A4102" t="str">
            <v>Pontes Gestal</v>
          </cell>
          <cell r="B4102">
            <v>303420</v>
          </cell>
          <cell r="C4102">
            <v>-20.182760219999999</v>
          </cell>
          <cell r="D4102">
            <v>-49.701983949999999</v>
          </cell>
        </row>
        <row r="4103">
          <cell r="A4103" t="str">
            <v>Ponto Belo</v>
          </cell>
          <cell r="B4103">
            <v>302473</v>
          </cell>
          <cell r="C4103">
            <v>-18.12579045</v>
          </cell>
          <cell r="D4103">
            <v>-40.54614394</v>
          </cell>
        </row>
        <row r="4104">
          <cell r="A4104" t="str">
            <v>Ponto Chique</v>
          </cell>
          <cell r="B4104">
            <v>302197</v>
          </cell>
          <cell r="C4104">
            <v>-16.631815370000002</v>
          </cell>
          <cell r="D4104">
            <v>-45.064057630000001</v>
          </cell>
        </row>
        <row r="4105">
          <cell r="A4105" t="str">
            <v>Ponto dos Volantes</v>
          </cell>
          <cell r="B4105">
            <v>302262</v>
          </cell>
          <cell r="C4105">
            <v>-16.75016351</v>
          </cell>
          <cell r="D4105">
            <v>-41.505863069999997</v>
          </cell>
        </row>
        <row r="4106">
          <cell r="A4106" t="str">
            <v>Ponto Inírida</v>
          </cell>
          <cell r="B4106">
            <v>314435</v>
          </cell>
          <cell r="C4106">
            <v>3.8532009760000001</v>
          </cell>
          <cell r="D4106">
            <v>-67.837669880000007</v>
          </cell>
        </row>
        <row r="4107">
          <cell r="A4107" t="str">
            <v>Ponto Novo</v>
          </cell>
          <cell r="B4107">
            <v>301443</v>
          </cell>
          <cell r="C4107">
            <v>-10.861849230000001</v>
          </cell>
          <cell r="D4107">
            <v>-40.13342729</v>
          </cell>
        </row>
        <row r="4108">
          <cell r="A4108" t="str">
            <v>Populina</v>
          </cell>
          <cell r="B4108">
            <v>304359</v>
          </cell>
          <cell r="C4108">
            <v>-19.94575571</v>
          </cell>
          <cell r="D4108">
            <v>-50.538449309999997</v>
          </cell>
        </row>
        <row r="4109">
          <cell r="A4109" t="str">
            <v>Poranga</v>
          </cell>
          <cell r="B4109">
            <v>300888</v>
          </cell>
          <cell r="C4109">
            <v>-4.7455744390000003</v>
          </cell>
          <cell r="D4109">
            <v>-40.923933550000001</v>
          </cell>
        </row>
        <row r="4110">
          <cell r="A4110" t="str">
            <v>Porangaba</v>
          </cell>
          <cell r="B4110">
            <v>303781</v>
          </cell>
          <cell r="C4110">
            <v>-23.176624329999999</v>
          </cell>
          <cell r="D4110">
            <v>-48.119871969999998</v>
          </cell>
        </row>
        <row r="4111">
          <cell r="A4111" t="str">
            <v>Porangatu</v>
          </cell>
          <cell r="B4111">
            <v>302783</v>
          </cell>
          <cell r="C4111">
            <v>-13.43868874</v>
          </cell>
          <cell r="D4111">
            <v>-49.149944550000001</v>
          </cell>
        </row>
        <row r="4112">
          <cell r="A4112" t="str">
            <v>Porciúncula</v>
          </cell>
          <cell r="B4112">
            <v>302915</v>
          </cell>
          <cell r="C4112">
            <v>-20.963691170000001</v>
          </cell>
          <cell r="D4112">
            <v>-42.046836939999999</v>
          </cell>
        </row>
        <row r="4113">
          <cell r="A4113" t="str">
            <v>Porecatu</v>
          </cell>
          <cell r="B4113">
            <v>305741</v>
          </cell>
          <cell r="C4113">
            <v>-22.754188580000001</v>
          </cell>
          <cell r="D4113">
            <v>-51.379917519999999</v>
          </cell>
        </row>
        <row r="4114">
          <cell r="A4114" t="str">
            <v>Portalegre</v>
          </cell>
          <cell r="B4114">
            <v>300754</v>
          </cell>
          <cell r="C4114">
            <v>-6.0210507809999996</v>
          </cell>
          <cell r="D4114">
            <v>-37.986833769999997</v>
          </cell>
        </row>
        <row r="4115">
          <cell r="A4115" t="str">
            <v>Portão</v>
          </cell>
          <cell r="B4115">
            <v>305490</v>
          </cell>
          <cell r="C4115">
            <v>-29.702012660000001</v>
          </cell>
          <cell r="D4115">
            <v>-51.243347839999998</v>
          </cell>
        </row>
        <row r="4116">
          <cell r="A4116" t="str">
            <v>Porteirão</v>
          </cell>
          <cell r="B4116">
            <v>303390</v>
          </cell>
          <cell r="C4116">
            <v>-17.81046306</v>
          </cell>
          <cell r="D4116">
            <v>-50.165806379999999</v>
          </cell>
        </row>
        <row r="4117">
          <cell r="A4117" t="str">
            <v>Porteiras</v>
          </cell>
          <cell r="B4117">
            <v>300840</v>
          </cell>
          <cell r="C4117">
            <v>-7.5337645430000002</v>
          </cell>
          <cell r="D4117">
            <v>-39.116172779999999</v>
          </cell>
        </row>
        <row r="4118">
          <cell r="A4118" t="str">
            <v>Porteirinha</v>
          </cell>
          <cell r="B4118">
            <v>302149</v>
          </cell>
          <cell r="C4118">
            <v>-15.74087765</v>
          </cell>
          <cell r="D4118">
            <v>-43.028446099999996</v>
          </cell>
        </row>
        <row r="4119">
          <cell r="A4119" t="str">
            <v>Portel</v>
          </cell>
          <cell r="B4119">
            <v>304671</v>
          </cell>
          <cell r="C4119">
            <v>-1.9367694550000001</v>
          </cell>
          <cell r="D4119">
            <v>-50.819811459999997</v>
          </cell>
        </row>
        <row r="4120">
          <cell r="A4120" t="str">
            <v>Portelândia</v>
          </cell>
          <cell r="B4120">
            <v>304784</v>
          </cell>
          <cell r="C4120">
            <v>-17.355826830000002</v>
          </cell>
          <cell r="D4120">
            <v>-52.680359799999998</v>
          </cell>
        </row>
        <row r="4121">
          <cell r="A4121" t="str">
            <v>Porto</v>
          </cell>
          <cell r="B4121">
            <v>301643</v>
          </cell>
          <cell r="C4121">
            <v>-3.891714629</v>
          </cell>
          <cell r="D4121">
            <v>-42.711527969999999</v>
          </cell>
        </row>
        <row r="4122">
          <cell r="A4122" t="str">
            <v>Porto Acre</v>
          </cell>
          <cell r="B4122">
            <v>305855</v>
          </cell>
          <cell r="C4122">
            <v>-9.5942072889999999</v>
          </cell>
          <cell r="D4122">
            <v>-67.540751409999999</v>
          </cell>
        </row>
        <row r="4123">
          <cell r="A4123" t="str">
            <v>Porto Alegre</v>
          </cell>
          <cell r="B4123">
            <v>295786</v>
          </cell>
          <cell r="C4123">
            <v>-30.03273162</v>
          </cell>
          <cell r="D4123">
            <v>-51.207441189999997</v>
          </cell>
        </row>
        <row r="4124">
          <cell r="A4124" t="str">
            <v>Porto Alegre do Norte</v>
          </cell>
          <cell r="B4124">
            <v>304191</v>
          </cell>
          <cell r="C4124">
            <v>-10.8765497</v>
          </cell>
          <cell r="D4124">
            <v>-51.6361341</v>
          </cell>
        </row>
        <row r="4125">
          <cell r="A4125" t="str">
            <v>Porto Alegre do Piauí</v>
          </cell>
          <cell r="B4125">
            <v>301867</v>
          </cell>
          <cell r="C4125">
            <v>-6.9646402900000002</v>
          </cell>
          <cell r="D4125">
            <v>-44.184021020000003</v>
          </cell>
        </row>
        <row r="4126">
          <cell r="A4126" t="str">
            <v>Porto Alegre do Tocantins</v>
          </cell>
          <cell r="B4126">
            <v>302215</v>
          </cell>
          <cell r="C4126">
            <v>-11.608276890000001</v>
          </cell>
          <cell r="D4126">
            <v>-47.048790869999998</v>
          </cell>
        </row>
        <row r="4127">
          <cell r="A4127" t="str">
            <v>Porto Amazonas</v>
          </cell>
          <cell r="B4127">
            <v>304600</v>
          </cell>
          <cell r="C4127">
            <v>-25.54047765</v>
          </cell>
          <cell r="D4127">
            <v>-49.895018370000003</v>
          </cell>
        </row>
        <row r="4128">
          <cell r="A4128" t="str">
            <v>Porto Barreiro</v>
          </cell>
          <cell r="B4128">
            <v>305094</v>
          </cell>
          <cell r="C4128">
            <v>-25.548164190000001</v>
          </cell>
          <cell r="D4128">
            <v>-52.40718734</v>
          </cell>
        </row>
        <row r="4129">
          <cell r="A4129" t="str">
            <v>Porto Belo</v>
          </cell>
          <cell r="B4129">
            <v>304007</v>
          </cell>
          <cell r="C4129">
            <v>-27.1590524</v>
          </cell>
          <cell r="D4129">
            <v>-48.54728935</v>
          </cell>
        </row>
        <row r="4130">
          <cell r="A4130" t="str">
            <v>Porto Calvo</v>
          </cell>
          <cell r="B4130">
            <v>301096</v>
          </cell>
          <cell r="C4130">
            <v>-9.0523793339999994</v>
          </cell>
          <cell r="D4130">
            <v>-35.398945910000002</v>
          </cell>
        </row>
        <row r="4131">
          <cell r="A4131" t="str">
            <v>Porto da Folha</v>
          </cell>
          <cell r="B4131">
            <v>301221</v>
          </cell>
          <cell r="C4131">
            <v>-9.916698877</v>
          </cell>
          <cell r="D4131">
            <v>-37.2845406</v>
          </cell>
        </row>
        <row r="4132">
          <cell r="A4132" t="str">
            <v>Porto de Moz</v>
          </cell>
          <cell r="B4132">
            <v>304674</v>
          </cell>
          <cell r="C4132">
            <v>-1.7472861310000001</v>
          </cell>
          <cell r="D4132">
            <v>-52.23647047</v>
          </cell>
        </row>
        <row r="4133">
          <cell r="A4133" t="str">
            <v>Porto de Pedras</v>
          </cell>
          <cell r="B4133">
            <v>301094</v>
          </cell>
          <cell r="C4133">
            <v>-9.1604970699999999</v>
          </cell>
          <cell r="D4133">
            <v>-35.305206290000001</v>
          </cell>
        </row>
        <row r="4134">
          <cell r="A4134" t="str">
            <v>Porto do Mangue</v>
          </cell>
          <cell r="B4134">
            <v>300530</v>
          </cell>
          <cell r="C4134">
            <v>-5.0673453540000004</v>
          </cell>
          <cell r="D4134">
            <v>-36.780001059999996</v>
          </cell>
        </row>
        <row r="4135">
          <cell r="A4135" t="str">
            <v>Porto dos Gaúchos</v>
          </cell>
          <cell r="B4135">
            <v>304227</v>
          </cell>
          <cell r="C4135">
            <v>-11.53341707</v>
          </cell>
          <cell r="D4135">
            <v>-57.41366833</v>
          </cell>
        </row>
        <row r="4136">
          <cell r="A4136" t="str">
            <v>Porto Esperidião</v>
          </cell>
          <cell r="B4136">
            <v>304628</v>
          </cell>
          <cell r="C4136">
            <v>-15.85745532</v>
          </cell>
          <cell r="D4136">
            <v>-58.462373679999999</v>
          </cell>
        </row>
        <row r="4137">
          <cell r="A4137" t="str">
            <v>Porto Estrela</v>
          </cell>
          <cell r="B4137">
            <v>304622</v>
          </cell>
          <cell r="C4137">
            <v>-15.333326509999999</v>
          </cell>
          <cell r="D4137">
            <v>-57.204538079999999</v>
          </cell>
        </row>
        <row r="4138">
          <cell r="A4138" t="str">
            <v>Porto Feliz</v>
          </cell>
          <cell r="B4138">
            <v>303764</v>
          </cell>
          <cell r="C4138">
            <v>-23.209793959999999</v>
          </cell>
          <cell r="D4138">
            <v>-47.525524109999999</v>
          </cell>
        </row>
        <row r="4139">
          <cell r="A4139" t="str">
            <v>Porto Ferreira</v>
          </cell>
          <cell r="B4139">
            <v>303666</v>
          </cell>
          <cell r="C4139">
            <v>-21.850285920000001</v>
          </cell>
          <cell r="D4139">
            <v>-47.487433930000002</v>
          </cell>
        </row>
        <row r="4140">
          <cell r="A4140" t="str">
            <v>Porto Firme</v>
          </cell>
          <cell r="B4140">
            <v>303577</v>
          </cell>
          <cell r="C4140">
            <v>-20.66466883</v>
          </cell>
          <cell r="D4140">
            <v>-43.083776640000004</v>
          </cell>
        </row>
        <row r="4141">
          <cell r="A4141" t="str">
            <v>Porto Franco</v>
          </cell>
          <cell r="B4141">
            <v>301997</v>
          </cell>
          <cell r="C4141">
            <v>-6.3418965739999997</v>
          </cell>
          <cell r="D4141">
            <v>-47.396561079999998</v>
          </cell>
        </row>
        <row r="4142">
          <cell r="A4142" t="str">
            <v>Porto Grande</v>
          </cell>
          <cell r="B4142">
            <v>305874</v>
          </cell>
          <cell r="C4142">
            <v>0.70801676000000002</v>
          </cell>
          <cell r="D4142">
            <v>-51.40406643</v>
          </cell>
        </row>
        <row r="4143">
          <cell r="A4143" t="str">
            <v>Porto Lucena</v>
          </cell>
          <cell r="B4143">
            <v>305794</v>
          </cell>
          <cell r="C4143">
            <v>-27.857343950000001</v>
          </cell>
          <cell r="D4143">
            <v>-55.0104963</v>
          </cell>
        </row>
        <row r="4144">
          <cell r="A4144" t="str">
            <v>Porto Mauá</v>
          </cell>
          <cell r="B4144">
            <v>305720</v>
          </cell>
          <cell r="C4144">
            <v>-27.58004369</v>
          </cell>
          <cell r="D4144">
            <v>-54.666204069999999</v>
          </cell>
        </row>
        <row r="4145">
          <cell r="A4145" t="str">
            <v>Porto Murtinho</v>
          </cell>
          <cell r="B4145">
            <v>305242</v>
          </cell>
          <cell r="C4145">
            <v>-21.698522369999999</v>
          </cell>
          <cell r="D4145">
            <v>-57.8840474</v>
          </cell>
        </row>
        <row r="4146">
          <cell r="A4146" t="str">
            <v>Porto Nacional</v>
          </cell>
          <cell r="B4146">
            <v>302252</v>
          </cell>
          <cell r="C4146">
            <v>-10.70313204</v>
          </cell>
          <cell r="D4146">
            <v>-48.408391620000003</v>
          </cell>
        </row>
        <row r="4147">
          <cell r="A4147" t="str">
            <v>Porto Real</v>
          </cell>
          <cell r="B4147">
            <v>303184</v>
          </cell>
          <cell r="C4147">
            <v>-22.417953390000001</v>
          </cell>
          <cell r="D4147">
            <v>-44.295546680000001</v>
          </cell>
        </row>
        <row r="4148">
          <cell r="A4148" t="str">
            <v>Porto Real do Colégio</v>
          </cell>
          <cell r="B4148">
            <v>302359</v>
          </cell>
          <cell r="C4148">
            <v>-10.18532686</v>
          </cell>
          <cell r="D4148">
            <v>-36.837855570000002</v>
          </cell>
        </row>
        <row r="4149">
          <cell r="A4149" t="str">
            <v>Porto Rico</v>
          </cell>
          <cell r="B4149">
            <v>305748</v>
          </cell>
          <cell r="C4149">
            <v>-22.775201509999999</v>
          </cell>
          <cell r="D4149">
            <v>-53.268170019999999</v>
          </cell>
        </row>
        <row r="4150">
          <cell r="A4150" t="str">
            <v>Porto Rico do Maranhão</v>
          </cell>
          <cell r="B4150">
            <v>301664</v>
          </cell>
          <cell r="C4150">
            <v>-1.8623808260000001</v>
          </cell>
          <cell r="D4150">
            <v>-44.59554765</v>
          </cell>
        </row>
        <row r="4151">
          <cell r="A4151" t="str">
            <v>Porto Seguro</v>
          </cell>
          <cell r="B4151">
            <v>301766</v>
          </cell>
          <cell r="C4151">
            <v>-16.443940250000001</v>
          </cell>
          <cell r="D4151">
            <v>-39.064580079999999</v>
          </cell>
        </row>
        <row r="4152">
          <cell r="A4152" t="str">
            <v>Porto União</v>
          </cell>
          <cell r="B4152">
            <v>305619</v>
          </cell>
          <cell r="C4152">
            <v>-26.245548710000001</v>
          </cell>
          <cell r="D4152">
            <v>-51.076295559999998</v>
          </cell>
        </row>
        <row r="4153">
          <cell r="A4153" t="str">
            <v>Porto Velho</v>
          </cell>
          <cell r="B4153">
            <v>295784</v>
          </cell>
          <cell r="C4153">
            <v>-8.7615730710000008</v>
          </cell>
          <cell r="D4153">
            <v>-63.900824440000001</v>
          </cell>
        </row>
        <row r="4154">
          <cell r="A4154" t="str">
            <v>Porto Vera Cruz</v>
          </cell>
          <cell r="B4154">
            <v>305722</v>
          </cell>
          <cell r="C4154">
            <v>-27.74096815</v>
          </cell>
          <cell r="D4154">
            <v>-54.899837150000003</v>
          </cell>
        </row>
        <row r="4155">
          <cell r="A4155" t="str">
            <v>Porto Vitória</v>
          </cell>
          <cell r="B4155">
            <v>305257</v>
          </cell>
          <cell r="C4155">
            <v>-26.167877069999999</v>
          </cell>
          <cell r="D4155">
            <v>-51.231414260000001</v>
          </cell>
        </row>
        <row r="4156">
          <cell r="A4156" t="str">
            <v>Porto Walter</v>
          </cell>
          <cell r="B4156">
            <v>305852</v>
          </cell>
          <cell r="C4156">
            <v>-8.2636215409999991</v>
          </cell>
          <cell r="D4156">
            <v>-72.754238419999993</v>
          </cell>
        </row>
        <row r="4157">
          <cell r="A4157" t="str">
            <v>Porto Xavier</v>
          </cell>
          <cell r="B4157">
            <v>305799</v>
          </cell>
          <cell r="C4157">
            <v>-27.908645589999999</v>
          </cell>
          <cell r="D4157">
            <v>-55.138379280000002</v>
          </cell>
        </row>
        <row r="4158">
          <cell r="A4158" t="str">
            <v>Porvenir</v>
          </cell>
          <cell r="B4158">
            <v>314522</v>
          </cell>
          <cell r="C4158">
            <v>-11.22719461</v>
          </cell>
          <cell r="D4158">
            <v>-68.686724929999997</v>
          </cell>
        </row>
        <row r="4159">
          <cell r="A4159" t="str">
            <v>Posadas</v>
          </cell>
          <cell r="B4159">
            <v>314368</v>
          </cell>
          <cell r="C4159">
            <v>-27.36980621</v>
          </cell>
          <cell r="D4159">
            <v>-55.906239470000003</v>
          </cell>
        </row>
        <row r="4160">
          <cell r="A4160" t="str">
            <v>Posse</v>
          </cell>
          <cell r="B4160">
            <v>303052</v>
          </cell>
          <cell r="C4160">
            <v>-14.089278520000001</v>
          </cell>
          <cell r="D4160">
            <v>-46.363187600000003</v>
          </cell>
        </row>
        <row r="4161">
          <cell r="A4161" t="str">
            <v>Poté</v>
          </cell>
          <cell r="B4161">
            <v>302489</v>
          </cell>
          <cell r="C4161">
            <v>-17.808166849999999</v>
          </cell>
          <cell r="D4161">
            <v>-41.786395220000003</v>
          </cell>
        </row>
        <row r="4162">
          <cell r="A4162" t="str">
            <v>Potengi</v>
          </cell>
          <cell r="B4162">
            <v>301015</v>
          </cell>
          <cell r="C4162">
            <v>-7.0929598650000001</v>
          </cell>
          <cell r="D4162">
            <v>-40.028324429999998</v>
          </cell>
        </row>
        <row r="4163">
          <cell r="A4163" t="str">
            <v>Potim</v>
          </cell>
          <cell r="B4163">
            <v>303459</v>
          </cell>
          <cell r="C4163">
            <v>-22.834807479999998</v>
          </cell>
          <cell r="D4163">
            <v>-45.255592540000002</v>
          </cell>
        </row>
        <row r="4164">
          <cell r="A4164" t="str">
            <v>Potiraguá</v>
          </cell>
          <cell r="B4164">
            <v>301600</v>
          </cell>
          <cell r="C4164">
            <v>-15.59319567</v>
          </cell>
          <cell r="D4164">
            <v>-39.874306390000001</v>
          </cell>
        </row>
        <row r="4165">
          <cell r="A4165" t="str">
            <v>Potirendaba</v>
          </cell>
          <cell r="B4165">
            <v>303851</v>
          </cell>
          <cell r="C4165">
            <v>-21.04299177</v>
          </cell>
          <cell r="D4165">
            <v>-49.37694904</v>
          </cell>
        </row>
        <row r="4166">
          <cell r="A4166" t="str">
            <v>Potiretama</v>
          </cell>
          <cell r="B4166">
            <v>300748</v>
          </cell>
          <cell r="C4166">
            <v>-5.7132787519999999</v>
          </cell>
          <cell r="D4166">
            <v>-38.158114820000002</v>
          </cell>
        </row>
        <row r="4167">
          <cell r="A4167" t="str">
            <v>Pouso Alegre</v>
          </cell>
          <cell r="B4167">
            <v>303472</v>
          </cell>
          <cell r="C4167">
            <v>-22.227066860000001</v>
          </cell>
          <cell r="D4167">
            <v>-45.93932555</v>
          </cell>
        </row>
        <row r="4168">
          <cell r="A4168" t="str">
            <v>Pouso Alto</v>
          </cell>
          <cell r="B4168">
            <v>303608</v>
          </cell>
          <cell r="C4168">
            <v>-22.196849050000001</v>
          </cell>
          <cell r="D4168">
            <v>-44.975196830000002</v>
          </cell>
        </row>
        <row r="4169">
          <cell r="A4169" t="str">
            <v>Pouso Novo</v>
          </cell>
          <cell r="B4169">
            <v>305227</v>
          </cell>
          <cell r="C4169">
            <v>-29.170981229999999</v>
          </cell>
          <cell r="D4169">
            <v>-52.207941050000002</v>
          </cell>
        </row>
        <row r="4170">
          <cell r="A4170" t="str">
            <v>Pouso Redondo</v>
          </cell>
          <cell r="B4170">
            <v>304615</v>
          </cell>
          <cell r="C4170">
            <v>-27.257204380000001</v>
          </cell>
          <cell r="D4170">
            <v>-49.930531979999998</v>
          </cell>
        </row>
        <row r="4171">
          <cell r="A4171" t="str">
            <v>Poxoréo</v>
          </cell>
          <cell r="B4171">
            <v>304255</v>
          </cell>
          <cell r="C4171">
            <v>-15.828165350000001</v>
          </cell>
          <cell r="D4171">
            <v>-54.395285639999997</v>
          </cell>
        </row>
        <row r="4172">
          <cell r="A4172" t="str">
            <v>Pozo Colorado</v>
          </cell>
          <cell r="B4172">
            <v>314318</v>
          </cell>
          <cell r="C4172">
            <v>-23.432627700000001</v>
          </cell>
          <cell r="D4172">
            <v>-58.8528053</v>
          </cell>
        </row>
        <row r="4173">
          <cell r="A4173" t="str">
            <v>Pracinha</v>
          </cell>
          <cell r="B4173">
            <v>304485</v>
          </cell>
          <cell r="C4173">
            <v>-21.8531595</v>
          </cell>
          <cell r="D4173">
            <v>-51.086246180000003</v>
          </cell>
        </row>
        <row r="4174">
          <cell r="A4174" t="str">
            <v>Pracuúba</v>
          </cell>
          <cell r="B4174">
            <v>305896</v>
          </cell>
          <cell r="C4174">
            <v>1.744819138</v>
          </cell>
          <cell r="D4174">
            <v>-50.783931029999998</v>
          </cell>
        </row>
        <row r="4175">
          <cell r="A4175" t="str">
            <v>Prado</v>
          </cell>
          <cell r="B4175">
            <v>302412</v>
          </cell>
          <cell r="C4175">
            <v>-17.336828180000001</v>
          </cell>
          <cell r="D4175">
            <v>-39.223052799999998</v>
          </cell>
        </row>
        <row r="4176">
          <cell r="A4176" t="str">
            <v>Prado Ferreira</v>
          </cell>
          <cell r="B4176">
            <v>304694</v>
          </cell>
          <cell r="C4176">
            <v>-23.036163139999999</v>
          </cell>
          <cell r="D4176">
            <v>-51.443311799999996</v>
          </cell>
        </row>
        <row r="4177">
          <cell r="A4177" t="str">
            <v>Pradópolis</v>
          </cell>
          <cell r="B4177">
            <v>303676</v>
          </cell>
          <cell r="C4177">
            <v>-21.36304698</v>
          </cell>
          <cell r="D4177">
            <v>-48.0682714</v>
          </cell>
        </row>
        <row r="4178">
          <cell r="A4178" t="str">
            <v>Prados</v>
          </cell>
          <cell r="B4178">
            <v>304988</v>
          </cell>
          <cell r="C4178">
            <v>-21.06022514</v>
          </cell>
          <cell r="D4178">
            <v>-44.078172610000003</v>
          </cell>
        </row>
        <row r="4179">
          <cell r="A4179" t="str">
            <v>Praia Grande</v>
          </cell>
          <cell r="B4179">
            <v>303724</v>
          </cell>
          <cell r="C4179">
            <v>-24.008859189999999</v>
          </cell>
          <cell r="D4179">
            <v>-46.412455999999999</v>
          </cell>
        </row>
        <row r="4180">
          <cell r="A4180" t="str">
            <v>Praia Grande</v>
          </cell>
          <cell r="B4180">
            <v>304129</v>
          </cell>
          <cell r="C4180">
            <v>-29.196941339999999</v>
          </cell>
          <cell r="D4180">
            <v>-49.949857479999999</v>
          </cell>
        </row>
        <row r="4181">
          <cell r="A4181" t="str">
            <v>Praia Norte</v>
          </cell>
          <cell r="B4181">
            <v>301977</v>
          </cell>
          <cell r="C4181">
            <v>-5.3932132780000002</v>
          </cell>
          <cell r="D4181">
            <v>-47.811519009999998</v>
          </cell>
        </row>
        <row r="4182">
          <cell r="A4182" t="str">
            <v>Prainha</v>
          </cell>
          <cell r="B4182">
            <v>304147</v>
          </cell>
          <cell r="C4182">
            <v>-1.7928791630000001</v>
          </cell>
          <cell r="D4182">
            <v>-53.481705120000001</v>
          </cell>
        </row>
        <row r="4183">
          <cell r="A4183" t="str">
            <v>Pranchita</v>
          </cell>
          <cell r="B4183">
            <v>305336</v>
          </cell>
          <cell r="C4183">
            <v>-26.022433020000001</v>
          </cell>
          <cell r="D4183">
            <v>-53.741565260000002</v>
          </cell>
        </row>
        <row r="4184">
          <cell r="A4184" t="str">
            <v>Prata</v>
          </cell>
          <cell r="B4184">
            <v>300668</v>
          </cell>
          <cell r="C4184">
            <v>-7.6950285100000002</v>
          </cell>
          <cell r="D4184">
            <v>-37.083577769999998</v>
          </cell>
        </row>
        <row r="4185">
          <cell r="A4185" t="str">
            <v>Prata</v>
          </cell>
          <cell r="B4185">
            <v>303408</v>
          </cell>
          <cell r="C4185">
            <v>-19.30906732</v>
          </cell>
          <cell r="D4185">
            <v>-48.928027620000002</v>
          </cell>
        </row>
        <row r="4186">
          <cell r="A4186" t="str">
            <v>Prata do Piauí</v>
          </cell>
          <cell r="B4186">
            <v>301782</v>
          </cell>
          <cell r="C4186">
            <v>-5.6730592260000003</v>
          </cell>
          <cell r="D4186">
            <v>-42.204982970000003</v>
          </cell>
        </row>
        <row r="4187">
          <cell r="A4187" t="str">
            <v>Pratânia</v>
          </cell>
          <cell r="B4187">
            <v>303839</v>
          </cell>
          <cell r="C4187">
            <v>-22.811654870000002</v>
          </cell>
          <cell r="D4187">
            <v>-48.664028440000003</v>
          </cell>
        </row>
        <row r="4188">
          <cell r="A4188" t="str">
            <v>Pratápolis</v>
          </cell>
          <cell r="B4188">
            <v>303943</v>
          </cell>
          <cell r="C4188">
            <v>-20.74151977</v>
          </cell>
          <cell r="D4188">
            <v>-46.862794800000003</v>
          </cell>
        </row>
        <row r="4189">
          <cell r="A4189" t="str">
            <v>Pratinha</v>
          </cell>
          <cell r="B4189">
            <v>303312</v>
          </cell>
          <cell r="C4189">
            <v>-19.752590519999998</v>
          </cell>
          <cell r="D4189">
            <v>-46.383328659999997</v>
          </cell>
        </row>
        <row r="4190">
          <cell r="A4190" t="str">
            <v>Presidente Alves</v>
          </cell>
          <cell r="B4190">
            <v>303886</v>
          </cell>
          <cell r="C4190">
            <v>-22.10037784</v>
          </cell>
          <cell r="D4190">
            <v>-49.438546350000003</v>
          </cell>
        </row>
        <row r="4191">
          <cell r="A4191" t="str">
            <v>Presidente Bernardes</v>
          </cell>
          <cell r="B4191">
            <v>302841</v>
          </cell>
          <cell r="C4191">
            <v>-20.766047990000001</v>
          </cell>
          <cell r="D4191">
            <v>-43.18989964</v>
          </cell>
        </row>
        <row r="4192">
          <cell r="A4192" t="str">
            <v>Presidente Bernardes</v>
          </cell>
          <cell r="B4192">
            <v>304796</v>
          </cell>
          <cell r="C4192">
            <v>-21.999053050000001</v>
          </cell>
          <cell r="D4192">
            <v>-51.56271718</v>
          </cell>
        </row>
        <row r="4193">
          <cell r="A4193" t="str">
            <v>Presidente Castello Branco</v>
          </cell>
          <cell r="B4193">
            <v>305109</v>
          </cell>
          <cell r="C4193">
            <v>-27.22525143</v>
          </cell>
          <cell r="D4193">
            <v>-51.803787980000003</v>
          </cell>
        </row>
        <row r="4194">
          <cell r="A4194" t="str">
            <v>Presidente Castelo Branco</v>
          </cell>
          <cell r="B4194">
            <v>304802</v>
          </cell>
          <cell r="C4194">
            <v>-23.278696790000001</v>
          </cell>
          <cell r="D4194">
            <v>-52.153996939999999</v>
          </cell>
        </row>
        <row r="4195">
          <cell r="A4195" t="str">
            <v>Presidente Dutra</v>
          </cell>
          <cell r="B4195">
            <v>302266</v>
          </cell>
          <cell r="C4195">
            <v>-11.292782600000001</v>
          </cell>
          <cell r="D4195">
            <v>-41.984683429999997</v>
          </cell>
        </row>
        <row r="4196">
          <cell r="A4196" t="str">
            <v>Presidente Dutra</v>
          </cell>
          <cell r="B4196">
            <v>302447</v>
          </cell>
          <cell r="C4196">
            <v>-5.2902036780000001</v>
          </cell>
          <cell r="D4196">
            <v>-44.495333950000003</v>
          </cell>
        </row>
        <row r="4197">
          <cell r="A4197" t="str">
            <v>Presidente Epitácio</v>
          </cell>
          <cell r="B4197">
            <v>305571</v>
          </cell>
          <cell r="C4197">
            <v>-21.76553406</v>
          </cell>
          <cell r="D4197">
            <v>-52.111568990000002</v>
          </cell>
        </row>
        <row r="4198">
          <cell r="A4198" t="str">
            <v>Presidente Figueiredo</v>
          </cell>
          <cell r="B4198">
            <v>304629</v>
          </cell>
          <cell r="C4198">
            <v>-2.0301925750000001</v>
          </cell>
          <cell r="D4198">
            <v>-60.023819330000002</v>
          </cell>
        </row>
        <row r="4199">
          <cell r="A4199" t="str">
            <v>Presidente Getúlio</v>
          </cell>
          <cell r="B4199">
            <v>304966</v>
          </cell>
          <cell r="C4199">
            <v>-27.047909870000002</v>
          </cell>
          <cell r="D4199">
            <v>-49.625040149999997</v>
          </cell>
        </row>
        <row r="4200">
          <cell r="A4200" t="str">
            <v>Presidente Jânio Quadros</v>
          </cell>
          <cell r="B4200">
            <v>301626</v>
          </cell>
          <cell r="C4200">
            <v>-14.688939899999999</v>
          </cell>
          <cell r="D4200">
            <v>-41.68013698</v>
          </cell>
        </row>
        <row r="4201">
          <cell r="A4201" t="str">
            <v>Presidente Juscelino</v>
          </cell>
          <cell r="B4201">
            <v>301680</v>
          </cell>
          <cell r="C4201">
            <v>-2.9276970000000002</v>
          </cell>
          <cell r="D4201">
            <v>-44.071380079999997</v>
          </cell>
        </row>
        <row r="4202">
          <cell r="A4202" t="str">
            <v>Presidente Juscelino</v>
          </cell>
          <cell r="B4202">
            <v>302952</v>
          </cell>
          <cell r="C4202">
            <v>-18.636993990000001</v>
          </cell>
          <cell r="D4202">
            <v>-44.057957909999999</v>
          </cell>
        </row>
        <row r="4203">
          <cell r="A4203" t="str">
            <v>Presidente Kennedy</v>
          </cell>
          <cell r="B4203">
            <v>302227</v>
          </cell>
          <cell r="C4203">
            <v>-8.5414243069999998</v>
          </cell>
          <cell r="D4203">
            <v>-48.50711767</v>
          </cell>
        </row>
        <row r="4204">
          <cell r="A4204" t="str">
            <v>Presidente Kennedy</v>
          </cell>
          <cell r="B4204">
            <v>302632</v>
          </cell>
          <cell r="C4204">
            <v>-21.096841770000001</v>
          </cell>
          <cell r="D4204">
            <v>-41.047152990000001</v>
          </cell>
        </row>
        <row r="4205">
          <cell r="A4205" t="str">
            <v>Presidente Kubitschek</v>
          </cell>
          <cell r="B4205">
            <v>302723</v>
          </cell>
          <cell r="C4205">
            <v>-18.613993910000001</v>
          </cell>
          <cell r="D4205">
            <v>-43.561958689999997</v>
          </cell>
        </row>
        <row r="4206">
          <cell r="A4206" t="str">
            <v>Presidente Lucena</v>
          </cell>
          <cell r="B4206">
            <v>305478</v>
          </cell>
          <cell r="C4206">
            <v>-29.51706536</v>
          </cell>
          <cell r="D4206">
            <v>-51.177338779999999</v>
          </cell>
        </row>
        <row r="4207">
          <cell r="A4207" t="str">
            <v>Presidente Médici</v>
          </cell>
          <cell r="B4207">
            <v>301716</v>
          </cell>
          <cell r="C4207">
            <v>-2.3760242759999999</v>
          </cell>
          <cell r="D4207">
            <v>-45.823663660000001</v>
          </cell>
        </row>
        <row r="4208">
          <cell r="A4208" t="str">
            <v>Presidente Médici</v>
          </cell>
          <cell r="B4208">
            <v>304295</v>
          </cell>
          <cell r="C4208">
            <v>-11.169384150000001</v>
          </cell>
          <cell r="D4208">
            <v>-61.899073029999997</v>
          </cell>
        </row>
        <row r="4209">
          <cell r="A4209" t="str">
            <v>Presidente Nereu</v>
          </cell>
          <cell r="B4209">
            <v>304079</v>
          </cell>
          <cell r="C4209">
            <v>-27.277311090000001</v>
          </cell>
          <cell r="D4209">
            <v>-49.38936846</v>
          </cell>
        </row>
        <row r="4210">
          <cell r="A4210" t="str">
            <v>Presidente Olegário</v>
          </cell>
          <cell r="B4210">
            <v>304933</v>
          </cell>
          <cell r="C4210">
            <v>-18.41093541</v>
          </cell>
          <cell r="D4210">
            <v>-46.416938309999999</v>
          </cell>
        </row>
        <row r="4211">
          <cell r="A4211" t="str">
            <v>Presidente Prudente</v>
          </cell>
          <cell r="B4211">
            <v>305573</v>
          </cell>
          <cell r="C4211">
            <v>-22.121116879999999</v>
          </cell>
          <cell r="D4211">
            <v>-51.392951670000002</v>
          </cell>
        </row>
        <row r="4212">
          <cell r="A4212" t="str">
            <v>Presidente Sarney</v>
          </cell>
          <cell r="B4212">
            <v>301713</v>
          </cell>
          <cell r="C4212">
            <v>-2.5918147390000001</v>
          </cell>
          <cell r="D4212">
            <v>-45.36305179</v>
          </cell>
        </row>
        <row r="4213">
          <cell r="A4213" t="str">
            <v>Presidente Tancredo Neves</v>
          </cell>
          <cell r="B4213">
            <v>301732</v>
          </cell>
          <cell r="C4213">
            <v>-13.4536076</v>
          </cell>
          <cell r="D4213">
            <v>-39.422859750000001</v>
          </cell>
        </row>
        <row r="4214">
          <cell r="A4214" t="str">
            <v>Presidente Vargas</v>
          </cell>
          <cell r="B4214">
            <v>301660</v>
          </cell>
          <cell r="C4214">
            <v>-3.4082578940000001</v>
          </cell>
          <cell r="D4214">
            <v>-44.023752999999999</v>
          </cell>
        </row>
        <row r="4215">
          <cell r="A4215" t="str">
            <v>Presidente Venceslau</v>
          </cell>
          <cell r="B4215">
            <v>304799</v>
          </cell>
          <cell r="C4215">
            <v>-21.87369404</v>
          </cell>
          <cell r="D4215">
            <v>-51.845171690000001</v>
          </cell>
        </row>
        <row r="4216">
          <cell r="A4216" t="str">
            <v>Prezidencia de La Plaza</v>
          </cell>
          <cell r="B4216">
            <v>314326</v>
          </cell>
          <cell r="C4216">
            <v>-26.990930240000001</v>
          </cell>
          <cell r="D4216">
            <v>-59.835652410000002</v>
          </cell>
        </row>
        <row r="4217">
          <cell r="A4217" t="str">
            <v>Primavera</v>
          </cell>
          <cell r="B4217">
            <v>300503</v>
          </cell>
          <cell r="C4217">
            <v>-8.3304139199999998</v>
          </cell>
          <cell r="D4217">
            <v>-35.35467002</v>
          </cell>
        </row>
        <row r="4218">
          <cell r="A4218" t="str">
            <v>Primavera</v>
          </cell>
          <cell r="B4218">
            <v>301882</v>
          </cell>
          <cell r="C4218">
            <v>-0.94581546100000002</v>
          </cell>
          <cell r="D4218">
            <v>-47.12563918</v>
          </cell>
        </row>
        <row r="4219">
          <cell r="A4219" t="str">
            <v>Primavera de Rondônia</v>
          </cell>
          <cell r="B4219">
            <v>304285</v>
          </cell>
          <cell r="C4219">
            <v>-11.829868940000001</v>
          </cell>
          <cell r="D4219">
            <v>-61.315790479999997</v>
          </cell>
        </row>
        <row r="4220">
          <cell r="A4220" t="str">
            <v>Primavera do Leste</v>
          </cell>
          <cell r="B4220">
            <v>304536</v>
          </cell>
          <cell r="C4220">
            <v>-15.5526106</v>
          </cell>
          <cell r="D4220">
            <v>-54.303077350000002</v>
          </cell>
        </row>
        <row r="4221">
          <cell r="A4221" t="str">
            <v>Primeira Cruz</v>
          </cell>
          <cell r="B4221">
            <v>301650</v>
          </cell>
          <cell r="C4221">
            <v>-2.5064606330000001</v>
          </cell>
          <cell r="D4221">
            <v>-43.423924460000002</v>
          </cell>
        </row>
        <row r="4222">
          <cell r="A4222" t="str">
            <v>Primeiro de Maio</v>
          </cell>
          <cell r="B4222">
            <v>304512</v>
          </cell>
          <cell r="C4222">
            <v>-22.850964170000001</v>
          </cell>
          <cell r="D4222">
            <v>-51.027929</v>
          </cell>
        </row>
        <row r="4223">
          <cell r="A4223" t="str">
            <v>Princesa</v>
          </cell>
          <cell r="B4223">
            <v>305343</v>
          </cell>
          <cell r="C4223">
            <v>-26.44458625</v>
          </cell>
          <cell r="D4223">
            <v>-53.59988104</v>
          </cell>
        </row>
        <row r="4224">
          <cell r="A4224" t="str">
            <v>Princesa Isabel</v>
          </cell>
          <cell r="B4224">
            <v>300815</v>
          </cell>
          <cell r="C4224">
            <v>-7.7366312830000004</v>
          </cell>
          <cell r="D4224">
            <v>-37.994030279999997</v>
          </cell>
        </row>
        <row r="4225">
          <cell r="A4225" t="str">
            <v>Professor Jamil</v>
          </cell>
          <cell r="B4225">
            <v>303359</v>
          </cell>
          <cell r="C4225">
            <v>-17.254896930000001</v>
          </cell>
          <cell r="D4225">
            <v>-49.245234269999997</v>
          </cell>
        </row>
        <row r="4226">
          <cell r="A4226" t="str">
            <v>Progresso</v>
          </cell>
          <cell r="B4226">
            <v>305625</v>
          </cell>
          <cell r="C4226">
            <v>-29.24301273</v>
          </cell>
          <cell r="D4226">
            <v>-52.311171569999999</v>
          </cell>
        </row>
        <row r="4227">
          <cell r="A4227" t="str">
            <v>Promissão</v>
          </cell>
          <cell r="B4227">
            <v>303878</v>
          </cell>
          <cell r="C4227">
            <v>-21.53603713</v>
          </cell>
          <cell r="D4227">
            <v>-49.860304399999997</v>
          </cell>
        </row>
        <row r="4228">
          <cell r="A4228" t="str">
            <v>Propriá</v>
          </cell>
          <cell r="B4228">
            <v>302360</v>
          </cell>
          <cell r="C4228">
            <v>-10.216809489999999</v>
          </cell>
          <cell r="D4228">
            <v>-36.83962219</v>
          </cell>
        </row>
        <row r="4229">
          <cell r="A4229" t="str">
            <v>Protásio Alves</v>
          </cell>
          <cell r="B4229">
            <v>305528</v>
          </cell>
          <cell r="C4229">
            <v>-28.75766629</v>
          </cell>
          <cell r="D4229">
            <v>-51.476150220000001</v>
          </cell>
        </row>
        <row r="4230">
          <cell r="A4230" t="str">
            <v>Prudente de Morais</v>
          </cell>
          <cell r="B4230">
            <v>304397</v>
          </cell>
          <cell r="C4230">
            <v>-19.474684069999999</v>
          </cell>
          <cell r="D4230">
            <v>-44.159445390000002</v>
          </cell>
        </row>
        <row r="4231">
          <cell r="A4231" t="str">
            <v>Prudentópolis</v>
          </cell>
          <cell r="B4231">
            <v>305254</v>
          </cell>
          <cell r="C4231">
            <v>-25.211554719999999</v>
          </cell>
          <cell r="D4231">
            <v>-50.975829160000004</v>
          </cell>
        </row>
        <row r="4232">
          <cell r="A4232" t="str">
            <v>Pucallpa</v>
          </cell>
          <cell r="B4232">
            <v>314465</v>
          </cell>
          <cell r="C4232">
            <v>-8.3768184839999993</v>
          </cell>
          <cell r="D4232">
            <v>-74.548095399999994</v>
          </cell>
        </row>
        <row r="4233">
          <cell r="A4233" t="str">
            <v>Puerto Gonçalo Moreno</v>
          </cell>
          <cell r="B4233">
            <v>314449</v>
          </cell>
          <cell r="C4233">
            <v>-11.09260935</v>
          </cell>
          <cell r="D4233">
            <v>-66.166462530000004</v>
          </cell>
        </row>
        <row r="4234">
          <cell r="A4234" t="str">
            <v>Puerto Iguazú</v>
          </cell>
          <cell r="B4234">
            <v>314313</v>
          </cell>
          <cell r="C4234">
            <v>-25.609186680000001</v>
          </cell>
          <cell r="D4234">
            <v>-54.56429558</v>
          </cell>
        </row>
        <row r="4235">
          <cell r="A4235" t="str">
            <v>Puerto Lavalle</v>
          </cell>
          <cell r="B4235">
            <v>314336</v>
          </cell>
          <cell r="C4235">
            <v>-28.996094549999999</v>
          </cell>
          <cell r="D4235">
            <v>-59.162922000000002</v>
          </cell>
        </row>
        <row r="4236">
          <cell r="A4236" t="str">
            <v>Puerto Pinasco</v>
          </cell>
          <cell r="B4236">
            <v>314271</v>
          </cell>
          <cell r="C4236">
            <v>-22.621821270000002</v>
          </cell>
          <cell r="D4236">
            <v>-57.840972200000003</v>
          </cell>
        </row>
        <row r="4237">
          <cell r="A4237" t="str">
            <v>Puerto Rico</v>
          </cell>
          <cell r="B4237">
            <v>314519</v>
          </cell>
          <cell r="C4237">
            <v>-11.100510180000001</v>
          </cell>
          <cell r="D4237">
            <v>-67.556526719999994</v>
          </cell>
        </row>
        <row r="4238">
          <cell r="A4238" t="str">
            <v>Pugmil</v>
          </cell>
          <cell r="B4238">
            <v>302245</v>
          </cell>
          <cell r="C4238">
            <v>-10.42447217</v>
          </cell>
          <cell r="D4238">
            <v>-48.896124260000001</v>
          </cell>
        </row>
        <row r="4239">
          <cell r="A4239" t="str">
            <v>Pureza</v>
          </cell>
          <cell r="B4239">
            <v>302310</v>
          </cell>
          <cell r="C4239">
            <v>-5.4643414879999996</v>
          </cell>
          <cell r="D4239">
            <v>-35.555665759999997</v>
          </cell>
        </row>
        <row r="4240">
          <cell r="A4240" t="str">
            <v>Putinga</v>
          </cell>
          <cell r="B4240">
            <v>305218</v>
          </cell>
          <cell r="C4240">
            <v>-29.004969410000001</v>
          </cell>
          <cell r="D4240">
            <v>-52.157359679999999</v>
          </cell>
        </row>
        <row r="4241">
          <cell r="A4241" t="str">
            <v>Puxinanã</v>
          </cell>
          <cell r="B4241">
            <v>300635</v>
          </cell>
          <cell r="C4241">
            <v>-7.1457240400000002</v>
          </cell>
          <cell r="D4241">
            <v>-35.968568740000002</v>
          </cell>
        </row>
        <row r="4242">
          <cell r="A4242" t="str">
            <v>Quadra</v>
          </cell>
          <cell r="B4242">
            <v>303780</v>
          </cell>
          <cell r="C4242">
            <v>-23.29980685</v>
          </cell>
          <cell r="D4242">
            <v>-48.055064909999999</v>
          </cell>
        </row>
        <row r="4243">
          <cell r="A4243" t="str">
            <v>Quaraí</v>
          </cell>
          <cell r="B4243">
            <v>305828</v>
          </cell>
          <cell r="C4243">
            <v>-30.3844949</v>
          </cell>
          <cell r="D4243">
            <v>-56.448742490000001</v>
          </cell>
        </row>
        <row r="4244">
          <cell r="A4244" t="str">
            <v>Quartel Geral</v>
          </cell>
          <cell r="B4244">
            <v>303005</v>
          </cell>
          <cell r="C4244">
            <v>-19.270795410000002</v>
          </cell>
          <cell r="D4244">
            <v>-45.55729547</v>
          </cell>
        </row>
        <row r="4245">
          <cell r="A4245" t="str">
            <v>Quarto Centenário</v>
          </cell>
          <cell r="B4245">
            <v>305055</v>
          </cell>
          <cell r="C4245">
            <v>-24.27796249</v>
          </cell>
          <cell r="D4245">
            <v>-53.076326880000003</v>
          </cell>
        </row>
        <row r="4246">
          <cell r="A4246" t="str">
            <v>Quatá</v>
          </cell>
          <cell r="B4246">
            <v>304494</v>
          </cell>
          <cell r="C4246">
            <v>-22.247990439999999</v>
          </cell>
          <cell r="D4246">
            <v>-50.697946620000003</v>
          </cell>
        </row>
        <row r="4247">
          <cell r="A4247" t="str">
            <v>Quatiguá</v>
          </cell>
          <cell r="B4247">
            <v>303957</v>
          </cell>
          <cell r="C4247">
            <v>-23.567526650000001</v>
          </cell>
          <cell r="D4247">
            <v>-49.91643088</v>
          </cell>
        </row>
        <row r="4248">
          <cell r="A4248" t="str">
            <v>Quatipuru</v>
          </cell>
          <cell r="B4248">
            <v>301881</v>
          </cell>
          <cell r="C4248">
            <v>-0.89483276199999995</v>
          </cell>
          <cell r="D4248">
            <v>-47.004994189999998</v>
          </cell>
        </row>
        <row r="4249">
          <cell r="A4249" t="str">
            <v>Quatis</v>
          </cell>
          <cell r="B4249">
            <v>303183</v>
          </cell>
          <cell r="C4249">
            <v>-22.404965430000001</v>
          </cell>
          <cell r="D4249">
            <v>-44.260108389999999</v>
          </cell>
        </row>
        <row r="4250">
          <cell r="A4250" t="str">
            <v>Quatro Barras</v>
          </cell>
          <cell r="B4250">
            <v>303988</v>
          </cell>
          <cell r="C4250">
            <v>-25.367794589999999</v>
          </cell>
          <cell r="D4250">
            <v>-49.076727400000003</v>
          </cell>
        </row>
        <row r="4251">
          <cell r="A4251" t="str">
            <v>Quatro Irmãos</v>
          </cell>
          <cell r="B4251">
            <v>300394</v>
          </cell>
          <cell r="C4251">
            <v>-27.82615638</v>
          </cell>
          <cell r="D4251">
            <v>-52.442869450000003</v>
          </cell>
        </row>
        <row r="4252">
          <cell r="A4252" t="str">
            <v>Quatro Pontes</v>
          </cell>
          <cell r="B4252">
            <v>305008</v>
          </cell>
          <cell r="C4252">
            <v>-24.57561347</v>
          </cell>
          <cell r="D4252">
            <v>-53.976334299999998</v>
          </cell>
        </row>
        <row r="4253">
          <cell r="A4253" t="str">
            <v>Quebrangulo</v>
          </cell>
          <cell r="B4253">
            <v>301141</v>
          </cell>
          <cell r="C4253">
            <v>-9.3204420750000008</v>
          </cell>
          <cell r="D4253">
            <v>-36.469540080000002</v>
          </cell>
        </row>
        <row r="4254">
          <cell r="A4254" t="str">
            <v>Quedas do Iguaçu</v>
          </cell>
          <cell r="B4254">
            <v>305630</v>
          </cell>
          <cell r="C4254">
            <v>-25.449627459999999</v>
          </cell>
          <cell r="D4254">
            <v>-52.910677069999998</v>
          </cell>
        </row>
        <row r="4255">
          <cell r="A4255" t="str">
            <v>Queimada Nova</v>
          </cell>
          <cell r="B4255">
            <v>301434</v>
          </cell>
          <cell r="C4255">
            <v>-8.5710604840000002</v>
          </cell>
          <cell r="D4255">
            <v>-41.410949680000002</v>
          </cell>
        </row>
        <row r="4256">
          <cell r="A4256" t="str">
            <v>Queimadas</v>
          </cell>
          <cell r="B4256">
            <v>300659</v>
          </cell>
          <cell r="C4256">
            <v>-7.3669586139999996</v>
          </cell>
          <cell r="D4256">
            <v>-35.903563609999999</v>
          </cell>
        </row>
        <row r="4257">
          <cell r="A4257" t="str">
            <v>Queimadas</v>
          </cell>
          <cell r="B4257">
            <v>301398</v>
          </cell>
          <cell r="C4257">
            <v>-10.97399952</v>
          </cell>
          <cell r="D4257">
            <v>-39.629672589999998</v>
          </cell>
        </row>
        <row r="4258">
          <cell r="A4258" t="str">
            <v>Queimados</v>
          </cell>
          <cell r="B4258">
            <v>303154</v>
          </cell>
          <cell r="C4258">
            <v>-22.710656140000001</v>
          </cell>
          <cell r="D4258">
            <v>-43.552183210000003</v>
          </cell>
        </row>
        <row r="4259">
          <cell r="A4259" t="str">
            <v>Queiroz</v>
          </cell>
          <cell r="B4259">
            <v>303884</v>
          </cell>
          <cell r="C4259">
            <v>-21.798990939999999</v>
          </cell>
          <cell r="D4259">
            <v>-50.239947469999997</v>
          </cell>
        </row>
        <row r="4260">
          <cell r="A4260" t="str">
            <v>Queluz</v>
          </cell>
          <cell r="B4260">
            <v>303605</v>
          </cell>
          <cell r="C4260">
            <v>-22.531651629999999</v>
          </cell>
          <cell r="D4260">
            <v>-44.778488369999998</v>
          </cell>
        </row>
        <row r="4261">
          <cell r="A4261" t="str">
            <v>Queluzito</v>
          </cell>
          <cell r="B4261">
            <v>302935</v>
          </cell>
          <cell r="C4261">
            <v>-20.742038399999998</v>
          </cell>
          <cell r="D4261">
            <v>-43.885456470000001</v>
          </cell>
        </row>
        <row r="4262">
          <cell r="A4262" t="str">
            <v>Querência</v>
          </cell>
          <cell r="B4262">
            <v>304199</v>
          </cell>
          <cell r="C4262">
            <v>-12.594153779999999</v>
          </cell>
          <cell r="D4262">
            <v>-52.207853890000003</v>
          </cell>
        </row>
        <row r="4263">
          <cell r="A4263" t="str">
            <v>Querência do Norte</v>
          </cell>
          <cell r="B4263">
            <v>305069</v>
          </cell>
          <cell r="C4263">
            <v>-23.084217639999999</v>
          </cell>
          <cell r="D4263">
            <v>-53.483463299999997</v>
          </cell>
        </row>
        <row r="4264">
          <cell r="A4264" t="str">
            <v>Quevedos</v>
          </cell>
          <cell r="B4264">
            <v>305652</v>
          </cell>
          <cell r="C4264">
            <v>-29.352991889999998</v>
          </cell>
          <cell r="D4264">
            <v>-54.071911700000001</v>
          </cell>
        </row>
        <row r="4265">
          <cell r="A4265" t="str">
            <v>Quijingue</v>
          </cell>
          <cell r="B4265">
            <v>301392</v>
          </cell>
          <cell r="C4265">
            <v>-10.753336170000001</v>
          </cell>
          <cell r="D4265">
            <v>-39.209548150000003</v>
          </cell>
        </row>
        <row r="4266">
          <cell r="A4266" t="str">
            <v>Quilombo</v>
          </cell>
          <cell r="B4266">
            <v>305282</v>
          </cell>
          <cell r="C4266">
            <v>-26.726901550000001</v>
          </cell>
          <cell r="D4266">
            <v>-52.724409790000003</v>
          </cell>
        </row>
        <row r="4267">
          <cell r="A4267" t="str">
            <v>Quindy</v>
          </cell>
          <cell r="B4267">
            <v>314505</v>
          </cell>
          <cell r="C4267">
            <v>-25.96461081</v>
          </cell>
          <cell r="D4267">
            <v>-57.211141069999996</v>
          </cell>
        </row>
        <row r="4268">
          <cell r="A4268" t="str">
            <v>Quinta do Sol</v>
          </cell>
          <cell r="B4268">
            <v>304814</v>
          </cell>
          <cell r="C4268">
            <v>-23.853737240000001</v>
          </cell>
          <cell r="D4268">
            <v>-52.131343700000002</v>
          </cell>
        </row>
        <row r="4269">
          <cell r="A4269" t="str">
            <v>Quintana</v>
          </cell>
          <cell r="B4269">
            <v>304435</v>
          </cell>
          <cell r="C4269">
            <v>-22.069637539999999</v>
          </cell>
          <cell r="D4269">
            <v>-50.307446769999999</v>
          </cell>
        </row>
        <row r="4270">
          <cell r="A4270" t="str">
            <v>Quinze de Novembro</v>
          </cell>
          <cell r="B4270">
            <v>305399</v>
          </cell>
          <cell r="C4270">
            <v>-28.74198221</v>
          </cell>
          <cell r="D4270">
            <v>-53.094939910000001</v>
          </cell>
        </row>
        <row r="4271">
          <cell r="A4271" t="str">
            <v>Quipapá</v>
          </cell>
          <cell r="B4271">
            <v>301116</v>
          </cell>
          <cell r="C4271">
            <v>-8.8121813800000002</v>
          </cell>
          <cell r="D4271">
            <v>-36.013962290000002</v>
          </cell>
        </row>
        <row r="4272">
          <cell r="A4272" t="str">
            <v>Quirinópolis</v>
          </cell>
          <cell r="B4272">
            <v>304341</v>
          </cell>
          <cell r="C4272">
            <v>-18.447640119999999</v>
          </cell>
          <cell r="D4272">
            <v>-50.455108070000001</v>
          </cell>
        </row>
        <row r="4273">
          <cell r="A4273" t="str">
            <v>Quissamã</v>
          </cell>
          <cell r="B4273">
            <v>302645</v>
          </cell>
          <cell r="C4273">
            <v>-22.103583700000001</v>
          </cell>
          <cell r="D4273">
            <v>-41.469611540000002</v>
          </cell>
        </row>
        <row r="4274">
          <cell r="A4274" t="str">
            <v>Quitandinha</v>
          </cell>
          <cell r="B4274">
            <v>304039</v>
          </cell>
          <cell r="C4274">
            <v>-25.873915589999999</v>
          </cell>
          <cell r="D4274">
            <v>-49.49775296</v>
          </cell>
        </row>
        <row r="4275">
          <cell r="A4275" t="str">
            <v>Quiterianópolis</v>
          </cell>
          <cell r="B4275">
            <v>300883</v>
          </cell>
          <cell r="C4275">
            <v>-5.84290412</v>
          </cell>
          <cell r="D4275">
            <v>-40.70054579</v>
          </cell>
        </row>
        <row r="4276">
          <cell r="A4276" t="str">
            <v>Quito</v>
          </cell>
          <cell r="B4276">
            <v>295794</v>
          </cell>
          <cell r="C4276">
            <v>-0.220742352</v>
          </cell>
          <cell r="D4276">
            <v>-78.500999949999994</v>
          </cell>
        </row>
        <row r="4277">
          <cell r="A4277" t="str">
            <v>Quixaba</v>
          </cell>
          <cell r="B4277">
            <v>300813</v>
          </cell>
          <cell r="C4277">
            <v>-7.7189402539999996</v>
          </cell>
          <cell r="D4277">
            <v>-37.846379589999998</v>
          </cell>
        </row>
        <row r="4278">
          <cell r="A4278" t="str">
            <v>Quixabá</v>
          </cell>
          <cell r="B4278">
            <v>300790</v>
          </cell>
          <cell r="C4278">
            <v>-7.0308645099999998</v>
          </cell>
          <cell r="D4278">
            <v>-37.14837713</v>
          </cell>
        </row>
        <row r="4279">
          <cell r="A4279" t="str">
            <v>Quixabeira</v>
          </cell>
          <cell r="B4279">
            <v>301447</v>
          </cell>
          <cell r="C4279">
            <v>-11.41078166</v>
          </cell>
          <cell r="D4279">
            <v>-40.126216820000003</v>
          </cell>
        </row>
        <row r="4280">
          <cell r="A4280" t="str">
            <v>Quixadá</v>
          </cell>
          <cell r="B4280">
            <v>300848</v>
          </cell>
          <cell r="C4280">
            <v>-4.9667046109999999</v>
          </cell>
          <cell r="D4280">
            <v>-39.015790549999998</v>
          </cell>
        </row>
        <row r="4281">
          <cell r="A4281" t="str">
            <v>Quixelô</v>
          </cell>
          <cell r="B4281">
            <v>300921</v>
          </cell>
          <cell r="C4281">
            <v>-6.2467804679999999</v>
          </cell>
          <cell r="D4281">
            <v>-39.201385549999998</v>
          </cell>
        </row>
        <row r="4282">
          <cell r="A4282" t="str">
            <v>Quixeramobim</v>
          </cell>
          <cell r="B4282">
            <v>300850</v>
          </cell>
          <cell r="C4282">
            <v>-5.1910768850000002</v>
          </cell>
          <cell r="D4282">
            <v>-39.289265589999999</v>
          </cell>
        </row>
        <row r="4283">
          <cell r="A4283" t="str">
            <v>Quixeré</v>
          </cell>
          <cell r="B4283">
            <v>300735</v>
          </cell>
          <cell r="C4283">
            <v>-5.0718867750000003</v>
          </cell>
          <cell r="D4283">
            <v>-37.980509230000003</v>
          </cell>
        </row>
        <row r="4284">
          <cell r="A4284" t="str">
            <v>Quyquyó</v>
          </cell>
          <cell r="B4284">
            <v>314509</v>
          </cell>
          <cell r="C4284">
            <v>-26.229912049999999</v>
          </cell>
          <cell r="D4284">
            <v>-56.952131690000002</v>
          </cell>
        </row>
        <row r="4285">
          <cell r="A4285" t="str">
            <v>Rafael Fernandes</v>
          </cell>
          <cell r="B4285">
            <v>300974</v>
          </cell>
          <cell r="C4285">
            <v>-6.1902827030000003</v>
          </cell>
          <cell r="D4285">
            <v>-38.221427550000001</v>
          </cell>
        </row>
        <row r="4286">
          <cell r="A4286" t="str">
            <v>Rafael Godeiro</v>
          </cell>
          <cell r="B4286">
            <v>300561</v>
          </cell>
          <cell r="C4286">
            <v>-6.0728522600000003</v>
          </cell>
          <cell r="D4286">
            <v>-37.716268849999999</v>
          </cell>
        </row>
        <row r="4287">
          <cell r="A4287" t="str">
            <v>Rafael Jambeiro</v>
          </cell>
          <cell r="B4287">
            <v>301426</v>
          </cell>
          <cell r="C4287">
            <v>-12.40570336</v>
          </cell>
          <cell r="D4287">
            <v>-39.500984340000002</v>
          </cell>
        </row>
        <row r="4288">
          <cell r="A4288" t="str">
            <v>Rafard</v>
          </cell>
          <cell r="B4288">
            <v>303912</v>
          </cell>
          <cell r="C4288">
            <v>-23.01098335</v>
          </cell>
          <cell r="D4288">
            <v>-47.532198559999998</v>
          </cell>
        </row>
        <row r="4289">
          <cell r="A4289" t="str">
            <v>Ramilândia</v>
          </cell>
          <cell r="B4289">
            <v>305022</v>
          </cell>
          <cell r="C4289">
            <v>-25.11993442</v>
          </cell>
          <cell r="D4289">
            <v>-54.023466550000002</v>
          </cell>
        </row>
        <row r="4290">
          <cell r="A4290" t="str">
            <v>Rancharia</v>
          </cell>
          <cell r="B4290">
            <v>304505</v>
          </cell>
          <cell r="C4290">
            <v>-22.22737446</v>
          </cell>
          <cell r="D4290">
            <v>-50.8934639</v>
          </cell>
        </row>
        <row r="4291">
          <cell r="A4291" t="str">
            <v>Rancho Alegre</v>
          </cell>
          <cell r="B4291">
            <v>304511</v>
          </cell>
          <cell r="C4291">
            <v>-23.06806065</v>
          </cell>
          <cell r="D4291">
            <v>-50.914878610000002</v>
          </cell>
        </row>
        <row r="4292">
          <cell r="A4292" t="str">
            <v>Rancho Alegre D'Oeste</v>
          </cell>
          <cell r="B4292">
            <v>305046</v>
          </cell>
          <cell r="C4292">
            <v>-24.30401191</v>
          </cell>
          <cell r="D4292">
            <v>-52.950325210000003</v>
          </cell>
        </row>
        <row r="4293">
          <cell r="A4293" t="str">
            <v>Rancho Queimado</v>
          </cell>
          <cell r="B4293">
            <v>304058</v>
          </cell>
          <cell r="C4293">
            <v>-27.67321608</v>
          </cell>
          <cell r="D4293">
            <v>-49.019574519999999</v>
          </cell>
        </row>
        <row r="4294">
          <cell r="A4294" t="str">
            <v>Raposa</v>
          </cell>
          <cell r="B4294">
            <v>301811</v>
          </cell>
          <cell r="C4294">
            <v>-2.442674207</v>
          </cell>
          <cell r="D4294">
            <v>-44.10316761</v>
          </cell>
        </row>
        <row r="4295">
          <cell r="A4295" t="str">
            <v>Raposos</v>
          </cell>
          <cell r="B4295">
            <v>302849</v>
          </cell>
          <cell r="C4295">
            <v>-19.966991889999999</v>
          </cell>
          <cell r="D4295">
            <v>-43.803957969999999</v>
          </cell>
        </row>
        <row r="4296">
          <cell r="A4296" t="str">
            <v>Raul Soares</v>
          </cell>
          <cell r="B4296">
            <v>302907</v>
          </cell>
          <cell r="C4296">
            <v>-20.106587009999998</v>
          </cell>
          <cell r="D4296">
            <v>-42.450557830000001</v>
          </cell>
        </row>
        <row r="4297">
          <cell r="A4297" t="str">
            <v>Realeza</v>
          </cell>
          <cell r="B4297">
            <v>305328</v>
          </cell>
          <cell r="C4297">
            <v>-25.771558209999998</v>
          </cell>
          <cell r="D4297">
            <v>-53.526481009999998</v>
          </cell>
        </row>
        <row r="4298">
          <cell r="A4298" t="str">
            <v>Rebouças</v>
          </cell>
          <cell r="B4298">
            <v>305248</v>
          </cell>
          <cell r="C4298">
            <v>-25.623671510000001</v>
          </cell>
          <cell r="D4298">
            <v>-50.68815979</v>
          </cell>
        </row>
        <row r="4299">
          <cell r="A4299" t="str">
            <v>Recife</v>
          </cell>
          <cell r="B4299">
            <v>295766</v>
          </cell>
          <cell r="C4299">
            <v>-8.0475089870000005</v>
          </cell>
          <cell r="D4299">
            <v>-34.877641490000002</v>
          </cell>
        </row>
        <row r="4300">
          <cell r="A4300" t="str">
            <v>Reconquista</v>
          </cell>
          <cell r="B4300">
            <v>314342</v>
          </cell>
          <cell r="C4300">
            <v>-29.13953987</v>
          </cell>
          <cell r="D4300">
            <v>-59.645611270000003</v>
          </cell>
        </row>
        <row r="4301">
          <cell r="A4301" t="str">
            <v>Recreio</v>
          </cell>
          <cell r="B4301">
            <v>303267</v>
          </cell>
          <cell r="C4301">
            <v>-21.529375389999998</v>
          </cell>
          <cell r="D4301">
            <v>-42.467964360000003</v>
          </cell>
        </row>
        <row r="4302">
          <cell r="A4302" t="str">
            <v>Recuay</v>
          </cell>
          <cell r="B4302">
            <v>314403</v>
          </cell>
          <cell r="C4302">
            <v>-9.7178599499999994</v>
          </cell>
          <cell r="D4302">
            <v>-77.464995079999994</v>
          </cell>
        </row>
        <row r="4303">
          <cell r="A4303" t="str">
            <v>Recursolândia</v>
          </cell>
          <cell r="B4303">
            <v>302593</v>
          </cell>
          <cell r="C4303">
            <v>-8.7366989139999998</v>
          </cell>
          <cell r="D4303">
            <v>-47.242605959999999</v>
          </cell>
        </row>
        <row r="4304">
          <cell r="A4304" t="str">
            <v>Redenção</v>
          </cell>
          <cell r="B4304">
            <v>302043</v>
          </cell>
          <cell r="C4304">
            <v>-8.0257067939999995</v>
          </cell>
          <cell r="D4304">
            <v>-50.032077459999996</v>
          </cell>
        </row>
        <row r="4305">
          <cell r="A4305" t="str">
            <v>Redenção</v>
          </cell>
          <cell r="B4305">
            <v>300740</v>
          </cell>
          <cell r="C4305">
            <v>-4.2162719610000003</v>
          </cell>
          <cell r="D4305">
            <v>-38.728033179999997</v>
          </cell>
        </row>
        <row r="4306">
          <cell r="A4306" t="str">
            <v>Redenção da Serra</v>
          </cell>
          <cell r="B4306">
            <v>303284</v>
          </cell>
          <cell r="C4306">
            <v>-23.264244139999999</v>
          </cell>
          <cell r="D4306">
            <v>-45.542610770000003</v>
          </cell>
        </row>
        <row r="4307">
          <cell r="A4307" t="str">
            <v>Redenção do Gurguéia</v>
          </cell>
          <cell r="B4307">
            <v>302069</v>
          </cell>
          <cell r="C4307">
            <v>-9.4850871140000006</v>
          </cell>
          <cell r="D4307">
            <v>-44.579804459999998</v>
          </cell>
        </row>
        <row r="4308">
          <cell r="A4308" t="str">
            <v>Redentora</v>
          </cell>
          <cell r="B4308">
            <v>305415</v>
          </cell>
          <cell r="C4308">
            <v>-27.66442224</v>
          </cell>
          <cell r="D4308">
            <v>-53.641127230000002</v>
          </cell>
        </row>
        <row r="4309">
          <cell r="A4309" t="str">
            <v>Reduto</v>
          </cell>
          <cell r="B4309">
            <v>303566</v>
          </cell>
          <cell r="C4309">
            <v>-20.24056749</v>
          </cell>
          <cell r="D4309">
            <v>-41.9851928</v>
          </cell>
        </row>
        <row r="4310">
          <cell r="A4310" t="str">
            <v>Regeneração</v>
          </cell>
          <cell r="B4310">
            <v>301797</v>
          </cell>
          <cell r="C4310">
            <v>-6.2315591909999997</v>
          </cell>
          <cell r="D4310">
            <v>-42.68453555</v>
          </cell>
        </row>
        <row r="4311">
          <cell r="A4311" t="str">
            <v>Regente Feijó</v>
          </cell>
          <cell r="B4311">
            <v>304508</v>
          </cell>
          <cell r="C4311">
            <v>-22.218594360000001</v>
          </cell>
          <cell r="D4311">
            <v>-51.30587543</v>
          </cell>
        </row>
        <row r="4312">
          <cell r="A4312" t="str">
            <v>Reginópolis</v>
          </cell>
          <cell r="B4312">
            <v>304589</v>
          </cell>
          <cell r="C4312">
            <v>-21.88799049</v>
          </cell>
          <cell r="D4312">
            <v>-49.22494897</v>
          </cell>
        </row>
        <row r="4313">
          <cell r="A4313" t="str">
            <v>Registro</v>
          </cell>
          <cell r="B4313">
            <v>303793</v>
          </cell>
          <cell r="C4313">
            <v>-24.498420769999999</v>
          </cell>
          <cell r="D4313">
            <v>-47.845305279999998</v>
          </cell>
        </row>
        <row r="4314">
          <cell r="A4314" t="str">
            <v>Relvado</v>
          </cell>
          <cell r="B4314">
            <v>305221</v>
          </cell>
          <cell r="C4314">
            <v>-29.116413090000002</v>
          </cell>
          <cell r="D4314">
            <v>-52.079645790000001</v>
          </cell>
        </row>
        <row r="4315">
          <cell r="A4315" t="str">
            <v>Remanso</v>
          </cell>
          <cell r="B4315">
            <v>302053</v>
          </cell>
          <cell r="C4315">
            <v>-9.6198686329999994</v>
          </cell>
          <cell r="D4315">
            <v>-42.085180289999997</v>
          </cell>
        </row>
        <row r="4316">
          <cell r="A4316" t="str">
            <v>Remígio</v>
          </cell>
          <cell r="B4316">
            <v>300572</v>
          </cell>
          <cell r="C4316">
            <v>-6.955359165</v>
          </cell>
          <cell r="D4316">
            <v>-35.798895530000003</v>
          </cell>
        </row>
        <row r="4317">
          <cell r="A4317" t="str">
            <v>Renascença</v>
          </cell>
          <cell r="B4317">
            <v>305263</v>
          </cell>
          <cell r="C4317">
            <v>-26.159304689999999</v>
          </cell>
          <cell r="D4317">
            <v>-52.970798100000003</v>
          </cell>
        </row>
        <row r="4318">
          <cell r="A4318" t="str">
            <v>Requena</v>
          </cell>
          <cell r="B4318">
            <v>314464</v>
          </cell>
          <cell r="C4318">
            <v>-5.0609267920000001</v>
          </cell>
          <cell r="D4318">
            <v>-73.844092219999993</v>
          </cell>
        </row>
        <row r="4319">
          <cell r="A4319" t="str">
            <v>Reriutaba</v>
          </cell>
          <cell r="B4319">
            <v>301338</v>
          </cell>
          <cell r="C4319">
            <v>-4.1423087350000003</v>
          </cell>
          <cell r="D4319">
            <v>-40.576242090000001</v>
          </cell>
        </row>
        <row r="4320">
          <cell r="A4320" t="str">
            <v>Resende</v>
          </cell>
          <cell r="B4320">
            <v>303187</v>
          </cell>
          <cell r="C4320">
            <v>-22.470954209999999</v>
          </cell>
          <cell r="D4320">
            <v>-44.451290919999998</v>
          </cell>
        </row>
        <row r="4321">
          <cell r="A4321" t="str">
            <v>Resende Costa</v>
          </cell>
          <cell r="B4321">
            <v>302984</v>
          </cell>
          <cell r="C4321">
            <v>-20.917548270000001</v>
          </cell>
          <cell r="D4321">
            <v>-44.241085390000002</v>
          </cell>
        </row>
        <row r="4322">
          <cell r="A4322" t="str">
            <v>Reserva</v>
          </cell>
          <cell r="B4322">
            <v>304750</v>
          </cell>
          <cell r="C4322">
            <v>-24.649639780000001</v>
          </cell>
          <cell r="D4322">
            <v>-50.847034379999997</v>
          </cell>
        </row>
        <row r="4323">
          <cell r="A4323" t="str">
            <v>Reserva do Cabaçal</v>
          </cell>
          <cell r="B4323">
            <v>304682</v>
          </cell>
          <cell r="C4323">
            <v>-15.075100340000001</v>
          </cell>
          <cell r="D4323">
            <v>-58.459514630000001</v>
          </cell>
        </row>
        <row r="4324">
          <cell r="A4324" t="str">
            <v>Reserva do Iguaçu</v>
          </cell>
          <cell r="B4324">
            <v>305095</v>
          </cell>
          <cell r="C4324">
            <v>-25.832374940000001</v>
          </cell>
          <cell r="D4324">
            <v>-52.02765703</v>
          </cell>
        </row>
        <row r="4325">
          <cell r="A4325" t="str">
            <v>Resistência</v>
          </cell>
          <cell r="B4325">
            <v>314330</v>
          </cell>
          <cell r="C4325">
            <v>-27.469559889999999</v>
          </cell>
          <cell r="D4325">
            <v>-58.93636077</v>
          </cell>
        </row>
        <row r="4326">
          <cell r="A4326" t="str">
            <v>Resplendor</v>
          </cell>
          <cell r="B4326">
            <v>302529</v>
          </cell>
          <cell r="C4326">
            <v>-19.319913240000002</v>
          </cell>
          <cell r="D4326">
            <v>-41.246564450000001</v>
          </cell>
        </row>
        <row r="4327">
          <cell r="A4327" t="str">
            <v>Ressaquinha</v>
          </cell>
          <cell r="B4327">
            <v>303117</v>
          </cell>
          <cell r="C4327">
            <v>-21.064667849999999</v>
          </cell>
          <cell r="D4327">
            <v>-43.760202390000003</v>
          </cell>
        </row>
        <row r="4328">
          <cell r="A4328" t="str">
            <v>Restinga</v>
          </cell>
          <cell r="B4328">
            <v>303342</v>
          </cell>
          <cell r="C4328">
            <v>-20.606060899999999</v>
          </cell>
          <cell r="D4328">
            <v>-47.483650560000001</v>
          </cell>
        </row>
        <row r="4329">
          <cell r="A4329" t="str">
            <v>Restinga Seca</v>
          </cell>
          <cell r="B4329">
            <v>305696</v>
          </cell>
          <cell r="C4329">
            <v>-29.812980870000001</v>
          </cell>
          <cell r="D4329">
            <v>-53.374938849999999</v>
          </cell>
        </row>
        <row r="4330">
          <cell r="A4330" t="str">
            <v>Retirolândia</v>
          </cell>
          <cell r="B4330">
            <v>301400</v>
          </cell>
          <cell r="C4330">
            <v>-11.49349503</v>
          </cell>
          <cell r="D4330">
            <v>-39.428293609999997</v>
          </cell>
        </row>
        <row r="4331">
          <cell r="A4331" t="str">
            <v>Riachão</v>
          </cell>
          <cell r="B4331">
            <v>300433</v>
          </cell>
          <cell r="C4331">
            <v>-6.5431034639999996</v>
          </cell>
          <cell r="D4331">
            <v>-35.661259579999999</v>
          </cell>
        </row>
        <row r="4332">
          <cell r="A4332" t="str">
            <v>Riachão</v>
          </cell>
          <cell r="B4332">
            <v>301995</v>
          </cell>
          <cell r="C4332">
            <v>-7.358601492</v>
          </cell>
          <cell r="D4332">
            <v>-46.622897020000003</v>
          </cell>
        </row>
        <row r="4333">
          <cell r="A4333" t="str">
            <v>Riachão das Neves</v>
          </cell>
          <cell r="B4333">
            <v>302087</v>
          </cell>
          <cell r="C4333">
            <v>-11.748984030000001</v>
          </cell>
          <cell r="D4333">
            <v>-44.912192210000001</v>
          </cell>
        </row>
        <row r="4334">
          <cell r="A4334" t="str">
            <v>Riachão do Bacamarte</v>
          </cell>
          <cell r="B4334">
            <v>300628</v>
          </cell>
          <cell r="C4334">
            <v>-7.2508236300000002</v>
          </cell>
          <cell r="D4334">
            <v>-35.665228689999999</v>
          </cell>
        </row>
        <row r="4335">
          <cell r="A4335" t="str">
            <v>Riachão do Dantas</v>
          </cell>
          <cell r="B4335">
            <v>301263</v>
          </cell>
          <cell r="C4335">
            <v>-11.06956452</v>
          </cell>
          <cell r="D4335">
            <v>-37.725631710000002</v>
          </cell>
        </row>
        <row r="4336">
          <cell r="A4336" t="str">
            <v>Riachão do Jacuípe</v>
          </cell>
          <cell r="B4336">
            <v>301421</v>
          </cell>
          <cell r="C4336">
            <v>-11.807124310000001</v>
          </cell>
          <cell r="D4336">
            <v>-39.382136770000002</v>
          </cell>
        </row>
        <row r="4337">
          <cell r="A4337" t="str">
            <v>Riachão do Poço</v>
          </cell>
          <cell r="B4337">
            <v>300453</v>
          </cell>
          <cell r="C4337">
            <v>-7.1787222140000004</v>
          </cell>
          <cell r="D4337">
            <v>-35.279217639999999</v>
          </cell>
        </row>
        <row r="4338">
          <cell r="A4338" t="str">
            <v>Riachinho</v>
          </cell>
          <cell r="B4338">
            <v>302008</v>
          </cell>
          <cell r="C4338">
            <v>-6.4404605459999997</v>
          </cell>
          <cell r="D4338">
            <v>-48.137433710000003</v>
          </cell>
        </row>
        <row r="4339">
          <cell r="A4339" t="str">
            <v>Riachinho</v>
          </cell>
          <cell r="B4339">
            <v>302589</v>
          </cell>
          <cell r="C4339">
            <v>-16.220318649999999</v>
          </cell>
          <cell r="D4339">
            <v>-45.999331849999997</v>
          </cell>
        </row>
        <row r="4340">
          <cell r="A4340" t="str">
            <v>Riacho da Cruz</v>
          </cell>
          <cell r="B4340">
            <v>300752</v>
          </cell>
          <cell r="C4340">
            <v>-5.9269532109999998</v>
          </cell>
          <cell r="D4340">
            <v>-37.949356440000003</v>
          </cell>
        </row>
        <row r="4341">
          <cell r="A4341" t="str">
            <v>Riacho das Almas</v>
          </cell>
          <cell r="B4341">
            <v>300586</v>
          </cell>
          <cell r="C4341">
            <v>-8.1378423519999998</v>
          </cell>
          <cell r="D4341">
            <v>-35.865091669999998</v>
          </cell>
        </row>
        <row r="4342">
          <cell r="A4342" t="str">
            <v>Riacho de Santana</v>
          </cell>
          <cell r="B4342">
            <v>300899</v>
          </cell>
          <cell r="C4342">
            <v>-6.2518040319999999</v>
          </cell>
          <cell r="D4342">
            <v>-38.311888230000001</v>
          </cell>
        </row>
        <row r="4343">
          <cell r="A4343" t="str">
            <v>Riacho de Santana</v>
          </cell>
          <cell r="B4343">
            <v>302102</v>
          </cell>
          <cell r="C4343">
            <v>-13.613028959999999</v>
          </cell>
          <cell r="D4343">
            <v>-42.93637691</v>
          </cell>
        </row>
        <row r="4344">
          <cell r="A4344" t="str">
            <v>Riacho de Santo Antônio</v>
          </cell>
          <cell r="B4344">
            <v>301323</v>
          </cell>
          <cell r="C4344">
            <v>-7.6810274439999997</v>
          </cell>
          <cell r="D4344">
            <v>-36.157662590000001</v>
          </cell>
        </row>
        <row r="4345">
          <cell r="A4345" t="str">
            <v>Riacho dos Cavalos</v>
          </cell>
          <cell r="B4345">
            <v>300610</v>
          </cell>
          <cell r="C4345">
            <v>-6.4410836079999996</v>
          </cell>
          <cell r="D4345">
            <v>-37.648646579999998</v>
          </cell>
        </row>
        <row r="4346">
          <cell r="A4346" t="str">
            <v>Riacho dos Machados</v>
          </cell>
          <cell r="B4346">
            <v>302150</v>
          </cell>
          <cell r="C4346">
            <v>-16.009589810000001</v>
          </cell>
          <cell r="D4346">
            <v>-43.049152710000001</v>
          </cell>
        </row>
        <row r="4347">
          <cell r="A4347" t="str">
            <v>Riacho Frio</v>
          </cell>
          <cell r="B4347">
            <v>302071</v>
          </cell>
          <cell r="C4347">
            <v>-10.12932535</v>
          </cell>
          <cell r="D4347">
            <v>-44.954229769999998</v>
          </cell>
        </row>
        <row r="4348">
          <cell r="A4348" t="str">
            <v>Riachuelo</v>
          </cell>
          <cell r="B4348">
            <v>300507</v>
          </cell>
          <cell r="C4348">
            <v>-5.8141155480000002</v>
          </cell>
          <cell r="D4348">
            <v>-35.824031509999998</v>
          </cell>
        </row>
        <row r="4349">
          <cell r="A4349" t="str">
            <v>Riachuelo</v>
          </cell>
          <cell r="B4349">
            <v>301240</v>
          </cell>
          <cell r="C4349">
            <v>-10.731438989999999</v>
          </cell>
          <cell r="D4349">
            <v>-37.18714396</v>
          </cell>
        </row>
        <row r="4350">
          <cell r="A4350" t="str">
            <v>Rialma</v>
          </cell>
          <cell r="B4350">
            <v>304882</v>
          </cell>
          <cell r="C4350">
            <v>-15.31492667</v>
          </cell>
          <cell r="D4350">
            <v>-49.581797049999999</v>
          </cell>
        </row>
        <row r="4351">
          <cell r="A4351" t="str">
            <v>Rianápolis</v>
          </cell>
          <cell r="B4351">
            <v>304881</v>
          </cell>
          <cell r="C4351">
            <v>-15.44913444</v>
          </cell>
          <cell r="D4351">
            <v>-49.50866087</v>
          </cell>
        </row>
        <row r="4352">
          <cell r="A4352" t="str">
            <v>Ribamar Fiquene</v>
          </cell>
          <cell r="B4352">
            <v>301973</v>
          </cell>
          <cell r="C4352">
            <v>-5.9310704090000002</v>
          </cell>
          <cell r="D4352">
            <v>-47.389149740000001</v>
          </cell>
        </row>
        <row r="4353">
          <cell r="A4353" t="str">
            <v>Ribas do Rio Pardo</v>
          </cell>
          <cell r="B4353">
            <v>305736</v>
          </cell>
          <cell r="C4353">
            <v>-20.44498536</v>
          </cell>
          <cell r="D4353">
            <v>-53.759253899999997</v>
          </cell>
        </row>
        <row r="4354">
          <cell r="A4354" t="str">
            <v>Ribeira</v>
          </cell>
          <cell r="B4354">
            <v>304956</v>
          </cell>
          <cell r="C4354">
            <v>-24.652259069999999</v>
          </cell>
          <cell r="D4354">
            <v>-49.005029309999998</v>
          </cell>
        </row>
        <row r="4355">
          <cell r="A4355" t="str">
            <v>Ribeira do Amparo</v>
          </cell>
          <cell r="B4355">
            <v>301316</v>
          </cell>
          <cell r="C4355">
            <v>-11.042511169999999</v>
          </cell>
          <cell r="D4355">
            <v>-38.424528019999997</v>
          </cell>
        </row>
        <row r="4356">
          <cell r="A4356" t="str">
            <v>Ribeira do Piauí</v>
          </cell>
          <cell r="B4356">
            <v>301832</v>
          </cell>
          <cell r="C4356">
            <v>-7.6906954660000002</v>
          </cell>
          <cell r="D4356">
            <v>-42.713121800000003</v>
          </cell>
        </row>
        <row r="4357">
          <cell r="A4357" t="str">
            <v>Ribeira do Pombal</v>
          </cell>
          <cell r="B4357">
            <v>301314</v>
          </cell>
          <cell r="C4357">
            <v>-10.83773791</v>
          </cell>
          <cell r="D4357">
            <v>-38.538469620000001</v>
          </cell>
        </row>
        <row r="4358">
          <cell r="A4358" t="str">
            <v>Ribeirão</v>
          </cell>
          <cell r="B4358">
            <v>301080</v>
          </cell>
          <cell r="C4358">
            <v>-8.5099960219999993</v>
          </cell>
          <cell r="D4358">
            <v>-35.370116269999997</v>
          </cell>
        </row>
        <row r="4359">
          <cell r="A4359" t="str">
            <v>Ribeirão Bonito</v>
          </cell>
          <cell r="B4359">
            <v>303918</v>
          </cell>
          <cell r="C4359">
            <v>-22.067659190000001</v>
          </cell>
          <cell r="D4359">
            <v>-48.179320199999999</v>
          </cell>
        </row>
        <row r="4360">
          <cell r="A4360" t="str">
            <v>Ribeirão Branco</v>
          </cell>
          <cell r="B4360">
            <v>304949</v>
          </cell>
          <cell r="C4360">
            <v>-24.22105552</v>
          </cell>
          <cell r="D4360">
            <v>-48.763960490000002</v>
          </cell>
        </row>
        <row r="4361">
          <cell r="A4361" t="str">
            <v>Ribeirão Cascalheira</v>
          </cell>
          <cell r="B4361">
            <v>304198</v>
          </cell>
          <cell r="C4361">
            <v>-12.93716974</v>
          </cell>
          <cell r="D4361">
            <v>-51.824828240000002</v>
          </cell>
        </row>
        <row r="4362">
          <cell r="A4362" t="str">
            <v>Ribeirão Claro</v>
          </cell>
          <cell r="B4362">
            <v>304202</v>
          </cell>
          <cell r="C4362">
            <v>-23.19398876</v>
          </cell>
          <cell r="D4362">
            <v>-49.75794767</v>
          </cell>
        </row>
        <row r="4363">
          <cell r="A4363" t="str">
            <v>Ribeirão Corrente</v>
          </cell>
          <cell r="B4363">
            <v>303343</v>
          </cell>
          <cell r="C4363">
            <v>-20.458339160000001</v>
          </cell>
          <cell r="D4363">
            <v>-47.59079088</v>
          </cell>
        </row>
        <row r="4364">
          <cell r="A4364" t="str">
            <v>Ribeirão das Neves</v>
          </cell>
          <cell r="B4364">
            <v>304401</v>
          </cell>
          <cell r="C4364">
            <v>-19.762548320000001</v>
          </cell>
          <cell r="D4364">
            <v>-44.084821529999999</v>
          </cell>
        </row>
        <row r="4365">
          <cell r="A4365" t="str">
            <v>Ribeirão do Largo</v>
          </cell>
          <cell r="B4365">
            <v>301609</v>
          </cell>
          <cell r="C4365">
            <v>-15.45123493</v>
          </cell>
          <cell r="D4365">
            <v>-40.744476589999998</v>
          </cell>
        </row>
        <row r="4366">
          <cell r="A4366" t="str">
            <v>Ribeirão do Pinhal</v>
          </cell>
          <cell r="B4366">
            <v>304720</v>
          </cell>
          <cell r="C4366">
            <v>-23.40798865</v>
          </cell>
          <cell r="D4366">
            <v>-50.35694668</v>
          </cell>
        </row>
        <row r="4367">
          <cell r="A4367" t="str">
            <v>Ribeirão do Sul</v>
          </cell>
          <cell r="B4367">
            <v>304438</v>
          </cell>
          <cell r="C4367">
            <v>-22.78398941</v>
          </cell>
          <cell r="D4367">
            <v>-49.933947570000001</v>
          </cell>
        </row>
        <row r="4368">
          <cell r="A4368" t="str">
            <v>Ribeirão dos Índios</v>
          </cell>
          <cell r="B4368">
            <v>304795</v>
          </cell>
          <cell r="C4368">
            <v>-21.836894220000001</v>
          </cell>
          <cell r="D4368">
            <v>-51.60399743</v>
          </cell>
        </row>
        <row r="4369">
          <cell r="A4369" t="str">
            <v>Ribeirão Grande</v>
          </cell>
          <cell r="B4369">
            <v>304662</v>
          </cell>
          <cell r="C4369">
            <v>-24.098986979999999</v>
          </cell>
          <cell r="D4369">
            <v>-48.364949469999999</v>
          </cell>
        </row>
        <row r="4370">
          <cell r="A4370" t="str">
            <v>Ribeirão Pires</v>
          </cell>
          <cell r="B4370">
            <v>303717</v>
          </cell>
          <cell r="C4370">
            <v>-23.707149309999998</v>
          </cell>
          <cell r="D4370">
            <v>-46.406203040000001</v>
          </cell>
        </row>
        <row r="4371">
          <cell r="A4371" t="str">
            <v>Ribeirão Preto</v>
          </cell>
          <cell r="B4371">
            <v>303669</v>
          </cell>
          <cell r="C4371">
            <v>-21.170391980000002</v>
          </cell>
          <cell r="D4371">
            <v>-47.810275189999999</v>
          </cell>
        </row>
        <row r="4372">
          <cell r="A4372" t="str">
            <v>Ribeirão Vermelho</v>
          </cell>
          <cell r="B4372">
            <v>303167</v>
          </cell>
          <cell r="C4372">
            <v>-21.18833639</v>
          </cell>
          <cell r="D4372">
            <v>-45.064061780000003</v>
          </cell>
        </row>
        <row r="4373">
          <cell r="A4373" t="str">
            <v>Ribeirãozinho</v>
          </cell>
          <cell r="B4373">
            <v>304534</v>
          </cell>
          <cell r="C4373">
            <v>-16.486072969999999</v>
          </cell>
          <cell r="D4373">
            <v>-52.692857940000003</v>
          </cell>
        </row>
        <row r="4374">
          <cell r="A4374" t="str">
            <v>Ribeiro Gonçalves</v>
          </cell>
          <cell r="B4374">
            <v>301876</v>
          </cell>
          <cell r="C4374">
            <v>-7.5569196749999996</v>
          </cell>
          <cell r="D4374">
            <v>-45.245097399999999</v>
          </cell>
        </row>
        <row r="4375">
          <cell r="A4375" t="str">
            <v>Ribeirópolis</v>
          </cell>
          <cell r="B4375">
            <v>301248</v>
          </cell>
          <cell r="C4375">
            <v>-10.53610731</v>
          </cell>
          <cell r="D4375">
            <v>-37.438344319999999</v>
          </cell>
        </row>
        <row r="4376">
          <cell r="A4376" t="str">
            <v>Riberalta</v>
          </cell>
          <cell r="B4376">
            <v>314447</v>
          </cell>
          <cell r="C4376">
            <v>-11.003190289999999</v>
          </cell>
          <cell r="D4376">
            <v>-66.076543040000004</v>
          </cell>
        </row>
        <row r="4377">
          <cell r="A4377" t="str">
            <v>Rifaina</v>
          </cell>
          <cell r="B4377">
            <v>303332</v>
          </cell>
          <cell r="C4377">
            <v>-20.080722260000002</v>
          </cell>
          <cell r="D4377">
            <v>-47.429503869999998</v>
          </cell>
        </row>
        <row r="4378">
          <cell r="A4378" t="str">
            <v>Rincão</v>
          </cell>
          <cell r="B4378">
            <v>303680</v>
          </cell>
          <cell r="C4378">
            <v>-21.589898680000001</v>
          </cell>
          <cell r="D4378">
            <v>-48.073241060000001</v>
          </cell>
        </row>
        <row r="4379">
          <cell r="A4379" t="str">
            <v>Rincón</v>
          </cell>
          <cell r="B4379">
            <v>314302</v>
          </cell>
          <cell r="C4379">
            <v>-32.839584199999997</v>
          </cell>
          <cell r="D4379">
            <v>-53.823302140000003</v>
          </cell>
        </row>
        <row r="4380">
          <cell r="A4380" t="str">
            <v>Rinópolis</v>
          </cell>
          <cell r="B4380">
            <v>304470</v>
          </cell>
          <cell r="C4380">
            <v>-21.728865519999999</v>
          </cell>
          <cell r="D4380">
            <v>-50.724328380000003</v>
          </cell>
        </row>
        <row r="4381">
          <cell r="A4381" t="str">
            <v>Rio Acima</v>
          </cell>
          <cell r="B4381">
            <v>302851</v>
          </cell>
          <cell r="C4381">
            <v>-20.08802717</v>
          </cell>
          <cell r="D4381">
            <v>-43.788156229999998</v>
          </cell>
        </row>
        <row r="4382">
          <cell r="A4382" t="str">
            <v>Rio Azul</v>
          </cell>
          <cell r="B4382">
            <v>305251</v>
          </cell>
          <cell r="C4382">
            <v>-25.731053419999999</v>
          </cell>
          <cell r="D4382">
            <v>-50.798976889999999</v>
          </cell>
        </row>
        <row r="4383">
          <cell r="A4383" t="str">
            <v>Rio Bananal</v>
          </cell>
          <cell r="B4383">
            <v>302887</v>
          </cell>
          <cell r="C4383">
            <v>-19.272366770000001</v>
          </cell>
          <cell r="D4383">
            <v>-40.336948730000003</v>
          </cell>
        </row>
        <row r="4384">
          <cell r="A4384" t="str">
            <v>Rio Bom</v>
          </cell>
          <cell r="B4384">
            <v>304768</v>
          </cell>
          <cell r="C4384">
            <v>-23.76105003</v>
          </cell>
          <cell r="D4384">
            <v>-51.412670949999999</v>
          </cell>
        </row>
        <row r="4385">
          <cell r="A4385" t="str">
            <v>Rio Bonito</v>
          </cell>
          <cell r="B4385">
            <v>303079</v>
          </cell>
          <cell r="C4385">
            <v>-22.718596309999999</v>
          </cell>
          <cell r="D4385">
            <v>-42.627942590000004</v>
          </cell>
        </row>
        <row r="4386">
          <cell r="A4386" t="str">
            <v>Rio Bonito do Iguaçu</v>
          </cell>
          <cell r="B4386">
            <v>305628</v>
          </cell>
          <cell r="C4386">
            <v>-25.4878517</v>
          </cell>
          <cell r="D4386">
            <v>-52.52964987</v>
          </cell>
        </row>
        <row r="4387">
          <cell r="A4387" t="str">
            <v>Rio Branco</v>
          </cell>
          <cell r="B4387">
            <v>304679</v>
          </cell>
          <cell r="C4387">
            <v>-15.24706838</v>
          </cell>
          <cell r="D4387">
            <v>-58.126744019999997</v>
          </cell>
        </row>
        <row r="4388">
          <cell r="A4388" t="str">
            <v>Rio Branco</v>
          </cell>
          <cell r="B4388">
            <v>314299</v>
          </cell>
          <cell r="C4388">
            <v>-32.597012650000003</v>
          </cell>
          <cell r="D4388">
            <v>-53.38868703</v>
          </cell>
        </row>
        <row r="4389">
          <cell r="A4389" t="str">
            <v>Rio Branco</v>
          </cell>
          <cell r="B4389">
            <v>295787</v>
          </cell>
          <cell r="C4389">
            <v>-9.9757867779999998</v>
          </cell>
          <cell r="D4389">
            <v>-67.825303910000002</v>
          </cell>
        </row>
        <row r="4390">
          <cell r="A4390" t="str">
            <v>Rio Branco do Ivaí</v>
          </cell>
          <cell r="B4390">
            <v>304753</v>
          </cell>
          <cell r="C4390">
            <v>-24.324917660000001</v>
          </cell>
          <cell r="D4390">
            <v>-51.31911625</v>
          </cell>
        </row>
        <row r="4391">
          <cell r="A4391" t="str">
            <v>Rio Branco do Sul</v>
          </cell>
          <cell r="B4391">
            <v>304029</v>
          </cell>
          <cell r="C4391">
            <v>-25.189665479999999</v>
          </cell>
          <cell r="D4391">
            <v>-49.31196834</v>
          </cell>
        </row>
        <row r="4392">
          <cell r="A4392" t="str">
            <v>Rio Brilhante</v>
          </cell>
          <cell r="B4392">
            <v>305605</v>
          </cell>
          <cell r="C4392">
            <v>-21.803711740000001</v>
          </cell>
          <cell r="D4392">
            <v>-54.543187400000001</v>
          </cell>
        </row>
        <row r="4393">
          <cell r="A4393" t="str">
            <v>Rio Casca</v>
          </cell>
          <cell r="B4393">
            <v>302737</v>
          </cell>
          <cell r="C4393">
            <v>-20.229019090000001</v>
          </cell>
          <cell r="D4393">
            <v>-42.646571510000001</v>
          </cell>
        </row>
        <row r="4394">
          <cell r="A4394" t="str">
            <v>Rio Claro</v>
          </cell>
          <cell r="B4394">
            <v>303188</v>
          </cell>
          <cell r="C4394">
            <v>-22.720483779999999</v>
          </cell>
          <cell r="D4394">
            <v>-44.142253429999997</v>
          </cell>
        </row>
        <row r="4395">
          <cell r="A4395" t="str">
            <v>Rio Claro</v>
          </cell>
          <cell r="B4395">
            <v>304578</v>
          </cell>
          <cell r="C4395">
            <v>-22.398851449999999</v>
          </cell>
          <cell r="D4395">
            <v>-47.55503393</v>
          </cell>
        </row>
        <row r="4396">
          <cell r="A4396" t="str">
            <v>Rio Crespo</v>
          </cell>
          <cell r="B4396">
            <v>304278</v>
          </cell>
          <cell r="C4396">
            <v>-9.7049251210000005</v>
          </cell>
          <cell r="D4396">
            <v>-62.898509480000001</v>
          </cell>
        </row>
        <row r="4397">
          <cell r="A4397" t="str">
            <v>Rio da Conceição</v>
          </cell>
          <cell r="B4397">
            <v>302210</v>
          </cell>
          <cell r="C4397">
            <v>-11.396934249999999</v>
          </cell>
          <cell r="D4397">
            <v>-46.884280510000004</v>
          </cell>
        </row>
        <row r="4398">
          <cell r="A4398" t="str">
            <v>Rio das Antas</v>
          </cell>
          <cell r="B4398">
            <v>305074</v>
          </cell>
          <cell r="C4398">
            <v>-26.89509009</v>
          </cell>
          <cell r="D4398">
            <v>-51.067853980000002</v>
          </cell>
        </row>
        <row r="4399">
          <cell r="A4399" t="str">
            <v>Rio das Flores</v>
          </cell>
          <cell r="B4399">
            <v>303147</v>
          </cell>
          <cell r="C4399">
            <v>-22.169666190000001</v>
          </cell>
          <cell r="D4399">
            <v>-43.586005999999998</v>
          </cell>
        </row>
        <row r="4400">
          <cell r="A4400" t="str">
            <v>Rio das Ostras</v>
          </cell>
          <cell r="B4400">
            <v>303062</v>
          </cell>
          <cell r="C4400">
            <v>-22.517865149999999</v>
          </cell>
          <cell r="D4400">
            <v>-41.947872109999999</v>
          </cell>
        </row>
        <row r="4401">
          <cell r="A4401" t="str">
            <v>Rio das Pedras</v>
          </cell>
          <cell r="B4401">
            <v>303913</v>
          </cell>
          <cell r="C4401">
            <v>-22.842197670000001</v>
          </cell>
          <cell r="D4401">
            <v>-47.605060549999997</v>
          </cell>
        </row>
        <row r="4402">
          <cell r="A4402" t="str">
            <v>Rio de Contas</v>
          </cell>
          <cell r="B4402">
            <v>301582</v>
          </cell>
          <cell r="C4402">
            <v>-13.57959413</v>
          </cell>
          <cell r="D4402">
            <v>-41.810705040000002</v>
          </cell>
        </row>
        <row r="4403">
          <cell r="A4403" t="str">
            <v>Rio de Janeiro</v>
          </cell>
          <cell r="B4403">
            <v>295778</v>
          </cell>
          <cell r="C4403">
            <v>-22.913868310000002</v>
          </cell>
          <cell r="D4403">
            <v>-43.201041490000001</v>
          </cell>
        </row>
        <row r="4404">
          <cell r="A4404" t="str">
            <v>Rio do Antônio</v>
          </cell>
          <cell r="B4404">
            <v>302104</v>
          </cell>
          <cell r="C4404">
            <v>-14.409476379999999</v>
          </cell>
          <cell r="D4404">
            <v>-42.074824030000002</v>
          </cell>
        </row>
        <row r="4405">
          <cell r="A4405" t="str">
            <v>Rio do Campo</v>
          </cell>
          <cell r="B4405">
            <v>304617</v>
          </cell>
          <cell r="C4405">
            <v>-26.945659079999999</v>
          </cell>
          <cell r="D4405">
            <v>-50.136455130000002</v>
          </cell>
        </row>
        <row r="4406">
          <cell r="A4406" t="str">
            <v>Rio do Fogo</v>
          </cell>
          <cell r="B4406">
            <v>302307</v>
          </cell>
          <cell r="C4406">
            <v>-5.2728397830000002</v>
          </cell>
          <cell r="D4406">
            <v>-35.382622019999999</v>
          </cell>
        </row>
        <row r="4407">
          <cell r="A4407" t="str">
            <v>Rio do Oeste</v>
          </cell>
          <cell r="B4407">
            <v>304969</v>
          </cell>
          <cell r="C4407">
            <v>-27.195634649999999</v>
          </cell>
          <cell r="D4407">
            <v>-49.799328869999997</v>
          </cell>
        </row>
        <row r="4408">
          <cell r="A4408" t="str">
            <v>Rio do Pires</v>
          </cell>
          <cell r="B4408">
            <v>302096</v>
          </cell>
          <cell r="C4408">
            <v>-13.12596647</v>
          </cell>
          <cell r="D4408">
            <v>-42.292026810000003</v>
          </cell>
        </row>
        <row r="4409">
          <cell r="A4409" t="str">
            <v>Rio do Prado</v>
          </cell>
          <cell r="B4409">
            <v>301617</v>
          </cell>
          <cell r="C4409">
            <v>-16.60611359</v>
          </cell>
          <cell r="D4409">
            <v>-40.571711309999998</v>
          </cell>
        </row>
        <row r="4410">
          <cell r="A4410" t="str">
            <v>Rio do Sul</v>
          </cell>
          <cell r="B4410">
            <v>304967</v>
          </cell>
          <cell r="C4410">
            <v>-27.216076180000002</v>
          </cell>
          <cell r="D4410">
            <v>-49.64344792</v>
          </cell>
        </row>
        <row r="4411">
          <cell r="A4411" t="str">
            <v>Rio Doce</v>
          </cell>
          <cell r="B4411">
            <v>302745</v>
          </cell>
          <cell r="C4411">
            <v>-20.241647610000001</v>
          </cell>
          <cell r="D4411">
            <v>-42.899861340000001</v>
          </cell>
        </row>
        <row r="4412">
          <cell r="A4412" t="str">
            <v>Rio dos Bois</v>
          </cell>
          <cell r="B4412">
            <v>302231</v>
          </cell>
          <cell r="C4412">
            <v>-9.3418621510000008</v>
          </cell>
          <cell r="D4412">
            <v>-48.533683160000002</v>
          </cell>
        </row>
        <row r="4413">
          <cell r="A4413" t="str">
            <v>Rio dos Cedros</v>
          </cell>
          <cell r="B4413">
            <v>304025</v>
          </cell>
          <cell r="C4413">
            <v>-26.74025726</v>
          </cell>
          <cell r="D4413">
            <v>-49.272255639999997</v>
          </cell>
        </row>
        <row r="4414">
          <cell r="A4414" t="str">
            <v>Rio dos Índios</v>
          </cell>
          <cell r="B4414">
            <v>305368</v>
          </cell>
          <cell r="C4414">
            <v>-27.297750229999998</v>
          </cell>
          <cell r="D4414">
            <v>-52.842201799999998</v>
          </cell>
        </row>
        <row r="4415">
          <cell r="A4415" t="str">
            <v>Rio Espera</v>
          </cell>
          <cell r="B4415">
            <v>302848</v>
          </cell>
          <cell r="C4415">
            <v>-20.85547871</v>
          </cell>
          <cell r="D4415">
            <v>-43.47244585</v>
          </cell>
        </row>
        <row r="4416">
          <cell r="A4416" t="str">
            <v>Rio Formoso</v>
          </cell>
          <cell r="B4416">
            <v>301082</v>
          </cell>
          <cell r="C4416">
            <v>-8.6596251110000004</v>
          </cell>
          <cell r="D4416">
            <v>-35.153502760000002</v>
          </cell>
        </row>
        <row r="4417">
          <cell r="A4417" t="str">
            <v>Rio Fortuna</v>
          </cell>
          <cell r="B4417">
            <v>304064</v>
          </cell>
          <cell r="C4417">
            <v>-28.12486676</v>
          </cell>
          <cell r="D4417">
            <v>-49.107247899999997</v>
          </cell>
        </row>
        <row r="4418">
          <cell r="A4418" t="str">
            <v>Rio Grande</v>
          </cell>
          <cell r="B4418">
            <v>305550</v>
          </cell>
          <cell r="C4418">
            <v>-32.035354859999998</v>
          </cell>
          <cell r="D4418">
            <v>-52.107519719999999</v>
          </cell>
        </row>
        <row r="4419">
          <cell r="A4419" t="str">
            <v>Rio Grande da Serra</v>
          </cell>
          <cell r="B4419">
            <v>303713</v>
          </cell>
          <cell r="C4419">
            <v>-23.744204450000002</v>
          </cell>
          <cell r="D4419">
            <v>-46.397482089999997</v>
          </cell>
        </row>
        <row r="4420">
          <cell r="A4420" t="str">
            <v>Rio Grande do Piauí</v>
          </cell>
          <cell r="B4420">
            <v>301848</v>
          </cell>
          <cell r="C4420">
            <v>-7.7746113990000003</v>
          </cell>
          <cell r="D4420">
            <v>-43.13680574</v>
          </cell>
        </row>
        <row r="4421">
          <cell r="A4421" t="str">
            <v>Rio Largo</v>
          </cell>
          <cell r="B4421">
            <v>301143</v>
          </cell>
          <cell r="C4421">
            <v>-9.4782625540000005</v>
          </cell>
          <cell r="D4421">
            <v>-35.839731550000003</v>
          </cell>
        </row>
        <row r="4422">
          <cell r="A4422" t="str">
            <v>Rio Manso</v>
          </cell>
          <cell r="B4422">
            <v>302928</v>
          </cell>
          <cell r="C4422">
            <v>-20.267043739999998</v>
          </cell>
          <cell r="D4422">
            <v>-44.307241259999998</v>
          </cell>
        </row>
        <row r="4423">
          <cell r="A4423" t="str">
            <v>Rio Maria</v>
          </cell>
          <cell r="B4423">
            <v>302039</v>
          </cell>
          <cell r="C4423">
            <v>-7.317403756</v>
          </cell>
          <cell r="D4423">
            <v>-50.043245259999999</v>
          </cell>
        </row>
        <row r="4424">
          <cell r="A4424" t="str">
            <v>Rio Negrinho</v>
          </cell>
          <cell r="B4424">
            <v>304606</v>
          </cell>
          <cell r="C4424">
            <v>-26.25955343</v>
          </cell>
          <cell r="D4424">
            <v>-49.518173500000003</v>
          </cell>
        </row>
        <row r="4425">
          <cell r="A4425" t="str">
            <v>Rio Negro</v>
          </cell>
          <cell r="B4425">
            <v>304044</v>
          </cell>
          <cell r="C4425">
            <v>-26.09549822</v>
          </cell>
          <cell r="D4425">
            <v>-49.79865874</v>
          </cell>
        </row>
        <row r="4426">
          <cell r="A4426" t="str">
            <v>Rio Negro</v>
          </cell>
          <cell r="B4426">
            <v>305593</v>
          </cell>
          <cell r="C4426">
            <v>-19.447482709999999</v>
          </cell>
          <cell r="D4426">
            <v>-54.98631211</v>
          </cell>
        </row>
        <row r="4427">
          <cell r="A4427" t="str">
            <v>Rio Negro</v>
          </cell>
          <cell r="B4427">
            <v>314446</v>
          </cell>
          <cell r="C4427">
            <v>-10.576149239999999</v>
          </cell>
          <cell r="D4427">
            <v>-66.121732550000004</v>
          </cell>
        </row>
        <row r="4428">
          <cell r="A4428" t="str">
            <v>Rio Novo</v>
          </cell>
          <cell r="B4428">
            <v>303090</v>
          </cell>
          <cell r="C4428">
            <v>-21.465379729999999</v>
          </cell>
          <cell r="D4428">
            <v>-43.11717385</v>
          </cell>
        </row>
        <row r="4429">
          <cell r="A4429" t="str">
            <v>Rio Novo do Sul</v>
          </cell>
          <cell r="B4429">
            <v>302550</v>
          </cell>
          <cell r="C4429">
            <v>-20.856102050000001</v>
          </cell>
          <cell r="D4429">
            <v>-40.939112629999997</v>
          </cell>
        </row>
        <row r="4430">
          <cell r="A4430" t="str">
            <v>Rio Paranaíba</v>
          </cell>
          <cell r="B4430">
            <v>303310</v>
          </cell>
          <cell r="C4430">
            <v>-19.19088554</v>
          </cell>
          <cell r="D4430">
            <v>-46.245897489999997</v>
          </cell>
        </row>
        <row r="4431">
          <cell r="A4431" t="str">
            <v>Rio Pardo</v>
          </cell>
          <cell r="B4431">
            <v>305515</v>
          </cell>
          <cell r="C4431">
            <v>-29.989702390000001</v>
          </cell>
          <cell r="D4431">
            <v>-52.377995859999999</v>
          </cell>
        </row>
        <row r="4432">
          <cell r="A4432" t="str">
            <v>Rio Pardo de Minas</v>
          </cell>
          <cell r="B4432">
            <v>302128</v>
          </cell>
          <cell r="C4432">
            <v>-15.616485880000001</v>
          </cell>
          <cell r="D4432">
            <v>-42.540852510000001</v>
          </cell>
        </row>
        <row r="4433">
          <cell r="A4433" t="str">
            <v>Rio Piracicaba</v>
          </cell>
          <cell r="B4433">
            <v>302830</v>
          </cell>
          <cell r="C4433">
            <v>-19.928991759999999</v>
          </cell>
          <cell r="D4433">
            <v>-43.173960360000002</v>
          </cell>
        </row>
        <row r="4434">
          <cell r="A4434" t="str">
            <v>Rio Pomba</v>
          </cell>
          <cell r="B4434">
            <v>303091</v>
          </cell>
          <cell r="C4434">
            <v>-21.271631899999999</v>
          </cell>
          <cell r="D4434">
            <v>-43.169993740000002</v>
          </cell>
        </row>
        <row r="4435">
          <cell r="A4435" t="str">
            <v>Rio Preto</v>
          </cell>
          <cell r="B4435">
            <v>303151</v>
          </cell>
          <cell r="C4435">
            <v>-22.086573340000001</v>
          </cell>
          <cell r="D4435">
            <v>-43.829700500000001</v>
          </cell>
        </row>
        <row r="4436">
          <cell r="A4436" t="str">
            <v>Rio Preto da Eva</v>
          </cell>
          <cell r="B4436">
            <v>304630</v>
          </cell>
          <cell r="C4436">
            <v>-2.70487951</v>
          </cell>
          <cell r="D4436">
            <v>-59.686230979999998</v>
          </cell>
        </row>
        <row r="4437">
          <cell r="A4437" t="str">
            <v>Rio Quente</v>
          </cell>
          <cell r="B4437">
            <v>303361</v>
          </cell>
          <cell r="C4437">
            <v>-17.77019816</v>
          </cell>
          <cell r="D4437">
            <v>-48.756667620000002</v>
          </cell>
        </row>
        <row r="4438">
          <cell r="A4438" t="str">
            <v>Rio Real</v>
          </cell>
          <cell r="B4438">
            <v>301308</v>
          </cell>
          <cell r="C4438">
            <v>-11.48181314</v>
          </cell>
          <cell r="D4438">
            <v>-37.933556930000002</v>
          </cell>
        </row>
        <row r="4439">
          <cell r="A4439" t="str">
            <v>Rio Rufino</v>
          </cell>
          <cell r="B4439">
            <v>304092</v>
          </cell>
          <cell r="C4439">
            <v>-27.859672110000002</v>
          </cell>
          <cell r="D4439">
            <v>-49.775808320000003</v>
          </cell>
        </row>
        <row r="4440">
          <cell r="A4440" t="str">
            <v>Rio Sono</v>
          </cell>
          <cell r="B4440">
            <v>302201</v>
          </cell>
          <cell r="C4440">
            <v>-9.3484884180000005</v>
          </cell>
          <cell r="D4440">
            <v>-47.894214400000003</v>
          </cell>
        </row>
        <row r="4441">
          <cell r="A4441" t="str">
            <v>Rio Tinto</v>
          </cell>
          <cell r="B4441">
            <v>302337</v>
          </cell>
          <cell r="C4441">
            <v>-6.8042454550000002</v>
          </cell>
          <cell r="D4441">
            <v>-35.07785793</v>
          </cell>
        </row>
        <row r="4442">
          <cell r="A4442" t="str">
            <v>Rio Verde</v>
          </cell>
          <cell r="B4442">
            <v>304338</v>
          </cell>
          <cell r="C4442">
            <v>-17.79271696</v>
          </cell>
          <cell r="D4442">
            <v>-50.919606369999997</v>
          </cell>
        </row>
        <row r="4443">
          <cell r="A4443" t="str">
            <v>Rio Verde de Mato Grosso</v>
          </cell>
          <cell r="B4443">
            <v>305592</v>
          </cell>
          <cell r="C4443">
            <v>-18.91786626</v>
          </cell>
          <cell r="D4443">
            <v>-54.844598730000001</v>
          </cell>
        </row>
        <row r="4444">
          <cell r="A4444" t="str">
            <v>Rio Vermelho</v>
          </cell>
          <cell r="B4444">
            <v>302711</v>
          </cell>
          <cell r="C4444">
            <v>-18.29399415</v>
          </cell>
          <cell r="D4444">
            <v>-43.008962709999999</v>
          </cell>
        </row>
        <row r="4445">
          <cell r="A4445" t="str">
            <v>Rioja</v>
          </cell>
          <cell r="B4445">
            <v>314489</v>
          </cell>
          <cell r="C4445">
            <v>-6.0547285860000004</v>
          </cell>
          <cell r="D4445">
            <v>-77.140445970000002</v>
          </cell>
        </row>
        <row r="4446">
          <cell r="A4446" t="str">
            <v>Riolândia</v>
          </cell>
          <cell r="B4446">
            <v>303419</v>
          </cell>
          <cell r="C4446">
            <v>-19.977727420000001</v>
          </cell>
          <cell r="D4446">
            <v>-49.681107930000003</v>
          </cell>
        </row>
        <row r="4447">
          <cell r="A4447" t="str">
            <v>Riozinho</v>
          </cell>
          <cell r="B4447">
            <v>305655</v>
          </cell>
          <cell r="C4447">
            <v>-29.63946825</v>
          </cell>
          <cell r="D4447">
            <v>-50.449228300000001</v>
          </cell>
        </row>
        <row r="4448">
          <cell r="A4448" t="str">
            <v>Riqueza</v>
          </cell>
          <cell r="B4448">
            <v>305319</v>
          </cell>
          <cell r="C4448">
            <v>-27.065793240000001</v>
          </cell>
          <cell r="D4448">
            <v>-53.32690685</v>
          </cell>
        </row>
        <row r="4449">
          <cell r="A4449" t="str">
            <v>Ritápolis</v>
          </cell>
          <cell r="B4449">
            <v>304994</v>
          </cell>
          <cell r="C4449">
            <v>-21.028040489999999</v>
          </cell>
          <cell r="D4449">
            <v>-44.320811220000003</v>
          </cell>
        </row>
        <row r="4450">
          <cell r="A4450" t="str">
            <v>Rivera</v>
          </cell>
          <cell r="B4450">
            <v>314298</v>
          </cell>
          <cell r="C4450">
            <v>-30.91067984</v>
          </cell>
          <cell r="D4450">
            <v>-55.5361957</v>
          </cell>
        </row>
        <row r="4451">
          <cell r="A4451" t="str">
            <v>Riversul</v>
          </cell>
          <cell r="B4451">
            <v>304206</v>
          </cell>
          <cell r="C4451">
            <v>-23.829475670000001</v>
          </cell>
          <cell r="D4451">
            <v>-49.42938358</v>
          </cell>
        </row>
        <row r="4452">
          <cell r="A4452" t="str">
            <v>Robore</v>
          </cell>
          <cell r="B4452">
            <v>314316</v>
          </cell>
          <cell r="C4452">
            <v>-18.334766479999999</v>
          </cell>
          <cell r="D4452">
            <v>-59.74992305</v>
          </cell>
        </row>
        <row r="4453">
          <cell r="A4453" t="str">
            <v>Roca Sales</v>
          </cell>
          <cell r="B4453">
            <v>305203</v>
          </cell>
          <cell r="C4453">
            <v>-29.289432680000001</v>
          </cell>
          <cell r="D4453">
            <v>-51.870822410000002</v>
          </cell>
        </row>
        <row r="4454">
          <cell r="A4454" t="str">
            <v>Rochedo</v>
          </cell>
          <cell r="B4454">
            <v>305595</v>
          </cell>
          <cell r="C4454">
            <v>-19.95346498</v>
          </cell>
          <cell r="D4454">
            <v>-54.890434659999997</v>
          </cell>
        </row>
        <row r="4455">
          <cell r="A4455" t="str">
            <v>Rochedo de Minas</v>
          </cell>
          <cell r="B4455">
            <v>303099</v>
          </cell>
          <cell r="C4455">
            <v>-21.628878539999999</v>
          </cell>
          <cell r="D4455">
            <v>-43.016915539999999</v>
          </cell>
        </row>
        <row r="4456">
          <cell r="A4456" t="str">
            <v>Rodeio</v>
          </cell>
          <cell r="B4456">
            <v>304213</v>
          </cell>
          <cell r="C4456">
            <v>-26.924829389999999</v>
          </cell>
          <cell r="D4456">
            <v>-49.365338960000003</v>
          </cell>
        </row>
        <row r="4457">
          <cell r="A4457" t="str">
            <v>Rodeio Bonito</v>
          </cell>
          <cell r="B4457">
            <v>305382</v>
          </cell>
          <cell r="C4457">
            <v>-27.474672470000002</v>
          </cell>
          <cell r="D4457">
            <v>-53.171038549999999</v>
          </cell>
        </row>
        <row r="4458">
          <cell r="A4458" t="str">
            <v>Rodeiro</v>
          </cell>
          <cell r="B4458">
            <v>303261</v>
          </cell>
          <cell r="C4458">
            <v>-21.203947329999998</v>
          </cell>
          <cell r="D4458">
            <v>-42.858988349999997</v>
          </cell>
        </row>
        <row r="4459">
          <cell r="A4459" t="str">
            <v>Rodelas</v>
          </cell>
          <cell r="B4459">
            <v>301280</v>
          </cell>
          <cell r="C4459">
            <v>-8.8506416170000008</v>
          </cell>
          <cell r="D4459">
            <v>-38.780307370000003</v>
          </cell>
        </row>
        <row r="4460">
          <cell r="A4460" t="str">
            <v>Rodolfo Fernandes</v>
          </cell>
          <cell r="B4460">
            <v>300762</v>
          </cell>
          <cell r="C4460">
            <v>-5.7843382539999997</v>
          </cell>
          <cell r="D4460">
            <v>-38.058196150000001</v>
          </cell>
        </row>
        <row r="4461">
          <cell r="A4461" t="str">
            <v>Rodrigues Alves</v>
          </cell>
          <cell r="B4461">
            <v>305851</v>
          </cell>
          <cell r="C4461">
            <v>-7.7341747239999998</v>
          </cell>
          <cell r="D4461">
            <v>-72.650533150000001</v>
          </cell>
        </row>
        <row r="4462">
          <cell r="A4462" t="str">
            <v>Rolador</v>
          </cell>
          <cell r="B4462">
            <v>300944</v>
          </cell>
          <cell r="C4462">
            <v>-28.257019249999999</v>
          </cell>
          <cell r="D4462">
            <v>-54.819109179999998</v>
          </cell>
        </row>
        <row r="4463">
          <cell r="A4463" t="str">
            <v>Rolândia</v>
          </cell>
          <cell r="B4463">
            <v>304740</v>
          </cell>
          <cell r="C4463">
            <v>-23.31058604</v>
          </cell>
          <cell r="D4463">
            <v>-51.366357200000003</v>
          </cell>
        </row>
        <row r="4464">
          <cell r="A4464" t="str">
            <v>Rolante</v>
          </cell>
          <cell r="B4464">
            <v>305657</v>
          </cell>
          <cell r="C4464">
            <v>-29.650997060000002</v>
          </cell>
          <cell r="D4464">
            <v>-50.576066490000002</v>
          </cell>
        </row>
        <row r="4465">
          <cell r="A4465" t="str">
            <v>Rolim de Moura</v>
          </cell>
          <cell r="B4465">
            <v>304288</v>
          </cell>
          <cell r="C4465">
            <v>-11.72748292</v>
          </cell>
          <cell r="D4465">
            <v>-61.771867360000002</v>
          </cell>
        </row>
        <row r="4466">
          <cell r="A4466" t="str">
            <v>Romaria</v>
          </cell>
          <cell r="B4466">
            <v>303693</v>
          </cell>
          <cell r="C4466">
            <v>-18.884468550000001</v>
          </cell>
          <cell r="D4466">
            <v>-47.58399979</v>
          </cell>
        </row>
        <row r="4467">
          <cell r="A4467" t="str">
            <v>Romelândia</v>
          </cell>
          <cell r="B4467">
            <v>305304</v>
          </cell>
          <cell r="C4467">
            <v>-26.681355580000002</v>
          </cell>
          <cell r="D4467">
            <v>-53.317646259999997</v>
          </cell>
        </row>
        <row r="4468">
          <cell r="A4468" t="str">
            <v>Roncador</v>
          </cell>
          <cell r="B4468">
            <v>304837</v>
          </cell>
          <cell r="C4468">
            <v>-24.59626154</v>
          </cell>
          <cell r="D4468">
            <v>-52.272008100000001</v>
          </cell>
        </row>
        <row r="4469">
          <cell r="A4469" t="str">
            <v>Ronda Alta</v>
          </cell>
          <cell r="B4469">
            <v>305372</v>
          </cell>
          <cell r="C4469">
            <v>-27.776270190000002</v>
          </cell>
          <cell r="D4469">
            <v>-52.806041540000002</v>
          </cell>
        </row>
        <row r="4470">
          <cell r="A4470" t="str">
            <v>Rondinha</v>
          </cell>
          <cell r="B4470">
            <v>305376</v>
          </cell>
          <cell r="C4470">
            <v>-27.831921940000001</v>
          </cell>
          <cell r="D4470">
            <v>-52.908562410000002</v>
          </cell>
        </row>
        <row r="4471">
          <cell r="A4471" t="str">
            <v>Rondolândia</v>
          </cell>
          <cell r="B4471">
            <v>300380</v>
          </cell>
          <cell r="C4471">
            <v>-10.837965710000001</v>
          </cell>
          <cell r="D4471">
            <v>-61.47019023</v>
          </cell>
        </row>
        <row r="4472">
          <cell r="A4472" t="str">
            <v>Rondon</v>
          </cell>
          <cell r="B4472">
            <v>304872</v>
          </cell>
          <cell r="C4472">
            <v>-23.412420409999999</v>
          </cell>
          <cell r="D4472">
            <v>-52.766315089999999</v>
          </cell>
        </row>
        <row r="4473">
          <cell r="A4473" t="str">
            <v>Rondon do Pará</v>
          </cell>
          <cell r="B4473">
            <v>301964</v>
          </cell>
          <cell r="C4473">
            <v>-4.7783248389999997</v>
          </cell>
          <cell r="D4473">
            <v>-48.06734222</v>
          </cell>
        </row>
        <row r="4474">
          <cell r="A4474" t="str">
            <v>Rondonópolis</v>
          </cell>
          <cell r="B4474">
            <v>304645</v>
          </cell>
          <cell r="C4474">
            <v>-16.467689969999999</v>
          </cell>
          <cell r="D4474">
            <v>-54.637602889999997</v>
          </cell>
        </row>
        <row r="4475">
          <cell r="A4475" t="str">
            <v>Roque Gonzales</v>
          </cell>
          <cell r="B4475">
            <v>305798</v>
          </cell>
          <cell r="C4475">
            <v>-28.130145290000002</v>
          </cell>
          <cell r="D4475">
            <v>-55.027078580000001</v>
          </cell>
        </row>
        <row r="4476">
          <cell r="A4476" t="str">
            <v>Rorainópolis</v>
          </cell>
          <cell r="B4476">
            <v>305885</v>
          </cell>
          <cell r="C4476">
            <v>0.93958938400000003</v>
          </cell>
          <cell r="D4476">
            <v>-60.439364019999999</v>
          </cell>
        </row>
        <row r="4477">
          <cell r="A4477" t="str">
            <v>Rosana</v>
          </cell>
          <cell r="B4477">
            <v>304852</v>
          </cell>
          <cell r="C4477">
            <v>-22.579991369999998</v>
          </cell>
          <cell r="D4477">
            <v>-53.059107470000001</v>
          </cell>
        </row>
        <row r="4478">
          <cell r="A4478" t="str">
            <v>Rosário</v>
          </cell>
          <cell r="B4478">
            <v>301681</v>
          </cell>
          <cell r="C4478">
            <v>-2.9385362389999998</v>
          </cell>
          <cell r="D4478">
            <v>-44.247485079999997</v>
          </cell>
        </row>
        <row r="4479">
          <cell r="A4479" t="str">
            <v>Rosário</v>
          </cell>
          <cell r="B4479">
            <v>314281</v>
          </cell>
          <cell r="C4479">
            <v>-24.429470670000001</v>
          </cell>
          <cell r="D4479">
            <v>-57.115862649999997</v>
          </cell>
        </row>
        <row r="4480">
          <cell r="A4480" t="str">
            <v>Rosário da Limeira</v>
          </cell>
          <cell r="B4480">
            <v>304928</v>
          </cell>
          <cell r="C4480">
            <v>-20.981707249999999</v>
          </cell>
          <cell r="D4480">
            <v>-42.511559329999997</v>
          </cell>
        </row>
        <row r="4481">
          <cell r="A4481" t="str">
            <v>Rosário do Catete</v>
          </cell>
          <cell r="B4481">
            <v>301235</v>
          </cell>
          <cell r="C4481">
            <v>-10.696159850000001</v>
          </cell>
          <cell r="D4481">
            <v>-37.032492849999997</v>
          </cell>
        </row>
        <row r="4482">
          <cell r="A4482" t="str">
            <v>Rosário do Ivaí</v>
          </cell>
          <cell r="B4482">
            <v>304752</v>
          </cell>
          <cell r="C4482">
            <v>-24.268708660000001</v>
          </cell>
          <cell r="D4482">
            <v>-51.272438770000001</v>
          </cell>
        </row>
        <row r="4483">
          <cell r="A4483" t="str">
            <v>Rosário do Sul</v>
          </cell>
          <cell r="B4483">
            <v>305822</v>
          </cell>
          <cell r="C4483">
            <v>-30.257981000000001</v>
          </cell>
          <cell r="D4483">
            <v>-54.913936200000002</v>
          </cell>
        </row>
        <row r="4484">
          <cell r="A4484" t="str">
            <v>Rosário Oeste</v>
          </cell>
          <cell r="B4484">
            <v>304648</v>
          </cell>
          <cell r="C4484">
            <v>-14.826368390000001</v>
          </cell>
          <cell r="D4484">
            <v>-56.424006060000004</v>
          </cell>
        </row>
        <row r="4485">
          <cell r="A4485" t="str">
            <v>Roseira</v>
          </cell>
          <cell r="B4485">
            <v>303460</v>
          </cell>
          <cell r="C4485">
            <v>-22.89431454</v>
          </cell>
          <cell r="D4485">
            <v>-45.307381069999998</v>
          </cell>
        </row>
        <row r="4486">
          <cell r="A4486" t="str">
            <v>Roteiro</v>
          </cell>
          <cell r="B4486">
            <v>301151</v>
          </cell>
          <cell r="C4486">
            <v>-9.8354645719999994</v>
          </cell>
          <cell r="D4486">
            <v>-35.978544890000002</v>
          </cell>
        </row>
        <row r="4487">
          <cell r="A4487" t="str">
            <v>Rubelita</v>
          </cell>
          <cell r="B4487">
            <v>302148</v>
          </cell>
          <cell r="C4487">
            <v>-16.405731889999998</v>
          </cell>
          <cell r="D4487">
            <v>-42.261393939999998</v>
          </cell>
        </row>
        <row r="4488">
          <cell r="A4488" t="str">
            <v>Rubiácea</v>
          </cell>
          <cell r="B4488">
            <v>304461</v>
          </cell>
          <cell r="C4488">
            <v>-21.30103029</v>
          </cell>
          <cell r="D4488">
            <v>-50.729983179999998</v>
          </cell>
        </row>
        <row r="4489">
          <cell r="A4489" t="str">
            <v>Rubiataba</v>
          </cell>
          <cell r="B4489">
            <v>304879</v>
          </cell>
          <cell r="C4489">
            <v>-15.163717119999999</v>
          </cell>
          <cell r="D4489">
            <v>-49.801367140000004</v>
          </cell>
        </row>
        <row r="4490">
          <cell r="A4490" t="str">
            <v>Rubim</v>
          </cell>
          <cell r="B4490">
            <v>301615</v>
          </cell>
          <cell r="C4490">
            <v>-16.377958589999999</v>
          </cell>
          <cell r="D4490">
            <v>-40.54005368</v>
          </cell>
        </row>
        <row r="4491">
          <cell r="A4491" t="str">
            <v>Rubinéia</v>
          </cell>
          <cell r="B4491">
            <v>304385</v>
          </cell>
          <cell r="C4491">
            <v>-20.17636431</v>
          </cell>
          <cell r="D4491">
            <v>-51.007451799999998</v>
          </cell>
        </row>
        <row r="4492">
          <cell r="A4492" t="str">
            <v>Rurópolis</v>
          </cell>
          <cell r="B4492">
            <v>304165</v>
          </cell>
          <cell r="C4492">
            <v>-4.1006697760000002</v>
          </cell>
          <cell r="D4492">
            <v>-54.909581860000003</v>
          </cell>
        </row>
        <row r="4493">
          <cell r="A4493" t="str">
            <v>Russas</v>
          </cell>
          <cell r="B4493">
            <v>300734</v>
          </cell>
          <cell r="C4493">
            <v>-4.9271308520000003</v>
          </cell>
          <cell r="D4493">
            <v>-37.9723951</v>
          </cell>
        </row>
        <row r="4494">
          <cell r="A4494" t="str">
            <v>Ruy Barbosa</v>
          </cell>
          <cell r="B4494">
            <v>300513</v>
          </cell>
          <cell r="C4494">
            <v>-5.8813029200000004</v>
          </cell>
          <cell r="D4494">
            <v>-35.935268520000001</v>
          </cell>
        </row>
        <row r="4495">
          <cell r="A4495" t="str">
            <v>Ruy Barbosa</v>
          </cell>
          <cell r="B4495">
            <v>301489</v>
          </cell>
          <cell r="C4495">
            <v>-12.28205651</v>
          </cell>
          <cell r="D4495">
            <v>-40.493434239999999</v>
          </cell>
        </row>
        <row r="4496">
          <cell r="A4496" t="str">
            <v>Sabará</v>
          </cell>
          <cell r="B4496">
            <v>302826</v>
          </cell>
          <cell r="C4496">
            <v>-19.884518320000002</v>
          </cell>
          <cell r="D4496">
            <v>-43.826680019999998</v>
          </cell>
        </row>
        <row r="4497">
          <cell r="A4497" t="str">
            <v>Sabáudia</v>
          </cell>
          <cell r="B4497">
            <v>304757</v>
          </cell>
          <cell r="C4497">
            <v>-23.315977539999999</v>
          </cell>
          <cell r="D4497">
            <v>-51.55543539</v>
          </cell>
        </row>
        <row r="4498">
          <cell r="A4498" t="str">
            <v>Sabino</v>
          </cell>
          <cell r="B4498">
            <v>303860</v>
          </cell>
          <cell r="C4498">
            <v>-21.45980561</v>
          </cell>
          <cell r="D4498">
            <v>-49.575958389999997</v>
          </cell>
        </row>
        <row r="4499">
          <cell r="A4499" t="str">
            <v>Sabinópolis</v>
          </cell>
          <cell r="B4499">
            <v>302716</v>
          </cell>
          <cell r="C4499">
            <v>-18.66579604</v>
          </cell>
          <cell r="D4499">
            <v>-43.075605070000002</v>
          </cell>
        </row>
        <row r="4500">
          <cell r="A4500" t="str">
            <v>Saboeiro</v>
          </cell>
          <cell r="B4500">
            <v>301010</v>
          </cell>
          <cell r="C4500">
            <v>-6.535007781</v>
          </cell>
          <cell r="D4500">
            <v>-39.90205366</v>
          </cell>
        </row>
        <row r="4501">
          <cell r="A4501" t="str">
            <v>Sacramento</v>
          </cell>
          <cell r="B4501">
            <v>303329</v>
          </cell>
          <cell r="C4501">
            <v>-19.87001076</v>
          </cell>
          <cell r="D4501">
            <v>-47.443557560000002</v>
          </cell>
        </row>
        <row r="4502">
          <cell r="A4502" t="str">
            <v>Sagrada Família</v>
          </cell>
          <cell r="B4502">
            <v>305675</v>
          </cell>
          <cell r="C4502">
            <v>-27.70900799</v>
          </cell>
          <cell r="D4502">
            <v>-53.135509300000002</v>
          </cell>
        </row>
        <row r="4503">
          <cell r="A4503" t="str">
            <v>Sagres</v>
          </cell>
          <cell r="B4503">
            <v>304484</v>
          </cell>
          <cell r="C4503">
            <v>-21.88278335</v>
          </cell>
          <cell r="D4503">
            <v>-50.959803290000004</v>
          </cell>
        </row>
        <row r="4504">
          <cell r="A4504" t="str">
            <v>Saint-Georges</v>
          </cell>
          <cell r="B4504">
            <v>314427</v>
          </cell>
          <cell r="C4504">
            <v>3.9050865479999999</v>
          </cell>
          <cell r="D4504">
            <v>-51.809734810000002</v>
          </cell>
        </row>
        <row r="4505">
          <cell r="A4505" t="str">
            <v>Sairé</v>
          </cell>
          <cell r="B4505">
            <v>300583</v>
          </cell>
          <cell r="C4505">
            <v>-8.3290646590000001</v>
          </cell>
          <cell r="D4505">
            <v>-35.697031559999999</v>
          </cell>
        </row>
        <row r="4506">
          <cell r="A4506" t="str">
            <v>Saladas</v>
          </cell>
          <cell r="B4506">
            <v>314294</v>
          </cell>
          <cell r="C4506">
            <v>-28.250132820000001</v>
          </cell>
          <cell r="D4506">
            <v>-58.62376459</v>
          </cell>
        </row>
        <row r="4507">
          <cell r="A4507" t="str">
            <v>Saldanha Marinho</v>
          </cell>
          <cell r="B4507">
            <v>305542</v>
          </cell>
          <cell r="C4507">
            <v>-28.39455225</v>
          </cell>
          <cell r="D4507">
            <v>-53.097464969999997</v>
          </cell>
        </row>
        <row r="4508">
          <cell r="A4508" t="str">
            <v>Sales</v>
          </cell>
          <cell r="B4508">
            <v>303855</v>
          </cell>
          <cell r="C4508">
            <v>-21.341273739999998</v>
          </cell>
          <cell r="D4508">
            <v>-49.497276579999998</v>
          </cell>
        </row>
        <row r="4509">
          <cell r="A4509" t="str">
            <v>Sales Oliveira</v>
          </cell>
          <cell r="B4509">
            <v>305757</v>
          </cell>
          <cell r="C4509">
            <v>-20.770079620000001</v>
          </cell>
          <cell r="D4509">
            <v>-47.837272310000003</v>
          </cell>
        </row>
        <row r="4510">
          <cell r="A4510" t="str">
            <v>Salesópolis</v>
          </cell>
          <cell r="B4510">
            <v>303292</v>
          </cell>
          <cell r="C4510">
            <v>-23.529286200000001</v>
          </cell>
          <cell r="D4510">
            <v>-45.846923660000002</v>
          </cell>
        </row>
        <row r="4511">
          <cell r="A4511" t="str">
            <v>Salete</v>
          </cell>
          <cell r="B4511">
            <v>304614</v>
          </cell>
          <cell r="C4511">
            <v>-26.98025857</v>
          </cell>
          <cell r="D4511">
            <v>-49.999244359999999</v>
          </cell>
        </row>
        <row r="4512">
          <cell r="A4512" t="str">
            <v>Salgadinho</v>
          </cell>
          <cell r="B4512">
            <v>300770</v>
          </cell>
          <cell r="C4512">
            <v>-7.1027381070000004</v>
          </cell>
          <cell r="D4512">
            <v>-36.845008159999999</v>
          </cell>
        </row>
        <row r="4513">
          <cell r="A4513" t="str">
            <v>Salgadinho</v>
          </cell>
          <cell r="B4513">
            <v>301350</v>
          </cell>
          <cell r="C4513">
            <v>-7.9377861139999997</v>
          </cell>
          <cell r="D4513">
            <v>-35.632051689999997</v>
          </cell>
        </row>
        <row r="4514">
          <cell r="A4514" t="str">
            <v>Salgado</v>
          </cell>
          <cell r="B4514">
            <v>301259</v>
          </cell>
          <cell r="C4514">
            <v>-11.02678923</v>
          </cell>
          <cell r="D4514">
            <v>-37.476251400000002</v>
          </cell>
        </row>
        <row r="4515">
          <cell r="A4515" t="str">
            <v>Salgado de São Félix</v>
          </cell>
          <cell r="B4515">
            <v>300488</v>
          </cell>
          <cell r="C4515">
            <v>-7.3575908979999998</v>
          </cell>
          <cell r="D4515">
            <v>-35.436339359999998</v>
          </cell>
        </row>
        <row r="4516">
          <cell r="A4516" t="str">
            <v>Salgado Filho</v>
          </cell>
          <cell r="B4516">
            <v>305269</v>
          </cell>
          <cell r="C4516">
            <v>-26.178130500000002</v>
          </cell>
          <cell r="D4516">
            <v>-53.363567570000001</v>
          </cell>
        </row>
        <row r="4517">
          <cell r="A4517" t="str">
            <v>Salgueiro</v>
          </cell>
          <cell r="B4517">
            <v>300863</v>
          </cell>
          <cell r="C4517">
            <v>-8.0741565089999998</v>
          </cell>
          <cell r="D4517">
            <v>-39.12500928</v>
          </cell>
        </row>
        <row r="4518">
          <cell r="A4518" t="str">
            <v>Salinas</v>
          </cell>
          <cell r="B4518">
            <v>302145</v>
          </cell>
          <cell r="C4518">
            <v>-16.169123970000001</v>
          </cell>
          <cell r="D4518">
            <v>-42.295950380000001</v>
          </cell>
        </row>
        <row r="4519">
          <cell r="A4519" t="str">
            <v>Salinas da Margarida</v>
          </cell>
          <cell r="B4519">
            <v>301521</v>
          </cell>
          <cell r="C4519">
            <v>-12.87346374</v>
          </cell>
          <cell r="D4519">
            <v>-38.756485570000002</v>
          </cell>
        </row>
        <row r="4520">
          <cell r="A4520" t="str">
            <v>Salinópolis</v>
          </cell>
          <cell r="B4520">
            <v>301893</v>
          </cell>
          <cell r="C4520">
            <v>-0.63137489499999999</v>
          </cell>
          <cell r="D4520">
            <v>-47.347582780000003</v>
          </cell>
        </row>
        <row r="4521">
          <cell r="A4521" t="str">
            <v>Salitre</v>
          </cell>
          <cell r="B4521">
            <v>301019</v>
          </cell>
          <cell r="C4521">
            <v>-7.2842219090000002</v>
          </cell>
          <cell r="D4521">
            <v>-40.458959049999997</v>
          </cell>
        </row>
        <row r="4522">
          <cell r="A4522" t="str">
            <v>Salmourão</v>
          </cell>
          <cell r="B4522">
            <v>304479</v>
          </cell>
          <cell r="C4522">
            <v>-21.62399139</v>
          </cell>
          <cell r="D4522">
            <v>-50.860946599999998</v>
          </cell>
        </row>
        <row r="4523">
          <cell r="A4523" t="str">
            <v>Saloá</v>
          </cell>
          <cell r="B4523">
            <v>301138</v>
          </cell>
          <cell r="C4523">
            <v>-8.9727308059999995</v>
          </cell>
          <cell r="D4523">
            <v>-36.691333419999999</v>
          </cell>
        </row>
        <row r="4524">
          <cell r="A4524" t="str">
            <v>Saltinho</v>
          </cell>
          <cell r="B4524">
            <v>303914</v>
          </cell>
          <cell r="C4524">
            <v>-22.844641490000001</v>
          </cell>
          <cell r="D4524">
            <v>-47.675775029999997</v>
          </cell>
        </row>
        <row r="4525">
          <cell r="A4525" t="str">
            <v>Saltinho</v>
          </cell>
          <cell r="B4525">
            <v>305532</v>
          </cell>
          <cell r="C4525">
            <v>-26.605400270000001</v>
          </cell>
          <cell r="D4525">
            <v>-53.058214370000002</v>
          </cell>
        </row>
        <row r="4526">
          <cell r="A4526" t="str">
            <v>Salto</v>
          </cell>
          <cell r="B4526">
            <v>303759</v>
          </cell>
          <cell r="C4526">
            <v>-23.200068529999999</v>
          </cell>
          <cell r="D4526">
            <v>-47.293489530000002</v>
          </cell>
        </row>
        <row r="4527">
          <cell r="A4527" t="str">
            <v>Salto</v>
          </cell>
          <cell r="B4527">
            <v>314312</v>
          </cell>
          <cell r="C4527">
            <v>-31.380928910000002</v>
          </cell>
          <cell r="D4527">
            <v>-57.963240390000003</v>
          </cell>
        </row>
        <row r="4528">
          <cell r="A4528" t="str">
            <v>Salto da Divisa</v>
          </cell>
          <cell r="B4528">
            <v>301611</v>
          </cell>
          <cell r="C4528">
            <v>-16.006790800000001</v>
          </cell>
          <cell r="D4528">
            <v>-39.939422720000003</v>
          </cell>
        </row>
        <row r="4529">
          <cell r="A4529" t="str">
            <v>Salto de Pirapora</v>
          </cell>
          <cell r="B4529">
            <v>303770</v>
          </cell>
          <cell r="C4529">
            <v>-23.64786411</v>
          </cell>
          <cell r="D4529">
            <v>-47.574727780000003</v>
          </cell>
        </row>
        <row r="4530">
          <cell r="A4530" t="str">
            <v>Salto del Guaíra</v>
          </cell>
          <cell r="B4530">
            <v>314287</v>
          </cell>
          <cell r="C4530">
            <v>-24.0533094</v>
          </cell>
          <cell r="D4530">
            <v>-54.309800420000002</v>
          </cell>
        </row>
        <row r="4531">
          <cell r="A4531" t="str">
            <v>Salto do Céu</v>
          </cell>
          <cell r="B4531">
            <v>304624</v>
          </cell>
          <cell r="C4531">
            <v>-15.130773980000001</v>
          </cell>
          <cell r="D4531">
            <v>-58.132166460000001</v>
          </cell>
        </row>
        <row r="4532">
          <cell r="A4532" t="str">
            <v>Salto do Itararé</v>
          </cell>
          <cell r="B4532">
            <v>304210</v>
          </cell>
          <cell r="C4532">
            <v>-23.607827520000001</v>
          </cell>
          <cell r="D4532">
            <v>-49.635803199999998</v>
          </cell>
        </row>
        <row r="4533">
          <cell r="A4533" t="str">
            <v>Salto do Jacuí</v>
          </cell>
          <cell r="B4533">
            <v>305403</v>
          </cell>
          <cell r="C4533">
            <v>-29.095536939999999</v>
          </cell>
          <cell r="D4533">
            <v>-53.213788770000001</v>
          </cell>
        </row>
        <row r="4534">
          <cell r="A4534" t="str">
            <v>Salto do Lontra</v>
          </cell>
          <cell r="B4534">
            <v>305265</v>
          </cell>
          <cell r="C4534">
            <v>-25.781722890000001</v>
          </cell>
          <cell r="D4534">
            <v>-53.31397776</v>
          </cell>
        </row>
        <row r="4535">
          <cell r="A4535" t="str">
            <v>Salto Grande</v>
          </cell>
          <cell r="B4535">
            <v>303900</v>
          </cell>
          <cell r="C4535">
            <v>-22.88985765</v>
          </cell>
          <cell r="D4535">
            <v>-49.983553190000002</v>
          </cell>
        </row>
        <row r="4536">
          <cell r="A4536" t="str">
            <v>Salto Veloso</v>
          </cell>
          <cell r="B4536">
            <v>305098</v>
          </cell>
          <cell r="C4536">
            <v>-26.903465050000001</v>
          </cell>
          <cell r="D4536">
            <v>-51.404779179999998</v>
          </cell>
        </row>
        <row r="4537">
          <cell r="A4537" t="str">
            <v>Salvador</v>
          </cell>
          <cell r="B4537">
            <v>295770</v>
          </cell>
          <cell r="C4537">
            <v>-12.97268115</v>
          </cell>
          <cell r="D4537">
            <v>-38.501707680000003</v>
          </cell>
        </row>
        <row r="4538">
          <cell r="A4538" t="str">
            <v>Salvador das Missões</v>
          </cell>
          <cell r="B4538">
            <v>305796</v>
          </cell>
          <cell r="C4538">
            <v>-28.123801929999999</v>
          </cell>
          <cell r="D4538">
            <v>-54.837786430000001</v>
          </cell>
        </row>
        <row r="4539">
          <cell r="A4539" t="str">
            <v>Salvador do Sul</v>
          </cell>
          <cell r="B4539">
            <v>305507</v>
          </cell>
          <cell r="C4539">
            <v>-29.441913570000001</v>
          </cell>
          <cell r="D4539">
            <v>-51.511477540000001</v>
          </cell>
        </row>
        <row r="4540">
          <cell r="A4540" t="str">
            <v>Salvaterra</v>
          </cell>
          <cell r="B4540">
            <v>301926</v>
          </cell>
          <cell r="C4540">
            <v>-0.75881922700000004</v>
          </cell>
          <cell r="D4540">
            <v>-48.514298660000001</v>
          </cell>
        </row>
        <row r="4541">
          <cell r="A4541" t="str">
            <v>Sambaíba</v>
          </cell>
          <cell r="B4541">
            <v>301875</v>
          </cell>
          <cell r="C4541">
            <v>-7.1408912439999996</v>
          </cell>
          <cell r="D4541">
            <v>-45.34650637</v>
          </cell>
        </row>
        <row r="4542">
          <cell r="A4542" t="str">
            <v>Sampaio</v>
          </cell>
          <cell r="B4542">
            <v>301978</v>
          </cell>
          <cell r="C4542">
            <v>-5.3546340309999998</v>
          </cell>
          <cell r="D4542">
            <v>-47.878559389999999</v>
          </cell>
        </row>
        <row r="4543">
          <cell r="A4543" t="str">
            <v>San Andres</v>
          </cell>
          <cell r="B4543">
            <v>314453</v>
          </cell>
          <cell r="C4543">
            <v>-15.03463971</v>
          </cell>
          <cell r="D4543">
            <v>-64.551288639999996</v>
          </cell>
        </row>
        <row r="4544">
          <cell r="A4544" t="str">
            <v>San Carlos de Rio Negro</v>
          </cell>
          <cell r="B4544">
            <v>314433</v>
          </cell>
          <cell r="C4544">
            <v>1.85836585</v>
          </cell>
          <cell r="D4544">
            <v>-67.049546250000006</v>
          </cell>
        </row>
        <row r="4545">
          <cell r="A4545" t="str">
            <v>San Cosme y Damian</v>
          </cell>
          <cell r="B4545">
            <v>314370</v>
          </cell>
          <cell r="C4545">
            <v>-27.33086638</v>
          </cell>
          <cell r="D4545">
            <v>-56.430632320000001</v>
          </cell>
        </row>
        <row r="4546">
          <cell r="A4546" t="str">
            <v>San Estanislao</v>
          </cell>
          <cell r="B4546">
            <v>314268</v>
          </cell>
          <cell r="C4546">
            <v>-24.667439170000002</v>
          </cell>
          <cell r="D4546">
            <v>-56.438862790000002</v>
          </cell>
        </row>
        <row r="4547">
          <cell r="A4547" t="str">
            <v>San Felipe</v>
          </cell>
          <cell r="B4547">
            <v>314434</v>
          </cell>
          <cell r="C4547">
            <v>1.8461617960000001</v>
          </cell>
          <cell r="D4547">
            <v>-67.082475360000004</v>
          </cell>
        </row>
        <row r="4548">
          <cell r="A4548" t="str">
            <v>San Ignacio</v>
          </cell>
          <cell r="B4548">
            <v>314382</v>
          </cell>
          <cell r="C4548">
            <v>-26.928992059999999</v>
          </cell>
          <cell r="D4548">
            <v>-56.951198570000003</v>
          </cell>
        </row>
        <row r="4549">
          <cell r="A4549" t="str">
            <v>San Javier</v>
          </cell>
          <cell r="B4549">
            <v>314355</v>
          </cell>
          <cell r="C4549">
            <v>-30.58227475</v>
          </cell>
          <cell r="D4549">
            <v>-59.925962030000001</v>
          </cell>
        </row>
        <row r="4550">
          <cell r="A4550" t="str">
            <v>San Javier</v>
          </cell>
          <cell r="B4550">
            <v>314452</v>
          </cell>
          <cell r="C4550">
            <v>-14.65126938</v>
          </cell>
          <cell r="D4550">
            <v>-64.823631919999997</v>
          </cell>
        </row>
        <row r="4551">
          <cell r="A4551" t="str">
            <v>San Joaquim</v>
          </cell>
          <cell r="B4551">
            <v>314450</v>
          </cell>
          <cell r="C4551">
            <v>-13.03960827</v>
          </cell>
          <cell r="D4551">
            <v>-64.669888029999996</v>
          </cell>
        </row>
        <row r="4552">
          <cell r="A4552" t="str">
            <v>San Joaquín</v>
          </cell>
          <cell r="B4552">
            <v>314266</v>
          </cell>
          <cell r="C4552">
            <v>-24.992296060000001</v>
          </cell>
          <cell r="D4552">
            <v>-56.011416599999997</v>
          </cell>
        </row>
        <row r="4553">
          <cell r="A4553" t="str">
            <v>San José</v>
          </cell>
          <cell r="B4553">
            <v>314523</v>
          </cell>
          <cell r="C4553">
            <v>-25.541349749999998</v>
          </cell>
          <cell r="D4553">
            <v>-56.718892660000002</v>
          </cell>
        </row>
        <row r="4554">
          <cell r="A4554" t="str">
            <v>San José</v>
          </cell>
          <cell r="B4554">
            <v>314517</v>
          </cell>
          <cell r="C4554">
            <v>-27.75795819</v>
          </cell>
          <cell r="D4554">
            <v>-55.779886400000002</v>
          </cell>
        </row>
        <row r="4555">
          <cell r="A4555" t="str">
            <v>San José de Feliciano</v>
          </cell>
          <cell r="B4555">
            <v>314347</v>
          </cell>
          <cell r="C4555">
            <v>-30.381845179999999</v>
          </cell>
          <cell r="D4555">
            <v>-58.7500426</v>
          </cell>
        </row>
        <row r="4556">
          <cell r="A4556" t="str">
            <v>San José del Rosario</v>
          </cell>
          <cell r="B4556">
            <v>314280</v>
          </cell>
          <cell r="C4556">
            <v>-24.253194050000001</v>
          </cell>
          <cell r="D4556">
            <v>-56.892296780000002</v>
          </cell>
        </row>
        <row r="4557">
          <cell r="A4557" t="str">
            <v>San Juan Bautista</v>
          </cell>
          <cell r="B4557">
            <v>314372</v>
          </cell>
          <cell r="C4557">
            <v>-26.69803933</v>
          </cell>
          <cell r="D4557">
            <v>-57.073627289999997</v>
          </cell>
        </row>
        <row r="4558">
          <cell r="A4558" t="str">
            <v>San Juan Neembucu</v>
          </cell>
          <cell r="B4558">
            <v>314392</v>
          </cell>
          <cell r="C4558">
            <v>-26.696933649999998</v>
          </cell>
          <cell r="D4558">
            <v>-57.867453670000003</v>
          </cell>
        </row>
        <row r="4559">
          <cell r="A4559" t="str">
            <v>San Juan Nepomuceno</v>
          </cell>
          <cell r="B4559">
            <v>314331</v>
          </cell>
          <cell r="C4559">
            <v>-26.086648199999999</v>
          </cell>
          <cell r="D4559">
            <v>-55.919035289999997</v>
          </cell>
        </row>
        <row r="4560">
          <cell r="A4560" t="str">
            <v>San Lorenzo</v>
          </cell>
          <cell r="B4560">
            <v>314494</v>
          </cell>
          <cell r="C4560">
            <v>-25.358736029999999</v>
          </cell>
          <cell r="D4560">
            <v>-57.479294150000001</v>
          </cell>
        </row>
        <row r="4561">
          <cell r="A4561" t="str">
            <v>San Luis</v>
          </cell>
          <cell r="B4561">
            <v>314391</v>
          </cell>
          <cell r="C4561">
            <v>-9.0954116070000008</v>
          </cell>
          <cell r="D4561">
            <v>-77.343185919999996</v>
          </cell>
        </row>
        <row r="4562">
          <cell r="A4562" t="str">
            <v>San Luis Al Medio</v>
          </cell>
          <cell r="B4562">
            <v>314364</v>
          </cell>
          <cell r="C4562">
            <v>-33.610618260000003</v>
          </cell>
          <cell r="D4562">
            <v>-53.722022760000002</v>
          </cell>
        </row>
        <row r="4563">
          <cell r="A4563" t="str">
            <v>San Luis del Palmar</v>
          </cell>
          <cell r="B4563">
            <v>314292</v>
          </cell>
          <cell r="C4563">
            <v>-27.513890279999998</v>
          </cell>
          <cell r="D4563">
            <v>-58.55505591</v>
          </cell>
        </row>
        <row r="4564">
          <cell r="A4564" t="str">
            <v>San Miguel</v>
          </cell>
          <cell r="B4564">
            <v>314515</v>
          </cell>
          <cell r="C4564">
            <v>-26.563082489999999</v>
          </cell>
          <cell r="D4564">
            <v>-56.966223130000003</v>
          </cell>
        </row>
        <row r="4565">
          <cell r="A4565" t="str">
            <v>San Patricio</v>
          </cell>
          <cell r="B4565">
            <v>314378</v>
          </cell>
          <cell r="C4565">
            <v>-27.023265840000001</v>
          </cell>
          <cell r="D4565">
            <v>-56.757605869999999</v>
          </cell>
        </row>
        <row r="4566">
          <cell r="A4566" t="str">
            <v>San Pedro</v>
          </cell>
          <cell r="B4566">
            <v>314275</v>
          </cell>
          <cell r="C4566">
            <v>-24.090303240000001</v>
          </cell>
          <cell r="D4566">
            <v>-57.063485129999997</v>
          </cell>
        </row>
        <row r="4567">
          <cell r="A4567" t="str">
            <v>San Ranon</v>
          </cell>
          <cell r="B4567">
            <v>314451</v>
          </cell>
          <cell r="C4567">
            <v>-13.26065885</v>
          </cell>
          <cell r="D4567">
            <v>-64.616750240000002</v>
          </cell>
        </row>
        <row r="4568">
          <cell r="A4568" t="str">
            <v>San Roque</v>
          </cell>
          <cell r="B4568">
            <v>314297</v>
          </cell>
          <cell r="C4568">
            <v>-28.57771382</v>
          </cell>
          <cell r="D4568">
            <v>-58.711420580000002</v>
          </cell>
        </row>
        <row r="4569">
          <cell r="A4569" t="str">
            <v>Sananduva</v>
          </cell>
          <cell r="B4569">
            <v>305661</v>
          </cell>
          <cell r="C4569">
            <v>-27.947502759999999</v>
          </cell>
          <cell r="D4569">
            <v>-51.808397939999999</v>
          </cell>
        </row>
        <row r="4570">
          <cell r="A4570" t="str">
            <v>Sanclerlândia</v>
          </cell>
          <cell r="B4570">
            <v>302615</v>
          </cell>
          <cell r="C4570">
            <v>-16.21149849</v>
          </cell>
          <cell r="D4570">
            <v>-50.303661949999999</v>
          </cell>
        </row>
        <row r="4571">
          <cell r="A4571" t="str">
            <v>Sandolândia</v>
          </cell>
          <cell r="B4571">
            <v>302861</v>
          </cell>
          <cell r="C4571">
            <v>-12.53988345</v>
          </cell>
          <cell r="D4571">
            <v>-49.925952150000001</v>
          </cell>
        </row>
        <row r="4572">
          <cell r="A4572" t="str">
            <v>Sandovalina</v>
          </cell>
          <cell r="B4572">
            <v>304692</v>
          </cell>
          <cell r="C4572">
            <v>-22.455978900000002</v>
          </cell>
          <cell r="D4572">
            <v>-51.76296</v>
          </cell>
        </row>
        <row r="4573">
          <cell r="A4573" t="str">
            <v>Sangão</v>
          </cell>
          <cell r="B4573">
            <v>304077</v>
          </cell>
          <cell r="C4573">
            <v>-28.633122709999999</v>
          </cell>
          <cell r="D4573">
            <v>-49.132615139999999</v>
          </cell>
        </row>
        <row r="4574">
          <cell r="A4574" t="str">
            <v>Sanharó</v>
          </cell>
          <cell r="B4574">
            <v>300605</v>
          </cell>
          <cell r="C4574">
            <v>-8.3618064019999991</v>
          </cell>
          <cell r="D4574">
            <v>-36.563201900000003</v>
          </cell>
        </row>
        <row r="4575">
          <cell r="A4575" t="str">
            <v>Santa Adélia</v>
          </cell>
          <cell r="B4575">
            <v>303824</v>
          </cell>
          <cell r="C4575">
            <v>-21.24312883</v>
          </cell>
          <cell r="D4575">
            <v>-48.806746869999998</v>
          </cell>
        </row>
        <row r="4576">
          <cell r="A4576" t="str">
            <v>Santa Albertina</v>
          </cell>
          <cell r="B4576">
            <v>304368</v>
          </cell>
          <cell r="C4576">
            <v>-20.031589530000002</v>
          </cell>
          <cell r="D4576">
            <v>-50.730128710000002</v>
          </cell>
        </row>
        <row r="4577">
          <cell r="A4577" t="str">
            <v>Santa Amélia</v>
          </cell>
          <cell r="B4577">
            <v>304718</v>
          </cell>
          <cell r="C4577">
            <v>-23.265889470000001</v>
          </cell>
          <cell r="D4577">
            <v>-50.429188179999997</v>
          </cell>
        </row>
        <row r="4578">
          <cell r="A4578" t="str">
            <v>Santa Ana</v>
          </cell>
          <cell r="B4578">
            <v>314457</v>
          </cell>
          <cell r="C4578">
            <v>-13.738552329999999</v>
          </cell>
          <cell r="D4578">
            <v>-65.429427450000006</v>
          </cell>
        </row>
        <row r="4579">
          <cell r="A4579" t="str">
            <v>Santa Ana</v>
          </cell>
          <cell r="B4579">
            <v>314466</v>
          </cell>
          <cell r="C4579">
            <v>-27.365327300000001</v>
          </cell>
          <cell r="D4579">
            <v>-55.578284549999999</v>
          </cell>
        </row>
        <row r="4580">
          <cell r="A4580" t="str">
            <v>Santa Bárbara</v>
          </cell>
          <cell r="B4580">
            <v>301408</v>
          </cell>
          <cell r="C4580">
            <v>-11.95271604</v>
          </cell>
          <cell r="D4580">
            <v>-38.974756839999998</v>
          </cell>
        </row>
        <row r="4581">
          <cell r="A4581" t="str">
            <v>Santa Bárbara</v>
          </cell>
          <cell r="B4581">
            <v>302833</v>
          </cell>
          <cell r="C4581">
            <v>-19.96083247</v>
          </cell>
          <cell r="D4581">
            <v>-43.41051229</v>
          </cell>
        </row>
        <row r="4582">
          <cell r="A4582" t="str">
            <v>Santa Bárbara de Goiás</v>
          </cell>
          <cell r="B4582">
            <v>302610</v>
          </cell>
          <cell r="C4582">
            <v>-16.578876059999999</v>
          </cell>
          <cell r="D4582">
            <v>-49.70151181</v>
          </cell>
        </row>
        <row r="4583">
          <cell r="A4583" t="str">
            <v>Santa Bárbara do Leste</v>
          </cell>
          <cell r="B4583">
            <v>303565</v>
          </cell>
          <cell r="C4583">
            <v>-19.977991459999998</v>
          </cell>
          <cell r="D4583">
            <v>-42.139963399999999</v>
          </cell>
        </row>
        <row r="4584">
          <cell r="A4584" t="str">
            <v>Santa Bárbara do Monte Verde</v>
          </cell>
          <cell r="B4584">
            <v>303128</v>
          </cell>
          <cell r="C4584">
            <v>-21.95966018</v>
          </cell>
          <cell r="D4584">
            <v>-43.703101269999998</v>
          </cell>
        </row>
        <row r="4585">
          <cell r="A4585" t="str">
            <v>Santa Bárbara do Pará</v>
          </cell>
          <cell r="B4585">
            <v>301929</v>
          </cell>
          <cell r="C4585">
            <v>-1.2265219590000001</v>
          </cell>
          <cell r="D4585">
            <v>-48.295477390000002</v>
          </cell>
        </row>
        <row r="4586">
          <cell r="A4586" t="str">
            <v>Santa Bárbara do Sul</v>
          </cell>
          <cell r="B4586">
            <v>305400</v>
          </cell>
          <cell r="C4586">
            <v>-28.36580068</v>
          </cell>
          <cell r="D4586">
            <v>-53.251500810000003</v>
          </cell>
        </row>
        <row r="4587">
          <cell r="A4587" t="str">
            <v>Santa Bárbara do Tugúrio</v>
          </cell>
          <cell r="B4587">
            <v>303120</v>
          </cell>
          <cell r="C4587">
            <v>-21.24359694</v>
          </cell>
          <cell r="D4587">
            <v>-43.561117439999997</v>
          </cell>
        </row>
        <row r="4588">
          <cell r="A4588" t="str">
            <v>Santa Barbara d'Oeste</v>
          </cell>
          <cell r="B4588">
            <v>304585</v>
          </cell>
          <cell r="C4588">
            <v>-22.755730889999999</v>
          </cell>
          <cell r="D4588">
            <v>-47.414710030000002</v>
          </cell>
        </row>
        <row r="4589">
          <cell r="A4589" t="str">
            <v>Santa Branca</v>
          </cell>
          <cell r="B4589">
            <v>303295</v>
          </cell>
          <cell r="C4589">
            <v>-23.39379168</v>
          </cell>
          <cell r="D4589">
            <v>-45.887914539999997</v>
          </cell>
        </row>
        <row r="4590">
          <cell r="A4590" t="str">
            <v>Santa Brígida</v>
          </cell>
          <cell r="B4590">
            <v>301285</v>
          </cell>
          <cell r="C4590">
            <v>-9.7350398830000007</v>
          </cell>
          <cell r="D4590">
            <v>-38.128829680000003</v>
          </cell>
        </row>
        <row r="4591">
          <cell r="A4591" t="str">
            <v>Santa Carmem</v>
          </cell>
          <cell r="B4591">
            <v>304560</v>
          </cell>
          <cell r="C4591">
            <v>-11.977747000000001</v>
          </cell>
          <cell r="D4591">
            <v>-55.277352970000003</v>
          </cell>
        </row>
        <row r="4592">
          <cell r="A4592" t="str">
            <v>Santa Cecília</v>
          </cell>
          <cell r="B4592">
            <v>301317</v>
          </cell>
          <cell r="C4592">
            <v>-7.743038479</v>
          </cell>
          <cell r="D4592">
            <v>-35.879378440000004</v>
          </cell>
        </row>
        <row r="4593">
          <cell r="A4593" t="str">
            <v>Santa Cecília</v>
          </cell>
          <cell r="B4593">
            <v>305615</v>
          </cell>
          <cell r="C4593">
            <v>-26.959659219999999</v>
          </cell>
          <cell r="D4593">
            <v>-50.425606080000001</v>
          </cell>
        </row>
        <row r="4594">
          <cell r="A4594" t="str">
            <v>Santa Cecília do Pavão</v>
          </cell>
          <cell r="B4594">
            <v>304730</v>
          </cell>
          <cell r="C4594">
            <v>-23.516988640000001</v>
          </cell>
          <cell r="D4594">
            <v>-50.783945989999999</v>
          </cell>
        </row>
        <row r="4595">
          <cell r="A4595" t="str">
            <v>Santa Cecília do Sul</v>
          </cell>
          <cell r="B4595">
            <v>300389</v>
          </cell>
          <cell r="C4595">
            <v>-28.161335940000001</v>
          </cell>
          <cell r="D4595">
            <v>-51.928384950000002</v>
          </cell>
        </row>
        <row r="4596">
          <cell r="A4596" t="str">
            <v>Santa Clara do Sul</v>
          </cell>
          <cell r="B4596">
            <v>305790</v>
          </cell>
          <cell r="C4596">
            <v>-29.468980760000001</v>
          </cell>
          <cell r="D4596">
            <v>-52.087941069999999</v>
          </cell>
        </row>
        <row r="4597">
          <cell r="A4597" t="str">
            <v>Santa Clara d'Oeste</v>
          </cell>
          <cell r="B4597">
            <v>304384</v>
          </cell>
          <cell r="C4597">
            <v>-20.091962689999999</v>
          </cell>
          <cell r="D4597">
            <v>-50.927865660000002</v>
          </cell>
        </row>
        <row r="4598">
          <cell r="A4598" t="str">
            <v>Santa Cruz</v>
          </cell>
          <cell r="B4598">
            <v>300516</v>
          </cell>
          <cell r="C4598">
            <v>-6.2251651859999999</v>
          </cell>
          <cell r="D4598">
            <v>-36.019592580000001</v>
          </cell>
        </row>
        <row r="4599">
          <cell r="A4599" t="str">
            <v>Santa Cruz</v>
          </cell>
          <cell r="B4599">
            <v>300934</v>
          </cell>
          <cell r="C4599">
            <v>-6.532852525</v>
          </cell>
          <cell r="D4599">
            <v>-38.058193209999999</v>
          </cell>
        </row>
        <row r="4600">
          <cell r="A4600" t="str">
            <v>Santa Cruz</v>
          </cell>
          <cell r="B4600">
            <v>301026</v>
          </cell>
          <cell r="C4600">
            <v>-8.2409849600000005</v>
          </cell>
          <cell r="D4600">
            <v>-40.337581419999999</v>
          </cell>
        </row>
        <row r="4601">
          <cell r="A4601" t="str">
            <v>Santa Cruz Cabrália</v>
          </cell>
          <cell r="B4601">
            <v>301765</v>
          </cell>
          <cell r="C4601">
            <v>-16.282081300000002</v>
          </cell>
          <cell r="D4601">
            <v>-39.022764690000002</v>
          </cell>
        </row>
        <row r="4602">
          <cell r="A4602" t="str">
            <v>Santa Cruz da Baixa Verde</v>
          </cell>
          <cell r="B4602">
            <v>300825</v>
          </cell>
          <cell r="C4602">
            <v>-7.8210944830000004</v>
          </cell>
          <cell r="D4602">
            <v>-38.152249490000003</v>
          </cell>
        </row>
        <row r="4603">
          <cell r="A4603" t="str">
            <v>Santa Cruz da Conceição</v>
          </cell>
          <cell r="B4603">
            <v>303689</v>
          </cell>
          <cell r="C4603">
            <v>-22.141014909999999</v>
          </cell>
          <cell r="D4603">
            <v>-47.451596500000001</v>
          </cell>
        </row>
        <row r="4604">
          <cell r="A4604" t="str">
            <v>Santa Cruz da Esperança</v>
          </cell>
          <cell r="B4604">
            <v>303655</v>
          </cell>
          <cell r="C4604">
            <v>-21.295535279999999</v>
          </cell>
          <cell r="D4604">
            <v>-47.430779029999997</v>
          </cell>
        </row>
        <row r="4605">
          <cell r="A4605" t="str">
            <v>Santa Cruz da Vitória</v>
          </cell>
          <cell r="B4605">
            <v>301758</v>
          </cell>
          <cell r="C4605">
            <v>-14.96443397</v>
          </cell>
          <cell r="D4605">
            <v>-39.811835129999999</v>
          </cell>
        </row>
        <row r="4606">
          <cell r="A4606" t="str">
            <v>Santa Cruz das Palmeiras</v>
          </cell>
          <cell r="B4606">
            <v>303662</v>
          </cell>
          <cell r="C4606">
            <v>-21.823947409999999</v>
          </cell>
          <cell r="D4606">
            <v>-47.248421260000001</v>
          </cell>
        </row>
        <row r="4607">
          <cell r="A4607" t="str">
            <v>Santa Cruz de Goiás</v>
          </cell>
          <cell r="B4607">
            <v>304574</v>
          </cell>
          <cell r="C4607">
            <v>-17.315966249999999</v>
          </cell>
          <cell r="D4607">
            <v>-48.481345230000002</v>
          </cell>
        </row>
        <row r="4608">
          <cell r="A4608" t="str">
            <v>Santa Cruz de Minas</v>
          </cell>
          <cell r="B4608">
            <v>304991</v>
          </cell>
          <cell r="C4608">
            <v>-21.12462506</v>
          </cell>
          <cell r="D4608">
            <v>-44.220626770000003</v>
          </cell>
        </row>
        <row r="4609">
          <cell r="A4609" t="str">
            <v>Santa Cruz de Monte Castelo</v>
          </cell>
          <cell r="B4609">
            <v>305750</v>
          </cell>
          <cell r="C4609">
            <v>-22.957862980000002</v>
          </cell>
          <cell r="D4609">
            <v>-53.294567540000003</v>
          </cell>
        </row>
        <row r="4610">
          <cell r="A4610" t="str">
            <v>Santa Cruz de Salinas</v>
          </cell>
          <cell r="B4610">
            <v>302260</v>
          </cell>
          <cell r="C4610">
            <v>-16.09764504</v>
          </cell>
          <cell r="D4610">
            <v>-41.748641990000003</v>
          </cell>
        </row>
        <row r="4611">
          <cell r="A4611" t="str">
            <v>Santa Cruz do Arari</v>
          </cell>
          <cell r="B4611">
            <v>301928</v>
          </cell>
          <cell r="C4611">
            <v>-0.66139360999999997</v>
          </cell>
          <cell r="D4611">
            <v>-49.177520629999997</v>
          </cell>
        </row>
        <row r="4612">
          <cell r="A4612" t="str">
            <v>Santa Cruz do Capibaribe</v>
          </cell>
          <cell r="B4612">
            <v>300600</v>
          </cell>
          <cell r="C4612">
            <v>-7.948442934</v>
          </cell>
          <cell r="D4612">
            <v>-36.206390050000003</v>
          </cell>
        </row>
        <row r="4613">
          <cell r="A4613" t="str">
            <v>Santa Cruz do Escalvado</v>
          </cell>
          <cell r="B4613">
            <v>302742</v>
          </cell>
          <cell r="C4613">
            <v>-20.23771477</v>
          </cell>
          <cell r="D4613">
            <v>-42.817249740000001</v>
          </cell>
        </row>
        <row r="4614">
          <cell r="A4614" t="str">
            <v>Santa Cruz do Piauí</v>
          </cell>
          <cell r="B4614">
            <v>301054</v>
          </cell>
          <cell r="C4614">
            <v>-7.1789142930000001</v>
          </cell>
          <cell r="D4614">
            <v>-41.761268950000002</v>
          </cell>
        </row>
        <row r="4615">
          <cell r="A4615" t="str">
            <v>Santa Cruz do Rio Pardo</v>
          </cell>
          <cell r="B4615">
            <v>304425</v>
          </cell>
          <cell r="C4615">
            <v>-22.899219590000001</v>
          </cell>
          <cell r="D4615">
            <v>-49.635860989999998</v>
          </cell>
        </row>
        <row r="4616">
          <cell r="A4616" t="str">
            <v>Santa Cruz do Sul</v>
          </cell>
          <cell r="B4616">
            <v>305554</v>
          </cell>
          <cell r="C4616">
            <v>-29.722496580000001</v>
          </cell>
          <cell r="D4616">
            <v>-52.43477867</v>
          </cell>
        </row>
        <row r="4617">
          <cell r="A4617" t="str">
            <v>Santa Cruz do Xingu</v>
          </cell>
          <cell r="B4617">
            <v>300372</v>
          </cell>
          <cell r="C4617">
            <v>-10.153580679999999</v>
          </cell>
          <cell r="D4617">
            <v>-52.39575438</v>
          </cell>
        </row>
        <row r="4618">
          <cell r="A4618" t="str">
            <v>Santa Cruz dos Milagres</v>
          </cell>
          <cell r="B4618">
            <v>301785</v>
          </cell>
          <cell r="C4618">
            <v>-5.806215162</v>
          </cell>
          <cell r="D4618">
            <v>-41.950981329999998</v>
          </cell>
        </row>
        <row r="4619">
          <cell r="A4619" t="str">
            <v>Santa Efigênia de Minas</v>
          </cell>
          <cell r="B4619">
            <v>302683</v>
          </cell>
          <cell r="C4619">
            <v>-18.823935899999999</v>
          </cell>
          <cell r="D4619">
            <v>-42.439189919999997</v>
          </cell>
        </row>
        <row r="4620">
          <cell r="A4620" t="str">
            <v>Santa Ernestina</v>
          </cell>
          <cell r="B4620">
            <v>303803</v>
          </cell>
          <cell r="C4620">
            <v>-21.462990860000001</v>
          </cell>
          <cell r="D4620">
            <v>-48.390950400000001</v>
          </cell>
        </row>
        <row r="4621">
          <cell r="A4621" t="str">
            <v>Santa Fé</v>
          </cell>
          <cell r="B4621">
            <v>304703</v>
          </cell>
          <cell r="C4621">
            <v>-23.040457150000002</v>
          </cell>
          <cell r="D4621">
            <v>-51.808445059999997</v>
          </cell>
        </row>
        <row r="4622">
          <cell r="A4622" t="str">
            <v>Santa Fé de Goiás</v>
          </cell>
          <cell r="B4622">
            <v>304982</v>
          </cell>
          <cell r="C4622">
            <v>-15.766869570000001</v>
          </cell>
          <cell r="D4622">
            <v>-51.104114129999999</v>
          </cell>
        </row>
        <row r="4623">
          <cell r="A4623" t="str">
            <v>Santa Fé de Minas</v>
          </cell>
          <cell r="B4623">
            <v>302586</v>
          </cell>
          <cell r="C4623">
            <v>-16.693693379999999</v>
          </cell>
          <cell r="D4623">
            <v>-45.414803040000002</v>
          </cell>
        </row>
        <row r="4624">
          <cell r="A4624" t="str">
            <v>Santa Fé do Araguaia</v>
          </cell>
          <cell r="B4624">
            <v>302027</v>
          </cell>
          <cell r="C4624">
            <v>-7.1543324840000002</v>
          </cell>
          <cell r="D4624">
            <v>-48.692098350000002</v>
          </cell>
        </row>
        <row r="4625">
          <cell r="A4625" t="str">
            <v>Santa Fé do Sul</v>
          </cell>
          <cell r="B4625">
            <v>304388</v>
          </cell>
          <cell r="C4625">
            <v>-20.208710589999999</v>
          </cell>
          <cell r="D4625">
            <v>-50.93237542</v>
          </cell>
        </row>
        <row r="4626">
          <cell r="A4626" t="str">
            <v>Santa Filomena</v>
          </cell>
          <cell r="B4626">
            <v>302074</v>
          </cell>
          <cell r="C4626">
            <v>-9.1175174840000004</v>
          </cell>
          <cell r="D4626">
            <v>-45.918208999999997</v>
          </cell>
        </row>
        <row r="4627">
          <cell r="A4627" t="str">
            <v>Santa Filomena</v>
          </cell>
          <cell r="B4627">
            <v>301030</v>
          </cell>
          <cell r="C4627">
            <v>-8.1604523350000004</v>
          </cell>
          <cell r="D4627">
            <v>-40.611918629999998</v>
          </cell>
        </row>
        <row r="4628">
          <cell r="A4628" t="str">
            <v>Santa Filomena do Maranhão</v>
          </cell>
          <cell r="B4628">
            <v>302448</v>
          </cell>
          <cell r="C4628">
            <v>-5.4980756529999999</v>
          </cell>
          <cell r="D4628">
            <v>-44.559072999999998</v>
          </cell>
        </row>
        <row r="4629">
          <cell r="A4629" t="str">
            <v>Santa Gertrudes</v>
          </cell>
          <cell r="B4629">
            <v>304580</v>
          </cell>
          <cell r="C4629">
            <v>-22.457702699999999</v>
          </cell>
          <cell r="D4629">
            <v>-47.527561910000003</v>
          </cell>
        </row>
        <row r="4630">
          <cell r="A4630" t="str">
            <v>Santa Helena</v>
          </cell>
          <cell r="B4630">
            <v>301712</v>
          </cell>
          <cell r="C4630">
            <v>-2.233972633</v>
          </cell>
          <cell r="D4630">
            <v>-45.301073770000002</v>
          </cell>
        </row>
        <row r="4631">
          <cell r="A4631" t="str">
            <v>Santa Helena</v>
          </cell>
          <cell r="B4631">
            <v>300999</v>
          </cell>
          <cell r="C4631">
            <v>-6.7180147019999996</v>
          </cell>
          <cell r="D4631">
            <v>-38.643014880000003</v>
          </cell>
        </row>
        <row r="4632">
          <cell r="A4632" t="str">
            <v>Santa Helena</v>
          </cell>
          <cell r="B4632">
            <v>305024</v>
          </cell>
          <cell r="C4632">
            <v>-24.858954950000001</v>
          </cell>
          <cell r="D4632">
            <v>-54.336462449999999</v>
          </cell>
        </row>
        <row r="4633">
          <cell r="A4633" t="str">
            <v>Santa Helena</v>
          </cell>
          <cell r="B4633">
            <v>305353</v>
          </cell>
          <cell r="C4633">
            <v>-26.93743306</v>
          </cell>
          <cell r="D4633">
            <v>-53.621895129999999</v>
          </cell>
        </row>
        <row r="4634">
          <cell r="A4634" t="str">
            <v>Santa Helena de Goiás</v>
          </cell>
          <cell r="B4634">
            <v>304337</v>
          </cell>
          <cell r="C4634">
            <v>-17.811971700000001</v>
          </cell>
          <cell r="D4634">
            <v>-50.598073460000002</v>
          </cell>
        </row>
        <row r="4635">
          <cell r="A4635" t="str">
            <v>Santa Helena de Minas</v>
          </cell>
          <cell r="B4635">
            <v>303595</v>
          </cell>
          <cell r="C4635">
            <v>-16.937299580000001</v>
          </cell>
          <cell r="D4635">
            <v>-40.684236380000002</v>
          </cell>
        </row>
        <row r="4636">
          <cell r="A4636" t="str">
            <v>Santa Inês</v>
          </cell>
          <cell r="B4636">
            <v>301735</v>
          </cell>
          <cell r="C4636">
            <v>-13.29538258</v>
          </cell>
          <cell r="D4636">
            <v>-39.821469550000003</v>
          </cell>
        </row>
        <row r="4637">
          <cell r="A4637" t="str">
            <v>Santa Inês</v>
          </cell>
          <cell r="B4637">
            <v>300855</v>
          </cell>
          <cell r="C4637">
            <v>-7.6267920150000004</v>
          </cell>
          <cell r="D4637">
            <v>-38.559345720000003</v>
          </cell>
        </row>
        <row r="4638">
          <cell r="A4638" t="str">
            <v>Santa Inês</v>
          </cell>
          <cell r="B4638">
            <v>303581</v>
          </cell>
          <cell r="C4638">
            <v>-3.6515108110000001</v>
          </cell>
          <cell r="D4638">
            <v>-45.377808860000002</v>
          </cell>
        </row>
        <row r="4639">
          <cell r="A4639" t="str">
            <v>Santa Inês</v>
          </cell>
          <cell r="B4639">
            <v>304699</v>
          </cell>
          <cell r="C4639">
            <v>-22.640747470000001</v>
          </cell>
          <cell r="D4639">
            <v>-51.902943460000003</v>
          </cell>
        </row>
        <row r="4640">
          <cell r="A4640" t="str">
            <v>Santa Isabel</v>
          </cell>
          <cell r="B4640">
            <v>303928</v>
          </cell>
          <cell r="C4640">
            <v>-23.317673599999999</v>
          </cell>
          <cell r="D4640">
            <v>-46.224063620000003</v>
          </cell>
        </row>
        <row r="4641">
          <cell r="A4641" t="str">
            <v>Santa Isabel</v>
          </cell>
          <cell r="B4641">
            <v>304880</v>
          </cell>
          <cell r="C4641">
            <v>-15.297822350000001</v>
          </cell>
          <cell r="D4641">
            <v>-49.425015139999999</v>
          </cell>
        </row>
        <row r="4642">
          <cell r="A4642" t="str">
            <v>Santa Isabel do Ivaí</v>
          </cell>
          <cell r="B4642">
            <v>304856</v>
          </cell>
          <cell r="C4642">
            <v>-22.9992397</v>
          </cell>
          <cell r="D4642">
            <v>-53.197579730000001</v>
          </cell>
        </row>
        <row r="4643">
          <cell r="A4643" t="str">
            <v>Santa Isabel do Pará</v>
          </cell>
          <cell r="B4643">
            <v>301915</v>
          </cell>
          <cell r="C4643">
            <v>-1.2982253939999999</v>
          </cell>
          <cell r="D4643">
            <v>-48.156997560000001</v>
          </cell>
        </row>
        <row r="4644">
          <cell r="A4644" t="str">
            <v>Santa Isabel do Rio Negro</v>
          </cell>
          <cell r="B4644">
            <v>304250</v>
          </cell>
          <cell r="C4644">
            <v>-0.41119632499999997</v>
          </cell>
          <cell r="D4644">
            <v>-65.009665319999996</v>
          </cell>
        </row>
        <row r="4645">
          <cell r="A4645" t="str">
            <v>Santa Izabel do Oeste</v>
          </cell>
          <cell r="B4645">
            <v>305329</v>
          </cell>
          <cell r="C4645">
            <v>-25.82211745</v>
          </cell>
          <cell r="D4645">
            <v>-53.480596920000004</v>
          </cell>
        </row>
        <row r="4646">
          <cell r="A4646" t="str">
            <v>Santa Juliana</v>
          </cell>
          <cell r="B4646">
            <v>303695</v>
          </cell>
          <cell r="C4646">
            <v>-19.310988519999999</v>
          </cell>
          <cell r="D4646">
            <v>-47.529442459999999</v>
          </cell>
        </row>
        <row r="4647">
          <cell r="A4647" t="str">
            <v>Santa Leopoldina</v>
          </cell>
          <cell r="B4647">
            <v>302514</v>
          </cell>
          <cell r="C4647">
            <v>-20.100394850000001</v>
          </cell>
          <cell r="D4647">
            <v>-40.527344900000003</v>
          </cell>
        </row>
        <row r="4648">
          <cell r="A4648" t="str">
            <v>Santa Lúcia</v>
          </cell>
          <cell r="B4648">
            <v>303681</v>
          </cell>
          <cell r="C4648">
            <v>-21.68499044</v>
          </cell>
          <cell r="D4648">
            <v>-48.083950799999997</v>
          </cell>
        </row>
        <row r="4649">
          <cell r="A4649" t="str">
            <v>Santa Lúcia</v>
          </cell>
          <cell r="B4649">
            <v>305324</v>
          </cell>
          <cell r="C4649">
            <v>-25.41081939</v>
          </cell>
          <cell r="D4649">
            <v>-53.564245880000001</v>
          </cell>
        </row>
        <row r="4650">
          <cell r="A4650" t="str">
            <v>Santa Luz</v>
          </cell>
          <cell r="B4650">
            <v>302285</v>
          </cell>
          <cell r="C4650">
            <v>-8.9492180609999998</v>
          </cell>
          <cell r="D4650">
            <v>-44.129921359999997</v>
          </cell>
        </row>
        <row r="4651">
          <cell r="A4651" t="str">
            <v>Santa Luzia</v>
          </cell>
          <cell r="B4651">
            <v>301761</v>
          </cell>
          <cell r="C4651">
            <v>-15.43464998</v>
          </cell>
          <cell r="D4651">
            <v>-39.329007369999999</v>
          </cell>
        </row>
        <row r="4652">
          <cell r="A4652" t="str">
            <v>Santa Luzia</v>
          </cell>
          <cell r="B4652">
            <v>301768</v>
          </cell>
          <cell r="C4652">
            <v>-4.0691210870000001</v>
          </cell>
          <cell r="D4652">
            <v>-45.690387029999997</v>
          </cell>
        </row>
        <row r="4653">
          <cell r="A4653" t="str">
            <v>Santa Luzia</v>
          </cell>
          <cell r="B4653">
            <v>300768</v>
          </cell>
          <cell r="C4653">
            <v>-6.8697374269999996</v>
          </cell>
          <cell r="D4653">
            <v>-36.918841870000001</v>
          </cell>
        </row>
        <row r="4654">
          <cell r="A4654" t="str">
            <v>Santa Luzia</v>
          </cell>
          <cell r="B4654">
            <v>302825</v>
          </cell>
          <cell r="C4654">
            <v>-19.755296779999998</v>
          </cell>
          <cell r="D4654">
            <v>-43.850027879999999</v>
          </cell>
        </row>
        <row r="4655">
          <cell r="A4655" t="str">
            <v>Santa Luzia do Itanhy</v>
          </cell>
          <cell r="B4655">
            <v>301261</v>
          </cell>
          <cell r="C4655">
            <v>-11.35115311</v>
          </cell>
          <cell r="D4655">
            <v>-37.46115348</v>
          </cell>
        </row>
        <row r="4656">
          <cell r="A4656" t="str">
            <v>Santa Luzia do Norte</v>
          </cell>
          <cell r="B4656">
            <v>301145</v>
          </cell>
          <cell r="C4656">
            <v>-9.6041343240000003</v>
          </cell>
          <cell r="D4656">
            <v>-35.823492539999997</v>
          </cell>
        </row>
        <row r="4657">
          <cell r="A4657" t="str">
            <v>Santa Luzia do Pará</v>
          </cell>
          <cell r="B4657">
            <v>301888</v>
          </cell>
          <cell r="C4657">
            <v>-1.5218499009999999</v>
          </cell>
          <cell r="D4657">
            <v>-46.90119687</v>
          </cell>
        </row>
        <row r="4658">
          <cell r="A4658" t="str">
            <v>Santa Luzia do Paruá</v>
          </cell>
          <cell r="B4658">
            <v>301717</v>
          </cell>
          <cell r="C4658">
            <v>-2.5442292320000002</v>
          </cell>
          <cell r="D4658">
            <v>-45.775084040000003</v>
          </cell>
        </row>
        <row r="4659">
          <cell r="A4659" t="str">
            <v>Santa Luzia D'Oeste</v>
          </cell>
          <cell r="B4659">
            <v>304289</v>
          </cell>
          <cell r="C4659">
            <v>-11.90777441</v>
          </cell>
          <cell r="D4659">
            <v>-61.778141679999997</v>
          </cell>
        </row>
        <row r="4660">
          <cell r="A4660" t="str">
            <v>Santa Margarida</v>
          </cell>
          <cell r="B4660">
            <v>302908</v>
          </cell>
          <cell r="C4660">
            <v>-20.3843335</v>
          </cell>
          <cell r="D4660">
            <v>-42.252274049999997</v>
          </cell>
        </row>
        <row r="4661">
          <cell r="A4661" t="str">
            <v>Santa Margarida do Sul</v>
          </cell>
          <cell r="B4661">
            <v>300406</v>
          </cell>
          <cell r="C4661">
            <v>-30.33975367</v>
          </cell>
          <cell r="D4661">
            <v>-54.082193070000002</v>
          </cell>
        </row>
        <row r="4662">
          <cell r="A4662" t="str">
            <v>Santa Maria</v>
          </cell>
          <cell r="B4662">
            <v>300505</v>
          </cell>
          <cell r="C4662">
            <v>-5.8384328630000004</v>
          </cell>
          <cell r="D4662">
            <v>-35.691701950000002</v>
          </cell>
        </row>
        <row r="4663">
          <cell r="A4663" t="str">
            <v>Santa Maria</v>
          </cell>
          <cell r="B4663">
            <v>305705</v>
          </cell>
          <cell r="C4663">
            <v>-29.687287680000001</v>
          </cell>
          <cell r="D4663">
            <v>-53.815415219999998</v>
          </cell>
        </row>
        <row r="4664">
          <cell r="A4664" t="str">
            <v>Santa Maria</v>
          </cell>
          <cell r="B4664">
            <v>314374</v>
          </cell>
          <cell r="C4664">
            <v>-26.814202179999999</v>
          </cell>
          <cell r="D4664">
            <v>-56.867302619999997</v>
          </cell>
        </row>
        <row r="4665">
          <cell r="A4665" t="str">
            <v>Santa Maria da Boa Vista</v>
          </cell>
          <cell r="B4665">
            <v>301298</v>
          </cell>
          <cell r="C4665">
            <v>-8.7980811459999995</v>
          </cell>
          <cell r="D4665">
            <v>-39.824380830000003</v>
          </cell>
        </row>
        <row r="4666">
          <cell r="A4666" t="str">
            <v>Santa Maria da Serra</v>
          </cell>
          <cell r="B4666">
            <v>303924</v>
          </cell>
          <cell r="C4666">
            <v>-22.56656044</v>
          </cell>
          <cell r="D4666">
            <v>-48.15969441</v>
          </cell>
        </row>
        <row r="4667">
          <cell r="A4667" t="str">
            <v>Santa Maria da Vitória</v>
          </cell>
          <cell r="B4667">
            <v>302160</v>
          </cell>
          <cell r="C4667">
            <v>-13.38631208</v>
          </cell>
          <cell r="D4667">
            <v>-44.20141727</v>
          </cell>
        </row>
        <row r="4668">
          <cell r="A4668" t="str">
            <v>Santa Maria das Barreiras</v>
          </cell>
          <cell r="B4668">
            <v>302249</v>
          </cell>
          <cell r="C4668">
            <v>-8.8589945829999994</v>
          </cell>
          <cell r="D4668">
            <v>-49.720839769999998</v>
          </cell>
        </row>
        <row r="4669">
          <cell r="A4669" t="str">
            <v>Santa Maria de Itabira</v>
          </cell>
          <cell r="B4669">
            <v>304903</v>
          </cell>
          <cell r="C4669">
            <v>-19.448992480000001</v>
          </cell>
          <cell r="D4669">
            <v>-43.112960630000003</v>
          </cell>
        </row>
        <row r="4670">
          <cell r="A4670" t="str">
            <v>Santa Maria de Jetibá</v>
          </cell>
          <cell r="B4670">
            <v>302517</v>
          </cell>
          <cell r="C4670">
            <v>-20.025776109999999</v>
          </cell>
          <cell r="D4670">
            <v>-40.744279319999997</v>
          </cell>
        </row>
        <row r="4671">
          <cell r="A4671" t="str">
            <v>Santa María del Nieva</v>
          </cell>
          <cell r="B4671">
            <v>314504</v>
          </cell>
          <cell r="C4671">
            <v>-4.5953161009999999</v>
          </cell>
          <cell r="D4671">
            <v>-77.875056330000007</v>
          </cell>
        </row>
        <row r="4672">
          <cell r="A4672" t="str">
            <v>Santa Maria do Cambucá</v>
          </cell>
          <cell r="B4672">
            <v>301319</v>
          </cell>
          <cell r="C4672">
            <v>-7.8329900229999998</v>
          </cell>
          <cell r="D4672">
            <v>-35.881345080000003</v>
          </cell>
        </row>
        <row r="4673">
          <cell r="A4673" t="str">
            <v>Santa Maria do Herval</v>
          </cell>
          <cell r="B4673">
            <v>305470</v>
          </cell>
          <cell r="C4673">
            <v>-29.491162859999999</v>
          </cell>
          <cell r="D4673">
            <v>-50.98862287</v>
          </cell>
        </row>
        <row r="4674">
          <cell r="A4674" t="str">
            <v>Santa Maria do Oeste</v>
          </cell>
          <cell r="B4674">
            <v>304831</v>
          </cell>
          <cell r="C4674">
            <v>-24.938169479999999</v>
          </cell>
          <cell r="D4674">
            <v>-51.870001809999998</v>
          </cell>
        </row>
        <row r="4675">
          <cell r="A4675" t="str">
            <v>Santa Maria do Pará</v>
          </cell>
          <cell r="B4675">
            <v>301907</v>
          </cell>
          <cell r="C4675">
            <v>-1.3486064900000001</v>
          </cell>
          <cell r="D4675">
            <v>-47.573887800000001</v>
          </cell>
        </row>
        <row r="4676">
          <cell r="A4676" t="str">
            <v>Santa Maria do Salto</v>
          </cell>
          <cell r="B4676">
            <v>302391</v>
          </cell>
          <cell r="C4676">
            <v>-16.248359610000001</v>
          </cell>
          <cell r="D4676">
            <v>-40.151500660000004</v>
          </cell>
        </row>
        <row r="4677">
          <cell r="A4677" t="str">
            <v>Santa Maria do Suaçuí</v>
          </cell>
          <cell r="B4677">
            <v>303032</v>
          </cell>
          <cell r="C4677">
            <v>-18.188933349999999</v>
          </cell>
          <cell r="D4677">
            <v>-42.419359589999999</v>
          </cell>
        </row>
        <row r="4678">
          <cell r="A4678" t="str">
            <v>Santa Maria do Tocantins</v>
          </cell>
          <cell r="B4678">
            <v>302596</v>
          </cell>
          <cell r="C4678">
            <v>-8.7760271539999994</v>
          </cell>
          <cell r="D4678">
            <v>-47.748116330000002</v>
          </cell>
        </row>
        <row r="4679">
          <cell r="A4679" t="str">
            <v>Santa Maria Madalena</v>
          </cell>
          <cell r="B4679">
            <v>304922</v>
          </cell>
          <cell r="C4679">
            <v>-21.955144959999998</v>
          </cell>
          <cell r="D4679">
            <v>-42.010207119999997</v>
          </cell>
        </row>
        <row r="4680">
          <cell r="A4680" t="str">
            <v>Santa Mariana</v>
          </cell>
          <cell r="B4680">
            <v>304719</v>
          </cell>
          <cell r="C4680">
            <v>-23.146987920000001</v>
          </cell>
          <cell r="D4680">
            <v>-50.51715136</v>
          </cell>
        </row>
        <row r="4681">
          <cell r="A4681" t="str">
            <v>Santa Mercedes</v>
          </cell>
          <cell r="B4681">
            <v>305565</v>
          </cell>
          <cell r="C4681">
            <v>-21.350905210000001</v>
          </cell>
          <cell r="D4681">
            <v>-51.754857379999997</v>
          </cell>
        </row>
        <row r="4682">
          <cell r="A4682" t="str">
            <v>Santa Mônica</v>
          </cell>
          <cell r="B4682">
            <v>305526</v>
          </cell>
          <cell r="C4682">
            <v>-23.108465729999999</v>
          </cell>
          <cell r="D4682">
            <v>-53.110736160000002</v>
          </cell>
        </row>
        <row r="4683">
          <cell r="A4683" t="str">
            <v>Santa Quitéria</v>
          </cell>
          <cell r="B4683">
            <v>300870</v>
          </cell>
          <cell r="C4683">
            <v>-4.3359030709999997</v>
          </cell>
          <cell r="D4683">
            <v>-40.154563150000001</v>
          </cell>
        </row>
        <row r="4684">
          <cell r="A4684" t="str">
            <v>Santa Quitéria do Maranhão</v>
          </cell>
          <cell r="B4684">
            <v>301639</v>
          </cell>
          <cell r="C4684">
            <v>-3.4985399670000001</v>
          </cell>
          <cell r="D4684">
            <v>-42.560510409999999</v>
          </cell>
        </row>
        <row r="4685">
          <cell r="A4685" t="str">
            <v>Santa Rita</v>
          </cell>
          <cell r="B4685">
            <v>300417</v>
          </cell>
          <cell r="C4685">
            <v>-7.1511925009999997</v>
          </cell>
          <cell r="D4685">
            <v>-34.970712169999999</v>
          </cell>
        </row>
        <row r="4686">
          <cell r="A4686" t="str">
            <v>Santa Rita</v>
          </cell>
          <cell r="B4686">
            <v>301683</v>
          </cell>
          <cell r="C4686">
            <v>-3.1375357909999999</v>
          </cell>
          <cell r="D4686">
            <v>-44.325996830000001</v>
          </cell>
        </row>
        <row r="4687">
          <cell r="A4687" t="str">
            <v>Santa Rita de Caldas</v>
          </cell>
          <cell r="B4687">
            <v>303533</v>
          </cell>
          <cell r="C4687">
            <v>-22.02966726</v>
          </cell>
          <cell r="D4687">
            <v>-46.338893720000002</v>
          </cell>
        </row>
        <row r="4688">
          <cell r="A4688" t="str">
            <v>Santa Rita de Cássia</v>
          </cell>
          <cell r="B4688">
            <v>302081</v>
          </cell>
          <cell r="C4688">
            <v>-10.996152759999999</v>
          </cell>
          <cell r="D4688">
            <v>-44.5213763</v>
          </cell>
        </row>
        <row r="4689">
          <cell r="A4689" t="str">
            <v>Santa Rita de Ibitipoca</v>
          </cell>
          <cell r="B4689">
            <v>303129</v>
          </cell>
          <cell r="C4689">
            <v>-21.566306310000002</v>
          </cell>
          <cell r="D4689">
            <v>-43.916652759999998</v>
          </cell>
        </row>
        <row r="4690">
          <cell r="A4690" t="str">
            <v>Santa Rita de Jacutinga</v>
          </cell>
          <cell r="B4690">
            <v>303180</v>
          </cell>
          <cell r="C4690">
            <v>-22.147866929999999</v>
          </cell>
          <cell r="D4690">
            <v>-44.09807756</v>
          </cell>
        </row>
        <row r="4691">
          <cell r="A4691" t="str">
            <v>Santa Rita de Minas</v>
          </cell>
          <cell r="B4691">
            <v>302899</v>
          </cell>
          <cell r="C4691">
            <v>-19.873234310000001</v>
          </cell>
          <cell r="D4691">
            <v>-42.132615700000002</v>
          </cell>
        </row>
        <row r="4692">
          <cell r="A4692" t="str">
            <v>Santa Rita do Araguaia</v>
          </cell>
          <cell r="B4692">
            <v>304787</v>
          </cell>
          <cell r="C4692">
            <v>-17.327354639999999</v>
          </cell>
          <cell r="D4692">
            <v>-53.201659739999997</v>
          </cell>
        </row>
        <row r="4693">
          <cell r="A4693" t="str">
            <v>Santa Rita do Itueto</v>
          </cell>
          <cell r="B4693">
            <v>302530</v>
          </cell>
          <cell r="C4693">
            <v>-19.358125130000001</v>
          </cell>
          <cell r="D4693">
            <v>-41.382435510000001</v>
          </cell>
        </row>
        <row r="4694">
          <cell r="A4694" t="str">
            <v>Santa Rita do Novo Destino</v>
          </cell>
          <cell r="B4694">
            <v>302808</v>
          </cell>
          <cell r="C4694">
            <v>-15.13522614</v>
          </cell>
          <cell r="D4694">
            <v>-49.118864209999998</v>
          </cell>
        </row>
        <row r="4695">
          <cell r="A4695" t="str">
            <v>Santa Rita do Pardo</v>
          </cell>
          <cell r="B4695">
            <v>304841</v>
          </cell>
          <cell r="C4695">
            <v>-21.302060969999999</v>
          </cell>
          <cell r="D4695">
            <v>-52.833769940000003</v>
          </cell>
        </row>
        <row r="4696">
          <cell r="A4696" t="str">
            <v>Santa Rita do Passa Quatro</v>
          </cell>
          <cell r="B4696">
            <v>303664</v>
          </cell>
          <cell r="C4696">
            <v>-21.708794489999999</v>
          </cell>
          <cell r="D4696">
            <v>-47.478399469999999</v>
          </cell>
        </row>
        <row r="4697">
          <cell r="A4697" t="str">
            <v>Santa Rita do Sapucaí</v>
          </cell>
          <cell r="B4697">
            <v>303466</v>
          </cell>
          <cell r="C4697">
            <v>-22.246618479999999</v>
          </cell>
          <cell r="D4697">
            <v>-45.703793990000001</v>
          </cell>
        </row>
        <row r="4698">
          <cell r="A4698" t="str">
            <v>Santa Rita do Tocantins</v>
          </cell>
          <cell r="B4698">
            <v>302258</v>
          </cell>
          <cell r="C4698">
            <v>-10.86411728</v>
          </cell>
          <cell r="D4698">
            <v>-48.908397489999999</v>
          </cell>
        </row>
        <row r="4699">
          <cell r="A4699" t="str">
            <v>Santa Rita do Trivelato</v>
          </cell>
          <cell r="B4699">
            <v>300946</v>
          </cell>
          <cell r="C4699">
            <v>-13.81618696</v>
          </cell>
          <cell r="D4699">
            <v>-55.274121659999999</v>
          </cell>
        </row>
        <row r="4700">
          <cell r="A4700" t="str">
            <v>Santa Rita d'Oeste</v>
          </cell>
          <cell r="B4700">
            <v>304370</v>
          </cell>
          <cell r="C4700">
            <v>-20.14299351</v>
          </cell>
          <cell r="D4700">
            <v>-50.832947169999997</v>
          </cell>
        </row>
        <row r="4701">
          <cell r="A4701" t="str">
            <v>Santa Rosa</v>
          </cell>
          <cell r="B4701">
            <v>305450</v>
          </cell>
          <cell r="C4701">
            <v>-27.870665760000001</v>
          </cell>
          <cell r="D4701">
            <v>-54.480094190000003</v>
          </cell>
        </row>
        <row r="4702">
          <cell r="A4702" t="str">
            <v>Santa Rosa</v>
          </cell>
          <cell r="B4702">
            <v>314376</v>
          </cell>
          <cell r="C4702">
            <v>-26.91712665</v>
          </cell>
          <cell r="D4702">
            <v>-56.770118500000002</v>
          </cell>
        </row>
        <row r="4703">
          <cell r="A4703" t="str">
            <v>Santa Rosa da Serra</v>
          </cell>
          <cell r="B4703">
            <v>303016</v>
          </cell>
          <cell r="C4703">
            <v>-19.52631337</v>
          </cell>
          <cell r="D4703">
            <v>-45.966249830000002</v>
          </cell>
        </row>
        <row r="4704">
          <cell r="A4704" t="str">
            <v>Santa Rosa de Goiás</v>
          </cell>
          <cell r="B4704">
            <v>304888</v>
          </cell>
          <cell r="C4704">
            <v>-16.084347449999999</v>
          </cell>
          <cell r="D4704">
            <v>-49.493228260000002</v>
          </cell>
        </row>
        <row r="4705">
          <cell r="A4705" t="str">
            <v>Santa Rosa de Lima</v>
          </cell>
          <cell r="B4705">
            <v>304063</v>
          </cell>
          <cell r="C4705">
            <v>-28.033607490000001</v>
          </cell>
          <cell r="D4705">
            <v>-49.133474710000002</v>
          </cell>
        </row>
        <row r="4706">
          <cell r="A4706" t="str">
            <v>Santa Rosa de Lima</v>
          </cell>
          <cell r="B4706">
            <v>301239</v>
          </cell>
          <cell r="C4706">
            <v>-10.64380117</v>
          </cell>
          <cell r="D4706">
            <v>-37.193430630000002</v>
          </cell>
        </row>
        <row r="4707">
          <cell r="A4707" t="str">
            <v>Santa Rosa de Viterbo</v>
          </cell>
          <cell r="B4707">
            <v>303656</v>
          </cell>
          <cell r="C4707">
            <v>-21.478039030000001</v>
          </cell>
          <cell r="D4707">
            <v>-47.36261107</v>
          </cell>
        </row>
        <row r="4708">
          <cell r="A4708" t="str">
            <v>Santa Rosa do Piauí</v>
          </cell>
          <cell r="B4708">
            <v>301806</v>
          </cell>
          <cell r="C4708">
            <v>-6.7962227180000001</v>
          </cell>
          <cell r="D4708">
            <v>-42.281715220000002</v>
          </cell>
        </row>
        <row r="4709">
          <cell r="A4709" t="str">
            <v>Santa Rosa do Purus</v>
          </cell>
          <cell r="B4709">
            <v>305864</v>
          </cell>
          <cell r="C4709">
            <v>-9.446908573</v>
          </cell>
          <cell r="D4709">
            <v>-70.490736190000007</v>
          </cell>
        </row>
        <row r="4710">
          <cell r="A4710" t="str">
            <v>Santa Rosa do Sul</v>
          </cell>
          <cell r="B4710">
            <v>304121</v>
          </cell>
          <cell r="C4710">
            <v>-29.136451130000001</v>
          </cell>
          <cell r="D4710">
            <v>-49.714844730000003</v>
          </cell>
        </row>
        <row r="4711">
          <cell r="A4711" t="str">
            <v>Santa Rosa do Tocantins</v>
          </cell>
          <cell r="B4711">
            <v>302222</v>
          </cell>
          <cell r="C4711">
            <v>-11.447565470000001</v>
          </cell>
          <cell r="D4711">
            <v>-48.119055189999997</v>
          </cell>
        </row>
        <row r="4712">
          <cell r="A4712" t="str">
            <v>Santa Salete</v>
          </cell>
          <cell r="B4712">
            <v>304372</v>
          </cell>
          <cell r="C4712">
            <v>-20.244993319999999</v>
          </cell>
          <cell r="D4712">
            <v>-50.687947350000002</v>
          </cell>
        </row>
        <row r="4713">
          <cell r="A4713" t="str">
            <v>Santa Teresa</v>
          </cell>
          <cell r="B4713">
            <v>302513</v>
          </cell>
          <cell r="C4713">
            <v>-19.93681904</v>
          </cell>
          <cell r="D4713">
            <v>-40.598292059999999</v>
          </cell>
        </row>
        <row r="4714">
          <cell r="A4714" t="str">
            <v>Santa Teresinha</v>
          </cell>
          <cell r="B4714">
            <v>301722</v>
          </cell>
          <cell r="C4714">
            <v>-12.76959553</v>
          </cell>
          <cell r="D4714">
            <v>-39.522702819999999</v>
          </cell>
        </row>
        <row r="4715">
          <cell r="A4715" t="str">
            <v>Santa Teresinha</v>
          </cell>
          <cell r="B4715">
            <v>300619</v>
          </cell>
          <cell r="C4715">
            <v>-7.0842266140000003</v>
          </cell>
          <cell r="D4715">
            <v>-37.443998520000001</v>
          </cell>
        </row>
        <row r="4716">
          <cell r="A4716" t="str">
            <v>Santa Tereza</v>
          </cell>
          <cell r="B4716">
            <v>305198</v>
          </cell>
          <cell r="C4716">
            <v>-29.165944110000002</v>
          </cell>
          <cell r="D4716">
            <v>-51.735519670000002</v>
          </cell>
        </row>
        <row r="4717">
          <cell r="A4717" t="str">
            <v>Santa Tereza de Goiás</v>
          </cell>
          <cell r="B4717">
            <v>302787</v>
          </cell>
          <cell r="C4717">
            <v>-13.71425127</v>
          </cell>
          <cell r="D4717">
            <v>-49.01479673</v>
          </cell>
        </row>
        <row r="4718">
          <cell r="A4718" t="str">
            <v>Santa Tereza do Oeste</v>
          </cell>
          <cell r="B4718">
            <v>305009</v>
          </cell>
          <cell r="C4718">
            <v>-25.054779490000001</v>
          </cell>
          <cell r="D4718">
            <v>-53.627865960000001</v>
          </cell>
        </row>
        <row r="4719">
          <cell r="A4719" t="str">
            <v>Santa Tereza do Tocantins</v>
          </cell>
          <cell r="B4719">
            <v>302208</v>
          </cell>
          <cell r="C4719">
            <v>-10.282131189999999</v>
          </cell>
          <cell r="D4719">
            <v>-47.810177629999998</v>
          </cell>
        </row>
        <row r="4720">
          <cell r="A4720" t="str">
            <v>Santa Terezinha</v>
          </cell>
          <cell r="B4720">
            <v>300781</v>
          </cell>
          <cell r="C4720">
            <v>-7.3773795189999998</v>
          </cell>
          <cell r="D4720">
            <v>-37.479056960000001</v>
          </cell>
        </row>
        <row r="4721">
          <cell r="A4721" t="str">
            <v>Santa Terezinha</v>
          </cell>
          <cell r="B4721">
            <v>304186</v>
          </cell>
          <cell r="C4721">
            <v>-10.46901944</v>
          </cell>
          <cell r="D4721">
            <v>-50.510764899999998</v>
          </cell>
        </row>
        <row r="4722">
          <cell r="A4722" t="str">
            <v>Santa Terezinha</v>
          </cell>
          <cell r="B4722">
            <v>304613</v>
          </cell>
          <cell r="C4722">
            <v>-26.781778119999998</v>
          </cell>
          <cell r="D4722">
            <v>-50.009449670000002</v>
          </cell>
        </row>
        <row r="4723">
          <cell r="A4723" t="str">
            <v>Santa Terezinha de Goiás</v>
          </cell>
          <cell r="B4723">
            <v>302800</v>
          </cell>
          <cell r="C4723">
            <v>-14.433090030000001</v>
          </cell>
          <cell r="D4723">
            <v>-49.709496219999998</v>
          </cell>
        </row>
        <row r="4724">
          <cell r="A4724" t="str">
            <v>Santa Terezinha de Itaipu</v>
          </cell>
          <cell r="B4724">
            <v>305340</v>
          </cell>
          <cell r="C4724">
            <v>-25.434878860000001</v>
          </cell>
          <cell r="D4724">
            <v>-54.40117996</v>
          </cell>
        </row>
        <row r="4725">
          <cell r="A4725" t="str">
            <v>Santa Terezinha do Progresso</v>
          </cell>
          <cell r="B4725">
            <v>305536</v>
          </cell>
          <cell r="C4725">
            <v>-26.624497850000001</v>
          </cell>
          <cell r="D4725">
            <v>-53.200168310000002</v>
          </cell>
        </row>
        <row r="4726">
          <cell r="A4726" t="str">
            <v>Santa Terezinha do Tocantins</v>
          </cell>
          <cell r="B4726">
            <v>302001</v>
          </cell>
          <cell r="C4726">
            <v>-6.4356433739999996</v>
          </cell>
          <cell r="D4726">
            <v>-47.672828369999998</v>
          </cell>
        </row>
        <row r="4727">
          <cell r="A4727" t="str">
            <v>Santa Vitória</v>
          </cell>
          <cell r="B4727">
            <v>303402</v>
          </cell>
          <cell r="C4727">
            <v>-18.84185415</v>
          </cell>
          <cell r="D4727">
            <v>-50.121167960000001</v>
          </cell>
        </row>
        <row r="4728">
          <cell r="A4728" t="str">
            <v>Santa Vitória do Palmar</v>
          </cell>
          <cell r="B4728">
            <v>305717</v>
          </cell>
          <cell r="C4728">
            <v>-33.525456560000002</v>
          </cell>
          <cell r="D4728">
            <v>-53.372177999999998</v>
          </cell>
        </row>
        <row r="4729">
          <cell r="A4729" t="str">
            <v>Santaluz</v>
          </cell>
          <cell r="B4729">
            <v>301399</v>
          </cell>
          <cell r="C4729">
            <v>-11.25126631</v>
          </cell>
          <cell r="D4729">
            <v>-39.37532908</v>
          </cell>
        </row>
        <row r="4730">
          <cell r="A4730" t="str">
            <v>Santana</v>
          </cell>
          <cell r="B4730">
            <v>302157</v>
          </cell>
          <cell r="C4730">
            <v>-12.97966037</v>
          </cell>
          <cell r="D4730">
            <v>-44.050998669999998</v>
          </cell>
        </row>
        <row r="4731">
          <cell r="A4731" t="str">
            <v>Santana</v>
          </cell>
          <cell r="B4731">
            <v>304667</v>
          </cell>
          <cell r="C4731">
            <v>-4.5805046000000002E-2</v>
          </cell>
          <cell r="D4731">
            <v>-51.173317269999998</v>
          </cell>
        </row>
        <row r="4732">
          <cell r="A4732" t="str">
            <v>Santana da Boa Vista</v>
          </cell>
          <cell r="B4732">
            <v>305699</v>
          </cell>
          <cell r="C4732">
            <v>-30.87197931</v>
          </cell>
          <cell r="D4732">
            <v>-53.114938590000001</v>
          </cell>
        </row>
        <row r="4733">
          <cell r="A4733" t="str">
            <v>Santana da Ponte Pensa</v>
          </cell>
          <cell r="B4733">
            <v>304374</v>
          </cell>
          <cell r="C4733">
            <v>-20.25299334</v>
          </cell>
          <cell r="D4733">
            <v>-50.796947179999997</v>
          </cell>
        </row>
        <row r="4734">
          <cell r="A4734" t="str">
            <v>Santana da Vargem</v>
          </cell>
          <cell r="B4734">
            <v>303217</v>
          </cell>
          <cell r="C4734">
            <v>-21.245377600000001</v>
          </cell>
          <cell r="D4734">
            <v>-45.500910920000003</v>
          </cell>
        </row>
        <row r="4735">
          <cell r="A4735" t="str">
            <v>Santana de Cataguases</v>
          </cell>
          <cell r="B4735">
            <v>303256</v>
          </cell>
          <cell r="C4735">
            <v>-21.28975831</v>
          </cell>
          <cell r="D4735">
            <v>-42.55272137</v>
          </cell>
        </row>
        <row r="4736">
          <cell r="A4736" t="str">
            <v>Santana de Mangueira</v>
          </cell>
          <cell r="B4736">
            <v>300851</v>
          </cell>
          <cell r="C4736">
            <v>-7.5519739939999999</v>
          </cell>
          <cell r="D4736">
            <v>-38.336523759999999</v>
          </cell>
        </row>
        <row r="4737">
          <cell r="A4737" t="str">
            <v>Santana de Parnaíba</v>
          </cell>
          <cell r="B4737">
            <v>303735</v>
          </cell>
          <cell r="C4737">
            <v>-23.442992199999999</v>
          </cell>
          <cell r="D4737">
            <v>-46.922615759999999</v>
          </cell>
        </row>
        <row r="4738">
          <cell r="A4738" t="str">
            <v>Santana de Pirapama</v>
          </cell>
          <cell r="B4738">
            <v>302965</v>
          </cell>
          <cell r="C4738">
            <v>-18.99671146</v>
          </cell>
          <cell r="D4738">
            <v>-44.041282500000001</v>
          </cell>
        </row>
        <row r="4739">
          <cell r="A4739" t="str">
            <v>Santana do Acaraú</v>
          </cell>
          <cell r="B4739">
            <v>300707</v>
          </cell>
          <cell r="C4739">
            <v>-3.4604846239999998</v>
          </cell>
          <cell r="D4739">
            <v>-40.208534180000001</v>
          </cell>
        </row>
        <row r="4740">
          <cell r="A4740" t="str">
            <v>Santana do Araguaia</v>
          </cell>
          <cell r="B4740">
            <v>304185</v>
          </cell>
          <cell r="C4740">
            <v>-9.3285175070000008</v>
          </cell>
          <cell r="D4740">
            <v>-50.350429689999999</v>
          </cell>
        </row>
        <row r="4741">
          <cell r="A4741" t="str">
            <v>Santana do Cariri</v>
          </cell>
          <cell r="B4741">
            <v>300836</v>
          </cell>
          <cell r="C4741">
            <v>-7.1838716969999998</v>
          </cell>
          <cell r="D4741">
            <v>-39.738117459999998</v>
          </cell>
        </row>
        <row r="4742">
          <cell r="A4742" t="str">
            <v>Santana do Deserto</v>
          </cell>
          <cell r="B4742">
            <v>303108</v>
          </cell>
          <cell r="C4742">
            <v>-21.95169039</v>
          </cell>
          <cell r="D4742">
            <v>-43.158693380000003</v>
          </cell>
        </row>
        <row r="4743">
          <cell r="A4743" t="str">
            <v>Santana do Garambéu</v>
          </cell>
          <cell r="B4743">
            <v>304997</v>
          </cell>
          <cell r="C4743">
            <v>-21.598822999999999</v>
          </cell>
          <cell r="D4743">
            <v>-44.105420170000002</v>
          </cell>
        </row>
        <row r="4744">
          <cell r="A4744" t="str">
            <v>Santana do Ipanema</v>
          </cell>
          <cell r="B4744">
            <v>302561</v>
          </cell>
          <cell r="C4744">
            <v>-9.3704207050000008</v>
          </cell>
          <cell r="D4744">
            <v>-37.248324840000002</v>
          </cell>
        </row>
        <row r="4745">
          <cell r="A4745" t="str">
            <v>Santana do Itararé</v>
          </cell>
          <cell r="B4745">
            <v>304211</v>
          </cell>
          <cell r="C4745">
            <v>-23.759163940000001</v>
          </cell>
          <cell r="D4745">
            <v>-49.629733649999999</v>
          </cell>
        </row>
        <row r="4746">
          <cell r="A4746" t="str">
            <v>Santana do Jacaré</v>
          </cell>
          <cell r="B4746">
            <v>303027</v>
          </cell>
          <cell r="C4746">
            <v>-20.90118824</v>
          </cell>
          <cell r="D4746">
            <v>-45.128887489999997</v>
          </cell>
        </row>
        <row r="4747">
          <cell r="A4747" t="str">
            <v>Sant'Ana do Livramento</v>
          </cell>
          <cell r="B4747">
            <v>305826</v>
          </cell>
          <cell r="C4747">
            <v>-30.888185830000001</v>
          </cell>
          <cell r="D4747">
            <v>-55.531952560000001</v>
          </cell>
        </row>
        <row r="4748">
          <cell r="A4748" t="str">
            <v>Santana do Manhuaçu</v>
          </cell>
          <cell r="B4748">
            <v>302670</v>
          </cell>
          <cell r="C4748">
            <v>-20.103584059999999</v>
          </cell>
          <cell r="D4748">
            <v>-41.928196079999999</v>
          </cell>
        </row>
        <row r="4749">
          <cell r="A4749" t="str">
            <v>Santana do Maranhão</v>
          </cell>
          <cell r="B4749">
            <v>303206</v>
          </cell>
          <cell r="C4749">
            <v>-3.112103469</v>
          </cell>
          <cell r="D4749">
            <v>-42.413942419999998</v>
          </cell>
        </row>
        <row r="4750">
          <cell r="A4750" t="str">
            <v>Santana do Matos</v>
          </cell>
          <cell r="B4750">
            <v>300526</v>
          </cell>
          <cell r="C4750">
            <v>-5.9503089840000003</v>
          </cell>
          <cell r="D4750">
            <v>-36.653402749999998</v>
          </cell>
        </row>
        <row r="4751">
          <cell r="A4751" t="str">
            <v>Santana do Mundaú</v>
          </cell>
          <cell r="B4751">
            <v>301129</v>
          </cell>
          <cell r="C4751">
            <v>-9.1705323849999996</v>
          </cell>
          <cell r="D4751">
            <v>-36.22094663</v>
          </cell>
        </row>
        <row r="4752">
          <cell r="A4752" t="str">
            <v>Santana do Paraíso</v>
          </cell>
          <cell r="B4752">
            <v>302834</v>
          </cell>
          <cell r="C4752">
            <v>-19.366543610000001</v>
          </cell>
          <cell r="D4752">
            <v>-42.544932539999998</v>
          </cell>
        </row>
        <row r="4753">
          <cell r="A4753" t="str">
            <v>Santana do Piauí</v>
          </cell>
          <cell r="B4753">
            <v>301049</v>
          </cell>
          <cell r="C4753">
            <v>-6.9473751300000002</v>
          </cell>
          <cell r="D4753">
            <v>-41.518102130000003</v>
          </cell>
        </row>
        <row r="4754">
          <cell r="A4754" t="str">
            <v>Santana do Riacho</v>
          </cell>
          <cell r="B4754">
            <v>304911</v>
          </cell>
          <cell r="C4754">
            <v>-19.168993090000001</v>
          </cell>
          <cell r="D4754">
            <v>-43.713958310000002</v>
          </cell>
        </row>
        <row r="4755">
          <cell r="A4755" t="str">
            <v>Santana do São Francisco</v>
          </cell>
          <cell r="B4755">
            <v>301191</v>
          </cell>
          <cell r="C4755">
            <v>-10.2912705</v>
          </cell>
          <cell r="D4755">
            <v>-36.612163240000001</v>
          </cell>
        </row>
        <row r="4756">
          <cell r="A4756" t="str">
            <v>Santana do Seridó</v>
          </cell>
          <cell r="B4756">
            <v>300962</v>
          </cell>
          <cell r="C4756">
            <v>-6.7700248199999997</v>
          </cell>
          <cell r="D4756">
            <v>-36.734401699999999</v>
          </cell>
        </row>
        <row r="4757">
          <cell r="A4757" t="str">
            <v>Santana dos Garrotes</v>
          </cell>
          <cell r="B4757">
            <v>300811</v>
          </cell>
          <cell r="C4757">
            <v>-7.3856135590000003</v>
          </cell>
          <cell r="D4757">
            <v>-37.989457539999997</v>
          </cell>
        </row>
        <row r="4758">
          <cell r="A4758" t="str">
            <v>Santana dos Montes</v>
          </cell>
          <cell r="B4758">
            <v>302857</v>
          </cell>
          <cell r="C4758">
            <v>-20.78727598</v>
          </cell>
          <cell r="D4758">
            <v>-43.69525625</v>
          </cell>
        </row>
        <row r="4759">
          <cell r="A4759" t="str">
            <v>Santanópolis</v>
          </cell>
          <cell r="B4759">
            <v>301407</v>
          </cell>
          <cell r="C4759">
            <v>-12.025135649999999</v>
          </cell>
          <cell r="D4759">
            <v>-38.865831110000002</v>
          </cell>
        </row>
        <row r="4760">
          <cell r="A4760" t="str">
            <v>Santarém</v>
          </cell>
          <cell r="B4760">
            <v>300994</v>
          </cell>
          <cell r="C4760">
            <v>-6.4840333689999996</v>
          </cell>
          <cell r="D4760">
            <v>-38.476706550000003</v>
          </cell>
        </row>
        <row r="4761">
          <cell r="A4761" t="str">
            <v>Santarém</v>
          </cell>
          <cell r="B4761">
            <v>304163</v>
          </cell>
          <cell r="C4761">
            <v>-2.4388719810000001</v>
          </cell>
          <cell r="D4761">
            <v>-54.700024069999998</v>
          </cell>
        </row>
        <row r="4762">
          <cell r="A4762" t="str">
            <v>Santarém Novo</v>
          </cell>
          <cell r="B4762">
            <v>301894</v>
          </cell>
          <cell r="C4762">
            <v>-0.92897041400000002</v>
          </cell>
          <cell r="D4762">
            <v>-47.395520900000001</v>
          </cell>
        </row>
        <row r="4763">
          <cell r="A4763" t="str">
            <v>Santiago</v>
          </cell>
          <cell r="B4763">
            <v>305806</v>
          </cell>
          <cell r="C4763">
            <v>-29.190141300000001</v>
          </cell>
          <cell r="D4763">
            <v>-54.867097370000003</v>
          </cell>
        </row>
        <row r="4764">
          <cell r="A4764" t="str">
            <v>Santiago</v>
          </cell>
          <cell r="B4764">
            <v>314380</v>
          </cell>
          <cell r="C4764">
            <v>-27.17757404</v>
          </cell>
          <cell r="D4764">
            <v>-56.76046754</v>
          </cell>
        </row>
        <row r="4765">
          <cell r="A4765" t="str">
            <v>Santiago</v>
          </cell>
          <cell r="B4765">
            <v>295793</v>
          </cell>
          <cell r="C4765">
            <v>-33.430804879999997</v>
          </cell>
          <cell r="D4765">
            <v>-70.571148879999996</v>
          </cell>
        </row>
        <row r="4766">
          <cell r="A4766" t="str">
            <v>Santiago do Sul</v>
          </cell>
          <cell r="B4766">
            <v>305277</v>
          </cell>
          <cell r="C4766">
            <v>-26.639253530000001</v>
          </cell>
          <cell r="D4766">
            <v>-52.68030117</v>
          </cell>
        </row>
        <row r="4767">
          <cell r="A4767" t="str">
            <v>Santo Afonso</v>
          </cell>
          <cell r="B4767">
            <v>304239</v>
          </cell>
          <cell r="C4767">
            <v>-14.494902270000001</v>
          </cell>
          <cell r="D4767">
            <v>-57.009537450000003</v>
          </cell>
        </row>
        <row r="4768">
          <cell r="A4768" t="str">
            <v>Santo Amaro</v>
          </cell>
          <cell r="B4768">
            <v>301390</v>
          </cell>
          <cell r="C4768">
            <v>-12.548456249999999</v>
          </cell>
          <cell r="D4768">
            <v>-38.706011930000003</v>
          </cell>
        </row>
        <row r="4769">
          <cell r="A4769" t="str">
            <v>Santo Amaro da Imperatriz</v>
          </cell>
          <cell r="B4769">
            <v>304055</v>
          </cell>
          <cell r="C4769">
            <v>-27.685665849999999</v>
          </cell>
          <cell r="D4769">
            <v>-48.781732959999999</v>
          </cell>
        </row>
        <row r="4770">
          <cell r="A4770" t="str">
            <v>Santo Amaro das Brotas</v>
          </cell>
          <cell r="B4770">
            <v>301241</v>
          </cell>
          <cell r="C4770">
            <v>-10.7885212</v>
          </cell>
          <cell r="D4770">
            <v>-37.053354470000002</v>
          </cell>
        </row>
        <row r="4771">
          <cell r="A4771" t="str">
            <v>Santo Amaro do Maranhão</v>
          </cell>
          <cell r="B4771">
            <v>301649</v>
          </cell>
          <cell r="C4771">
            <v>-2.500860206</v>
          </cell>
          <cell r="D4771">
            <v>-43.253367660000002</v>
          </cell>
        </row>
        <row r="4772">
          <cell r="A4772" t="str">
            <v>Santo Anastácio</v>
          </cell>
          <cell r="B4772">
            <v>304798</v>
          </cell>
          <cell r="C4772">
            <v>-21.975123809999999</v>
          </cell>
          <cell r="D4772">
            <v>-51.653088830000002</v>
          </cell>
        </row>
        <row r="4773">
          <cell r="A4773" t="str">
            <v>Santo André</v>
          </cell>
          <cell r="B4773">
            <v>300655</v>
          </cell>
          <cell r="C4773">
            <v>-7.2202088440000001</v>
          </cell>
          <cell r="D4773">
            <v>-36.631634210000001</v>
          </cell>
        </row>
        <row r="4774">
          <cell r="A4774" t="str">
            <v>Santo André</v>
          </cell>
          <cell r="B4774">
            <v>303720</v>
          </cell>
          <cell r="C4774">
            <v>-23.674209860000001</v>
          </cell>
          <cell r="D4774">
            <v>-46.54355288</v>
          </cell>
        </row>
        <row r="4775">
          <cell r="A4775" t="str">
            <v>Santo Ângelo</v>
          </cell>
          <cell r="B4775">
            <v>305451</v>
          </cell>
          <cell r="C4775">
            <v>-28.300595139999999</v>
          </cell>
          <cell r="D4775">
            <v>-54.267246759999999</v>
          </cell>
        </row>
        <row r="4776">
          <cell r="A4776" t="str">
            <v>Santo Antônio</v>
          </cell>
          <cell r="B4776">
            <v>300429</v>
          </cell>
          <cell r="C4776">
            <v>-6.3111899510000002</v>
          </cell>
          <cell r="D4776">
            <v>-35.480494280000002</v>
          </cell>
        </row>
        <row r="4777">
          <cell r="A4777" t="str">
            <v>Santo Antônio da Alegria</v>
          </cell>
          <cell r="B4777">
            <v>303518</v>
          </cell>
          <cell r="C4777">
            <v>-21.086919269999999</v>
          </cell>
          <cell r="D4777">
            <v>-47.146767590000003</v>
          </cell>
        </row>
        <row r="4778">
          <cell r="A4778" t="str">
            <v>Santo Antônio da Barra</v>
          </cell>
          <cell r="B4778">
            <v>304336</v>
          </cell>
          <cell r="C4778">
            <v>-17.558949760000001</v>
          </cell>
          <cell r="D4778">
            <v>-50.63495211</v>
          </cell>
        </row>
        <row r="4779">
          <cell r="A4779" t="str">
            <v>Santo Antônio da Patrulha</v>
          </cell>
          <cell r="B4779">
            <v>305459</v>
          </cell>
          <cell r="C4779">
            <v>-29.827250329999998</v>
          </cell>
          <cell r="D4779">
            <v>-50.517937590000003</v>
          </cell>
        </row>
        <row r="4780">
          <cell r="A4780" t="str">
            <v>Santo Antônio da Platina</v>
          </cell>
          <cell r="B4780">
            <v>303960</v>
          </cell>
          <cell r="C4780">
            <v>-23.296358489999999</v>
          </cell>
          <cell r="D4780">
            <v>-50.081899079999999</v>
          </cell>
        </row>
        <row r="4781">
          <cell r="A4781" t="str">
            <v>Santo Antônio das Missões</v>
          </cell>
          <cell r="B4781">
            <v>305807</v>
          </cell>
          <cell r="C4781">
            <v>-28.510983499999998</v>
          </cell>
          <cell r="D4781">
            <v>-55.227936810000003</v>
          </cell>
        </row>
        <row r="4782">
          <cell r="A4782" t="str">
            <v>Santo Antônio de Goiás</v>
          </cell>
          <cell r="B4782">
            <v>302601</v>
          </cell>
          <cell r="C4782">
            <v>-16.486541580000001</v>
          </cell>
          <cell r="D4782">
            <v>-49.309418710000003</v>
          </cell>
        </row>
        <row r="4783">
          <cell r="A4783" t="str">
            <v>Santo Antônio de Jesus</v>
          </cell>
          <cell r="B4783">
            <v>301535</v>
          </cell>
          <cell r="C4783">
            <v>-12.96183658</v>
          </cell>
          <cell r="D4783">
            <v>-39.258728310000002</v>
          </cell>
        </row>
        <row r="4784">
          <cell r="A4784" t="str">
            <v>Santo Antônio de Lisboa</v>
          </cell>
          <cell r="B4784">
            <v>301038</v>
          </cell>
          <cell r="C4784">
            <v>-6.9800982969999996</v>
          </cell>
          <cell r="D4784">
            <v>-41.231533200000001</v>
          </cell>
        </row>
        <row r="4785">
          <cell r="A4785" t="str">
            <v>Santo Antônio de Pádua</v>
          </cell>
          <cell r="B4785">
            <v>304920</v>
          </cell>
          <cell r="C4785">
            <v>-21.54152105</v>
          </cell>
          <cell r="D4785">
            <v>-42.183519339999997</v>
          </cell>
        </row>
        <row r="4786">
          <cell r="A4786" t="str">
            <v>Santo Antônio de Posse</v>
          </cell>
          <cell r="B4786">
            <v>303646</v>
          </cell>
          <cell r="C4786">
            <v>-22.603348660000002</v>
          </cell>
          <cell r="D4786">
            <v>-46.919588259999998</v>
          </cell>
        </row>
        <row r="4787">
          <cell r="A4787" t="str">
            <v>Santo Antônio do Amparo</v>
          </cell>
          <cell r="B4787">
            <v>303001</v>
          </cell>
          <cell r="C4787">
            <v>-20.943518860000001</v>
          </cell>
          <cell r="D4787">
            <v>-44.917988149999999</v>
          </cell>
        </row>
        <row r="4788">
          <cell r="A4788" t="str">
            <v>Santo Antônio do Aracanguá</v>
          </cell>
          <cell r="B4788">
            <v>304381</v>
          </cell>
          <cell r="C4788">
            <v>-20.93699226</v>
          </cell>
          <cell r="D4788">
            <v>-50.495947389999998</v>
          </cell>
        </row>
        <row r="4789">
          <cell r="A4789" t="str">
            <v>Santo Antônio do Aventureiro</v>
          </cell>
          <cell r="B4789">
            <v>304410</v>
          </cell>
          <cell r="C4789">
            <v>-21.761054479999999</v>
          </cell>
          <cell r="D4789">
            <v>-42.81182441</v>
          </cell>
        </row>
        <row r="4790">
          <cell r="A4790" t="str">
            <v>Santo Antônio do Caiuá</v>
          </cell>
          <cell r="B4790">
            <v>304715</v>
          </cell>
          <cell r="C4790">
            <v>-22.735545940000002</v>
          </cell>
          <cell r="D4790">
            <v>-52.344455359999998</v>
          </cell>
        </row>
        <row r="4791">
          <cell r="A4791" t="str">
            <v>Santo Antônio do Descoberto</v>
          </cell>
          <cell r="B4791">
            <v>302812</v>
          </cell>
          <cell r="C4791">
            <v>-15.947797830000001</v>
          </cell>
          <cell r="D4791">
            <v>-48.26500927</v>
          </cell>
        </row>
        <row r="4792">
          <cell r="A4792" t="str">
            <v>Santo Antônio do Grama</v>
          </cell>
          <cell r="B4792">
            <v>302738</v>
          </cell>
          <cell r="C4792">
            <v>-20.318948519999999</v>
          </cell>
          <cell r="D4792">
            <v>-42.605051420000002</v>
          </cell>
        </row>
        <row r="4793">
          <cell r="A4793" t="str">
            <v>Santo Antônio do Içá</v>
          </cell>
          <cell r="B4793">
            <v>305833</v>
          </cell>
          <cell r="C4793">
            <v>-3.1031812740000002</v>
          </cell>
          <cell r="D4793">
            <v>-67.946134090000001</v>
          </cell>
        </row>
        <row r="4794">
          <cell r="A4794" t="str">
            <v>Santo Antônio do Itambé</v>
          </cell>
          <cell r="B4794">
            <v>302717</v>
          </cell>
          <cell r="C4794">
            <v>-18.468966080000001</v>
          </cell>
          <cell r="D4794">
            <v>-43.303738129999999</v>
          </cell>
        </row>
        <row r="4795">
          <cell r="A4795" t="str">
            <v>Santo Antônio do Jacinto</v>
          </cell>
          <cell r="B4795">
            <v>302393</v>
          </cell>
          <cell r="C4795">
            <v>-16.533671890000001</v>
          </cell>
          <cell r="D4795">
            <v>-40.182078369999999</v>
          </cell>
        </row>
        <row r="4796">
          <cell r="A4796" t="str">
            <v>Santo Antônio do Jardim</v>
          </cell>
          <cell r="B4796">
            <v>303635</v>
          </cell>
          <cell r="C4796">
            <v>-22.112550689999999</v>
          </cell>
          <cell r="D4796">
            <v>-46.684882289999997</v>
          </cell>
        </row>
        <row r="4797">
          <cell r="A4797" t="str">
            <v>Santo Antônio do Leste</v>
          </cell>
          <cell r="B4797">
            <v>300373</v>
          </cell>
          <cell r="C4797">
            <v>-14.79575135</v>
          </cell>
          <cell r="D4797">
            <v>-53.628244010000003</v>
          </cell>
        </row>
        <row r="4798">
          <cell r="A4798" t="str">
            <v>Santo Antônio do Leverger</v>
          </cell>
          <cell r="B4798">
            <v>304652</v>
          </cell>
          <cell r="C4798">
            <v>-15.8628432</v>
          </cell>
          <cell r="D4798">
            <v>-56.079188389999999</v>
          </cell>
        </row>
        <row r="4799">
          <cell r="A4799" t="str">
            <v>Santo Antônio do Monte</v>
          </cell>
          <cell r="B4799">
            <v>303020</v>
          </cell>
          <cell r="C4799">
            <v>-20.085473960000002</v>
          </cell>
          <cell r="D4799">
            <v>-45.295104610000003</v>
          </cell>
        </row>
        <row r="4800">
          <cell r="A4800" t="str">
            <v>Santo Antônio do Palma</v>
          </cell>
          <cell r="B4800">
            <v>305205</v>
          </cell>
          <cell r="C4800">
            <v>-28.496029</v>
          </cell>
          <cell r="D4800">
            <v>-52.027153650000002</v>
          </cell>
        </row>
        <row r="4801">
          <cell r="A4801" t="str">
            <v>Santo Antônio do Paraíso</v>
          </cell>
          <cell r="B4801">
            <v>304727</v>
          </cell>
          <cell r="C4801">
            <v>-23.49398863</v>
          </cell>
          <cell r="D4801">
            <v>-50.645946209999998</v>
          </cell>
        </row>
        <row r="4802">
          <cell r="A4802" t="str">
            <v>Santo Antônio do Pinhal</v>
          </cell>
          <cell r="B4802">
            <v>303275</v>
          </cell>
          <cell r="C4802">
            <v>-22.827479329999999</v>
          </cell>
          <cell r="D4802">
            <v>-45.663390339999999</v>
          </cell>
        </row>
        <row r="4803">
          <cell r="A4803" t="str">
            <v>Santo Antônio do Planalto</v>
          </cell>
          <cell r="B4803">
            <v>305387</v>
          </cell>
          <cell r="C4803">
            <v>-28.39598251</v>
          </cell>
          <cell r="D4803">
            <v>-52.690940730000001</v>
          </cell>
        </row>
        <row r="4804">
          <cell r="A4804" t="str">
            <v>Santo Antônio do Retiro</v>
          </cell>
          <cell r="B4804">
            <v>302127</v>
          </cell>
          <cell r="C4804">
            <v>-15.34209237</v>
          </cell>
          <cell r="D4804">
            <v>-42.621868300000003</v>
          </cell>
        </row>
        <row r="4805">
          <cell r="A4805" t="str">
            <v>Santo Antônio do Rio Abaixo</v>
          </cell>
          <cell r="B4805">
            <v>304901</v>
          </cell>
          <cell r="C4805">
            <v>-19.22799285</v>
          </cell>
          <cell r="D4805">
            <v>-43.253960329999998</v>
          </cell>
        </row>
        <row r="4806">
          <cell r="A4806" t="str">
            <v>Santo Antônio do Sudoeste</v>
          </cell>
          <cell r="B4806">
            <v>305333</v>
          </cell>
          <cell r="C4806">
            <v>-26.074173170000002</v>
          </cell>
          <cell r="D4806">
            <v>-53.725553359999999</v>
          </cell>
        </row>
        <row r="4807">
          <cell r="A4807" t="str">
            <v>Santo Antônio do Tauá</v>
          </cell>
          <cell r="B4807">
            <v>301914</v>
          </cell>
          <cell r="C4807">
            <v>-1.1525775540000001</v>
          </cell>
          <cell r="D4807">
            <v>-48.131821389999999</v>
          </cell>
        </row>
        <row r="4808">
          <cell r="A4808" t="str">
            <v>Santo Antônio dos Lopes</v>
          </cell>
          <cell r="B4808">
            <v>302431</v>
          </cell>
          <cell r="C4808">
            <v>-4.8705458200000002</v>
          </cell>
          <cell r="D4808">
            <v>-44.359134230000002</v>
          </cell>
        </row>
        <row r="4809">
          <cell r="A4809" t="str">
            <v>Santo Antônio dos Milagres</v>
          </cell>
          <cell r="B4809">
            <v>301796</v>
          </cell>
          <cell r="C4809">
            <v>-6.0468811039999997</v>
          </cell>
          <cell r="D4809">
            <v>-42.712664619999998</v>
          </cell>
        </row>
        <row r="4810">
          <cell r="A4810" t="str">
            <v>Santo Augusto</v>
          </cell>
          <cell r="B4810">
            <v>305430</v>
          </cell>
          <cell r="C4810">
            <v>-27.853045089999998</v>
          </cell>
          <cell r="D4810">
            <v>-53.778065859999998</v>
          </cell>
        </row>
        <row r="4811">
          <cell r="A4811" t="str">
            <v>Santo Cristo</v>
          </cell>
          <cell r="B4811">
            <v>305724</v>
          </cell>
          <cell r="C4811">
            <v>-27.826724080000002</v>
          </cell>
          <cell r="D4811">
            <v>-54.662429099999997</v>
          </cell>
        </row>
        <row r="4812">
          <cell r="A4812" t="str">
            <v>Santo Estêvão</v>
          </cell>
          <cell r="B4812">
            <v>301420</v>
          </cell>
          <cell r="C4812">
            <v>-12.42842778</v>
          </cell>
          <cell r="D4812">
            <v>-39.250865580000003</v>
          </cell>
        </row>
        <row r="4813">
          <cell r="A4813" t="str">
            <v>Santo Expedito</v>
          </cell>
          <cell r="B4813">
            <v>304792</v>
          </cell>
          <cell r="C4813">
            <v>-21.850307040000001</v>
          </cell>
          <cell r="D4813">
            <v>-51.393540229999999</v>
          </cell>
        </row>
        <row r="4814">
          <cell r="A4814" t="str">
            <v>Santo Expedito do Sul</v>
          </cell>
          <cell r="B4814">
            <v>305659</v>
          </cell>
          <cell r="C4814">
            <v>-27.907914219999999</v>
          </cell>
          <cell r="D4814">
            <v>-51.643799729999998</v>
          </cell>
        </row>
        <row r="4815">
          <cell r="A4815" t="str">
            <v>Santo Hipólito</v>
          </cell>
          <cell r="B4815">
            <v>302951</v>
          </cell>
          <cell r="C4815">
            <v>-18.297234339999999</v>
          </cell>
          <cell r="D4815">
            <v>-44.223226240000002</v>
          </cell>
        </row>
        <row r="4816">
          <cell r="A4816" t="str">
            <v>Santo Inácio</v>
          </cell>
          <cell r="B4816">
            <v>304700</v>
          </cell>
          <cell r="C4816">
            <v>-22.698011170000001</v>
          </cell>
          <cell r="D4816">
            <v>-51.793976690000001</v>
          </cell>
        </row>
        <row r="4817">
          <cell r="A4817" t="str">
            <v>Santo Inácio do Piauí</v>
          </cell>
          <cell r="B4817">
            <v>301070</v>
          </cell>
          <cell r="C4817">
            <v>-7.4239763400000003</v>
          </cell>
          <cell r="D4817">
            <v>-41.913136369999997</v>
          </cell>
        </row>
        <row r="4818">
          <cell r="A4818" t="str">
            <v>Santo Tomé</v>
          </cell>
          <cell r="B4818">
            <v>314459</v>
          </cell>
          <cell r="C4818">
            <v>-28.548817289999999</v>
          </cell>
          <cell r="D4818">
            <v>-56.053055479999998</v>
          </cell>
        </row>
        <row r="4819">
          <cell r="A4819" t="str">
            <v>Santópolis do Aguapeí</v>
          </cell>
          <cell r="B4819">
            <v>304465</v>
          </cell>
          <cell r="C4819">
            <v>-21.637991249999999</v>
          </cell>
          <cell r="D4819">
            <v>-50.499947140000003</v>
          </cell>
        </row>
        <row r="4820">
          <cell r="A4820" t="str">
            <v>Santos</v>
          </cell>
          <cell r="B4820">
            <v>303715</v>
          </cell>
          <cell r="C4820">
            <v>-23.954024230000002</v>
          </cell>
          <cell r="D4820">
            <v>-46.335440310000003</v>
          </cell>
        </row>
        <row r="4821">
          <cell r="A4821" t="str">
            <v>Santos Dumont</v>
          </cell>
          <cell r="B4821">
            <v>303121</v>
          </cell>
          <cell r="C4821">
            <v>-21.463856759999999</v>
          </cell>
          <cell r="D4821">
            <v>-43.550247910000003</v>
          </cell>
        </row>
        <row r="4822">
          <cell r="A4822" t="str">
            <v>São Benedito</v>
          </cell>
          <cell r="B4822">
            <v>300710</v>
          </cell>
          <cell r="C4822">
            <v>-4.0475280260000002</v>
          </cell>
          <cell r="D4822">
            <v>-40.859901000000001</v>
          </cell>
        </row>
        <row r="4823">
          <cell r="A4823" t="str">
            <v>São Benedito do Rio Preto</v>
          </cell>
          <cell r="B4823">
            <v>301659</v>
          </cell>
          <cell r="C4823">
            <v>-3.3355386340000002</v>
          </cell>
          <cell r="D4823">
            <v>-43.529066720000003</v>
          </cell>
        </row>
        <row r="4824">
          <cell r="A4824" t="str">
            <v>São Benedito do Sul</v>
          </cell>
          <cell r="B4824">
            <v>301115</v>
          </cell>
          <cell r="C4824">
            <v>-8.8170324640000004</v>
          </cell>
          <cell r="D4824">
            <v>-35.945642790000001</v>
          </cell>
        </row>
        <row r="4825">
          <cell r="A4825" t="str">
            <v>São Bentinho</v>
          </cell>
          <cell r="B4825">
            <v>300623</v>
          </cell>
          <cell r="C4825">
            <v>-6.89039307</v>
          </cell>
          <cell r="D4825">
            <v>-37.727125489999999</v>
          </cell>
        </row>
        <row r="4826">
          <cell r="A4826" t="str">
            <v>São Bento</v>
          </cell>
          <cell r="B4826">
            <v>301692</v>
          </cell>
          <cell r="C4826">
            <v>-2.6981993759999998</v>
          </cell>
          <cell r="D4826">
            <v>-44.829281999999999</v>
          </cell>
        </row>
        <row r="4827">
          <cell r="A4827" t="str">
            <v>São Bento</v>
          </cell>
          <cell r="B4827">
            <v>300606</v>
          </cell>
          <cell r="C4827">
            <v>-6.4857000070000002</v>
          </cell>
          <cell r="D4827">
            <v>-37.449141160000003</v>
          </cell>
        </row>
        <row r="4828">
          <cell r="A4828" t="str">
            <v>São Bento Abade</v>
          </cell>
          <cell r="B4828">
            <v>303175</v>
          </cell>
          <cell r="C4828">
            <v>-21.58440375</v>
          </cell>
          <cell r="D4828">
            <v>-45.070313849999998</v>
          </cell>
        </row>
        <row r="4829">
          <cell r="A4829" t="str">
            <v>São Bento do Norte</v>
          </cell>
          <cell r="B4829">
            <v>301720</v>
          </cell>
          <cell r="C4829">
            <v>-5.109424754</v>
          </cell>
          <cell r="D4829">
            <v>-35.977924569999999</v>
          </cell>
        </row>
        <row r="4830">
          <cell r="A4830" t="str">
            <v>São Bento do Sapucaí</v>
          </cell>
          <cell r="B4830">
            <v>303271</v>
          </cell>
          <cell r="C4830">
            <v>-22.68422284</v>
          </cell>
          <cell r="D4830">
            <v>-45.729067389999997</v>
          </cell>
        </row>
        <row r="4831">
          <cell r="A4831" t="str">
            <v>São Bento do Sul</v>
          </cell>
          <cell r="B4831">
            <v>304605</v>
          </cell>
          <cell r="C4831">
            <v>-26.250020809999999</v>
          </cell>
          <cell r="D4831">
            <v>-49.383503570000002</v>
          </cell>
        </row>
        <row r="4832">
          <cell r="A4832" t="str">
            <v>São Bento do Tocantins</v>
          </cell>
          <cell r="B4832">
            <v>301988</v>
          </cell>
          <cell r="C4832">
            <v>-6.0294652810000002</v>
          </cell>
          <cell r="D4832">
            <v>-47.923756650000001</v>
          </cell>
        </row>
        <row r="4833">
          <cell r="A4833" t="str">
            <v>São Bento do Trairí</v>
          </cell>
          <cell r="B4833">
            <v>300569</v>
          </cell>
          <cell r="C4833">
            <v>-6.3422212590000004</v>
          </cell>
          <cell r="D4833">
            <v>-36.085562019999998</v>
          </cell>
        </row>
        <row r="4834">
          <cell r="A4834" t="str">
            <v>São Bento do Una</v>
          </cell>
          <cell r="B4834">
            <v>301124</v>
          </cell>
          <cell r="C4834">
            <v>-8.5267973040000005</v>
          </cell>
          <cell r="D4834">
            <v>-36.446769260000003</v>
          </cell>
        </row>
        <row r="4835">
          <cell r="A4835" t="str">
            <v>São Bernardino</v>
          </cell>
          <cell r="B4835">
            <v>305301</v>
          </cell>
          <cell r="C4835">
            <v>-26.4743943</v>
          </cell>
          <cell r="D4835">
            <v>-52.969119310000004</v>
          </cell>
        </row>
        <row r="4836">
          <cell r="A4836" t="str">
            <v>São Bernardo</v>
          </cell>
          <cell r="B4836">
            <v>303212</v>
          </cell>
          <cell r="C4836">
            <v>-3.372621251</v>
          </cell>
          <cell r="D4836">
            <v>-42.419459349999997</v>
          </cell>
        </row>
        <row r="4837">
          <cell r="A4837" t="str">
            <v>São Bernardo do Campo</v>
          </cell>
          <cell r="B4837">
            <v>303721</v>
          </cell>
          <cell r="C4837">
            <v>-23.691891859999998</v>
          </cell>
          <cell r="D4837">
            <v>-46.565016079999999</v>
          </cell>
        </row>
        <row r="4838">
          <cell r="A4838" t="str">
            <v>São Bonifácio</v>
          </cell>
          <cell r="B4838">
            <v>304060</v>
          </cell>
          <cell r="C4838">
            <v>-27.901390840000001</v>
          </cell>
          <cell r="D4838">
            <v>-48.933037830000004</v>
          </cell>
        </row>
        <row r="4839">
          <cell r="A4839" t="str">
            <v>São Borja</v>
          </cell>
          <cell r="B4839">
            <v>305844</v>
          </cell>
          <cell r="C4839">
            <v>-28.6582896</v>
          </cell>
          <cell r="D4839">
            <v>-56.004080690000002</v>
          </cell>
        </row>
        <row r="4840">
          <cell r="A4840" t="str">
            <v>São Brás</v>
          </cell>
          <cell r="B4840">
            <v>301213</v>
          </cell>
          <cell r="C4840">
            <v>-10.121470560000001</v>
          </cell>
          <cell r="D4840">
            <v>-36.901911650000002</v>
          </cell>
        </row>
        <row r="4841">
          <cell r="A4841" t="str">
            <v>São Brás do Suaçuí</v>
          </cell>
          <cell r="B4841">
            <v>302933</v>
          </cell>
          <cell r="C4841">
            <v>-20.624641830000002</v>
          </cell>
          <cell r="D4841">
            <v>-43.951837650000002</v>
          </cell>
        </row>
        <row r="4842">
          <cell r="A4842" t="str">
            <v>São Braz do Piauí</v>
          </cell>
          <cell r="B4842">
            <v>302056</v>
          </cell>
          <cell r="C4842">
            <v>-9.0648280089999993</v>
          </cell>
          <cell r="D4842">
            <v>-43.001587979999996</v>
          </cell>
        </row>
        <row r="4843">
          <cell r="A4843" t="str">
            <v>São Caetano de Odivelas</v>
          </cell>
          <cell r="B4843">
            <v>301901</v>
          </cell>
          <cell r="C4843">
            <v>-0.74806104299999998</v>
          </cell>
          <cell r="D4843">
            <v>-48.020213179999999</v>
          </cell>
        </row>
        <row r="4844">
          <cell r="A4844" t="str">
            <v>São Caetano do Sul</v>
          </cell>
          <cell r="B4844">
            <v>303719</v>
          </cell>
          <cell r="C4844">
            <v>-23.62334968</v>
          </cell>
          <cell r="D4844">
            <v>-46.5551958</v>
          </cell>
        </row>
        <row r="4845">
          <cell r="A4845" t="str">
            <v>São Caitano</v>
          </cell>
          <cell r="B4845">
            <v>300591</v>
          </cell>
          <cell r="C4845">
            <v>-8.3284083599999992</v>
          </cell>
          <cell r="D4845">
            <v>-36.139493090000002</v>
          </cell>
        </row>
        <row r="4846">
          <cell r="A4846" t="str">
            <v>São Carlos</v>
          </cell>
          <cell r="B4846">
            <v>303679</v>
          </cell>
          <cell r="C4846">
            <v>-22.01786646</v>
          </cell>
          <cell r="D4846">
            <v>-47.886374029999999</v>
          </cell>
        </row>
        <row r="4847">
          <cell r="A4847" t="str">
            <v>São Carlos</v>
          </cell>
          <cell r="B4847">
            <v>305313</v>
          </cell>
          <cell r="C4847">
            <v>-27.08022631</v>
          </cell>
          <cell r="D4847">
            <v>-53.00415692</v>
          </cell>
        </row>
        <row r="4848">
          <cell r="A4848" t="str">
            <v>São Carlos do Ivaí</v>
          </cell>
          <cell r="B4848">
            <v>304863</v>
          </cell>
          <cell r="C4848">
            <v>-23.316290989999999</v>
          </cell>
          <cell r="D4848">
            <v>-52.476579020000003</v>
          </cell>
        </row>
        <row r="4849">
          <cell r="A4849" t="str">
            <v>São Cristóvão</v>
          </cell>
          <cell r="B4849">
            <v>301245</v>
          </cell>
          <cell r="C4849">
            <v>-11.009743780000001</v>
          </cell>
          <cell r="D4849">
            <v>-37.208205120000002</v>
          </cell>
        </row>
        <row r="4850">
          <cell r="A4850" t="str">
            <v>São Cristovão do Sul</v>
          </cell>
          <cell r="B4850">
            <v>305127</v>
          </cell>
          <cell r="C4850">
            <v>-27.267104809999999</v>
          </cell>
          <cell r="D4850">
            <v>-50.439244360000004</v>
          </cell>
        </row>
        <row r="4851">
          <cell r="A4851" t="str">
            <v>São Desidério</v>
          </cell>
          <cell r="B4851">
            <v>302090</v>
          </cell>
          <cell r="C4851">
            <v>-12.36145805</v>
          </cell>
          <cell r="D4851">
            <v>-44.974605240000002</v>
          </cell>
        </row>
        <row r="4852">
          <cell r="A4852" t="str">
            <v>São Domingos</v>
          </cell>
          <cell r="B4852">
            <v>300932</v>
          </cell>
          <cell r="C4852">
            <v>-6.8160598060000002</v>
          </cell>
          <cell r="D4852">
            <v>-37.942640869999998</v>
          </cell>
        </row>
        <row r="4853">
          <cell r="A4853" t="str">
            <v>São Domingos</v>
          </cell>
          <cell r="B4853">
            <v>301402</v>
          </cell>
          <cell r="C4853">
            <v>-11.465368379999999</v>
          </cell>
          <cell r="D4853">
            <v>-39.527117019999999</v>
          </cell>
        </row>
        <row r="4854">
          <cell r="A4854" t="str">
            <v>São Domingos</v>
          </cell>
          <cell r="B4854">
            <v>303047</v>
          </cell>
          <cell r="C4854">
            <v>-13.40316754</v>
          </cell>
          <cell r="D4854">
            <v>-46.311431919999997</v>
          </cell>
        </row>
        <row r="4855">
          <cell r="A4855" t="str">
            <v>São Domingos</v>
          </cell>
          <cell r="B4855">
            <v>305273</v>
          </cell>
          <cell r="C4855">
            <v>-26.555280830000001</v>
          </cell>
          <cell r="D4855">
            <v>-52.531780920000003</v>
          </cell>
        </row>
        <row r="4856">
          <cell r="A4856" t="str">
            <v>São Domingos</v>
          </cell>
          <cell r="B4856">
            <v>301257</v>
          </cell>
          <cell r="C4856">
            <v>-10.79205264</v>
          </cell>
          <cell r="D4856">
            <v>-37.568825529999998</v>
          </cell>
        </row>
        <row r="4857">
          <cell r="A4857" t="str">
            <v>São Domingos das Dores</v>
          </cell>
          <cell r="B4857">
            <v>302893</v>
          </cell>
          <cell r="C4857">
            <v>-19.5267087</v>
          </cell>
          <cell r="D4857">
            <v>-42.012051560000003</v>
          </cell>
        </row>
        <row r="4858">
          <cell r="A4858" t="str">
            <v>São Domingos do Araguaia</v>
          </cell>
          <cell r="B4858">
            <v>302585</v>
          </cell>
          <cell r="C4858">
            <v>-5.5489936100000001</v>
          </cell>
          <cell r="D4858">
            <v>-48.730096170000003</v>
          </cell>
        </row>
        <row r="4859">
          <cell r="A4859" t="str">
            <v>São Domingos do Azeitão</v>
          </cell>
          <cell r="B4859">
            <v>301871</v>
          </cell>
          <cell r="C4859">
            <v>-6.8123990230000002</v>
          </cell>
          <cell r="D4859">
            <v>-44.64447028</v>
          </cell>
        </row>
        <row r="4860">
          <cell r="A4860" t="str">
            <v>São Domingos do Capim</v>
          </cell>
          <cell r="B4860">
            <v>301917</v>
          </cell>
          <cell r="C4860">
            <v>-1.688064714</v>
          </cell>
          <cell r="D4860">
            <v>-47.766833239999997</v>
          </cell>
        </row>
        <row r="4861">
          <cell r="A4861" t="str">
            <v>São Domingos do Cariri</v>
          </cell>
          <cell r="B4861">
            <v>300593</v>
          </cell>
          <cell r="C4861">
            <v>-7.6331548769999999</v>
          </cell>
          <cell r="D4861">
            <v>-36.437697270000001</v>
          </cell>
        </row>
        <row r="4862">
          <cell r="A4862" t="str">
            <v>São Domingos do Maranhão</v>
          </cell>
          <cell r="B4862">
            <v>302449</v>
          </cell>
          <cell r="C4862">
            <v>-5.5813574020000001</v>
          </cell>
          <cell r="D4862">
            <v>-44.382548389999997</v>
          </cell>
        </row>
        <row r="4863">
          <cell r="A4863" t="str">
            <v>São Domingos do Norte</v>
          </cell>
          <cell r="B4863">
            <v>302500</v>
          </cell>
          <cell r="C4863">
            <v>-19.14568968</v>
          </cell>
          <cell r="D4863">
            <v>-40.628465589999998</v>
          </cell>
        </row>
        <row r="4864">
          <cell r="A4864" t="str">
            <v>São Domingos do Prata</v>
          </cell>
          <cell r="B4864">
            <v>303563</v>
          </cell>
          <cell r="C4864">
            <v>-19.86829702</v>
          </cell>
          <cell r="D4864">
            <v>-42.971394979999999</v>
          </cell>
        </row>
        <row r="4865">
          <cell r="A4865" t="str">
            <v>São Domingos do Sul</v>
          </cell>
          <cell r="B4865">
            <v>305180</v>
          </cell>
          <cell r="C4865">
            <v>-28.53162653</v>
          </cell>
          <cell r="D4865">
            <v>-51.886431899999998</v>
          </cell>
        </row>
        <row r="4866">
          <cell r="A4866" t="str">
            <v>São Felipe</v>
          </cell>
          <cell r="B4866">
            <v>301530</v>
          </cell>
          <cell r="C4866">
            <v>-12.84554473</v>
          </cell>
          <cell r="D4866">
            <v>-39.087104439999997</v>
          </cell>
        </row>
        <row r="4867">
          <cell r="A4867" t="str">
            <v>São Felipe D'Oeste</v>
          </cell>
          <cell r="B4867">
            <v>304287</v>
          </cell>
          <cell r="C4867">
            <v>-11.902670840000001</v>
          </cell>
          <cell r="D4867">
            <v>-61.503078440000003</v>
          </cell>
        </row>
        <row r="4868">
          <cell r="A4868" t="str">
            <v>São Félix</v>
          </cell>
          <cell r="B4868">
            <v>301524</v>
          </cell>
          <cell r="C4868">
            <v>-12.612907979999999</v>
          </cell>
          <cell r="D4868">
            <v>-38.974158950000003</v>
          </cell>
        </row>
        <row r="4869">
          <cell r="A4869" t="str">
            <v>São Félix de Balsas</v>
          </cell>
          <cell r="B4869">
            <v>301872</v>
          </cell>
          <cell r="C4869">
            <v>-7.0757574270000001</v>
          </cell>
          <cell r="D4869">
            <v>-44.809606189999997</v>
          </cell>
        </row>
        <row r="4870">
          <cell r="A4870" t="str">
            <v>São Félix de Minas</v>
          </cell>
          <cell r="B4870">
            <v>302878</v>
          </cell>
          <cell r="C4870">
            <v>-18.596374749999999</v>
          </cell>
          <cell r="D4870">
            <v>-41.489211679999997</v>
          </cell>
        </row>
        <row r="4871">
          <cell r="A4871" t="str">
            <v>São Félix do Araguaia</v>
          </cell>
          <cell r="B4871">
            <v>304189</v>
          </cell>
          <cell r="C4871">
            <v>-11.62088533</v>
          </cell>
          <cell r="D4871">
            <v>-50.678177400000003</v>
          </cell>
        </row>
        <row r="4872">
          <cell r="A4872" t="str">
            <v>São Félix do Coribe</v>
          </cell>
          <cell r="B4872">
            <v>302159</v>
          </cell>
          <cell r="C4872">
            <v>-13.405478459999999</v>
          </cell>
          <cell r="D4872">
            <v>-44.194156380000003</v>
          </cell>
        </row>
        <row r="4873">
          <cell r="A4873" t="str">
            <v>São Félix do Piauí</v>
          </cell>
          <cell r="B4873">
            <v>301787</v>
          </cell>
          <cell r="C4873">
            <v>-5.9358531909999996</v>
          </cell>
          <cell r="D4873">
            <v>-42.11314745</v>
          </cell>
        </row>
        <row r="4874">
          <cell r="A4874" t="str">
            <v>São Félix do Tocantins</v>
          </cell>
          <cell r="B4874">
            <v>302592</v>
          </cell>
          <cell r="C4874">
            <v>-10.161891560000001</v>
          </cell>
          <cell r="D4874">
            <v>-46.662158050000002</v>
          </cell>
        </row>
        <row r="4875">
          <cell r="A4875" t="str">
            <v>São Félix do Xingu</v>
          </cell>
          <cell r="B4875">
            <v>304158</v>
          </cell>
          <cell r="C4875">
            <v>-6.6429395590000002</v>
          </cell>
          <cell r="D4875">
            <v>-51.990782580000001</v>
          </cell>
        </row>
        <row r="4876">
          <cell r="A4876" t="str">
            <v>São Fernando</v>
          </cell>
          <cell r="B4876">
            <v>300965</v>
          </cell>
          <cell r="C4876">
            <v>-6.3801585010000004</v>
          </cell>
          <cell r="D4876">
            <v>-37.186666199999998</v>
          </cell>
        </row>
        <row r="4877">
          <cell r="A4877" t="str">
            <v>São Fidélis</v>
          </cell>
          <cell r="B4877">
            <v>302643</v>
          </cell>
          <cell r="C4877">
            <v>-21.6556034</v>
          </cell>
          <cell r="D4877">
            <v>-41.75640052</v>
          </cell>
        </row>
        <row r="4878">
          <cell r="A4878" t="str">
            <v>São Francisco</v>
          </cell>
          <cell r="B4878">
            <v>300938</v>
          </cell>
          <cell r="C4878">
            <v>-6.6188493719999997</v>
          </cell>
          <cell r="D4878">
            <v>-38.09578458</v>
          </cell>
        </row>
        <row r="4879">
          <cell r="A4879" t="str">
            <v>São Francisco</v>
          </cell>
          <cell r="B4879">
            <v>302192</v>
          </cell>
          <cell r="C4879">
            <v>-15.95190451</v>
          </cell>
          <cell r="D4879">
            <v>-44.859652930000003</v>
          </cell>
        </row>
        <row r="4880">
          <cell r="A4880" t="str">
            <v>São Francisco</v>
          </cell>
          <cell r="B4880">
            <v>302365</v>
          </cell>
          <cell r="C4880">
            <v>-10.345261320000001</v>
          </cell>
          <cell r="D4880">
            <v>-36.883725669999997</v>
          </cell>
        </row>
        <row r="4881">
          <cell r="A4881" t="str">
            <v>São Francisco</v>
          </cell>
          <cell r="B4881">
            <v>304373</v>
          </cell>
          <cell r="C4881">
            <v>-20.35417283</v>
          </cell>
          <cell r="D4881">
            <v>-50.701117170000003</v>
          </cell>
        </row>
        <row r="4882">
          <cell r="A4882" t="str">
            <v>São Francisco de Assis</v>
          </cell>
          <cell r="B4882">
            <v>305823</v>
          </cell>
          <cell r="C4882">
            <v>-29.55515484</v>
          </cell>
          <cell r="D4882">
            <v>-55.12578662</v>
          </cell>
        </row>
        <row r="4883">
          <cell r="A4883" t="str">
            <v>São Francisco de Assis do Piauí</v>
          </cell>
          <cell r="B4883">
            <v>301075</v>
          </cell>
          <cell r="C4883">
            <v>-8.2376201929999997</v>
          </cell>
          <cell r="D4883">
            <v>-41.687066389999998</v>
          </cell>
        </row>
        <row r="4884">
          <cell r="A4884" t="str">
            <v>São Francisco de Goiás</v>
          </cell>
          <cell r="B4884">
            <v>302400</v>
          </cell>
          <cell r="C4884">
            <v>-15.9320202</v>
          </cell>
          <cell r="D4884">
            <v>-49.26026555</v>
          </cell>
        </row>
        <row r="4885">
          <cell r="A4885" t="str">
            <v>São Francisco de Itabapoana</v>
          </cell>
          <cell r="B4885">
            <v>300412</v>
          </cell>
          <cell r="C4885">
            <v>-21.470672090000001</v>
          </cell>
          <cell r="D4885">
            <v>-41.109489340000003</v>
          </cell>
        </row>
        <row r="4886">
          <cell r="A4886" t="str">
            <v>São Francisco de Paula</v>
          </cell>
          <cell r="B4886">
            <v>303000</v>
          </cell>
          <cell r="C4886">
            <v>-20.704098859999998</v>
          </cell>
          <cell r="D4886">
            <v>-44.984143000000003</v>
          </cell>
        </row>
        <row r="4887">
          <cell r="A4887" t="str">
            <v>São Francisco de Paula</v>
          </cell>
          <cell r="B4887">
            <v>305654</v>
          </cell>
          <cell r="C4887">
            <v>-29.447935749999999</v>
          </cell>
          <cell r="D4887">
            <v>-50.583928909999997</v>
          </cell>
        </row>
        <row r="4888">
          <cell r="A4888" t="str">
            <v>São Francisco de Sales</v>
          </cell>
          <cell r="B4888">
            <v>303414</v>
          </cell>
          <cell r="C4888">
            <v>-19.861582219999999</v>
          </cell>
          <cell r="D4888">
            <v>-49.77310233</v>
          </cell>
        </row>
        <row r="4889">
          <cell r="A4889" t="str">
            <v>São Francisco do Brejão</v>
          </cell>
          <cell r="B4889">
            <v>301961</v>
          </cell>
          <cell r="C4889">
            <v>-5.1262440979999999</v>
          </cell>
          <cell r="D4889">
            <v>-47.389390239999997</v>
          </cell>
        </row>
        <row r="4890">
          <cell r="A4890" t="str">
            <v>São Francisco do Conde</v>
          </cell>
          <cell r="B4890">
            <v>301517</v>
          </cell>
          <cell r="C4890">
            <v>-12.62213126</v>
          </cell>
          <cell r="D4890">
            <v>-38.67623382</v>
          </cell>
        </row>
        <row r="4891">
          <cell r="A4891" t="str">
            <v>São Francisco do Glória</v>
          </cell>
          <cell r="B4891">
            <v>302918</v>
          </cell>
          <cell r="C4891">
            <v>-20.792777050000002</v>
          </cell>
          <cell r="D4891">
            <v>-42.267636119999999</v>
          </cell>
        </row>
        <row r="4892">
          <cell r="A4892" t="str">
            <v>São Francisco do Guaporé</v>
          </cell>
          <cell r="B4892">
            <v>304328</v>
          </cell>
          <cell r="C4892">
            <v>-12.05238685</v>
          </cell>
          <cell r="D4892">
            <v>-63.568432690000002</v>
          </cell>
        </row>
        <row r="4893">
          <cell r="A4893" t="str">
            <v>São Francisco do Maranhão</v>
          </cell>
          <cell r="B4893">
            <v>301800</v>
          </cell>
          <cell r="C4893">
            <v>-6.2476803859999999</v>
          </cell>
          <cell r="D4893">
            <v>-42.857853900000002</v>
          </cell>
        </row>
        <row r="4894">
          <cell r="A4894" t="str">
            <v>São Francisco do Oeste</v>
          </cell>
          <cell r="B4894">
            <v>300969</v>
          </cell>
          <cell r="C4894">
            <v>-5.9751326220000003</v>
          </cell>
          <cell r="D4894">
            <v>-38.152255369999999</v>
          </cell>
        </row>
        <row r="4895">
          <cell r="A4895" t="str">
            <v>São Francisco do Pará</v>
          </cell>
          <cell r="B4895">
            <v>301911</v>
          </cell>
          <cell r="C4895">
            <v>-1.1702379169999999</v>
          </cell>
          <cell r="D4895">
            <v>-47.792292459999999</v>
          </cell>
        </row>
        <row r="4896">
          <cell r="A4896" t="str">
            <v>São Francisco do Piauí</v>
          </cell>
          <cell r="B4896">
            <v>301825</v>
          </cell>
          <cell r="C4896">
            <v>-7.2467141010000002</v>
          </cell>
          <cell r="D4896">
            <v>-42.5413523</v>
          </cell>
        </row>
        <row r="4897">
          <cell r="A4897" t="str">
            <v>São Francisco do Sul</v>
          </cell>
          <cell r="B4897">
            <v>303997</v>
          </cell>
          <cell r="C4897">
            <v>-26.258398039999999</v>
          </cell>
          <cell r="D4897">
            <v>-48.634793610000003</v>
          </cell>
        </row>
        <row r="4898">
          <cell r="A4898" t="str">
            <v>São Gabriel</v>
          </cell>
          <cell r="B4898">
            <v>301495</v>
          </cell>
          <cell r="C4898">
            <v>-11.22740263</v>
          </cell>
          <cell r="D4898">
            <v>-41.87974543</v>
          </cell>
        </row>
        <row r="4899">
          <cell r="A4899" t="str">
            <v>São Gabriel</v>
          </cell>
          <cell r="B4899">
            <v>305713</v>
          </cell>
          <cell r="C4899">
            <v>-30.33598061</v>
          </cell>
          <cell r="D4899">
            <v>-54.319937070000002</v>
          </cell>
        </row>
        <row r="4900">
          <cell r="A4900" t="str">
            <v>São Gabriel da Cachoeira</v>
          </cell>
          <cell r="B4900">
            <v>304684</v>
          </cell>
          <cell r="C4900">
            <v>-0.119461203</v>
          </cell>
          <cell r="D4900">
            <v>-67.084510129999998</v>
          </cell>
        </row>
        <row r="4901">
          <cell r="A4901" t="str">
            <v>São Gabriel da Palha</v>
          </cell>
          <cell r="B4901">
            <v>302890</v>
          </cell>
          <cell r="C4901">
            <v>-19.018666320000001</v>
          </cell>
          <cell r="D4901">
            <v>-40.536831659999997</v>
          </cell>
        </row>
        <row r="4902">
          <cell r="A4902" t="str">
            <v>São Gabriel do Oeste</v>
          </cell>
          <cell r="B4902">
            <v>305591</v>
          </cell>
          <cell r="C4902">
            <v>-19.392131039999999</v>
          </cell>
          <cell r="D4902">
            <v>-54.578235200000002</v>
          </cell>
        </row>
        <row r="4903">
          <cell r="A4903" t="str">
            <v>São Geraldo</v>
          </cell>
          <cell r="B4903">
            <v>302758</v>
          </cell>
          <cell r="C4903">
            <v>-20.925710339999998</v>
          </cell>
          <cell r="D4903">
            <v>-42.836723509999999</v>
          </cell>
        </row>
        <row r="4904">
          <cell r="A4904" t="str">
            <v>São Geraldo da Piedade</v>
          </cell>
          <cell r="B4904">
            <v>302681</v>
          </cell>
          <cell r="C4904">
            <v>-18.84429454</v>
          </cell>
          <cell r="D4904">
            <v>-42.288602949999998</v>
          </cell>
        </row>
        <row r="4905">
          <cell r="A4905" t="str">
            <v>São Geraldo do Araguaia</v>
          </cell>
          <cell r="B4905">
            <v>302022</v>
          </cell>
          <cell r="C4905">
            <v>-6.3951210009999997</v>
          </cell>
          <cell r="D4905">
            <v>-48.559549250000003</v>
          </cell>
        </row>
        <row r="4906">
          <cell r="A4906" t="str">
            <v>São Geraldo do Baixio</v>
          </cell>
          <cell r="B4906">
            <v>302528</v>
          </cell>
          <cell r="C4906">
            <v>-18.910142310000001</v>
          </cell>
          <cell r="D4906">
            <v>-41.363314420000002</v>
          </cell>
        </row>
        <row r="4907">
          <cell r="A4907" t="str">
            <v>São Gonçalo</v>
          </cell>
          <cell r="B4907">
            <v>303140</v>
          </cell>
          <cell r="C4907">
            <v>-22.82727568</v>
          </cell>
          <cell r="D4907">
            <v>-43.063723029999998</v>
          </cell>
        </row>
        <row r="4908">
          <cell r="A4908" t="str">
            <v>São Gonçalo do Abaeté</v>
          </cell>
          <cell r="B4908">
            <v>302963</v>
          </cell>
          <cell r="C4908">
            <v>-18.34034097</v>
          </cell>
          <cell r="D4908">
            <v>-45.833455559999997</v>
          </cell>
        </row>
        <row r="4909">
          <cell r="A4909" t="str">
            <v>São Gonçalo do Amarante</v>
          </cell>
          <cell r="B4909">
            <v>302313</v>
          </cell>
          <cell r="C4909">
            <v>-5.7852366310000001</v>
          </cell>
          <cell r="D4909">
            <v>-35.330490689999998</v>
          </cell>
        </row>
        <row r="4910">
          <cell r="A4910" t="str">
            <v>São Gonçalo do Amarante</v>
          </cell>
          <cell r="B4910">
            <v>302357</v>
          </cell>
          <cell r="C4910">
            <v>-3.6055439279999999</v>
          </cell>
          <cell r="D4910">
            <v>-38.972961679999997</v>
          </cell>
        </row>
        <row r="4911">
          <cell r="A4911" t="str">
            <v>São Gonçalo do Gurguéia</v>
          </cell>
          <cell r="B4911">
            <v>302078</v>
          </cell>
          <cell r="C4911">
            <v>-10.030711950000001</v>
          </cell>
          <cell r="D4911">
            <v>-45.302195859999998</v>
          </cell>
        </row>
        <row r="4912">
          <cell r="A4912" t="str">
            <v>São Gonçalo do Pará</v>
          </cell>
          <cell r="B4912">
            <v>302993</v>
          </cell>
          <cell r="C4912">
            <v>-19.982644520000001</v>
          </cell>
          <cell r="D4912">
            <v>-44.859687389999998</v>
          </cell>
        </row>
        <row r="4913">
          <cell r="A4913" t="str">
            <v>São Gonçalo do Piauí</v>
          </cell>
          <cell r="B4913">
            <v>301795</v>
          </cell>
          <cell r="C4913">
            <v>-5.9969884100000002</v>
          </cell>
          <cell r="D4913">
            <v>-42.702869010000001</v>
          </cell>
        </row>
        <row r="4914">
          <cell r="A4914" t="str">
            <v>São Gonçalo do Rio Abaixo</v>
          </cell>
          <cell r="B4914">
            <v>304909</v>
          </cell>
          <cell r="C4914">
            <v>-19.822574029999998</v>
          </cell>
          <cell r="D4914">
            <v>-43.366353660000001</v>
          </cell>
        </row>
        <row r="4915">
          <cell r="A4915" t="str">
            <v>São Gonçalo do Rio Preto</v>
          </cell>
          <cell r="B4915">
            <v>302712</v>
          </cell>
          <cell r="C4915">
            <v>-17.99930535</v>
          </cell>
          <cell r="D4915">
            <v>-43.381719259999997</v>
          </cell>
        </row>
        <row r="4916">
          <cell r="A4916" t="str">
            <v>São Gonçalo do Sapucaí</v>
          </cell>
          <cell r="B4916">
            <v>303227</v>
          </cell>
          <cell r="C4916">
            <v>-21.893699590000001</v>
          </cell>
          <cell r="D4916">
            <v>-45.58973125</v>
          </cell>
        </row>
        <row r="4917">
          <cell r="A4917" t="str">
            <v>São Gonçalo dos Campos</v>
          </cell>
          <cell r="B4917">
            <v>301414</v>
          </cell>
          <cell r="C4917">
            <v>-12.43523643</v>
          </cell>
          <cell r="D4917">
            <v>-38.949470259999998</v>
          </cell>
        </row>
        <row r="4918">
          <cell r="A4918" t="str">
            <v>São Gotardo</v>
          </cell>
          <cell r="B4918">
            <v>303012</v>
          </cell>
          <cell r="C4918">
            <v>-19.309193530000002</v>
          </cell>
          <cell r="D4918">
            <v>-46.046858839999999</v>
          </cell>
        </row>
        <row r="4919">
          <cell r="A4919" t="str">
            <v>São Jerônimo</v>
          </cell>
          <cell r="B4919">
            <v>305782</v>
          </cell>
          <cell r="C4919">
            <v>-29.964582459999999</v>
          </cell>
          <cell r="D4919">
            <v>-51.721114720000003</v>
          </cell>
        </row>
        <row r="4920">
          <cell r="A4920" t="str">
            <v>São Jerônimo da Serra</v>
          </cell>
          <cell r="B4920">
            <v>304735</v>
          </cell>
          <cell r="C4920">
            <v>-23.723285099999998</v>
          </cell>
          <cell r="D4920">
            <v>-50.741591489999998</v>
          </cell>
        </row>
        <row r="4921">
          <cell r="A4921" t="str">
            <v>São João</v>
          </cell>
          <cell r="B4921">
            <v>301123</v>
          </cell>
          <cell r="C4921">
            <v>-8.8761914879999999</v>
          </cell>
          <cell r="D4921">
            <v>-36.365619940000002</v>
          </cell>
        </row>
        <row r="4922">
          <cell r="A4922" t="str">
            <v>São João</v>
          </cell>
          <cell r="B4922">
            <v>305635</v>
          </cell>
          <cell r="C4922">
            <v>-25.821842780000001</v>
          </cell>
          <cell r="D4922">
            <v>-52.725686320000001</v>
          </cell>
        </row>
        <row r="4923">
          <cell r="A4923" t="str">
            <v>São João Batista</v>
          </cell>
          <cell r="B4923">
            <v>301691</v>
          </cell>
          <cell r="C4923">
            <v>-2.9584499769999999</v>
          </cell>
          <cell r="D4923">
            <v>-44.79756999</v>
          </cell>
        </row>
        <row r="4924">
          <cell r="A4924" t="str">
            <v>São João Batista</v>
          </cell>
          <cell r="B4924">
            <v>304050</v>
          </cell>
          <cell r="C4924">
            <v>-27.27766875</v>
          </cell>
          <cell r="D4924">
            <v>-48.847821830000001</v>
          </cell>
        </row>
        <row r="4925">
          <cell r="A4925" t="str">
            <v>São João Batista do Glória</v>
          </cell>
          <cell r="B4925">
            <v>303324</v>
          </cell>
          <cell r="C4925">
            <v>-20.635466220000001</v>
          </cell>
          <cell r="D4925">
            <v>-46.508356169999999</v>
          </cell>
        </row>
        <row r="4926">
          <cell r="A4926" t="str">
            <v>São João da Baliza</v>
          </cell>
          <cell r="B4926">
            <v>305883</v>
          </cell>
          <cell r="C4926">
            <v>0.95129250399999998</v>
          </cell>
          <cell r="D4926">
            <v>-59.913731609999999</v>
          </cell>
        </row>
        <row r="4927">
          <cell r="A4927" t="str">
            <v>São João da Barra</v>
          </cell>
          <cell r="B4927">
            <v>302634</v>
          </cell>
          <cell r="C4927">
            <v>-21.638494869999999</v>
          </cell>
          <cell r="D4927">
            <v>-41.044936270000001</v>
          </cell>
        </row>
        <row r="4928">
          <cell r="A4928" t="str">
            <v>São João da Boa Vista</v>
          </cell>
          <cell r="B4928">
            <v>303527</v>
          </cell>
          <cell r="C4928">
            <v>-21.971220970000001</v>
          </cell>
          <cell r="D4928">
            <v>-46.794751640000001</v>
          </cell>
        </row>
        <row r="4929">
          <cell r="A4929" t="str">
            <v>São João da Canabrava</v>
          </cell>
          <cell r="B4929">
            <v>301032</v>
          </cell>
          <cell r="C4929">
            <v>-6.8172998659999999</v>
          </cell>
          <cell r="D4929">
            <v>-41.344627439999996</v>
          </cell>
        </row>
        <row r="4930">
          <cell r="A4930" t="str">
            <v>São João da Fronteira</v>
          </cell>
          <cell r="B4930">
            <v>300719</v>
          </cell>
          <cell r="C4930">
            <v>-3.9385835839999999</v>
          </cell>
          <cell r="D4930">
            <v>-41.258651159999999</v>
          </cell>
        </row>
        <row r="4931">
          <cell r="A4931" t="str">
            <v>São João da Lagoa</v>
          </cell>
          <cell r="B4931">
            <v>302939</v>
          </cell>
          <cell r="C4931">
            <v>-16.85077003</v>
          </cell>
          <cell r="D4931">
            <v>-44.346118519999997</v>
          </cell>
        </row>
        <row r="4932">
          <cell r="A4932" t="str">
            <v>São João da Mata</v>
          </cell>
          <cell r="B4932">
            <v>304421</v>
          </cell>
          <cell r="C4932">
            <v>-21.9284739</v>
          </cell>
          <cell r="D4932">
            <v>-45.930116669999997</v>
          </cell>
        </row>
        <row r="4933">
          <cell r="A4933" t="str">
            <v>São João da Paraúna</v>
          </cell>
          <cell r="B4933">
            <v>304333</v>
          </cell>
          <cell r="C4933">
            <v>-16.81597412</v>
          </cell>
          <cell r="D4933">
            <v>-50.407420879999997</v>
          </cell>
        </row>
        <row r="4934">
          <cell r="A4934" t="str">
            <v>São João da Ponta</v>
          </cell>
          <cell r="B4934">
            <v>301899</v>
          </cell>
          <cell r="C4934">
            <v>-0.85126657999999999</v>
          </cell>
          <cell r="D4934">
            <v>-47.921005039999997</v>
          </cell>
        </row>
        <row r="4935">
          <cell r="A4935" t="str">
            <v>São João da Ponte</v>
          </cell>
          <cell r="B4935">
            <v>302154</v>
          </cell>
          <cell r="C4935">
            <v>-15.928675760000001</v>
          </cell>
          <cell r="D4935">
            <v>-44.005801390000002</v>
          </cell>
        </row>
        <row r="4936">
          <cell r="A4936" t="str">
            <v>São João da Serra</v>
          </cell>
          <cell r="B4936">
            <v>301008</v>
          </cell>
          <cell r="C4936">
            <v>-5.5112104469999998</v>
          </cell>
          <cell r="D4936">
            <v>-41.892645770000001</v>
          </cell>
        </row>
        <row r="4937">
          <cell r="A4937" t="str">
            <v>São João da Urtiga</v>
          </cell>
          <cell r="B4937">
            <v>305660</v>
          </cell>
          <cell r="C4937">
            <v>-27.819981469999998</v>
          </cell>
          <cell r="D4937">
            <v>-51.826112530000003</v>
          </cell>
        </row>
        <row r="4938">
          <cell r="A4938" t="str">
            <v>São João da Varjota</v>
          </cell>
          <cell r="B4938">
            <v>301052</v>
          </cell>
          <cell r="C4938">
            <v>-6.9153334989999999</v>
          </cell>
          <cell r="D4938">
            <v>-41.863851959999998</v>
          </cell>
        </row>
        <row r="4939">
          <cell r="A4939" t="str">
            <v>São João d'Aliança</v>
          </cell>
          <cell r="B4939">
            <v>302770</v>
          </cell>
          <cell r="C4939">
            <v>-14.70527678</v>
          </cell>
          <cell r="D4939">
            <v>-47.523167090000001</v>
          </cell>
        </row>
        <row r="4940">
          <cell r="A4940" t="str">
            <v>São João das Duas Pontes</v>
          </cell>
          <cell r="B4940">
            <v>304363</v>
          </cell>
          <cell r="C4940">
            <v>-20.388317440000002</v>
          </cell>
          <cell r="D4940">
            <v>-50.379563490000002</v>
          </cell>
        </row>
        <row r="4941">
          <cell r="A4941" t="str">
            <v>São João das Missões</v>
          </cell>
          <cell r="B4941">
            <v>302169</v>
          </cell>
          <cell r="C4941">
            <v>-14.88148677</v>
          </cell>
          <cell r="D4941">
            <v>-44.0801929</v>
          </cell>
        </row>
        <row r="4942">
          <cell r="A4942" t="str">
            <v>São João de Iracema</v>
          </cell>
          <cell r="B4942">
            <v>304377</v>
          </cell>
          <cell r="C4942">
            <v>-20.511460490000001</v>
          </cell>
          <cell r="D4942">
            <v>-50.356403810000003</v>
          </cell>
        </row>
        <row r="4943">
          <cell r="A4943" t="str">
            <v>São João de Meriti</v>
          </cell>
          <cell r="B4943">
            <v>303143</v>
          </cell>
          <cell r="C4943">
            <v>-22.80626088</v>
          </cell>
          <cell r="D4943">
            <v>-43.373294190000003</v>
          </cell>
        </row>
        <row r="4944">
          <cell r="A4944" t="str">
            <v>São João de Pirabas</v>
          </cell>
          <cell r="B4944">
            <v>301880</v>
          </cell>
          <cell r="C4944">
            <v>-0.78059747300000004</v>
          </cell>
          <cell r="D4944">
            <v>-47.181405509999998</v>
          </cell>
        </row>
        <row r="4945">
          <cell r="A4945" t="str">
            <v>São João del Rei</v>
          </cell>
          <cell r="B4945">
            <v>304992</v>
          </cell>
          <cell r="C4945">
            <v>-21.13153101</v>
          </cell>
          <cell r="D4945">
            <v>-44.253022010000002</v>
          </cell>
        </row>
        <row r="4946">
          <cell r="A4946" t="str">
            <v>São João do Araguaia</v>
          </cell>
          <cell r="B4946">
            <v>302013</v>
          </cell>
          <cell r="C4946">
            <v>-5.3605844740000004</v>
          </cell>
          <cell r="D4946">
            <v>-48.79249403</v>
          </cell>
        </row>
        <row r="4947">
          <cell r="A4947" t="str">
            <v>São João do Arraial</v>
          </cell>
          <cell r="B4947">
            <v>302428</v>
          </cell>
          <cell r="C4947">
            <v>-3.8157400969999999</v>
          </cell>
          <cell r="D4947">
            <v>-42.451882619999999</v>
          </cell>
        </row>
        <row r="4948">
          <cell r="A4948" t="str">
            <v>São João do Caiuá</v>
          </cell>
          <cell r="B4948">
            <v>304716</v>
          </cell>
          <cell r="C4948">
            <v>-22.851964089999999</v>
          </cell>
          <cell r="D4948">
            <v>-52.336961520000003</v>
          </cell>
        </row>
        <row r="4949">
          <cell r="A4949" t="str">
            <v>São João do Cariri</v>
          </cell>
          <cell r="B4949">
            <v>300595</v>
          </cell>
          <cell r="C4949">
            <v>-7.3860654349999999</v>
          </cell>
          <cell r="D4949">
            <v>-36.53211125</v>
          </cell>
        </row>
        <row r="4950">
          <cell r="A4950" t="str">
            <v>São João do Carú</v>
          </cell>
          <cell r="B4950">
            <v>302139</v>
          </cell>
          <cell r="C4950">
            <v>-3.5506968809999999</v>
          </cell>
          <cell r="D4950">
            <v>-46.251058370000003</v>
          </cell>
        </row>
        <row r="4951">
          <cell r="A4951" t="str">
            <v>São João do Itaperiú</v>
          </cell>
          <cell r="B4951">
            <v>304012</v>
          </cell>
          <cell r="C4951">
            <v>-26.621757500000001</v>
          </cell>
          <cell r="D4951">
            <v>-48.768700840000001</v>
          </cell>
        </row>
        <row r="4952">
          <cell r="A4952" t="str">
            <v>São João do Ivaí</v>
          </cell>
          <cell r="B4952">
            <v>304778</v>
          </cell>
          <cell r="C4952">
            <v>-23.98374742</v>
          </cell>
          <cell r="D4952">
            <v>-51.821978229999999</v>
          </cell>
        </row>
        <row r="4953">
          <cell r="A4953" t="str">
            <v>São João do Jaguaribe</v>
          </cell>
          <cell r="B4953">
            <v>300747</v>
          </cell>
          <cell r="C4953">
            <v>-5.2755699299999996</v>
          </cell>
          <cell r="D4953">
            <v>-38.269677399999999</v>
          </cell>
        </row>
        <row r="4954">
          <cell r="A4954" t="str">
            <v>São João do Manhuaçu</v>
          </cell>
          <cell r="B4954">
            <v>303571</v>
          </cell>
          <cell r="C4954">
            <v>-20.39379374</v>
          </cell>
          <cell r="D4954">
            <v>-42.15364237</v>
          </cell>
        </row>
        <row r="4955">
          <cell r="A4955" t="str">
            <v>São João do Manteninha</v>
          </cell>
          <cell r="B4955">
            <v>302499</v>
          </cell>
          <cell r="C4955">
            <v>-18.7234619</v>
          </cell>
          <cell r="D4955">
            <v>-41.163185599999998</v>
          </cell>
        </row>
        <row r="4956">
          <cell r="A4956" t="str">
            <v>São João do Oeste</v>
          </cell>
          <cell r="B4956">
            <v>305355</v>
          </cell>
          <cell r="C4956">
            <v>-27.098820419999999</v>
          </cell>
          <cell r="D4956">
            <v>-53.598113640000001</v>
          </cell>
        </row>
        <row r="4957">
          <cell r="A4957" t="str">
            <v>São João do Oriente</v>
          </cell>
          <cell r="B4957">
            <v>302731</v>
          </cell>
          <cell r="C4957">
            <v>-19.338992439999998</v>
          </cell>
          <cell r="D4957">
            <v>-42.157963459999998</v>
          </cell>
        </row>
        <row r="4958">
          <cell r="A4958" t="str">
            <v>São João do Pacuí</v>
          </cell>
          <cell r="B4958">
            <v>302190</v>
          </cell>
          <cell r="C4958">
            <v>-16.53263488</v>
          </cell>
          <cell r="D4958">
            <v>-44.530239960000003</v>
          </cell>
        </row>
        <row r="4959">
          <cell r="A4959" t="str">
            <v>São João do Paraíso</v>
          </cell>
          <cell r="B4959">
            <v>302118</v>
          </cell>
          <cell r="C4959">
            <v>-15.317256329999999</v>
          </cell>
          <cell r="D4959">
            <v>-42.021690390000003</v>
          </cell>
        </row>
        <row r="4960">
          <cell r="A4960" t="str">
            <v>São João do Paraíso</v>
          </cell>
          <cell r="B4960">
            <v>301993</v>
          </cell>
          <cell r="C4960">
            <v>-6.4650682689999996</v>
          </cell>
          <cell r="D4960">
            <v>-47.056543619999999</v>
          </cell>
        </row>
        <row r="4961">
          <cell r="A4961" t="str">
            <v>São João do Pau d'Alho</v>
          </cell>
          <cell r="B4961">
            <v>305747</v>
          </cell>
          <cell r="C4961">
            <v>-21.267954209999999</v>
          </cell>
          <cell r="D4961">
            <v>-51.665979100000001</v>
          </cell>
        </row>
        <row r="4962">
          <cell r="A4962" t="str">
            <v>São João do Piauí</v>
          </cell>
          <cell r="B4962">
            <v>301830</v>
          </cell>
          <cell r="C4962">
            <v>-8.3550825470000003</v>
          </cell>
          <cell r="D4962">
            <v>-42.256239270000002</v>
          </cell>
        </row>
        <row r="4963">
          <cell r="A4963" t="str">
            <v>São João do Polêsine</v>
          </cell>
          <cell r="B4963">
            <v>305693</v>
          </cell>
          <cell r="C4963">
            <v>-29.61398118</v>
          </cell>
          <cell r="D4963">
            <v>-53.445938859999998</v>
          </cell>
        </row>
        <row r="4964">
          <cell r="A4964" t="str">
            <v>São João do Rio do Peixe</v>
          </cell>
          <cell r="B4964">
            <v>300996</v>
          </cell>
          <cell r="C4964">
            <v>-6.7215587069999998</v>
          </cell>
          <cell r="D4964">
            <v>-38.45548402</v>
          </cell>
        </row>
        <row r="4965">
          <cell r="A4965" t="str">
            <v>São João do Sabugi</v>
          </cell>
          <cell r="B4965">
            <v>300968</v>
          </cell>
          <cell r="C4965">
            <v>-6.7142825889999997</v>
          </cell>
          <cell r="D4965">
            <v>-37.202980519999997</v>
          </cell>
        </row>
        <row r="4966">
          <cell r="A4966" t="str">
            <v>São João do Soter</v>
          </cell>
          <cell r="B4966">
            <v>302566</v>
          </cell>
          <cell r="C4966">
            <v>-5.108612012</v>
          </cell>
          <cell r="D4966">
            <v>-43.816606409999999</v>
          </cell>
        </row>
        <row r="4967">
          <cell r="A4967" t="str">
            <v>São João do Sul</v>
          </cell>
          <cell r="B4967">
            <v>304126</v>
          </cell>
          <cell r="C4967">
            <v>-29.219117990000001</v>
          </cell>
          <cell r="D4967">
            <v>-49.803614879999998</v>
          </cell>
        </row>
        <row r="4968">
          <cell r="A4968" t="str">
            <v>São João do Tigre</v>
          </cell>
          <cell r="B4968">
            <v>300773</v>
          </cell>
          <cell r="C4968">
            <v>-8.077826215</v>
          </cell>
          <cell r="D4968">
            <v>-36.855392080000001</v>
          </cell>
        </row>
        <row r="4969">
          <cell r="A4969" t="str">
            <v>São João do Triunfo</v>
          </cell>
          <cell r="B4969">
            <v>304601</v>
          </cell>
          <cell r="C4969">
            <v>-25.683445800000001</v>
          </cell>
          <cell r="D4969">
            <v>-50.295350480000003</v>
          </cell>
        </row>
        <row r="4970">
          <cell r="A4970" t="str">
            <v>São João dos Patos</v>
          </cell>
          <cell r="B4970">
            <v>301842</v>
          </cell>
          <cell r="C4970">
            <v>-6.4938100060000004</v>
          </cell>
          <cell r="D4970">
            <v>-43.703972520000001</v>
          </cell>
        </row>
        <row r="4971">
          <cell r="A4971" t="str">
            <v>São João Evangelista</v>
          </cell>
          <cell r="B4971">
            <v>302697</v>
          </cell>
          <cell r="C4971">
            <v>-18.548471150000001</v>
          </cell>
          <cell r="D4971">
            <v>-42.76586365</v>
          </cell>
        </row>
        <row r="4972">
          <cell r="A4972" t="str">
            <v>São João Nepomuceno</v>
          </cell>
          <cell r="B4972">
            <v>303098</v>
          </cell>
          <cell r="C4972">
            <v>-21.538614240000001</v>
          </cell>
          <cell r="D4972">
            <v>-43.007244249999999</v>
          </cell>
        </row>
        <row r="4973">
          <cell r="A4973" t="str">
            <v>São Joaquim</v>
          </cell>
          <cell r="B4973">
            <v>304099</v>
          </cell>
          <cell r="C4973">
            <v>-28.289190430000001</v>
          </cell>
          <cell r="D4973">
            <v>-49.946153199999998</v>
          </cell>
        </row>
        <row r="4974">
          <cell r="A4974" t="str">
            <v>São Joaquim da Barra</v>
          </cell>
          <cell r="B4974">
            <v>303354</v>
          </cell>
          <cell r="C4974">
            <v>-20.581624949999998</v>
          </cell>
          <cell r="D4974">
            <v>-47.859714959999998</v>
          </cell>
        </row>
        <row r="4975">
          <cell r="A4975" t="str">
            <v>São Joaquim de Bicas</v>
          </cell>
          <cell r="B4975">
            <v>302920</v>
          </cell>
          <cell r="C4975">
            <v>-20.048444</v>
          </cell>
          <cell r="D4975">
            <v>-44.275322520000003</v>
          </cell>
        </row>
        <row r="4976">
          <cell r="A4976" t="str">
            <v>São Joaquim do Monte</v>
          </cell>
          <cell r="B4976">
            <v>301105</v>
          </cell>
          <cell r="C4976">
            <v>-8.4323892170000008</v>
          </cell>
          <cell r="D4976">
            <v>-35.803793429999999</v>
          </cell>
        </row>
        <row r="4977">
          <cell r="A4977" t="str">
            <v>São Jorge</v>
          </cell>
          <cell r="B4977">
            <v>305175</v>
          </cell>
          <cell r="C4977">
            <v>-28.498921070000002</v>
          </cell>
          <cell r="D4977">
            <v>-51.706872599999997</v>
          </cell>
        </row>
        <row r="4978">
          <cell r="A4978" t="str">
            <v>São Jorge do Ivaí</v>
          </cell>
          <cell r="B4978">
            <v>304810</v>
          </cell>
          <cell r="C4978">
            <v>-23.434055780000001</v>
          </cell>
          <cell r="D4978">
            <v>-52.293342299999999</v>
          </cell>
        </row>
        <row r="4979">
          <cell r="A4979" t="str">
            <v>São Jorge do Patrocínio</v>
          </cell>
          <cell r="B4979">
            <v>305759</v>
          </cell>
          <cell r="C4979">
            <v>-23.76520403</v>
          </cell>
          <cell r="D4979">
            <v>-53.882720919999997</v>
          </cell>
        </row>
        <row r="4980">
          <cell r="A4980" t="str">
            <v>São Jorge d'Oeste</v>
          </cell>
          <cell r="B4980">
            <v>305636</v>
          </cell>
          <cell r="C4980">
            <v>-25.699468960000001</v>
          </cell>
          <cell r="D4980">
            <v>-52.913539010000001</v>
          </cell>
        </row>
        <row r="4981">
          <cell r="A4981" t="str">
            <v>São José</v>
          </cell>
          <cell r="B4981">
            <v>304045</v>
          </cell>
          <cell r="C4981">
            <v>-27.61406114</v>
          </cell>
          <cell r="D4981">
            <v>-48.637033700000003</v>
          </cell>
        </row>
        <row r="4982">
          <cell r="A4982" t="str">
            <v>São José da Barra</v>
          </cell>
          <cell r="B4982">
            <v>303322</v>
          </cell>
          <cell r="C4982">
            <v>-20.718278940000001</v>
          </cell>
          <cell r="D4982">
            <v>-46.313357070000002</v>
          </cell>
        </row>
        <row r="4983">
          <cell r="A4983" t="str">
            <v>São José da Bela Vista</v>
          </cell>
          <cell r="B4983">
            <v>303344</v>
          </cell>
          <cell r="C4983">
            <v>-20.59401549</v>
          </cell>
          <cell r="D4983">
            <v>-47.642810570000002</v>
          </cell>
        </row>
        <row r="4984">
          <cell r="A4984" t="str">
            <v>São José da Boa Vista</v>
          </cell>
          <cell r="B4984">
            <v>304212</v>
          </cell>
          <cell r="C4984">
            <v>-23.915987680000001</v>
          </cell>
          <cell r="D4984">
            <v>-49.651947550000003</v>
          </cell>
        </row>
        <row r="4985">
          <cell r="A4985" t="str">
            <v>São José da Coroa Grande</v>
          </cell>
          <cell r="B4985">
            <v>301084</v>
          </cell>
          <cell r="C4985">
            <v>-8.8898055330000005</v>
          </cell>
          <cell r="D4985">
            <v>-35.151751930000003</v>
          </cell>
        </row>
        <row r="4986">
          <cell r="A4986" t="str">
            <v>São José da Lagoa Tapada</v>
          </cell>
          <cell r="B4986">
            <v>300983</v>
          </cell>
          <cell r="C4986">
            <v>-6.9368753549999997</v>
          </cell>
          <cell r="D4986">
            <v>-38.162485590000003</v>
          </cell>
        </row>
        <row r="4987">
          <cell r="A4987" t="str">
            <v>São José da Laje</v>
          </cell>
          <cell r="B4987">
            <v>301475</v>
          </cell>
          <cell r="C4987">
            <v>-9.0132095710000009</v>
          </cell>
          <cell r="D4987">
            <v>-36.051786730000003</v>
          </cell>
        </row>
        <row r="4988">
          <cell r="A4988" t="str">
            <v>São José da Lapa</v>
          </cell>
          <cell r="B4988">
            <v>302828</v>
          </cell>
          <cell r="C4988">
            <v>-19.697578329999999</v>
          </cell>
          <cell r="D4988">
            <v>-43.959007509999999</v>
          </cell>
        </row>
        <row r="4989">
          <cell r="A4989" t="str">
            <v>São José da Safira</v>
          </cell>
          <cell r="B4989">
            <v>303030</v>
          </cell>
          <cell r="C4989">
            <v>-18.32489657</v>
          </cell>
          <cell r="D4989">
            <v>-42.146063509999998</v>
          </cell>
        </row>
        <row r="4990">
          <cell r="A4990" t="str">
            <v>São José da Tapera</v>
          </cell>
          <cell r="B4990">
            <v>301218</v>
          </cell>
          <cell r="C4990">
            <v>-9.5581166920000005</v>
          </cell>
          <cell r="D4990">
            <v>-37.383432990000003</v>
          </cell>
        </row>
        <row r="4991">
          <cell r="A4991" t="str">
            <v>São José da Varginha</v>
          </cell>
          <cell r="B4991">
            <v>303236</v>
          </cell>
          <cell r="C4991">
            <v>-19.701037110000001</v>
          </cell>
          <cell r="D4991">
            <v>-44.556334640000003</v>
          </cell>
        </row>
        <row r="4992">
          <cell r="A4992" t="str">
            <v>São José da Vitória</v>
          </cell>
          <cell r="B4992">
            <v>301753</v>
          </cell>
          <cell r="C4992">
            <v>-15.07841569</v>
          </cell>
          <cell r="D4992">
            <v>-39.341111939999998</v>
          </cell>
        </row>
        <row r="4993">
          <cell r="A4993" t="str">
            <v>São José das Missões</v>
          </cell>
          <cell r="B4993">
            <v>305676</v>
          </cell>
          <cell r="C4993">
            <v>-27.779378149999999</v>
          </cell>
          <cell r="D4993">
            <v>-53.123051519999997</v>
          </cell>
        </row>
        <row r="4994">
          <cell r="A4994" t="str">
            <v>São José das Palmeiras</v>
          </cell>
          <cell r="B4994">
            <v>305019</v>
          </cell>
          <cell r="C4994">
            <v>-24.83734475</v>
          </cell>
          <cell r="D4994">
            <v>-54.057675719999999</v>
          </cell>
        </row>
        <row r="4995">
          <cell r="A4995" t="str">
            <v>São José de Caiana</v>
          </cell>
          <cell r="B4995">
            <v>300801</v>
          </cell>
          <cell r="C4995">
            <v>-7.2518551840000001</v>
          </cell>
          <cell r="D4995">
            <v>-38.30023869</v>
          </cell>
        </row>
        <row r="4996">
          <cell r="A4996" t="str">
            <v>São José de Espinharas</v>
          </cell>
          <cell r="B4996">
            <v>300614</v>
          </cell>
          <cell r="C4996">
            <v>-6.8401522999999997</v>
          </cell>
          <cell r="D4996">
            <v>-37.321738459999999</v>
          </cell>
        </row>
        <row r="4997">
          <cell r="A4997" t="str">
            <v>São José de Mipibu</v>
          </cell>
          <cell r="B4997">
            <v>302318</v>
          </cell>
          <cell r="C4997">
            <v>-6.0740065120000004</v>
          </cell>
          <cell r="D4997">
            <v>-35.235335929999998</v>
          </cell>
        </row>
        <row r="4998">
          <cell r="A4998" t="str">
            <v>São José de Piranhas</v>
          </cell>
          <cell r="B4998">
            <v>300803</v>
          </cell>
          <cell r="C4998">
            <v>-7.1191212420000003</v>
          </cell>
          <cell r="D4998">
            <v>-38.502294139999997</v>
          </cell>
        </row>
        <row r="4999">
          <cell r="A4999" t="str">
            <v>São José de Princesa</v>
          </cell>
          <cell r="B4999">
            <v>300822</v>
          </cell>
          <cell r="C4999">
            <v>-7.7431420940000004</v>
          </cell>
          <cell r="D4999">
            <v>-38.100296120000003</v>
          </cell>
        </row>
        <row r="5000">
          <cell r="A5000" t="str">
            <v>São José de Ribamar</v>
          </cell>
          <cell r="B5000">
            <v>301674</v>
          </cell>
          <cell r="C5000">
            <v>-2.5538575639999999</v>
          </cell>
          <cell r="D5000">
            <v>-44.058080390000001</v>
          </cell>
        </row>
        <row r="5001">
          <cell r="A5001" t="str">
            <v>São José de Ubá</v>
          </cell>
          <cell r="B5001">
            <v>304913</v>
          </cell>
          <cell r="C5001">
            <v>-21.366548900000002</v>
          </cell>
          <cell r="D5001">
            <v>-41.951418230000002</v>
          </cell>
        </row>
        <row r="5002">
          <cell r="A5002" t="str">
            <v>São José do Alegre</v>
          </cell>
          <cell r="B5002">
            <v>303451</v>
          </cell>
          <cell r="C5002">
            <v>-22.324747169999998</v>
          </cell>
          <cell r="D5002">
            <v>-45.526224990000003</v>
          </cell>
        </row>
        <row r="5003">
          <cell r="A5003" t="str">
            <v>São José do Barreiro</v>
          </cell>
          <cell r="B5003">
            <v>303613</v>
          </cell>
          <cell r="C5003">
            <v>-22.64183448</v>
          </cell>
          <cell r="D5003">
            <v>-44.577819269999999</v>
          </cell>
        </row>
        <row r="5004">
          <cell r="A5004" t="str">
            <v>São José do Belmonte</v>
          </cell>
          <cell r="B5004">
            <v>300856</v>
          </cell>
          <cell r="C5004">
            <v>-7.8654116160000003</v>
          </cell>
          <cell r="D5004">
            <v>-38.761296620000003</v>
          </cell>
        </row>
        <row r="5005">
          <cell r="A5005" t="str">
            <v>São José do Bonfim</v>
          </cell>
          <cell r="B5005">
            <v>300616</v>
          </cell>
          <cell r="C5005">
            <v>-7.1603679189999996</v>
          </cell>
          <cell r="D5005">
            <v>-37.30721028</v>
          </cell>
        </row>
        <row r="5006">
          <cell r="A5006" t="str">
            <v>São José do Brejo do Cruz</v>
          </cell>
          <cell r="B5006">
            <v>300555</v>
          </cell>
          <cell r="C5006">
            <v>-6.2122022369999996</v>
          </cell>
          <cell r="D5006">
            <v>-37.354879109999999</v>
          </cell>
        </row>
        <row r="5007">
          <cell r="A5007" t="str">
            <v>São José do Calçado</v>
          </cell>
          <cell r="B5007">
            <v>302636</v>
          </cell>
          <cell r="C5007">
            <v>-21.027924219999999</v>
          </cell>
          <cell r="D5007">
            <v>-41.663984319999997</v>
          </cell>
        </row>
        <row r="5008">
          <cell r="A5008" t="str">
            <v>São José do Campestre</v>
          </cell>
          <cell r="B5008">
            <v>300562</v>
          </cell>
          <cell r="C5008">
            <v>-6.3176270509999997</v>
          </cell>
          <cell r="D5008">
            <v>-35.712630009999998</v>
          </cell>
        </row>
        <row r="5009">
          <cell r="A5009" t="str">
            <v>São José do Cedro</v>
          </cell>
          <cell r="B5009">
            <v>305342</v>
          </cell>
          <cell r="C5009">
            <v>-26.456601599999999</v>
          </cell>
          <cell r="D5009">
            <v>-53.49590946</v>
          </cell>
        </row>
        <row r="5010">
          <cell r="A5010" t="str">
            <v>São José do Cerrito</v>
          </cell>
          <cell r="B5010">
            <v>305131</v>
          </cell>
          <cell r="C5010">
            <v>-27.660667180000001</v>
          </cell>
          <cell r="D5010">
            <v>-50.573744789999999</v>
          </cell>
        </row>
        <row r="5011">
          <cell r="A5011" t="str">
            <v>São José do Divino</v>
          </cell>
          <cell r="B5011">
            <v>300726</v>
          </cell>
          <cell r="C5011">
            <v>-3.8110351159999998</v>
          </cell>
          <cell r="D5011">
            <v>-41.831717779999998</v>
          </cell>
        </row>
        <row r="5012">
          <cell r="A5012" t="str">
            <v>São José do Divino</v>
          </cell>
          <cell r="B5012">
            <v>302498</v>
          </cell>
          <cell r="C5012">
            <v>-18.479776439999998</v>
          </cell>
          <cell r="D5012">
            <v>-41.391020740000002</v>
          </cell>
        </row>
        <row r="5013">
          <cell r="A5013" t="str">
            <v>São José do Egito</v>
          </cell>
          <cell r="B5013">
            <v>300779</v>
          </cell>
          <cell r="C5013">
            <v>-7.4698672290000001</v>
          </cell>
          <cell r="D5013">
            <v>-37.274279530000001</v>
          </cell>
        </row>
        <row r="5014">
          <cell r="A5014" t="str">
            <v>São José do Goiabal</v>
          </cell>
          <cell r="B5014">
            <v>303558</v>
          </cell>
          <cell r="C5014">
            <v>-19.92190678</v>
          </cell>
          <cell r="D5014">
            <v>-42.703912209999999</v>
          </cell>
        </row>
        <row r="5015">
          <cell r="A5015" t="str">
            <v>São José do Herval</v>
          </cell>
          <cell r="B5015">
            <v>305225</v>
          </cell>
          <cell r="C5015">
            <v>-29.04398144</v>
          </cell>
          <cell r="D5015">
            <v>-52.295940979999997</v>
          </cell>
        </row>
        <row r="5016">
          <cell r="A5016" t="str">
            <v>São José do Hortêncio</v>
          </cell>
          <cell r="B5016">
            <v>305480</v>
          </cell>
          <cell r="C5016">
            <v>-29.524719489999999</v>
          </cell>
          <cell r="D5016">
            <v>-51.248517640000003</v>
          </cell>
        </row>
        <row r="5017">
          <cell r="A5017" t="str">
            <v>São José do Inhacorá</v>
          </cell>
          <cell r="B5017">
            <v>305438</v>
          </cell>
          <cell r="C5017">
            <v>-27.72552172</v>
          </cell>
          <cell r="D5017">
            <v>-54.127924450000002</v>
          </cell>
        </row>
        <row r="5018">
          <cell r="A5018" t="str">
            <v>São José do Jacuípe</v>
          </cell>
          <cell r="B5018">
            <v>301444</v>
          </cell>
          <cell r="C5018">
            <v>-11.42367183</v>
          </cell>
          <cell r="D5018">
            <v>-39.884622149999998</v>
          </cell>
        </row>
        <row r="5019">
          <cell r="A5019" t="str">
            <v>São José do Jacuri</v>
          </cell>
          <cell r="B5019">
            <v>302687</v>
          </cell>
          <cell r="C5019">
            <v>-18.274448490000001</v>
          </cell>
          <cell r="D5019">
            <v>-42.671105269999998</v>
          </cell>
        </row>
        <row r="5020">
          <cell r="A5020" t="str">
            <v>São José do Mantimento</v>
          </cell>
          <cell r="B5020">
            <v>302669</v>
          </cell>
          <cell r="C5020">
            <v>-20.006234119999998</v>
          </cell>
          <cell r="D5020">
            <v>-41.74894664</v>
          </cell>
        </row>
        <row r="5021">
          <cell r="A5021" t="str">
            <v>São José do Norte</v>
          </cell>
          <cell r="B5021">
            <v>305549</v>
          </cell>
          <cell r="C5021">
            <v>-32.012512970000003</v>
          </cell>
          <cell r="D5021">
            <v>-52.03381383</v>
          </cell>
        </row>
        <row r="5022">
          <cell r="A5022" t="str">
            <v>São José do Ouro</v>
          </cell>
          <cell r="B5022">
            <v>305581</v>
          </cell>
          <cell r="C5022">
            <v>-27.771154119999998</v>
          </cell>
          <cell r="D5022">
            <v>-51.597066869999999</v>
          </cell>
        </row>
        <row r="5023">
          <cell r="A5023" t="str">
            <v>São José do Peixe</v>
          </cell>
          <cell r="B5023">
            <v>301831</v>
          </cell>
          <cell r="C5023">
            <v>-7.4939611419999999</v>
          </cell>
          <cell r="D5023">
            <v>-42.567818709999997</v>
          </cell>
        </row>
        <row r="5024">
          <cell r="A5024" t="str">
            <v>São José do Piauí</v>
          </cell>
          <cell r="B5024">
            <v>301047</v>
          </cell>
          <cell r="C5024">
            <v>-6.872501669</v>
          </cell>
          <cell r="D5024">
            <v>-41.478534709999998</v>
          </cell>
        </row>
        <row r="5025">
          <cell r="A5025" t="str">
            <v>São José do Povo</v>
          </cell>
          <cell r="B5025">
            <v>304256</v>
          </cell>
          <cell r="C5025">
            <v>-16.465694670000001</v>
          </cell>
          <cell r="D5025">
            <v>-54.254232510000001</v>
          </cell>
        </row>
        <row r="5026">
          <cell r="A5026" t="str">
            <v>São José do Rio Claro</v>
          </cell>
          <cell r="B5026">
            <v>304445</v>
          </cell>
          <cell r="C5026">
            <v>-13.450227829999999</v>
          </cell>
          <cell r="D5026">
            <v>-56.72096268</v>
          </cell>
        </row>
        <row r="5027">
          <cell r="A5027" t="str">
            <v>São José do Rio Pardo</v>
          </cell>
          <cell r="B5027">
            <v>303523</v>
          </cell>
          <cell r="C5027">
            <v>-21.595760540000001</v>
          </cell>
          <cell r="D5027">
            <v>-46.887698229999998</v>
          </cell>
        </row>
        <row r="5028">
          <cell r="A5028" t="str">
            <v>São José do Rio Preto</v>
          </cell>
          <cell r="B5028">
            <v>303426</v>
          </cell>
          <cell r="C5028">
            <v>-20.81175313</v>
          </cell>
          <cell r="D5028">
            <v>-49.37617633</v>
          </cell>
        </row>
        <row r="5029">
          <cell r="A5029" t="str">
            <v>São José do Sabugi</v>
          </cell>
          <cell r="B5029">
            <v>300963</v>
          </cell>
          <cell r="C5029">
            <v>-6.7740667370000001</v>
          </cell>
          <cell r="D5029">
            <v>-36.798332039999998</v>
          </cell>
        </row>
        <row r="5030">
          <cell r="A5030" t="str">
            <v>São José do Seridó</v>
          </cell>
          <cell r="B5030">
            <v>300960</v>
          </cell>
          <cell r="C5030">
            <v>-6.4480375600000004</v>
          </cell>
          <cell r="D5030">
            <v>-36.88131808</v>
          </cell>
        </row>
        <row r="5031">
          <cell r="A5031" t="str">
            <v>São José do Sul</v>
          </cell>
          <cell r="B5031">
            <v>300386</v>
          </cell>
          <cell r="C5031">
            <v>-29.542295209999999</v>
          </cell>
          <cell r="D5031">
            <v>-51.487842460000003</v>
          </cell>
        </row>
        <row r="5032">
          <cell r="A5032" t="str">
            <v>São José do Vale do Rio Preto</v>
          </cell>
          <cell r="B5032">
            <v>303076</v>
          </cell>
          <cell r="C5032">
            <v>-22.152980620000001</v>
          </cell>
          <cell r="D5032">
            <v>-42.933096290000002</v>
          </cell>
        </row>
        <row r="5033">
          <cell r="A5033" t="str">
            <v>São José do Xingu</v>
          </cell>
          <cell r="B5033">
            <v>304194</v>
          </cell>
          <cell r="C5033">
            <v>-10.80192592</v>
          </cell>
          <cell r="D5033">
            <v>-52.735116789999999</v>
          </cell>
        </row>
        <row r="5034">
          <cell r="A5034" t="str">
            <v>São José dos Ausentes</v>
          </cell>
          <cell r="B5034">
            <v>304125</v>
          </cell>
          <cell r="C5034">
            <v>-28.748070909999999</v>
          </cell>
          <cell r="D5034">
            <v>-50.068160910000003</v>
          </cell>
        </row>
        <row r="5035">
          <cell r="A5035" t="str">
            <v>São José dos Basílios</v>
          </cell>
          <cell r="B5035">
            <v>302136</v>
          </cell>
          <cell r="C5035">
            <v>-5.0553322879999998</v>
          </cell>
          <cell r="D5035">
            <v>-44.581291380000003</v>
          </cell>
        </row>
        <row r="5036">
          <cell r="A5036" t="str">
            <v>São José dos Campos</v>
          </cell>
          <cell r="B5036">
            <v>303293</v>
          </cell>
          <cell r="C5036">
            <v>-23.190034059999999</v>
          </cell>
          <cell r="D5036">
            <v>-45.884507919999997</v>
          </cell>
        </row>
        <row r="5037">
          <cell r="A5037" t="str">
            <v>São José dos Cordeiros</v>
          </cell>
          <cell r="B5037">
            <v>300627</v>
          </cell>
          <cell r="C5037">
            <v>-7.3913948070000002</v>
          </cell>
          <cell r="D5037">
            <v>-36.807821349999998</v>
          </cell>
        </row>
        <row r="5038">
          <cell r="A5038" t="str">
            <v>São José dos Pinhais</v>
          </cell>
          <cell r="B5038">
            <v>303992</v>
          </cell>
          <cell r="C5038">
            <v>-25.531820629999999</v>
          </cell>
          <cell r="D5038">
            <v>-49.203519810000003</v>
          </cell>
        </row>
        <row r="5039">
          <cell r="A5039" t="str">
            <v>São José dos Quatro Marcos</v>
          </cell>
          <cell r="B5039">
            <v>304681</v>
          </cell>
          <cell r="C5039">
            <v>-15.628013279999999</v>
          </cell>
          <cell r="D5039">
            <v>-58.177663750000001</v>
          </cell>
        </row>
        <row r="5040">
          <cell r="A5040" t="str">
            <v>São José dos Ramos</v>
          </cell>
          <cell r="B5040">
            <v>300457</v>
          </cell>
          <cell r="C5040">
            <v>-7.2478275390000002</v>
          </cell>
          <cell r="D5040">
            <v>-35.378225319999999</v>
          </cell>
        </row>
        <row r="5041">
          <cell r="A5041" t="str">
            <v>São Julião</v>
          </cell>
          <cell r="B5041">
            <v>301022</v>
          </cell>
          <cell r="C5041">
            <v>-7.0822483270000003</v>
          </cell>
          <cell r="D5041">
            <v>-40.836535380000001</v>
          </cell>
        </row>
        <row r="5042">
          <cell r="A5042" t="str">
            <v>São Leopoldo</v>
          </cell>
          <cell r="B5042">
            <v>305491</v>
          </cell>
          <cell r="C5042">
            <v>-29.754974059999999</v>
          </cell>
          <cell r="D5042">
            <v>-51.150225470000002</v>
          </cell>
        </row>
        <row r="5043">
          <cell r="A5043" t="str">
            <v>São Lourenço</v>
          </cell>
          <cell r="B5043">
            <v>303607</v>
          </cell>
          <cell r="C5043">
            <v>-22.117066600000001</v>
          </cell>
          <cell r="D5043">
            <v>-45.050981139999998</v>
          </cell>
        </row>
        <row r="5044">
          <cell r="A5044" t="str">
            <v>São Lourenço da Mata</v>
          </cell>
          <cell r="B5044">
            <v>300474</v>
          </cell>
          <cell r="C5044">
            <v>-8.007265147</v>
          </cell>
          <cell r="D5044">
            <v>-35.012648230000003</v>
          </cell>
        </row>
        <row r="5045">
          <cell r="A5045" t="str">
            <v>São Lourenço da Serra</v>
          </cell>
          <cell r="B5045">
            <v>303753</v>
          </cell>
          <cell r="C5045">
            <v>-23.849613340000001</v>
          </cell>
          <cell r="D5045">
            <v>-46.943562139999997</v>
          </cell>
        </row>
        <row r="5046">
          <cell r="A5046" t="str">
            <v>São Lourenço do Oeste</v>
          </cell>
          <cell r="B5046">
            <v>305280</v>
          </cell>
          <cell r="C5046">
            <v>-26.35612845</v>
          </cell>
          <cell r="D5046">
            <v>-52.85028612</v>
          </cell>
        </row>
        <row r="5047">
          <cell r="A5047" t="str">
            <v>São Lourenço do Piauí</v>
          </cell>
          <cell r="B5047">
            <v>302049</v>
          </cell>
          <cell r="C5047">
            <v>-9.1687539919999992</v>
          </cell>
          <cell r="D5047">
            <v>-42.547388990000002</v>
          </cell>
        </row>
        <row r="5048">
          <cell r="A5048" t="str">
            <v>São Lourenço do Sul</v>
          </cell>
          <cell r="B5048">
            <v>305546</v>
          </cell>
          <cell r="C5048">
            <v>-31.361025590000001</v>
          </cell>
          <cell r="D5048">
            <v>-51.973628179999999</v>
          </cell>
        </row>
        <row r="5049">
          <cell r="A5049" t="str">
            <v>São Ludgero</v>
          </cell>
          <cell r="B5049">
            <v>304073</v>
          </cell>
          <cell r="C5049">
            <v>-28.314858919999999</v>
          </cell>
          <cell r="D5049">
            <v>-49.181064159999998</v>
          </cell>
        </row>
        <row r="5050">
          <cell r="A5050" t="str">
            <v>São Luís</v>
          </cell>
          <cell r="B5050">
            <v>295771</v>
          </cell>
          <cell r="C5050">
            <v>-2.5395151469999999</v>
          </cell>
          <cell r="D5050">
            <v>-44.283215839999997</v>
          </cell>
        </row>
        <row r="5051">
          <cell r="A5051" t="str">
            <v>São Luís de Montes Belos</v>
          </cell>
          <cell r="B5051">
            <v>304976</v>
          </cell>
          <cell r="C5051">
            <v>-16.521511669999999</v>
          </cell>
          <cell r="D5051">
            <v>-50.373033280000001</v>
          </cell>
        </row>
        <row r="5052">
          <cell r="A5052" t="str">
            <v>São Luís do Curu</v>
          </cell>
          <cell r="B5052">
            <v>300683</v>
          </cell>
          <cell r="C5052">
            <v>-3.6701552519999998</v>
          </cell>
          <cell r="D5052">
            <v>-39.239440590000001</v>
          </cell>
        </row>
        <row r="5053">
          <cell r="A5053" t="str">
            <v>São Luís do Paraitinga</v>
          </cell>
          <cell r="B5053">
            <v>303283</v>
          </cell>
          <cell r="C5053">
            <v>-23.22100258</v>
          </cell>
          <cell r="D5053">
            <v>-45.309379020000002</v>
          </cell>
        </row>
        <row r="5054">
          <cell r="A5054" t="str">
            <v>São Luis do Piauí</v>
          </cell>
          <cell r="B5054">
            <v>301039</v>
          </cell>
          <cell r="C5054">
            <v>-6.8272383510000001</v>
          </cell>
          <cell r="D5054">
            <v>-41.323687309999997</v>
          </cell>
        </row>
        <row r="5055">
          <cell r="A5055" t="str">
            <v>São Luís do Quitunde</v>
          </cell>
          <cell r="B5055">
            <v>301101</v>
          </cell>
          <cell r="C5055">
            <v>-9.3185928229999995</v>
          </cell>
          <cell r="D5055">
            <v>-35.560847340000002</v>
          </cell>
        </row>
        <row r="5056">
          <cell r="A5056" t="str">
            <v>São Luís Gonzaga do Maranhão</v>
          </cell>
          <cell r="B5056">
            <v>302433</v>
          </cell>
          <cell r="C5056">
            <v>-4.3771537260000004</v>
          </cell>
          <cell r="D5056">
            <v>-44.670972620000001</v>
          </cell>
        </row>
        <row r="5057">
          <cell r="A5057" t="str">
            <v>São Luiz</v>
          </cell>
          <cell r="B5057">
            <v>305884</v>
          </cell>
          <cell r="C5057">
            <v>1.016887037</v>
          </cell>
          <cell r="D5057">
            <v>-60.038727010000002</v>
          </cell>
        </row>
        <row r="5058">
          <cell r="A5058" t="str">
            <v>São Luíz do Norte</v>
          </cell>
          <cell r="B5058">
            <v>302409</v>
          </cell>
          <cell r="C5058">
            <v>-14.862981619999999</v>
          </cell>
          <cell r="D5058">
            <v>-49.330502340000002</v>
          </cell>
        </row>
        <row r="5059">
          <cell r="A5059" t="str">
            <v>São Luiz Gonzaga</v>
          </cell>
          <cell r="B5059">
            <v>305804</v>
          </cell>
          <cell r="C5059">
            <v>-28.407983510000001</v>
          </cell>
          <cell r="D5059">
            <v>-54.960937270000002</v>
          </cell>
        </row>
        <row r="5060">
          <cell r="A5060" t="str">
            <v>São Mamede</v>
          </cell>
          <cell r="B5060">
            <v>300789</v>
          </cell>
          <cell r="C5060">
            <v>-6.9242789680000003</v>
          </cell>
          <cell r="D5060">
            <v>-37.095739870000003</v>
          </cell>
        </row>
        <row r="5061">
          <cell r="A5061" t="str">
            <v>São Manoel do Paraná</v>
          </cell>
          <cell r="B5061">
            <v>304867</v>
          </cell>
          <cell r="C5061">
            <v>-23.394599700000001</v>
          </cell>
          <cell r="D5061">
            <v>-52.645813310000001</v>
          </cell>
        </row>
        <row r="5062">
          <cell r="A5062" t="str">
            <v>São Manuel</v>
          </cell>
          <cell r="B5062">
            <v>303837</v>
          </cell>
          <cell r="C5062">
            <v>-22.73255288</v>
          </cell>
          <cell r="D5062">
            <v>-48.572725609999999</v>
          </cell>
        </row>
        <row r="5063">
          <cell r="A5063" t="str">
            <v>São Marcos</v>
          </cell>
          <cell r="B5063">
            <v>305150</v>
          </cell>
          <cell r="C5063">
            <v>-28.968138010000001</v>
          </cell>
          <cell r="D5063">
            <v>-51.070007480000001</v>
          </cell>
        </row>
        <row r="5064">
          <cell r="A5064" t="str">
            <v>São Martinho</v>
          </cell>
          <cell r="B5064">
            <v>304061</v>
          </cell>
          <cell r="C5064">
            <v>-28.161367219999999</v>
          </cell>
          <cell r="D5064">
            <v>-48.987155229999999</v>
          </cell>
        </row>
        <row r="5065">
          <cell r="A5065" t="str">
            <v>São Martinho</v>
          </cell>
          <cell r="B5065">
            <v>305426</v>
          </cell>
          <cell r="C5065">
            <v>-27.711636219999999</v>
          </cell>
          <cell r="D5065">
            <v>-53.97036044</v>
          </cell>
        </row>
        <row r="5066">
          <cell r="A5066" t="str">
            <v>São Martinho da Serra</v>
          </cell>
          <cell r="B5066">
            <v>305704</v>
          </cell>
          <cell r="C5066">
            <v>-29.537981469999998</v>
          </cell>
          <cell r="D5066">
            <v>-53.854938279999999</v>
          </cell>
        </row>
        <row r="5067">
          <cell r="A5067" t="str">
            <v>São Mateus</v>
          </cell>
          <cell r="B5067">
            <v>302469</v>
          </cell>
          <cell r="C5067">
            <v>-18.721883290000001</v>
          </cell>
          <cell r="D5067">
            <v>-39.858274100000003</v>
          </cell>
        </row>
        <row r="5068">
          <cell r="A5068" t="str">
            <v>São Mateus do Maranhão</v>
          </cell>
          <cell r="B5068">
            <v>301702</v>
          </cell>
          <cell r="C5068">
            <v>-4.0377564450000003</v>
          </cell>
          <cell r="D5068">
            <v>-44.471044169999999</v>
          </cell>
        </row>
        <row r="5069">
          <cell r="A5069" t="str">
            <v>São Mateus do Sul</v>
          </cell>
          <cell r="B5069">
            <v>305249</v>
          </cell>
          <cell r="C5069">
            <v>-25.868129960000001</v>
          </cell>
          <cell r="D5069">
            <v>-50.384416719999997</v>
          </cell>
        </row>
        <row r="5070">
          <cell r="A5070" t="str">
            <v>São Miguel</v>
          </cell>
          <cell r="B5070">
            <v>300902</v>
          </cell>
          <cell r="C5070">
            <v>-6.2032446219999997</v>
          </cell>
          <cell r="D5070">
            <v>-38.495009510000003</v>
          </cell>
        </row>
        <row r="5071">
          <cell r="A5071" t="str">
            <v>São Miguel Arcanjo</v>
          </cell>
          <cell r="B5071">
            <v>303787</v>
          </cell>
          <cell r="C5071">
            <v>-23.87867366</v>
          </cell>
          <cell r="D5071">
            <v>-47.993958300000003</v>
          </cell>
        </row>
        <row r="5072">
          <cell r="A5072" t="str">
            <v>São Miguel da Baixa Grande</v>
          </cell>
          <cell r="B5072">
            <v>301786</v>
          </cell>
          <cell r="C5072">
            <v>-5.8643481150000003</v>
          </cell>
          <cell r="D5072">
            <v>-42.185569739999998</v>
          </cell>
        </row>
        <row r="5073">
          <cell r="A5073" t="str">
            <v>São Miguel da Boa Vista</v>
          </cell>
          <cell r="B5073">
            <v>305303</v>
          </cell>
          <cell r="C5073">
            <v>-26.687428799999999</v>
          </cell>
          <cell r="D5073">
            <v>-53.251559880000002</v>
          </cell>
        </row>
        <row r="5074">
          <cell r="A5074" t="str">
            <v>São Miguel das Matas</v>
          </cell>
          <cell r="B5074">
            <v>301725</v>
          </cell>
          <cell r="C5074">
            <v>-13.04383676</v>
          </cell>
          <cell r="D5074">
            <v>-39.458170850000002</v>
          </cell>
        </row>
        <row r="5075">
          <cell r="A5075" t="str">
            <v>São Miguel das Missões</v>
          </cell>
          <cell r="B5075">
            <v>305803</v>
          </cell>
          <cell r="C5075">
            <v>-28.55651052</v>
          </cell>
          <cell r="D5075">
            <v>-54.556347639999998</v>
          </cell>
        </row>
        <row r="5076">
          <cell r="A5076" t="str">
            <v>São Miguel de Taipu</v>
          </cell>
          <cell r="B5076">
            <v>300454</v>
          </cell>
          <cell r="C5076">
            <v>-7.2480632189999996</v>
          </cell>
          <cell r="D5076">
            <v>-35.201920129999998</v>
          </cell>
        </row>
        <row r="5077">
          <cell r="A5077" t="str">
            <v>São Miguel do Aleixo</v>
          </cell>
          <cell r="B5077">
            <v>301226</v>
          </cell>
          <cell r="C5077">
            <v>-10.3887477</v>
          </cell>
          <cell r="D5077">
            <v>-37.382451029999999</v>
          </cell>
        </row>
        <row r="5078">
          <cell r="A5078" t="str">
            <v>São Miguel do Anta</v>
          </cell>
          <cell r="B5078">
            <v>302752</v>
          </cell>
          <cell r="C5078">
            <v>-20.707143769999998</v>
          </cell>
          <cell r="D5078">
            <v>-42.717753139999999</v>
          </cell>
        </row>
        <row r="5079">
          <cell r="A5079" t="str">
            <v>São Miguel do Araguaia</v>
          </cell>
          <cell r="B5079">
            <v>302795</v>
          </cell>
          <cell r="C5079">
            <v>-13.273485669999999</v>
          </cell>
          <cell r="D5079">
            <v>-50.163799990000001</v>
          </cell>
        </row>
        <row r="5080">
          <cell r="A5080" t="str">
            <v>São Miguel do Fidalgo</v>
          </cell>
          <cell r="B5080">
            <v>301826</v>
          </cell>
          <cell r="C5080">
            <v>-7.5975502170000002</v>
          </cell>
          <cell r="D5080">
            <v>-42.367932400000001</v>
          </cell>
        </row>
        <row r="5081">
          <cell r="A5081" t="str">
            <v>São Miguel do Gostoso</v>
          </cell>
          <cell r="B5081">
            <v>302305</v>
          </cell>
          <cell r="C5081">
            <v>-5.1262882220000003</v>
          </cell>
          <cell r="D5081">
            <v>-35.641721230000002</v>
          </cell>
        </row>
        <row r="5082">
          <cell r="A5082" t="str">
            <v>São Miguel do Guamá</v>
          </cell>
          <cell r="B5082">
            <v>301909</v>
          </cell>
          <cell r="C5082">
            <v>-1.6134523359999999</v>
          </cell>
          <cell r="D5082">
            <v>-47.47875346</v>
          </cell>
        </row>
        <row r="5083">
          <cell r="A5083" t="str">
            <v>São Miguel do Guaporé</v>
          </cell>
          <cell r="B5083">
            <v>304305</v>
          </cell>
          <cell r="C5083">
            <v>-11.695680319999999</v>
          </cell>
          <cell r="D5083">
            <v>-62.719682470000002</v>
          </cell>
        </row>
        <row r="5084">
          <cell r="A5084" t="str">
            <v>São Miguel do Iguaçu</v>
          </cell>
          <cell r="B5084">
            <v>305339</v>
          </cell>
          <cell r="C5084">
            <v>-25.3496332</v>
          </cell>
          <cell r="D5084">
            <v>-54.240951690000003</v>
          </cell>
        </row>
        <row r="5085">
          <cell r="A5085" t="str">
            <v>São Miguel do Oeste</v>
          </cell>
          <cell r="B5085">
            <v>305347</v>
          </cell>
          <cell r="C5085">
            <v>-26.724691020000002</v>
          </cell>
          <cell r="D5085">
            <v>-53.516713639999999</v>
          </cell>
        </row>
        <row r="5086">
          <cell r="A5086" t="str">
            <v>São Miguel do Passa Quatro</v>
          </cell>
          <cell r="B5086">
            <v>304570</v>
          </cell>
          <cell r="C5086">
            <v>-17.05642332</v>
          </cell>
          <cell r="D5086">
            <v>-48.663378549999997</v>
          </cell>
        </row>
        <row r="5087">
          <cell r="A5087" t="str">
            <v>São Miguel do Tapuio</v>
          </cell>
          <cell r="B5087">
            <v>301003</v>
          </cell>
          <cell r="C5087">
            <v>-5.4976966889999996</v>
          </cell>
          <cell r="D5087">
            <v>-41.316783829999999</v>
          </cell>
        </row>
        <row r="5088">
          <cell r="A5088" t="str">
            <v>São Miguel do Tocantins</v>
          </cell>
          <cell r="B5088">
            <v>301971</v>
          </cell>
          <cell r="C5088">
            <v>-5.552059013</v>
          </cell>
          <cell r="D5088">
            <v>-47.57740081</v>
          </cell>
        </row>
        <row r="5089">
          <cell r="A5089" t="str">
            <v>São Miguel dos Campos</v>
          </cell>
          <cell r="B5089">
            <v>301152</v>
          </cell>
          <cell r="C5089">
            <v>-9.7834451579999993</v>
          </cell>
          <cell r="D5089">
            <v>-36.097440730000002</v>
          </cell>
        </row>
        <row r="5090">
          <cell r="A5090" t="str">
            <v>São Miguel dos Milagres</v>
          </cell>
          <cell r="B5090">
            <v>301095</v>
          </cell>
          <cell r="C5090">
            <v>-9.2653576510000004</v>
          </cell>
          <cell r="D5090">
            <v>-35.376545909999997</v>
          </cell>
        </row>
        <row r="5091">
          <cell r="A5091" t="str">
            <v>São Nicolau</v>
          </cell>
          <cell r="B5091">
            <v>305802</v>
          </cell>
          <cell r="C5091">
            <v>-28.183828550000001</v>
          </cell>
          <cell r="D5091">
            <v>-55.265912239999999</v>
          </cell>
        </row>
        <row r="5092">
          <cell r="A5092" t="str">
            <v>São Patrício</v>
          </cell>
          <cell r="B5092">
            <v>302461</v>
          </cell>
          <cell r="C5092">
            <v>-15.35044439</v>
          </cell>
          <cell r="D5092">
            <v>-49.818399569999997</v>
          </cell>
        </row>
        <row r="5093">
          <cell r="A5093" t="str">
            <v>São Paulo</v>
          </cell>
          <cell r="B5093">
            <v>295779</v>
          </cell>
          <cell r="C5093">
            <v>-23.53386339</v>
          </cell>
          <cell r="D5093">
            <v>-46.640318219999997</v>
          </cell>
        </row>
        <row r="5094">
          <cell r="A5094" t="str">
            <v>São Paulo das Missões</v>
          </cell>
          <cell r="B5094">
            <v>305795</v>
          </cell>
          <cell r="C5094">
            <v>-28.02098402</v>
          </cell>
          <cell r="D5094">
            <v>-54.935937539999998</v>
          </cell>
        </row>
        <row r="5095">
          <cell r="A5095" t="str">
            <v>São Paulo de Olivença</v>
          </cell>
          <cell r="B5095">
            <v>305834</v>
          </cell>
          <cell r="C5095">
            <v>-3.4619331779999998</v>
          </cell>
          <cell r="D5095">
            <v>-68.950986330000006</v>
          </cell>
        </row>
        <row r="5096">
          <cell r="A5096" t="str">
            <v>São Paulo do Potengi</v>
          </cell>
          <cell r="B5096">
            <v>300506</v>
          </cell>
          <cell r="C5096">
            <v>-5.8998122239999997</v>
          </cell>
          <cell r="D5096">
            <v>-35.76452252</v>
          </cell>
        </row>
        <row r="5097">
          <cell r="A5097" t="str">
            <v>São Pedro</v>
          </cell>
          <cell r="B5097">
            <v>302326</v>
          </cell>
          <cell r="C5097">
            <v>-5.8962377110000004</v>
          </cell>
          <cell r="D5097">
            <v>-35.634923229999998</v>
          </cell>
        </row>
        <row r="5098">
          <cell r="A5098" t="str">
            <v>São Pedro</v>
          </cell>
          <cell r="B5098">
            <v>303922</v>
          </cell>
          <cell r="C5098">
            <v>-22.54872902</v>
          </cell>
          <cell r="D5098">
            <v>-47.909983709999999</v>
          </cell>
        </row>
        <row r="5099">
          <cell r="A5099" t="str">
            <v>São Pedro da Água Branca</v>
          </cell>
          <cell r="B5099">
            <v>302579</v>
          </cell>
          <cell r="C5099">
            <v>-5.0851172699999996</v>
          </cell>
          <cell r="D5099">
            <v>-48.429495600000003</v>
          </cell>
        </row>
        <row r="5100">
          <cell r="A5100" t="str">
            <v>São Pedro da Aldeia</v>
          </cell>
          <cell r="B5100">
            <v>303068</v>
          </cell>
          <cell r="C5100">
            <v>-22.843346960000002</v>
          </cell>
          <cell r="D5100">
            <v>-42.102961100000002</v>
          </cell>
        </row>
        <row r="5101">
          <cell r="A5101" t="str">
            <v>São Pedro da Cipa</v>
          </cell>
          <cell r="B5101">
            <v>304643</v>
          </cell>
          <cell r="C5101">
            <v>-16.00141541</v>
          </cell>
          <cell r="D5101">
            <v>-54.919053300000002</v>
          </cell>
        </row>
        <row r="5102">
          <cell r="A5102" t="str">
            <v>São Pedro da Serra</v>
          </cell>
          <cell r="B5102">
            <v>305509</v>
          </cell>
          <cell r="C5102">
            <v>-29.420462189999999</v>
          </cell>
          <cell r="D5102">
            <v>-51.510693529999998</v>
          </cell>
        </row>
        <row r="5103">
          <cell r="A5103" t="str">
            <v>São Pedro da União</v>
          </cell>
          <cell r="B5103">
            <v>303502</v>
          </cell>
          <cell r="C5103">
            <v>-21.131446660000002</v>
          </cell>
          <cell r="D5103">
            <v>-46.612692150000001</v>
          </cell>
        </row>
        <row r="5104">
          <cell r="A5104" t="str">
            <v>São Pedro das Missões</v>
          </cell>
          <cell r="B5104">
            <v>300401</v>
          </cell>
          <cell r="C5104">
            <v>-27.771037379999999</v>
          </cell>
          <cell r="D5104">
            <v>-53.25175522</v>
          </cell>
        </row>
        <row r="5105">
          <cell r="A5105" t="str">
            <v>São Pedro de Alcântara</v>
          </cell>
          <cell r="B5105">
            <v>304054</v>
          </cell>
          <cell r="C5105">
            <v>-27.566998519999999</v>
          </cell>
          <cell r="D5105">
            <v>-48.805195660000003</v>
          </cell>
        </row>
        <row r="5106">
          <cell r="A5106" t="str">
            <v>São Pedro do Butiá</v>
          </cell>
          <cell r="B5106">
            <v>305797</v>
          </cell>
          <cell r="C5106">
            <v>-28.123983859999999</v>
          </cell>
          <cell r="D5106">
            <v>-54.886937549999999</v>
          </cell>
        </row>
        <row r="5107">
          <cell r="A5107" t="str">
            <v>São Pedro do Iguaçu</v>
          </cell>
          <cell r="B5107">
            <v>305012</v>
          </cell>
          <cell r="C5107">
            <v>-24.937773570000001</v>
          </cell>
          <cell r="D5107">
            <v>-53.85259087</v>
          </cell>
        </row>
        <row r="5108">
          <cell r="A5108" t="str">
            <v>São Pedro do Ivaí</v>
          </cell>
          <cell r="B5108">
            <v>304779</v>
          </cell>
          <cell r="C5108">
            <v>-23.863860030000001</v>
          </cell>
          <cell r="D5108">
            <v>-51.857209040000001</v>
          </cell>
        </row>
        <row r="5109">
          <cell r="A5109" t="str">
            <v>São Pedro do Paraná</v>
          </cell>
          <cell r="B5109">
            <v>305749</v>
          </cell>
          <cell r="C5109">
            <v>-22.824297810000001</v>
          </cell>
          <cell r="D5109">
            <v>-53.222470479999998</v>
          </cell>
        </row>
        <row r="5110">
          <cell r="A5110" t="str">
            <v>São Pedro do Piauí</v>
          </cell>
          <cell r="B5110">
            <v>301794</v>
          </cell>
          <cell r="C5110">
            <v>-5.9211873700000002</v>
          </cell>
          <cell r="D5110">
            <v>-42.719553589999997</v>
          </cell>
        </row>
        <row r="5111">
          <cell r="A5111" t="str">
            <v>São Pedro do Suaçuí</v>
          </cell>
          <cell r="B5111">
            <v>302691</v>
          </cell>
          <cell r="C5111">
            <v>-18.365994010000001</v>
          </cell>
          <cell r="D5111">
            <v>-42.60296228</v>
          </cell>
        </row>
        <row r="5112">
          <cell r="A5112" t="str">
            <v>São Pedro do Sul</v>
          </cell>
          <cell r="B5112">
            <v>305710</v>
          </cell>
          <cell r="C5112">
            <v>-29.620915750000002</v>
          </cell>
          <cell r="D5112">
            <v>-54.179044159999997</v>
          </cell>
        </row>
        <row r="5113">
          <cell r="A5113" t="str">
            <v>São Pedro do Turvo</v>
          </cell>
          <cell r="B5113">
            <v>304424</v>
          </cell>
          <cell r="C5113">
            <v>-22.745754890000001</v>
          </cell>
          <cell r="D5113">
            <v>-49.743246210000002</v>
          </cell>
        </row>
        <row r="5114">
          <cell r="A5114" t="str">
            <v>São Pedro dos Crentes</v>
          </cell>
          <cell r="B5114">
            <v>301992</v>
          </cell>
          <cell r="C5114">
            <v>-6.8242987580000003</v>
          </cell>
          <cell r="D5114">
            <v>-46.532232030000003</v>
          </cell>
        </row>
        <row r="5115">
          <cell r="A5115" t="str">
            <v>São Pedro dos Ferros</v>
          </cell>
          <cell r="B5115">
            <v>302735</v>
          </cell>
          <cell r="C5115">
            <v>-20.173705120000001</v>
          </cell>
          <cell r="D5115">
            <v>-42.52544752</v>
          </cell>
        </row>
        <row r="5116">
          <cell r="A5116" t="str">
            <v>São Rafael</v>
          </cell>
          <cell r="B5116">
            <v>300544</v>
          </cell>
          <cell r="C5116">
            <v>-5.8023679919999998</v>
          </cell>
          <cell r="D5116">
            <v>-36.885524220000001</v>
          </cell>
        </row>
        <row r="5117">
          <cell r="A5117" t="str">
            <v>São Raimundo das Mangabeiras</v>
          </cell>
          <cell r="B5117">
            <v>301874</v>
          </cell>
          <cell r="C5117">
            <v>-7.0222456199999996</v>
          </cell>
          <cell r="D5117">
            <v>-45.481241490000002</v>
          </cell>
        </row>
        <row r="5118">
          <cell r="A5118" t="str">
            <v>São Raimundo do Doca Bezerra</v>
          </cell>
          <cell r="B5118">
            <v>302441</v>
          </cell>
          <cell r="C5118">
            <v>-5.1060742929999998</v>
          </cell>
          <cell r="D5118">
            <v>-45.077138740000002</v>
          </cell>
        </row>
        <row r="5119">
          <cell r="A5119" t="str">
            <v>São Raimundo Nonato</v>
          </cell>
          <cell r="B5119">
            <v>302050</v>
          </cell>
          <cell r="C5119">
            <v>-9.0128367570000005</v>
          </cell>
          <cell r="D5119">
            <v>-42.699003859999998</v>
          </cell>
        </row>
        <row r="5120">
          <cell r="A5120" t="str">
            <v>São Roberto</v>
          </cell>
          <cell r="B5120">
            <v>302440</v>
          </cell>
          <cell r="C5120">
            <v>-5.022736471</v>
          </cell>
          <cell r="D5120">
            <v>-44.992665500000001</v>
          </cell>
        </row>
        <row r="5121">
          <cell r="A5121" t="str">
            <v>São Romão</v>
          </cell>
          <cell r="B5121">
            <v>302196</v>
          </cell>
          <cell r="C5121">
            <v>-16.367127799999999</v>
          </cell>
          <cell r="D5121">
            <v>-45.068585779999999</v>
          </cell>
        </row>
        <row r="5122">
          <cell r="A5122" t="str">
            <v>São Roque</v>
          </cell>
          <cell r="B5122">
            <v>303745</v>
          </cell>
          <cell r="C5122">
            <v>-23.523075890000001</v>
          </cell>
          <cell r="D5122">
            <v>-47.13607244</v>
          </cell>
        </row>
        <row r="5123">
          <cell r="A5123" t="str">
            <v>São Roque de Minas</v>
          </cell>
          <cell r="B5123">
            <v>303320</v>
          </cell>
          <cell r="C5123">
            <v>-20.249483210000001</v>
          </cell>
          <cell r="D5123">
            <v>-46.364261229999997</v>
          </cell>
        </row>
        <row r="5124">
          <cell r="A5124" t="str">
            <v>São Roque do Canaã</v>
          </cell>
          <cell r="B5124">
            <v>302507</v>
          </cell>
          <cell r="C5124">
            <v>-19.741624130000002</v>
          </cell>
          <cell r="D5124">
            <v>-40.652927040000002</v>
          </cell>
        </row>
        <row r="5125">
          <cell r="A5125" t="str">
            <v>São Salvador do Tocantins</v>
          </cell>
          <cell r="B5125">
            <v>302780</v>
          </cell>
          <cell r="C5125">
            <v>-12.7495452</v>
          </cell>
          <cell r="D5125">
            <v>-48.235798930000001</v>
          </cell>
        </row>
        <row r="5126">
          <cell r="A5126" t="str">
            <v>São Sebastião</v>
          </cell>
          <cell r="B5126">
            <v>301346</v>
          </cell>
          <cell r="C5126">
            <v>-9.9319128370000005</v>
          </cell>
          <cell r="D5126">
            <v>-36.550134759999999</v>
          </cell>
        </row>
        <row r="5127">
          <cell r="A5127" t="str">
            <v>São Sebastião</v>
          </cell>
          <cell r="B5127">
            <v>303288</v>
          </cell>
          <cell r="C5127">
            <v>-23.79554211</v>
          </cell>
          <cell r="D5127">
            <v>-45.41470545</v>
          </cell>
        </row>
        <row r="5128">
          <cell r="A5128" t="str">
            <v>São Sebastião da Amoreira</v>
          </cell>
          <cell r="B5128">
            <v>304729</v>
          </cell>
          <cell r="C5128">
            <v>-23.466108089999999</v>
          </cell>
          <cell r="D5128">
            <v>-50.762961930000003</v>
          </cell>
        </row>
        <row r="5129">
          <cell r="A5129" t="str">
            <v>São Sebastião da Bela Vista</v>
          </cell>
          <cell r="B5129">
            <v>303468</v>
          </cell>
          <cell r="C5129">
            <v>-22.158804069999999</v>
          </cell>
          <cell r="D5129">
            <v>-45.755028099999997</v>
          </cell>
        </row>
        <row r="5130">
          <cell r="A5130" t="str">
            <v>São Sebastião da Boa Vista</v>
          </cell>
          <cell r="B5130">
            <v>301941</v>
          </cell>
          <cell r="C5130">
            <v>-1.715879887</v>
          </cell>
          <cell r="D5130">
            <v>-49.53045831</v>
          </cell>
        </row>
        <row r="5131">
          <cell r="A5131" t="str">
            <v>São Sebastião da Grama</v>
          </cell>
          <cell r="B5131">
            <v>303524</v>
          </cell>
          <cell r="C5131">
            <v>-21.704582049999999</v>
          </cell>
          <cell r="D5131">
            <v>-46.82114808</v>
          </cell>
        </row>
        <row r="5132">
          <cell r="A5132" t="str">
            <v>São Sebastião da Vargem Alegre</v>
          </cell>
          <cell r="B5132">
            <v>304929</v>
          </cell>
          <cell r="C5132">
            <v>-21.074136330000002</v>
          </cell>
          <cell r="D5132">
            <v>-42.63503643</v>
          </cell>
        </row>
        <row r="5133">
          <cell r="A5133" t="str">
            <v>São Sebastião de Lagoa de Roça</v>
          </cell>
          <cell r="B5133">
            <v>300578</v>
          </cell>
          <cell r="C5133">
            <v>-7.1057388589999997</v>
          </cell>
          <cell r="D5133">
            <v>-35.868602090000003</v>
          </cell>
        </row>
        <row r="5134">
          <cell r="A5134" t="str">
            <v>São Sebastião do Alto</v>
          </cell>
          <cell r="B5134">
            <v>304923</v>
          </cell>
          <cell r="C5134">
            <v>-21.958276699999999</v>
          </cell>
          <cell r="D5134">
            <v>-42.13317902</v>
          </cell>
        </row>
        <row r="5135">
          <cell r="A5135" t="str">
            <v>São Sebastião do Anta</v>
          </cell>
          <cell r="B5135">
            <v>302892</v>
          </cell>
          <cell r="C5135">
            <v>-19.500099200000001</v>
          </cell>
          <cell r="D5135">
            <v>-41.979559979999998</v>
          </cell>
        </row>
        <row r="5136">
          <cell r="A5136" t="str">
            <v>São Sebastião do Caí</v>
          </cell>
          <cell r="B5136">
            <v>305487</v>
          </cell>
          <cell r="C5136">
            <v>-29.58899602</v>
          </cell>
          <cell r="D5136">
            <v>-51.3753332</v>
          </cell>
        </row>
        <row r="5137">
          <cell r="A5137" t="str">
            <v>São Sebastião do Maranhão</v>
          </cell>
          <cell r="B5137">
            <v>302685</v>
          </cell>
          <cell r="C5137">
            <v>-18.08919805</v>
          </cell>
          <cell r="D5137">
            <v>-42.569823229999997</v>
          </cell>
        </row>
        <row r="5138">
          <cell r="A5138" t="str">
            <v>São Sebastião do Oeste</v>
          </cell>
          <cell r="B5138">
            <v>302996</v>
          </cell>
          <cell r="C5138">
            <v>-20.276315270000001</v>
          </cell>
          <cell r="D5138">
            <v>-45.006711099999997</v>
          </cell>
        </row>
        <row r="5139">
          <cell r="A5139" t="str">
            <v>São Sebastião do Paraíso</v>
          </cell>
          <cell r="B5139">
            <v>303946</v>
          </cell>
          <cell r="C5139">
            <v>-20.917204080000001</v>
          </cell>
          <cell r="D5139">
            <v>-46.984097069999997</v>
          </cell>
        </row>
        <row r="5140">
          <cell r="A5140" t="str">
            <v>São Sebastião do Passé</v>
          </cell>
          <cell r="B5140">
            <v>301383</v>
          </cell>
          <cell r="C5140">
            <v>-12.51271214</v>
          </cell>
          <cell r="D5140">
            <v>-38.490832189999999</v>
          </cell>
        </row>
        <row r="5141">
          <cell r="A5141" t="str">
            <v>São Sebastião do Rio Preto</v>
          </cell>
          <cell r="B5141">
            <v>304897</v>
          </cell>
          <cell r="C5141">
            <v>-19.292974139999998</v>
          </cell>
          <cell r="D5141">
            <v>-43.174855469999997</v>
          </cell>
        </row>
        <row r="5142">
          <cell r="A5142" t="str">
            <v>São Sebastião do Rio Verde</v>
          </cell>
          <cell r="B5142">
            <v>303609</v>
          </cell>
          <cell r="C5142">
            <v>-22.218772120000001</v>
          </cell>
          <cell r="D5142">
            <v>-44.9764999</v>
          </cell>
        </row>
        <row r="5143">
          <cell r="A5143" t="str">
            <v>São Sebastião do Tocantins</v>
          </cell>
          <cell r="B5143">
            <v>301983</v>
          </cell>
          <cell r="C5143">
            <v>-5.2577034610000002</v>
          </cell>
          <cell r="D5143">
            <v>-48.202297649999998</v>
          </cell>
        </row>
        <row r="5144">
          <cell r="A5144" t="str">
            <v>São Sebastião do Uatumã</v>
          </cell>
          <cell r="B5144">
            <v>304175</v>
          </cell>
          <cell r="C5144">
            <v>-2.5595295180000002</v>
          </cell>
          <cell r="D5144">
            <v>-57.87347828</v>
          </cell>
        </row>
        <row r="5145">
          <cell r="A5145" t="str">
            <v>São Sebastião do Umbuzeiro</v>
          </cell>
          <cell r="B5145">
            <v>300777</v>
          </cell>
          <cell r="C5145">
            <v>-8.1528059600000002</v>
          </cell>
          <cell r="D5145">
            <v>-37.009292019999997</v>
          </cell>
        </row>
        <row r="5146">
          <cell r="A5146" t="str">
            <v>São Sepé</v>
          </cell>
          <cell r="B5146">
            <v>305707</v>
          </cell>
          <cell r="C5146">
            <v>-30.16098049</v>
          </cell>
          <cell r="D5146">
            <v>-53.564938320000003</v>
          </cell>
        </row>
        <row r="5147">
          <cell r="A5147" t="str">
            <v>São Simão</v>
          </cell>
          <cell r="B5147">
            <v>303660</v>
          </cell>
          <cell r="C5147">
            <v>-21.473641570000002</v>
          </cell>
          <cell r="D5147">
            <v>-47.55215432</v>
          </cell>
        </row>
        <row r="5148">
          <cell r="A5148" t="str">
            <v>São Simão</v>
          </cell>
          <cell r="B5148">
            <v>304350</v>
          </cell>
          <cell r="C5148">
            <v>-18.996485710000002</v>
          </cell>
          <cell r="D5148">
            <v>-50.547379960000001</v>
          </cell>
        </row>
        <row r="5149">
          <cell r="A5149" t="str">
            <v>São Thomé das Letras</v>
          </cell>
          <cell r="B5149">
            <v>303176</v>
          </cell>
          <cell r="C5149">
            <v>-21.72628143</v>
          </cell>
          <cell r="D5149">
            <v>-44.98521264</v>
          </cell>
        </row>
        <row r="5150">
          <cell r="A5150" t="str">
            <v>São Tiago</v>
          </cell>
          <cell r="B5150">
            <v>302988</v>
          </cell>
          <cell r="C5150">
            <v>-20.907946639999999</v>
          </cell>
          <cell r="D5150">
            <v>-44.510214240000003</v>
          </cell>
        </row>
        <row r="5151">
          <cell r="A5151" t="str">
            <v>São Tomás de Aquino</v>
          </cell>
          <cell r="B5151">
            <v>303690</v>
          </cell>
          <cell r="C5151">
            <v>-20.779532369999998</v>
          </cell>
          <cell r="D5151">
            <v>-47.096589459999997</v>
          </cell>
        </row>
        <row r="5152">
          <cell r="A5152" t="str">
            <v>São Tomé</v>
          </cell>
          <cell r="B5152">
            <v>300515</v>
          </cell>
          <cell r="C5152">
            <v>-5.9748824010000003</v>
          </cell>
          <cell r="D5152">
            <v>-36.077037660000002</v>
          </cell>
        </row>
        <row r="5153">
          <cell r="A5153" t="str">
            <v>São Tomé</v>
          </cell>
          <cell r="B5153">
            <v>304868</v>
          </cell>
          <cell r="C5153">
            <v>-23.535409189999999</v>
          </cell>
          <cell r="D5153">
            <v>-52.590562429999999</v>
          </cell>
        </row>
        <row r="5154">
          <cell r="A5154" t="str">
            <v>São Valentim</v>
          </cell>
          <cell r="B5154">
            <v>305363</v>
          </cell>
          <cell r="C5154">
            <v>-27.558755730000001</v>
          </cell>
          <cell r="D5154">
            <v>-52.524165869999997</v>
          </cell>
        </row>
        <row r="5155">
          <cell r="A5155" t="str">
            <v>São Valentim do Sul</v>
          </cell>
          <cell r="B5155">
            <v>305194</v>
          </cell>
          <cell r="C5155">
            <v>-29.046981209999998</v>
          </cell>
          <cell r="D5155">
            <v>-51.764941810000003</v>
          </cell>
        </row>
        <row r="5156">
          <cell r="A5156" t="str">
            <v>São Valério da Natividade</v>
          </cell>
          <cell r="B5156">
            <v>302290</v>
          </cell>
          <cell r="C5156">
            <v>-11.974747989999999</v>
          </cell>
          <cell r="D5156">
            <v>-48.235699250000003</v>
          </cell>
        </row>
        <row r="5157">
          <cell r="A5157" t="str">
            <v>São Valério do Sul</v>
          </cell>
          <cell r="B5157">
            <v>305431</v>
          </cell>
          <cell r="C5157">
            <v>-27.791106460000002</v>
          </cell>
          <cell r="D5157">
            <v>-53.937232569999999</v>
          </cell>
        </row>
        <row r="5158">
          <cell r="A5158" t="str">
            <v>São Vendelino</v>
          </cell>
          <cell r="B5158">
            <v>305485</v>
          </cell>
          <cell r="C5158">
            <v>-29.372703430000001</v>
          </cell>
          <cell r="D5158">
            <v>-51.370738930000002</v>
          </cell>
        </row>
        <row r="5159">
          <cell r="A5159" t="str">
            <v>São Vicente</v>
          </cell>
          <cell r="B5159">
            <v>300529</v>
          </cell>
          <cell r="C5159">
            <v>-6.2193437749999996</v>
          </cell>
          <cell r="D5159">
            <v>-36.682996439999997</v>
          </cell>
        </row>
        <row r="5160">
          <cell r="A5160" t="str">
            <v>São Vicente</v>
          </cell>
          <cell r="B5160">
            <v>303716</v>
          </cell>
          <cell r="C5160">
            <v>-23.957834099999999</v>
          </cell>
          <cell r="D5160">
            <v>-46.388731679999999</v>
          </cell>
        </row>
        <row r="5161">
          <cell r="A5161" t="str">
            <v>São Vicente de Minas</v>
          </cell>
          <cell r="B5161">
            <v>303157</v>
          </cell>
          <cell r="C5161">
            <v>-21.704695600000001</v>
          </cell>
          <cell r="D5161">
            <v>-44.443442810000001</v>
          </cell>
        </row>
        <row r="5162">
          <cell r="A5162" t="str">
            <v>São Vicente do Seridó</v>
          </cell>
          <cell r="B5162">
            <v>300955</v>
          </cell>
          <cell r="C5162">
            <v>-6.8566542359999998</v>
          </cell>
          <cell r="D5162">
            <v>-36.411977219999997</v>
          </cell>
        </row>
        <row r="5163">
          <cell r="A5163" t="str">
            <v>São Vicente do Sul</v>
          </cell>
          <cell r="B5163">
            <v>305819</v>
          </cell>
          <cell r="C5163">
            <v>-29.69190291</v>
          </cell>
          <cell r="D5163">
            <v>-54.678956579999998</v>
          </cell>
        </row>
        <row r="5164">
          <cell r="A5164" t="str">
            <v>São Vicente Ferrer</v>
          </cell>
          <cell r="B5164">
            <v>300490</v>
          </cell>
          <cell r="C5164">
            <v>-7.5920768750000001</v>
          </cell>
          <cell r="D5164">
            <v>-35.486585900000001</v>
          </cell>
        </row>
        <row r="5165">
          <cell r="A5165" t="str">
            <v>São Vicente Ferrer</v>
          </cell>
          <cell r="B5165">
            <v>301694</v>
          </cell>
          <cell r="C5165">
            <v>-2.8924002359999998</v>
          </cell>
          <cell r="D5165">
            <v>-44.880061470000001</v>
          </cell>
        </row>
        <row r="5166">
          <cell r="A5166" t="str">
            <v>Sapé</v>
          </cell>
          <cell r="B5166">
            <v>300451</v>
          </cell>
          <cell r="C5166">
            <v>-7.0908098659999999</v>
          </cell>
          <cell r="D5166">
            <v>-35.230508800000003</v>
          </cell>
        </row>
        <row r="5167">
          <cell r="A5167" t="str">
            <v>Sapeaçu</v>
          </cell>
          <cell r="B5167">
            <v>301531</v>
          </cell>
          <cell r="C5167">
            <v>-12.72978466</v>
          </cell>
          <cell r="D5167">
            <v>-39.187013350000001</v>
          </cell>
        </row>
        <row r="5168">
          <cell r="A5168" t="str">
            <v>Sapezal</v>
          </cell>
          <cell r="B5168">
            <v>304306</v>
          </cell>
          <cell r="C5168">
            <v>-13.545378400000001</v>
          </cell>
          <cell r="D5168">
            <v>-58.819332639999999</v>
          </cell>
        </row>
        <row r="5169">
          <cell r="A5169" t="str">
            <v>Sapiranga</v>
          </cell>
          <cell r="B5169">
            <v>305474</v>
          </cell>
          <cell r="C5169">
            <v>-29.635365350000001</v>
          </cell>
          <cell r="D5169">
            <v>-51.00689698</v>
          </cell>
        </row>
        <row r="5170">
          <cell r="A5170" t="str">
            <v>Sapopema</v>
          </cell>
          <cell r="B5170">
            <v>304734</v>
          </cell>
          <cell r="C5170">
            <v>-23.910988010000001</v>
          </cell>
          <cell r="D5170">
            <v>-50.579946139999997</v>
          </cell>
        </row>
        <row r="5171">
          <cell r="A5171" t="str">
            <v>Saposoa</v>
          </cell>
          <cell r="B5171">
            <v>314496</v>
          </cell>
          <cell r="C5171">
            <v>-6.9170280330000002</v>
          </cell>
          <cell r="D5171">
            <v>-76.758913980000003</v>
          </cell>
        </row>
        <row r="5172">
          <cell r="A5172" t="str">
            <v>Sapucaia</v>
          </cell>
          <cell r="B5172">
            <v>302037</v>
          </cell>
          <cell r="C5172">
            <v>-6.9411353509999998</v>
          </cell>
          <cell r="D5172">
            <v>-49.70082352</v>
          </cell>
        </row>
        <row r="5173">
          <cell r="A5173" t="str">
            <v>Sapucaia</v>
          </cell>
          <cell r="B5173">
            <v>304412</v>
          </cell>
          <cell r="C5173">
            <v>-21.9953501</v>
          </cell>
          <cell r="D5173">
            <v>-42.914562750000002</v>
          </cell>
        </row>
        <row r="5174">
          <cell r="A5174" t="str">
            <v>Sapucaia do Sul</v>
          </cell>
          <cell r="B5174">
            <v>305492</v>
          </cell>
          <cell r="C5174">
            <v>-29.828055190000001</v>
          </cell>
          <cell r="D5174">
            <v>-51.145427759999997</v>
          </cell>
        </row>
        <row r="5175">
          <cell r="A5175" t="str">
            <v>Sapucaí-Mirim</v>
          </cell>
          <cell r="B5175">
            <v>303272</v>
          </cell>
          <cell r="C5175">
            <v>-22.741378000000001</v>
          </cell>
          <cell r="D5175">
            <v>-45.738348619999996</v>
          </cell>
        </row>
        <row r="5176">
          <cell r="A5176" t="str">
            <v>Saquarema</v>
          </cell>
          <cell r="B5176">
            <v>303081</v>
          </cell>
          <cell r="C5176">
            <v>-22.92966848</v>
          </cell>
          <cell r="D5176">
            <v>-42.510304419999997</v>
          </cell>
        </row>
        <row r="5177">
          <cell r="A5177" t="str">
            <v>Sarandi</v>
          </cell>
          <cell r="B5177">
            <v>304766</v>
          </cell>
          <cell r="C5177">
            <v>-23.444581970000002</v>
          </cell>
          <cell r="D5177">
            <v>-51.876448779999997</v>
          </cell>
        </row>
        <row r="5178">
          <cell r="A5178" t="str">
            <v>Sarandi</v>
          </cell>
          <cell r="B5178">
            <v>305377</v>
          </cell>
          <cell r="C5178">
            <v>-27.942471080000001</v>
          </cell>
          <cell r="D5178">
            <v>-52.923540959999997</v>
          </cell>
        </row>
        <row r="5179">
          <cell r="A5179" t="str">
            <v>Sarapuí</v>
          </cell>
          <cell r="B5179">
            <v>303785</v>
          </cell>
          <cell r="C5179">
            <v>-23.640216429999999</v>
          </cell>
          <cell r="D5179">
            <v>-47.825270430000003</v>
          </cell>
        </row>
        <row r="5180">
          <cell r="A5180" t="str">
            <v>Sardoá</v>
          </cell>
          <cell r="B5180">
            <v>302682</v>
          </cell>
          <cell r="C5180">
            <v>-18.78327088</v>
          </cell>
          <cell r="D5180">
            <v>-42.363295299999997</v>
          </cell>
        </row>
        <row r="5181">
          <cell r="A5181" t="str">
            <v>Sarutaiá</v>
          </cell>
          <cell r="B5181">
            <v>304961</v>
          </cell>
          <cell r="C5181">
            <v>-23.272988550000001</v>
          </cell>
          <cell r="D5181">
            <v>-49.479948069999999</v>
          </cell>
        </row>
        <row r="5182">
          <cell r="A5182" t="str">
            <v>Sarzedo</v>
          </cell>
          <cell r="B5182">
            <v>302978</v>
          </cell>
          <cell r="C5182">
            <v>-20.037140229999999</v>
          </cell>
          <cell r="D5182">
            <v>-44.144972590000002</v>
          </cell>
        </row>
        <row r="5183">
          <cell r="A5183" t="str">
            <v>Satipo</v>
          </cell>
          <cell r="B5183">
            <v>314477</v>
          </cell>
          <cell r="C5183">
            <v>-11.252193719999999</v>
          </cell>
          <cell r="D5183">
            <v>-74.692773070000001</v>
          </cell>
        </row>
        <row r="5184">
          <cell r="A5184" t="str">
            <v>Sátiro Dias</v>
          </cell>
          <cell r="B5184">
            <v>301374</v>
          </cell>
          <cell r="C5184">
            <v>-11.603976729999999</v>
          </cell>
          <cell r="D5184">
            <v>-38.581364659999998</v>
          </cell>
        </row>
        <row r="5185">
          <cell r="A5185" t="str">
            <v>Satuba</v>
          </cell>
          <cell r="B5185">
            <v>301144</v>
          </cell>
          <cell r="C5185">
            <v>-9.5695471170000008</v>
          </cell>
          <cell r="D5185">
            <v>-35.822993500000003</v>
          </cell>
        </row>
        <row r="5186">
          <cell r="A5186" t="str">
            <v>Satubinha</v>
          </cell>
          <cell r="B5186">
            <v>303585</v>
          </cell>
          <cell r="C5186">
            <v>-4.0372109309999997</v>
          </cell>
          <cell r="D5186">
            <v>-45.238697139999999</v>
          </cell>
        </row>
        <row r="5187">
          <cell r="A5187" t="str">
            <v>Saubara</v>
          </cell>
          <cell r="B5187">
            <v>301518</v>
          </cell>
          <cell r="C5187">
            <v>-12.73982882</v>
          </cell>
          <cell r="D5187">
            <v>-38.766965999999996</v>
          </cell>
        </row>
        <row r="5188">
          <cell r="A5188" t="str">
            <v>Sauce</v>
          </cell>
          <cell r="B5188">
            <v>314344</v>
          </cell>
          <cell r="C5188">
            <v>-30.091719770000001</v>
          </cell>
          <cell r="D5188">
            <v>-58.802654420000003</v>
          </cell>
        </row>
        <row r="5189">
          <cell r="A5189" t="str">
            <v>Saudade do Iguaçu</v>
          </cell>
          <cell r="B5189">
            <v>305632</v>
          </cell>
          <cell r="C5189">
            <v>-25.69215385</v>
          </cell>
          <cell r="D5189">
            <v>-52.618836180000002</v>
          </cell>
        </row>
        <row r="5190">
          <cell r="A5190" t="str">
            <v>Saudades</v>
          </cell>
          <cell r="B5190">
            <v>305308</v>
          </cell>
          <cell r="C5190">
            <v>-26.93214605</v>
          </cell>
          <cell r="D5190">
            <v>-53.002582320000002</v>
          </cell>
        </row>
        <row r="5191">
          <cell r="A5191" t="str">
            <v>Saúde</v>
          </cell>
          <cell r="B5191">
            <v>301450</v>
          </cell>
          <cell r="C5191">
            <v>-10.941154470000001</v>
          </cell>
          <cell r="D5191">
            <v>-40.420444750000001</v>
          </cell>
        </row>
        <row r="5192">
          <cell r="A5192" t="str">
            <v>Saul</v>
          </cell>
          <cell r="B5192">
            <v>314429</v>
          </cell>
          <cell r="C5192">
            <v>3.640298354</v>
          </cell>
          <cell r="D5192">
            <v>-53.208464480000004</v>
          </cell>
        </row>
        <row r="5193">
          <cell r="A5193" t="str">
            <v>Schroeder</v>
          </cell>
          <cell r="B5193">
            <v>304015</v>
          </cell>
          <cell r="C5193">
            <v>-26.412051099999999</v>
          </cell>
          <cell r="D5193">
            <v>-49.074466110000003</v>
          </cell>
        </row>
        <row r="5194">
          <cell r="A5194" t="str">
            <v>Seabra</v>
          </cell>
          <cell r="B5194">
            <v>301511</v>
          </cell>
          <cell r="C5194">
            <v>-12.41734862</v>
          </cell>
          <cell r="D5194">
            <v>-41.77250136</v>
          </cell>
        </row>
        <row r="5195">
          <cell r="A5195" t="str">
            <v>Seara</v>
          </cell>
          <cell r="B5195">
            <v>305126</v>
          </cell>
          <cell r="C5195">
            <v>-27.156903710000002</v>
          </cell>
          <cell r="D5195">
            <v>-52.299493839999997</v>
          </cell>
        </row>
        <row r="5196">
          <cell r="A5196" t="str">
            <v>Sebastianópolis do Sul</v>
          </cell>
          <cell r="B5196">
            <v>303483</v>
          </cell>
          <cell r="C5196">
            <v>-20.65278533</v>
          </cell>
          <cell r="D5196">
            <v>-49.925409369999997</v>
          </cell>
        </row>
        <row r="5197">
          <cell r="A5197" t="str">
            <v>Sebastião Barros</v>
          </cell>
          <cell r="B5197">
            <v>302082</v>
          </cell>
          <cell r="C5197">
            <v>-10.81740988</v>
          </cell>
          <cell r="D5197">
            <v>-44.834079019999997</v>
          </cell>
        </row>
        <row r="5198">
          <cell r="A5198" t="str">
            <v>Sebastião Laranjeiras</v>
          </cell>
          <cell r="B5198">
            <v>303203</v>
          </cell>
          <cell r="C5198">
            <v>-14.571454449999999</v>
          </cell>
          <cell r="D5198">
            <v>-42.943791560000001</v>
          </cell>
        </row>
        <row r="5199">
          <cell r="A5199" t="str">
            <v>Sebastião Leal</v>
          </cell>
          <cell r="B5199">
            <v>301851</v>
          </cell>
          <cell r="C5199">
            <v>-7.5682307460000002</v>
          </cell>
          <cell r="D5199">
            <v>-44.0636285</v>
          </cell>
        </row>
        <row r="5200">
          <cell r="A5200" t="str">
            <v>Seberi</v>
          </cell>
          <cell r="B5200">
            <v>305681</v>
          </cell>
          <cell r="C5200">
            <v>-27.48332972</v>
          </cell>
          <cell r="D5200">
            <v>-53.403091019999998</v>
          </cell>
        </row>
        <row r="5201">
          <cell r="A5201" t="str">
            <v>Sede Nova</v>
          </cell>
          <cell r="B5201">
            <v>305425</v>
          </cell>
          <cell r="C5201">
            <v>-27.637206169999999</v>
          </cell>
          <cell r="D5201">
            <v>-53.949750999999999</v>
          </cell>
        </row>
        <row r="5202">
          <cell r="A5202" t="str">
            <v>Segredo</v>
          </cell>
          <cell r="B5202">
            <v>305405</v>
          </cell>
          <cell r="C5202">
            <v>-29.352810139999999</v>
          </cell>
          <cell r="D5202">
            <v>-52.977135439999998</v>
          </cell>
        </row>
        <row r="5203">
          <cell r="A5203" t="str">
            <v>Selbach</v>
          </cell>
          <cell r="B5203">
            <v>305393</v>
          </cell>
          <cell r="C5203">
            <v>-28.629907119999999</v>
          </cell>
          <cell r="D5203">
            <v>-52.950227069999997</v>
          </cell>
        </row>
        <row r="5204">
          <cell r="A5204" t="str">
            <v>Selvíria</v>
          </cell>
          <cell r="B5204">
            <v>304452</v>
          </cell>
          <cell r="C5204">
            <v>-20.364190879999999</v>
          </cell>
          <cell r="D5204">
            <v>-51.419666820000003</v>
          </cell>
        </row>
        <row r="5205">
          <cell r="A5205" t="str">
            <v>Sem-Peixe</v>
          </cell>
          <cell r="B5205">
            <v>302739</v>
          </cell>
          <cell r="C5205">
            <v>-20.101320900000001</v>
          </cell>
          <cell r="D5205">
            <v>-42.848695059999997</v>
          </cell>
        </row>
        <row r="5206">
          <cell r="A5206" t="str">
            <v>Sena Madureira</v>
          </cell>
          <cell r="B5206">
            <v>305858</v>
          </cell>
          <cell r="C5206">
            <v>-9.0638942559999993</v>
          </cell>
          <cell r="D5206">
            <v>-68.671757650000004</v>
          </cell>
        </row>
        <row r="5207">
          <cell r="A5207" t="str">
            <v>Senador Alexandre Costa</v>
          </cell>
          <cell r="B5207">
            <v>302442</v>
          </cell>
          <cell r="C5207">
            <v>-5.2600471789999999</v>
          </cell>
          <cell r="D5207">
            <v>-44.055287309999997</v>
          </cell>
        </row>
        <row r="5208">
          <cell r="A5208" t="str">
            <v>Senador Amaral</v>
          </cell>
          <cell r="B5208">
            <v>303545</v>
          </cell>
          <cell r="C5208">
            <v>-22.587374440000001</v>
          </cell>
          <cell r="D5208">
            <v>-46.176722179999999</v>
          </cell>
        </row>
        <row r="5209">
          <cell r="A5209" t="str">
            <v>Senador Canedo</v>
          </cell>
          <cell r="B5209">
            <v>302408</v>
          </cell>
          <cell r="C5209">
            <v>-16.70885182</v>
          </cell>
          <cell r="D5209">
            <v>-49.091795779999998</v>
          </cell>
        </row>
        <row r="5210">
          <cell r="A5210" t="str">
            <v>Senador Cortes</v>
          </cell>
          <cell r="B5210">
            <v>304411</v>
          </cell>
          <cell r="C5210">
            <v>-21.799044330000001</v>
          </cell>
          <cell r="D5210">
            <v>-42.942743450000002</v>
          </cell>
        </row>
        <row r="5211">
          <cell r="A5211" t="str">
            <v>Senador Elói de Souza</v>
          </cell>
          <cell r="B5211">
            <v>300509</v>
          </cell>
          <cell r="C5211">
            <v>-6.035965805</v>
          </cell>
          <cell r="D5211">
            <v>-35.692765639999998</v>
          </cell>
        </row>
        <row r="5212">
          <cell r="A5212" t="str">
            <v>Senador Firmino</v>
          </cell>
          <cell r="B5212">
            <v>302840</v>
          </cell>
          <cell r="C5212">
            <v>-20.916240760000001</v>
          </cell>
          <cell r="D5212">
            <v>-43.090798300000003</v>
          </cell>
        </row>
        <row r="5213">
          <cell r="A5213" t="str">
            <v>Senador Georgino Avelino</v>
          </cell>
          <cell r="B5213">
            <v>302316</v>
          </cell>
          <cell r="C5213">
            <v>-6.1638042740000003</v>
          </cell>
          <cell r="D5213">
            <v>-35.125450360000002</v>
          </cell>
        </row>
        <row r="5214">
          <cell r="A5214" t="str">
            <v>Senador Guiomard</v>
          </cell>
          <cell r="B5214">
            <v>305857</v>
          </cell>
          <cell r="C5214">
            <v>-10.15008489</v>
          </cell>
          <cell r="D5214">
            <v>-67.736662890000005</v>
          </cell>
        </row>
        <row r="5215">
          <cell r="A5215" t="str">
            <v>Senador José Bento</v>
          </cell>
          <cell r="B5215">
            <v>303531</v>
          </cell>
          <cell r="C5215">
            <v>-22.16380307</v>
          </cell>
          <cell r="D5215">
            <v>-46.179618009999999</v>
          </cell>
        </row>
        <row r="5216">
          <cell r="A5216" t="str">
            <v>Senador José Porfírio</v>
          </cell>
          <cell r="B5216">
            <v>304144</v>
          </cell>
          <cell r="C5216">
            <v>-2.5863655799999998</v>
          </cell>
          <cell r="D5216">
            <v>-51.949099080000003</v>
          </cell>
        </row>
        <row r="5217">
          <cell r="A5217" t="str">
            <v>Senador La Rocque</v>
          </cell>
          <cell r="B5217">
            <v>301966</v>
          </cell>
          <cell r="C5217">
            <v>-5.4464998810000003</v>
          </cell>
          <cell r="D5217">
            <v>-47.29631286</v>
          </cell>
        </row>
        <row r="5218">
          <cell r="A5218" t="str">
            <v>Senador Modestino Gonçalves</v>
          </cell>
          <cell r="B5218">
            <v>302709</v>
          </cell>
          <cell r="C5218">
            <v>-17.946994799999999</v>
          </cell>
          <cell r="D5218">
            <v>-43.224960709999998</v>
          </cell>
        </row>
        <row r="5219">
          <cell r="A5219" t="str">
            <v>Senador Pompeu</v>
          </cell>
          <cell r="B5219">
            <v>300922</v>
          </cell>
          <cell r="C5219">
            <v>-5.5828512809999999</v>
          </cell>
          <cell r="D5219">
            <v>-39.370688360000003</v>
          </cell>
        </row>
        <row r="5220">
          <cell r="A5220" t="str">
            <v>Senador Rui Palmeira</v>
          </cell>
          <cell r="B5220">
            <v>301219</v>
          </cell>
          <cell r="C5220">
            <v>-9.4702971110000007</v>
          </cell>
          <cell r="D5220">
            <v>-37.457914459999998</v>
          </cell>
        </row>
        <row r="5221">
          <cell r="A5221" t="str">
            <v>Senador Sá</v>
          </cell>
          <cell r="B5221">
            <v>301328</v>
          </cell>
          <cell r="C5221">
            <v>-3.3534427990000002</v>
          </cell>
          <cell r="D5221">
            <v>-40.466526029999997</v>
          </cell>
        </row>
        <row r="5222">
          <cell r="A5222" t="str">
            <v>Senador Salgado Filho</v>
          </cell>
          <cell r="B5222">
            <v>305723</v>
          </cell>
          <cell r="C5222">
            <v>-28.02547276</v>
          </cell>
          <cell r="D5222">
            <v>-54.551183279999997</v>
          </cell>
        </row>
        <row r="5223">
          <cell r="A5223" t="str">
            <v>Sengés</v>
          </cell>
          <cell r="B5223">
            <v>304208</v>
          </cell>
          <cell r="C5223">
            <v>-24.113357319999999</v>
          </cell>
          <cell r="D5223">
            <v>-49.461987710000002</v>
          </cell>
        </row>
        <row r="5224">
          <cell r="A5224" t="str">
            <v>Senhor do Bonfim</v>
          </cell>
          <cell r="B5224">
            <v>301431</v>
          </cell>
          <cell r="C5224">
            <v>-10.45978912</v>
          </cell>
          <cell r="D5224">
            <v>-40.186860979999999</v>
          </cell>
        </row>
        <row r="5225">
          <cell r="A5225" t="str">
            <v>Senhora de Oliveira</v>
          </cell>
          <cell r="B5225">
            <v>302845</v>
          </cell>
          <cell r="C5225">
            <v>-20.797698780000001</v>
          </cell>
          <cell r="D5225">
            <v>-43.339800769999997</v>
          </cell>
        </row>
        <row r="5226">
          <cell r="A5226" t="str">
            <v>Senhora do Porto</v>
          </cell>
          <cell r="B5226">
            <v>302761</v>
          </cell>
          <cell r="C5226">
            <v>-18.891364939999999</v>
          </cell>
          <cell r="D5226">
            <v>-43.080237580000002</v>
          </cell>
        </row>
        <row r="5227">
          <cell r="A5227" t="str">
            <v>Senhora dos Remédios</v>
          </cell>
          <cell r="B5227">
            <v>303115</v>
          </cell>
          <cell r="C5227">
            <v>-21.035558139999999</v>
          </cell>
          <cell r="D5227">
            <v>-43.581584059999997</v>
          </cell>
        </row>
        <row r="5228">
          <cell r="A5228" t="str">
            <v>Sentinela do Sul</v>
          </cell>
          <cell r="B5228">
            <v>305519</v>
          </cell>
          <cell r="C5228">
            <v>-30.61118686</v>
          </cell>
          <cell r="D5228">
            <v>-51.586613280000002</v>
          </cell>
        </row>
        <row r="5229">
          <cell r="A5229" t="str">
            <v>Sento Sé</v>
          </cell>
          <cell r="B5229">
            <v>301438</v>
          </cell>
          <cell r="C5229">
            <v>-9.7418074969999999</v>
          </cell>
          <cell r="D5229">
            <v>-41.878903000000001</v>
          </cell>
        </row>
        <row r="5230">
          <cell r="A5230" t="str">
            <v>Serafina Corrêa</v>
          </cell>
          <cell r="B5230">
            <v>305208</v>
          </cell>
          <cell r="C5230">
            <v>-28.71309668</v>
          </cell>
          <cell r="D5230">
            <v>-51.935702990000003</v>
          </cell>
        </row>
        <row r="5231">
          <cell r="A5231" t="str">
            <v>Sericita</v>
          </cell>
          <cell r="B5231">
            <v>302747</v>
          </cell>
          <cell r="C5231">
            <v>-20.475318380000001</v>
          </cell>
          <cell r="D5231">
            <v>-42.483137919999997</v>
          </cell>
        </row>
        <row r="5232">
          <cell r="A5232" t="str">
            <v>Seringueiras</v>
          </cell>
          <cell r="B5232">
            <v>304327</v>
          </cell>
          <cell r="C5232">
            <v>-11.76989038</v>
          </cell>
          <cell r="D5232">
            <v>-63.0337022</v>
          </cell>
        </row>
        <row r="5233">
          <cell r="A5233" t="str">
            <v>Sério</v>
          </cell>
          <cell r="B5233">
            <v>305792</v>
          </cell>
          <cell r="C5233">
            <v>-29.382980960000001</v>
          </cell>
          <cell r="D5233">
            <v>-52.268940829999998</v>
          </cell>
        </row>
        <row r="5234">
          <cell r="A5234" t="str">
            <v>Seritinga</v>
          </cell>
          <cell r="B5234">
            <v>303160</v>
          </cell>
          <cell r="C5234">
            <v>-21.913846150000001</v>
          </cell>
          <cell r="D5234">
            <v>-44.518344890000002</v>
          </cell>
        </row>
        <row r="5235">
          <cell r="A5235" t="str">
            <v>Seropédica</v>
          </cell>
          <cell r="B5235">
            <v>304985</v>
          </cell>
          <cell r="C5235">
            <v>-22.753067900000001</v>
          </cell>
          <cell r="D5235">
            <v>-43.715858490000002</v>
          </cell>
        </row>
        <row r="5236">
          <cell r="A5236" t="str">
            <v>Serra</v>
          </cell>
          <cell r="B5236">
            <v>302510</v>
          </cell>
          <cell r="C5236">
            <v>-20.121513360000002</v>
          </cell>
          <cell r="D5236">
            <v>-40.307753329999997</v>
          </cell>
        </row>
        <row r="5237">
          <cell r="A5237" t="str">
            <v>Serra Alta</v>
          </cell>
          <cell r="B5237">
            <v>305534</v>
          </cell>
          <cell r="C5237">
            <v>-26.723366540000001</v>
          </cell>
          <cell r="D5237">
            <v>-53.04132173</v>
          </cell>
        </row>
        <row r="5238">
          <cell r="A5238" t="str">
            <v>Serra Azul</v>
          </cell>
          <cell r="B5238">
            <v>303659</v>
          </cell>
          <cell r="C5238">
            <v>-21.30785101</v>
          </cell>
          <cell r="D5238">
            <v>-47.560641920000002</v>
          </cell>
        </row>
        <row r="5239">
          <cell r="A5239" t="str">
            <v>Serra Azul de Minas</v>
          </cell>
          <cell r="B5239">
            <v>302715</v>
          </cell>
          <cell r="C5239">
            <v>-18.360622620000001</v>
          </cell>
          <cell r="D5239">
            <v>-43.16782207</v>
          </cell>
        </row>
        <row r="5240">
          <cell r="A5240" t="str">
            <v>Serra Branca</v>
          </cell>
          <cell r="B5240">
            <v>300596</v>
          </cell>
          <cell r="C5240">
            <v>-7.4807647140000002</v>
          </cell>
          <cell r="D5240">
            <v>-36.666304109999999</v>
          </cell>
        </row>
        <row r="5241">
          <cell r="A5241" t="str">
            <v>Serra Caiada</v>
          </cell>
          <cell r="B5241">
            <v>300510</v>
          </cell>
          <cell r="C5241">
            <v>-6.1058969039999997</v>
          </cell>
          <cell r="D5241">
            <v>-35.712378739999998</v>
          </cell>
        </row>
        <row r="5242">
          <cell r="A5242" t="str">
            <v>Serra da Raiz</v>
          </cell>
          <cell r="B5242">
            <v>300437</v>
          </cell>
          <cell r="C5242">
            <v>-6.6856904789999998</v>
          </cell>
          <cell r="D5242">
            <v>-35.438159540000001</v>
          </cell>
        </row>
        <row r="5243">
          <cell r="A5243" t="str">
            <v>Serra da Saudade</v>
          </cell>
          <cell r="B5243">
            <v>303013</v>
          </cell>
          <cell r="C5243">
            <v>-19.438092770000001</v>
          </cell>
          <cell r="D5243">
            <v>-45.79995109</v>
          </cell>
        </row>
        <row r="5244">
          <cell r="A5244" t="str">
            <v>Serra de São Bento</v>
          </cell>
          <cell r="B5244">
            <v>300563</v>
          </cell>
          <cell r="C5244">
            <v>-6.4177819989999998</v>
          </cell>
          <cell r="D5244">
            <v>-35.704899079999997</v>
          </cell>
        </row>
        <row r="5245">
          <cell r="A5245" t="str">
            <v>Serra do Mel</v>
          </cell>
          <cell r="B5245">
            <v>300533</v>
          </cell>
          <cell r="C5245">
            <v>-5.1716481090000004</v>
          </cell>
          <cell r="D5245">
            <v>-37.04000971</v>
          </cell>
        </row>
        <row r="5246">
          <cell r="A5246" t="str">
            <v>Serra do Navio</v>
          </cell>
          <cell r="B5246">
            <v>305875</v>
          </cell>
          <cell r="C5246">
            <v>0.90099119000000005</v>
          </cell>
          <cell r="D5246">
            <v>-52.00403403</v>
          </cell>
        </row>
        <row r="5247">
          <cell r="A5247" t="str">
            <v>Serra do Ramalho</v>
          </cell>
          <cell r="B5247">
            <v>302110</v>
          </cell>
          <cell r="C5247">
            <v>-13.54209799</v>
          </cell>
          <cell r="D5247">
            <v>-43.577271449999998</v>
          </cell>
        </row>
        <row r="5248">
          <cell r="A5248" t="str">
            <v>Serra do Salitre</v>
          </cell>
          <cell r="B5248">
            <v>303315</v>
          </cell>
          <cell r="C5248">
            <v>-19.109886280000001</v>
          </cell>
          <cell r="D5248">
            <v>-46.682179220000002</v>
          </cell>
        </row>
        <row r="5249">
          <cell r="A5249" t="str">
            <v>Serra dos Aimorés</v>
          </cell>
          <cell r="B5249">
            <v>303592</v>
          </cell>
          <cell r="C5249">
            <v>-17.78764348</v>
          </cell>
          <cell r="D5249">
            <v>-40.245592109999997</v>
          </cell>
        </row>
        <row r="5250">
          <cell r="A5250" t="str">
            <v>Serra Dourada</v>
          </cell>
          <cell r="B5250">
            <v>302109</v>
          </cell>
          <cell r="C5250">
            <v>-12.759446459999999</v>
          </cell>
          <cell r="D5250">
            <v>-43.950791680000002</v>
          </cell>
        </row>
        <row r="5251">
          <cell r="A5251" t="str">
            <v>Serra Grande</v>
          </cell>
          <cell r="B5251">
            <v>300802</v>
          </cell>
          <cell r="C5251">
            <v>-7.2147281850000002</v>
          </cell>
          <cell r="D5251">
            <v>-38.372067999999999</v>
          </cell>
        </row>
        <row r="5252">
          <cell r="A5252" t="str">
            <v>Serra Negra</v>
          </cell>
          <cell r="B5252">
            <v>303643</v>
          </cell>
          <cell r="C5252">
            <v>-22.614417230000001</v>
          </cell>
          <cell r="D5252">
            <v>-46.703667840000001</v>
          </cell>
        </row>
        <row r="5253">
          <cell r="A5253" t="str">
            <v>Serra Negra do Norte</v>
          </cell>
          <cell r="B5253">
            <v>300607</v>
          </cell>
          <cell r="C5253">
            <v>-6.6657914099999998</v>
          </cell>
          <cell r="D5253">
            <v>-37.398733579999998</v>
          </cell>
        </row>
        <row r="5254">
          <cell r="A5254" t="str">
            <v>Serra Nova Dourada</v>
          </cell>
          <cell r="B5254">
            <v>300369</v>
          </cell>
          <cell r="C5254">
            <v>-12.09005554</v>
          </cell>
          <cell r="D5254">
            <v>-51.402946649999997</v>
          </cell>
        </row>
        <row r="5255">
          <cell r="A5255" t="str">
            <v>Serra Preta</v>
          </cell>
          <cell r="B5255">
            <v>301425</v>
          </cell>
          <cell r="C5255">
            <v>-12.15975759</v>
          </cell>
          <cell r="D5255">
            <v>-39.331990089999998</v>
          </cell>
        </row>
        <row r="5256">
          <cell r="A5256" t="str">
            <v>Serra Redonda</v>
          </cell>
          <cell r="B5256">
            <v>300580</v>
          </cell>
          <cell r="C5256">
            <v>-7.186701738</v>
          </cell>
          <cell r="D5256">
            <v>-35.679936769999998</v>
          </cell>
        </row>
        <row r="5257">
          <cell r="A5257" t="str">
            <v>Serra Talhada</v>
          </cell>
          <cell r="B5257">
            <v>300857</v>
          </cell>
          <cell r="C5257">
            <v>-7.982200604</v>
          </cell>
          <cell r="D5257">
            <v>-38.289347239999998</v>
          </cell>
        </row>
        <row r="5258">
          <cell r="A5258" t="str">
            <v>Serrana</v>
          </cell>
          <cell r="B5258">
            <v>303658</v>
          </cell>
          <cell r="C5258">
            <v>-21.2048056</v>
          </cell>
          <cell r="D5258">
            <v>-47.595637879999998</v>
          </cell>
        </row>
        <row r="5259">
          <cell r="A5259" t="str">
            <v>Serrania</v>
          </cell>
          <cell r="B5259">
            <v>304419</v>
          </cell>
          <cell r="C5259">
            <v>-21.544619359999999</v>
          </cell>
          <cell r="D5259">
            <v>-46.042090399999999</v>
          </cell>
        </row>
        <row r="5260">
          <cell r="A5260" t="str">
            <v>Serrano do Maranhão</v>
          </cell>
          <cell r="B5260">
            <v>301669</v>
          </cell>
          <cell r="C5260">
            <v>-1.8526672120000001</v>
          </cell>
          <cell r="D5260">
            <v>-45.121091679999999</v>
          </cell>
        </row>
        <row r="5261">
          <cell r="A5261" t="str">
            <v>Serranópolis</v>
          </cell>
          <cell r="B5261">
            <v>304349</v>
          </cell>
          <cell r="C5261">
            <v>-18.307172390000002</v>
          </cell>
          <cell r="D5261">
            <v>-51.959055790000001</v>
          </cell>
        </row>
        <row r="5262">
          <cell r="A5262" t="str">
            <v>Serranópolis de Minas</v>
          </cell>
          <cell r="B5262">
            <v>302178</v>
          </cell>
          <cell r="C5262">
            <v>-15.81145701</v>
          </cell>
          <cell r="D5262">
            <v>-42.871732960000003</v>
          </cell>
        </row>
        <row r="5263">
          <cell r="A5263" t="str">
            <v>Serranópolis do Iguaçu</v>
          </cell>
          <cell r="B5263">
            <v>305337</v>
          </cell>
          <cell r="C5263">
            <v>-25.380377840000001</v>
          </cell>
          <cell r="D5263">
            <v>-54.052274689999997</v>
          </cell>
        </row>
        <row r="5264">
          <cell r="A5264" t="str">
            <v>Serranos</v>
          </cell>
          <cell r="B5264">
            <v>303158</v>
          </cell>
          <cell r="C5264">
            <v>-21.88620907</v>
          </cell>
          <cell r="D5264">
            <v>-44.512866770000002</v>
          </cell>
        </row>
        <row r="5265">
          <cell r="A5265" t="str">
            <v>Serraria</v>
          </cell>
          <cell r="B5265">
            <v>300445</v>
          </cell>
          <cell r="C5265">
            <v>-6.8155907600000001</v>
          </cell>
          <cell r="D5265">
            <v>-35.628136339999998</v>
          </cell>
        </row>
        <row r="5266">
          <cell r="A5266" t="str">
            <v>Serrinha</v>
          </cell>
          <cell r="B5266">
            <v>301406</v>
          </cell>
          <cell r="C5266">
            <v>-11.658849930000001</v>
          </cell>
          <cell r="D5266">
            <v>-39.01029793</v>
          </cell>
        </row>
        <row r="5267">
          <cell r="A5267" t="str">
            <v>Serrinha</v>
          </cell>
          <cell r="B5267">
            <v>302330</v>
          </cell>
          <cell r="C5267">
            <v>-6.2780729629999996</v>
          </cell>
          <cell r="D5267">
            <v>-35.49717381</v>
          </cell>
        </row>
        <row r="5268">
          <cell r="A5268" t="str">
            <v>Serrinha dos Pintos</v>
          </cell>
          <cell r="B5268">
            <v>300760</v>
          </cell>
          <cell r="C5268">
            <v>-6.1112843640000003</v>
          </cell>
          <cell r="D5268">
            <v>-37.955108590000002</v>
          </cell>
        </row>
        <row r="5269">
          <cell r="A5269" t="str">
            <v>Serrita</v>
          </cell>
          <cell r="B5269">
            <v>300864</v>
          </cell>
          <cell r="C5269">
            <v>-7.9408275899999996</v>
          </cell>
          <cell r="D5269">
            <v>-39.29538238</v>
          </cell>
        </row>
        <row r="5270">
          <cell r="A5270" t="str">
            <v>Serro</v>
          </cell>
          <cell r="B5270">
            <v>302718</v>
          </cell>
          <cell r="C5270">
            <v>-18.59957219</v>
          </cell>
          <cell r="D5270">
            <v>-43.374763020000003</v>
          </cell>
        </row>
        <row r="5271">
          <cell r="A5271" t="str">
            <v>Serrolândia</v>
          </cell>
          <cell r="B5271">
            <v>301448</v>
          </cell>
          <cell r="C5271">
            <v>-11.416592680000001</v>
          </cell>
          <cell r="D5271">
            <v>-40.30103141</v>
          </cell>
        </row>
        <row r="5272">
          <cell r="A5272" t="str">
            <v>Sertaneja</v>
          </cell>
          <cell r="B5272">
            <v>304504</v>
          </cell>
          <cell r="C5272">
            <v>-23.03859538</v>
          </cell>
          <cell r="D5272">
            <v>-50.817303799999998</v>
          </cell>
        </row>
        <row r="5273">
          <cell r="A5273" t="str">
            <v>Sertânia</v>
          </cell>
          <cell r="B5273">
            <v>302341</v>
          </cell>
          <cell r="C5273">
            <v>-8.0688908940000008</v>
          </cell>
          <cell r="D5273">
            <v>-37.268698929999999</v>
          </cell>
        </row>
        <row r="5274">
          <cell r="A5274" t="str">
            <v>Sertanópolis</v>
          </cell>
          <cell r="B5274">
            <v>304685</v>
          </cell>
          <cell r="C5274">
            <v>-23.057523280000002</v>
          </cell>
          <cell r="D5274">
            <v>-51.040374370000002</v>
          </cell>
        </row>
        <row r="5275">
          <cell r="A5275" t="str">
            <v>Sertão</v>
          </cell>
          <cell r="B5275">
            <v>305168</v>
          </cell>
          <cell r="C5275">
            <v>-27.980255339999999</v>
          </cell>
          <cell r="D5275">
            <v>-52.25923195</v>
          </cell>
        </row>
        <row r="5276">
          <cell r="A5276" t="str">
            <v>Sertão Santana</v>
          </cell>
          <cell r="B5276">
            <v>305518</v>
          </cell>
          <cell r="C5276">
            <v>-30.45666258</v>
          </cell>
          <cell r="D5276">
            <v>-51.602152660000002</v>
          </cell>
        </row>
        <row r="5277">
          <cell r="A5277" t="str">
            <v>Sertãozinho</v>
          </cell>
          <cell r="B5277">
            <v>300438</v>
          </cell>
          <cell r="C5277">
            <v>-6.7516899019999999</v>
          </cell>
          <cell r="D5277">
            <v>-35.437450579999997</v>
          </cell>
        </row>
        <row r="5278">
          <cell r="A5278" t="str">
            <v>Sertãozinho</v>
          </cell>
          <cell r="B5278">
            <v>303672</v>
          </cell>
          <cell r="C5278">
            <v>-21.132064440000001</v>
          </cell>
          <cell r="D5278">
            <v>-47.987897250000003</v>
          </cell>
        </row>
        <row r="5279">
          <cell r="A5279" t="str">
            <v>Sete Barras</v>
          </cell>
          <cell r="B5279">
            <v>303794</v>
          </cell>
          <cell r="C5279">
            <v>-24.38252623</v>
          </cell>
          <cell r="D5279">
            <v>-47.928353469999998</v>
          </cell>
        </row>
        <row r="5280">
          <cell r="A5280" t="str">
            <v>Sete de Setembro</v>
          </cell>
          <cell r="B5280">
            <v>305452</v>
          </cell>
          <cell r="C5280">
            <v>-28.130983659999998</v>
          </cell>
          <cell r="D5280">
            <v>-54.462938180000002</v>
          </cell>
        </row>
        <row r="5281">
          <cell r="A5281" t="str">
            <v>Sete Lagoas</v>
          </cell>
          <cell r="B5281">
            <v>304400</v>
          </cell>
          <cell r="C5281">
            <v>-19.457372830000001</v>
          </cell>
          <cell r="D5281">
            <v>-44.241626910000001</v>
          </cell>
        </row>
        <row r="5282">
          <cell r="A5282" t="str">
            <v>Sete Quedas</v>
          </cell>
          <cell r="B5282">
            <v>305237</v>
          </cell>
          <cell r="C5282">
            <v>-23.970965079999999</v>
          </cell>
          <cell r="D5282">
            <v>-55.040293370000001</v>
          </cell>
        </row>
        <row r="5283">
          <cell r="A5283" t="str">
            <v>Setubinha</v>
          </cell>
          <cell r="B5283">
            <v>302655</v>
          </cell>
          <cell r="C5283">
            <v>-17.600669289999999</v>
          </cell>
          <cell r="D5283">
            <v>-42.159022460000003</v>
          </cell>
        </row>
        <row r="5284">
          <cell r="A5284" t="str">
            <v>Severiano de Almeida</v>
          </cell>
          <cell r="B5284">
            <v>305666</v>
          </cell>
          <cell r="C5284">
            <v>-27.436674799999999</v>
          </cell>
          <cell r="D5284">
            <v>-52.122152849999999</v>
          </cell>
        </row>
        <row r="5285">
          <cell r="A5285" t="str">
            <v>Severiano Melo</v>
          </cell>
          <cell r="B5285">
            <v>300750</v>
          </cell>
          <cell r="C5285">
            <v>-5.7770682630000003</v>
          </cell>
          <cell r="D5285">
            <v>-37.957289420000002</v>
          </cell>
        </row>
        <row r="5286">
          <cell r="A5286" t="str">
            <v>Severínia</v>
          </cell>
          <cell r="B5286">
            <v>303699</v>
          </cell>
          <cell r="C5286">
            <v>-20.811218480000001</v>
          </cell>
          <cell r="D5286">
            <v>-48.80578569</v>
          </cell>
        </row>
        <row r="5287">
          <cell r="A5287" t="str">
            <v>Siderópolis</v>
          </cell>
          <cell r="B5287">
            <v>304971</v>
          </cell>
          <cell r="C5287">
            <v>-28.595984680000001</v>
          </cell>
          <cell r="D5287">
            <v>-49.431859009999997</v>
          </cell>
        </row>
        <row r="5288">
          <cell r="A5288" t="str">
            <v>Sidrolândia</v>
          </cell>
          <cell r="B5288">
            <v>305597</v>
          </cell>
          <cell r="C5288">
            <v>-20.930662510000001</v>
          </cell>
          <cell r="D5288">
            <v>-54.969662190000001</v>
          </cell>
        </row>
        <row r="5289">
          <cell r="A5289" t="str">
            <v>Sigefredo Pacheco</v>
          </cell>
          <cell r="B5289">
            <v>300893</v>
          </cell>
          <cell r="C5289">
            <v>-4.9170489689999997</v>
          </cell>
          <cell r="D5289">
            <v>-41.731458349999997</v>
          </cell>
        </row>
        <row r="5290">
          <cell r="A5290" t="str">
            <v>Sihuas</v>
          </cell>
          <cell r="B5290">
            <v>314420</v>
          </cell>
          <cell r="C5290">
            <v>-8.5648667520000004</v>
          </cell>
          <cell r="D5290">
            <v>-77.630108809999996</v>
          </cell>
        </row>
        <row r="5291">
          <cell r="A5291" t="str">
            <v>Silva Jardim</v>
          </cell>
          <cell r="B5291">
            <v>303069</v>
          </cell>
          <cell r="C5291">
            <v>-22.657875629999999</v>
          </cell>
          <cell r="D5291">
            <v>-42.396485749999997</v>
          </cell>
        </row>
        <row r="5292">
          <cell r="A5292" t="str">
            <v>Silvânia</v>
          </cell>
          <cell r="B5292">
            <v>302395</v>
          </cell>
          <cell r="C5292">
            <v>-16.660423569999999</v>
          </cell>
          <cell r="D5292">
            <v>-48.608720660000003</v>
          </cell>
        </row>
        <row r="5293">
          <cell r="A5293" t="str">
            <v>Silvanópolis</v>
          </cell>
          <cell r="B5293">
            <v>302221</v>
          </cell>
          <cell r="C5293">
            <v>-11.14752837</v>
          </cell>
          <cell r="D5293">
            <v>-48.169752709999997</v>
          </cell>
        </row>
        <row r="5294">
          <cell r="A5294" t="str">
            <v>Silveira Martins</v>
          </cell>
          <cell r="B5294">
            <v>305702</v>
          </cell>
          <cell r="C5294">
            <v>-29.6419812</v>
          </cell>
          <cell r="D5294">
            <v>-53.585938630000001</v>
          </cell>
        </row>
        <row r="5295">
          <cell r="A5295" t="str">
            <v>Silveirânia</v>
          </cell>
          <cell r="B5295">
            <v>303087</v>
          </cell>
          <cell r="C5295">
            <v>-21.161959410000001</v>
          </cell>
          <cell r="D5295">
            <v>-43.213211770000001</v>
          </cell>
        </row>
        <row r="5296">
          <cell r="A5296" t="str">
            <v>Silveiras</v>
          </cell>
          <cell r="B5296">
            <v>303615</v>
          </cell>
          <cell r="C5296">
            <v>-22.6643209</v>
          </cell>
          <cell r="D5296">
            <v>-44.852541260000002</v>
          </cell>
        </row>
        <row r="5297">
          <cell r="A5297" t="str">
            <v>Silves</v>
          </cell>
          <cell r="B5297">
            <v>304178</v>
          </cell>
          <cell r="C5297">
            <v>-2.81786352</v>
          </cell>
          <cell r="D5297">
            <v>-58.248462199999999</v>
          </cell>
        </row>
        <row r="5298">
          <cell r="A5298" t="str">
            <v>Silvianópolis</v>
          </cell>
          <cell r="B5298">
            <v>303467</v>
          </cell>
          <cell r="C5298">
            <v>-22.02788644</v>
          </cell>
          <cell r="D5298">
            <v>-45.83890632</v>
          </cell>
        </row>
        <row r="5299">
          <cell r="A5299" t="str">
            <v>Simão Dias</v>
          </cell>
          <cell r="B5299">
            <v>301484</v>
          </cell>
          <cell r="C5299">
            <v>-10.7390911</v>
          </cell>
          <cell r="D5299">
            <v>-37.810058239999996</v>
          </cell>
        </row>
        <row r="5300">
          <cell r="A5300" t="str">
            <v>Simão Pereira</v>
          </cell>
          <cell r="B5300">
            <v>303113</v>
          </cell>
          <cell r="C5300">
            <v>-21.964442089999999</v>
          </cell>
          <cell r="D5300">
            <v>-43.309165489999998</v>
          </cell>
        </row>
        <row r="5301">
          <cell r="A5301" t="str">
            <v>Simões</v>
          </cell>
          <cell r="B5301">
            <v>301029</v>
          </cell>
          <cell r="C5301">
            <v>-7.5949677019999999</v>
          </cell>
          <cell r="D5301">
            <v>-40.818179030000003</v>
          </cell>
        </row>
        <row r="5302">
          <cell r="A5302" t="str">
            <v>Simões Filho</v>
          </cell>
          <cell r="B5302">
            <v>301513</v>
          </cell>
          <cell r="C5302">
            <v>-12.787036710000001</v>
          </cell>
          <cell r="D5302">
            <v>-38.403262890000001</v>
          </cell>
        </row>
        <row r="5303">
          <cell r="A5303" t="str">
            <v>Simolândia</v>
          </cell>
          <cell r="B5303">
            <v>302867</v>
          </cell>
          <cell r="C5303">
            <v>-14.461442140000001</v>
          </cell>
          <cell r="D5303">
            <v>-46.486155719999999</v>
          </cell>
        </row>
        <row r="5304">
          <cell r="A5304" t="str">
            <v>Simonésia</v>
          </cell>
          <cell r="B5304">
            <v>303564</v>
          </cell>
          <cell r="C5304">
            <v>-20.13457502</v>
          </cell>
          <cell r="D5304">
            <v>-42.009409740000002</v>
          </cell>
        </row>
        <row r="5305">
          <cell r="A5305" t="str">
            <v>Simplício Mendes</v>
          </cell>
          <cell r="B5305">
            <v>301072</v>
          </cell>
          <cell r="C5305">
            <v>-7.859539678</v>
          </cell>
          <cell r="D5305">
            <v>-41.908634499999998</v>
          </cell>
        </row>
        <row r="5306">
          <cell r="A5306" t="str">
            <v>Sinimbu</v>
          </cell>
          <cell r="B5306">
            <v>305551</v>
          </cell>
          <cell r="C5306">
            <v>-29.538980859999999</v>
          </cell>
          <cell r="D5306">
            <v>-52.521940350000001</v>
          </cell>
        </row>
        <row r="5307">
          <cell r="A5307" t="str">
            <v>Sinop</v>
          </cell>
          <cell r="B5307">
            <v>304561</v>
          </cell>
          <cell r="C5307">
            <v>-11.86085207</v>
          </cell>
          <cell r="D5307">
            <v>-55.509487980000003</v>
          </cell>
        </row>
        <row r="5308">
          <cell r="A5308" t="str">
            <v>Siqueira Campos</v>
          </cell>
          <cell r="B5308">
            <v>303963</v>
          </cell>
          <cell r="C5308">
            <v>-23.687952200000002</v>
          </cell>
          <cell r="D5308">
            <v>-49.83083671</v>
          </cell>
        </row>
        <row r="5309">
          <cell r="A5309" t="str">
            <v>Sirinhaém</v>
          </cell>
          <cell r="B5309">
            <v>301078</v>
          </cell>
          <cell r="C5309">
            <v>-8.5882106999999994</v>
          </cell>
          <cell r="D5309">
            <v>-35.112880400000002</v>
          </cell>
        </row>
        <row r="5310">
          <cell r="A5310" t="str">
            <v>Siriri</v>
          </cell>
          <cell r="B5310">
            <v>301237</v>
          </cell>
          <cell r="C5310">
            <v>-10.604490930000001</v>
          </cell>
          <cell r="D5310">
            <v>-37.113458080000001</v>
          </cell>
        </row>
        <row r="5311">
          <cell r="A5311" t="str">
            <v>Sítio d'Abadia</v>
          </cell>
          <cell r="B5311">
            <v>302303</v>
          </cell>
          <cell r="C5311">
            <v>-14.80485552</v>
          </cell>
          <cell r="D5311">
            <v>-46.25380947</v>
          </cell>
        </row>
        <row r="5312">
          <cell r="A5312" t="str">
            <v>Sítio do Mato</v>
          </cell>
          <cell r="B5312">
            <v>302106</v>
          </cell>
          <cell r="C5312">
            <v>-13.083140269999999</v>
          </cell>
          <cell r="D5312">
            <v>-43.46896855</v>
          </cell>
        </row>
        <row r="5313">
          <cell r="A5313" t="str">
            <v>Sítio do Quinto</v>
          </cell>
          <cell r="B5313">
            <v>301288</v>
          </cell>
          <cell r="C5313">
            <v>-10.36850435</v>
          </cell>
          <cell r="D5313">
            <v>-38.204582969999997</v>
          </cell>
        </row>
        <row r="5314">
          <cell r="A5314" t="str">
            <v>Sítio Novo</v>
          </cell>
          <cell r="B5314">
            <v>301956</v>
          </cell>
          <cell r="C5314">
            <v>-5.8764105740000003</v>
          </cell>
          <cell r="D5314">
            <v>-46.703697429999998</v>
          </cell>
        </row>
        <row r="5315">
          <cell r="A5315" t="str">
            <v>Sítio Novo</v>
          </cell>
          <cell r="B5315">
            <v>300511</v>
          </cell>
          <cell r="C5315">
            <v>-6.1039704080000003</v>
          </cell>
          <cell r="D5315">
            <v>-35.911046550000002</v>
          </cell>
        </row>
        <row r="5316">
          <cell r="A5316" t="str">
            <v>Sítio Novo do Tocantins</v>
          </cell>
          <cell r="B5316">
            <v>301972</v>
          </cell>
          <cell r="C5316">
            <v>-5.6016074949999997</v>
          </cell>
          <cell r="D5316">
            <v>-47.638464069999998</v>
          </cell>
        </row>
        <row r="5317">
          <cell r="A5317" t="str">
            <v>Sn. Ignácio de Moxo</v>
          </cell>
          <cell r="B5317">
            <v>314458</v>
          </cell>
          <cell r="C5317">
            <v>-14.927485280000001</v>
          </cell>
          <cell r="D5317">
            <v>-65.614814699999997</v>
          </cell>
        </row>
        <row r="5318">
          <cell r="A5318" t="str">
            <v>Sobradinho</v>
          </cell>
          <cell r="B5318">
            <v>301432</v>
          </cell>
          <cell r="C5318">
            <v>-9.4686757339999996</v>
          </cell>
          <cell r="D5318">
            <v>-40.794519020000003</v>
          </cell>
        </row>
        <row r="5319">
          <cell r="A5319" t="str">
            <v>Sobradinho</v>
          </cell>
          <cell r="B5319">
            <v>305561</v>
          </cell>
          <cell r="C5319">
            <v>-29.419912050000001</v>
          </cell>
          <cell r="D5319">
            <v>-53.033088100000001</v>
          </cell>
        </row>
        <row r="5320">
          <cell r="A5320" t="str">
            <v>Sobrado</v>
          </cell>
          <cell r="B5320">
            <v>300452</v>
          </cell>
          <cell r="C5320">
            <v>-7.1447075379999996</v>
          </cell>
          <cell r="D5320">
            <v>-35.236030319999998</v>
          </cell>
        </row>
        <row r="5321">
          <cell r="A5321" t="str">
            <v>Sobral</v>
          </cell>
          <cell r="B5321">
            <v>301327</v>
          </cell>
          <cell r="C5321">
            <v>-3.6895279740000002</v>
          </cell>
          <cell r="D5321">
            <v>-40.348535329999997</v>
          </cell>
        </row>
        <row r="5322">
          <cell r="A5322" t="str">
            <v>Sobrália</v>
          </cell>
          <cell r="B5322">
            <v>302729</v>
          </cell>
          <cell r="C5322">
            <v>-19.23499253</v>
          </cell>
          <cell r="D5322">
            <v>-42.09796652</v>
          </cell>
        </row>
        <row r="5323">
          <cell r="A5323" t="str">
            <v>Socorro</v>
          </cell>
          <cell r="B5323">
            <v>303553</v>
          </cell>
          <cell r="C5323">
            <v>-22.590740589999999</v>
          </cell>
          <cell r="D5323">
            <v>-46.52551356</v>
          </cell>
        </row>
        <row r="5324">
          <cell r="A5324" t="str">
            <v>Socorro do Piauí</v>
          </cell>
          <cell r="B5324">
            <v>301835</v>
          </cell>
          <cell r="C5324">
            <v>-7.8646091150000004</v>
          </cell>
          <cell r="D5324">
            <v>-42.50272983</v>
          </cell>
        </row>
        <row r="5325">
          <cell r="A5325" t="str">
            <v>Solânea</v>
          </cell>
          <cell r="B5325">
            <v>300443</v>
          </cell>
          <cell r="C5325">
            <v>-6.7605465840000001</v>
          </cell>
          <cell r="D5325">
            <v>-35.658697740000001</v>
          </cell>
        </row>
        <row r="5326">
          <cell r="A5326" t="str">
            <v>Soledade</v>
          </cell>
          <cell r="B5326">
            <v>300650</v>
          </cell>
          <cell r="C5326">
            <v>-7.0590997230000001</v>
          </cell>
          <cell r="D5326">
            <v>-36.36290056</v>
          </cell>
        </row>
        <row r="5327">
          <cell r="A5327" t="str">
            <v>Soledade</v>
          </cell>
          <cell r="B5327">
            <v>305386</v>
          </cell>
          <cell r="C5327">
            <v>-28.831086920000001</v>
          </cell>
          <cell r="D5327">
            <v>-52.513540190000001</v>
          </cell>
        </row>
        <row r="5328">
          <cell r="A5328" t="str">
            <v>Soledade de Minas</v>
          </cell>
          <cell r="B5328">
            <v>303606</v>
          </cell>
          <cell r="C5328">
            <v>-22.055910409999999</v>
          </cell>
          <cell r="D5328">
            <v>-45.046800939999997</v>
          </cell>
        </row>
        <row r="5329">
          <cell r="A5329" t="str">
            <v>Solidão</v>
          </cell>
          <cell r="B5329">
            <v>300786</v>
          </cell>
          <cell r="C5329">
            <v>-7.6010413789999998</v>
          </cell>
          <cell r="D5329">
            <v>-37.648782500000003</v>
          </cell>
        </row>
        <row r="5330">
          <cell r="A5330" t="str">
            <v>Solonópole</v>
          </cell>
          <cell r="B5330">
            <v>300917</v>
          </cell>
          <cell r="C5330">
            <v>-5.7193443239999997</v>
          </cell>
          <cell r="D5330">
            <v>-39.011036900000001</v>
          </cell>
        </row>
        <row r="5331">
          <cell r="A5331" t="str">
            <v>Sombrio</v>
          </cell>
          <cell r="B5331">
            <v>304120</v>
          </cell>
          <cell r="C5331">
            <v>-29.10846901</v>
          </cell>
          <cell r="D5331">
            <v>-49.633215509999999</v>
          </cell>
        </row>
        <row r="5332">
          <cell r="A5332" t="str">
            <v>Sonora</v>
          </cell>
          <cell r="B5332">
            <v>305026</v>
          </cell>
          <cell r="C5332">
            <v>-17.578738569999999</v>
          </cell>
          <cell r="D5332">
            <v>-54.753833759999999</v>
          </cell>
        </row>
        <row r="5333">
          <cell r="A5333" t="str">
            <v>Sooretama</v>
          </cell>
          <cell r="B5333">
            <v>302885</v>
          </cell>
          <cell r="C5333">
            <v>-19.190172870000001</v>
          </cell>
          <cell r="D5333">
            <v>-40.097692799999997</v>
          </cell>
        </row>
        <row r="5334">
          <cell r="A5334" t="str">
            <v>Sorocaba</v>
          </cell>
          <cell r="B5334">
            <v>303762</v>
          </cell>
          <cell r="C5334">
            <v>-23.497363010000001</v>
          </cell>
          <cell r="D5334">
            <v>-47.445477449999998</v>
          </cell>
        </row>
        <row r="5335">
          <cell r="A5335" t="str">
            <v>Sorriso</v>
          </cell>
          <cell r="B5335">
            <v>304564</v>
          </cell>
          <cell r="C5335">
            <v>-12.54295114</v>
          </cell>
          <cell r="D5335">
            <v>-55.721479199999997</v>
          </cell>
        </row>
        <row r="5336">
          <cell r="A5336" t="str">
            <v>Sossêgo</v>
          </cell>
          <cell r="B5336">
            <v>300641</v>
          </cell>
          <cell r="C5336">
            <v>-6.7662584859999999</v>
          </cell>
          <cell r="D5336">
            <v>-36.247407610000003</v>
          </cell>
        </row>
        <row r="5337">
          <cell r="A5337" t="str">
            <v>Soure</v>
          </cell>
          <cell r="B5337">
            <v>301925</v>
          </cell>
          <cell r="C5337">
            <v>-0.72373748400000004</v>
          </cell>
          <cell r="D5337">
            <v>-48.515582369999997</v>
          </cell>
        </row>
        <row r="5338">
          <cell r="A5338" t="str">
            <v>Sousa</v>
          </cell>
          <cell r="B5338">
            <v>300940</v>
          </cell>
          <cell r="C5338">
            <v>-6.7592719319999999</v>
          </cell>
          <cell r="D5338">
            <v>-38.227957600000003</v>
          </cell>
        </row>
        <row r="5339">
          <cell r="A5339" t="str">
            <v>Souto Soares</v>
          </cell>
          <cell r="B5339">
            <v>301508</v>
          </cell>
          <cell r="C5339">
            <v>-12.08848811</v>
          </cell>
          <cell r="D5339">
            <v>-41.64305804</v>
          </cell>
        </row>
        <row r="5340">
          <cell r="A5340" t="str">
            <v>Sucupira</v>
          </cell>
          <cell r="B5340">
            <v>302292</v>
          </cell>
          <cell r="C5340">
            <v>-11.9855026</v>
          </cell>
          <cell r="D5340">
            <v>-48.965556640000003</v>
          </cell>
        </row>
        <row r="5341">
          <cell r="A5341" t="str">
            <v>Sucupira do Norte</v>
          </cell>
          <cell r="B5341">
            <v>301863</v>
          </cell>
          <cell r="C5341">
            <v>-6.4788015830000001</v>
          </cell>
          <cell r="D5341">
            <v>-44.192241719999998</v>
          </cell>
        </row>
        <row r="5342">
          <cell r="A5342" t="str">
            <v>Sucupira do Riachão</v>
          </cell>
          <cell r="B5342">
            <v>301841</v>
          </cell>
          <cell r="C5342">
            <v>-6.416242402</v>
          </cell>
          <cell r="D5342">
            <v>-43.545129840000001</v>
          </cell>
        </row>
        <row r="5343">
          <cell r="A5343" t="str">
            <v>Sud Mennucci</v>
          </cell>
          <cell r="B5343">
            <v>304392</v>
          </cell>
          <cell r="C5343">
            <v>-20.687685030000001</v>
          </cell>
          <cell r="D5343">
            <v>-50.924201670000002</v>
          </cell>
        </row>
        <row r="5344">
          <cell r="A5344" t="str">
            <v>Sul Brasil</v>
          </cell>
          <cell r="B5344">
            <v>305533</v>
          </cell>
          <cell r="C5344">
            <v>-26.73561681</v>
          </cell>
          <cell r="D5344">
            <v>-52.964416300000003</v>
          </cell>
        </row>
        <row r="5345">
          <cell r="A5345" t="str">
            <v>Sulina</v>
          </cell>
          <cell r="B5345">
            <v>305634</v>
          </cell>
          <cell r="C5345">
            <v>-25.707020539999998</v>
          </cell>
          <cell r="D5345">
            <v>-52.730314919999998</v>
          </cell>
        </row>
        <row r="5346">
          <cell r="A5346" t="str">
            <v>Sumaré</v>
          </cell>
          <cell r="B5346">
            <v>303905</v>
          </cell>
          <cell r="C5346">
            <v>-22.82089144</v>
          </cell>
          <cell r="D5346">
            <v>-47.27322427</v>
          </cell>
        </row>
        <row r="5347">
          <cell r="A5347" t="str">
            <v>Sumé</v>
          </cell>
          <cell r="B5347">
            <v>300665</v>
          </cell>
          <cell r="C5347">
            <v>-7.672522174</v>
          </cell>
          <cell r="D5347">
            <v>-36.882846389999997</v>
          </cell>
        </row>
        <row r="5348">
          <cell r="A5348" t="str">
            <v>Sumidouro</v>
          </cell>
          <cell r="B5348">
            <v>303073</v>
          </cell>
          <cell r="C5348">
            <v>-22.048944819999999</v>
          </cell>
          <cell r="D5348">
            <v>-42.676515180000003</v>
          </cell>
        </row>
        <row r="5349">
          <cell r="A5349" t="str">
            <v>Surubim</v>
          </cell>
          <cell r="B5349">
            <v>300663</v>
          </cell>
          <cell r="C5349">
            <v>-7.8470712799999998</v>
          </cell>
          <cell r="D5349">
            <v>-35.760470099999999</v>
          </cell>
        </row>
        <row r="5350">
          <cell r="A5350" t="str">
            <v>Sussuapara</v>
          </cell>
          <cell r="B5350">
            <v>301041</v>
          </cell>
          <cell r="C5350">
            <v>-7.0282950319999999</v>
          </cell>
          <cell r="D5350">
            <v>-41.405764079999997</v>
          </cell>
        </row>
        <row r="5351">
          <cell r="A5351" t="str">
            <v>Suzanápolis</v>
          </cell>
          <cell r="B5351">
            <v>304393</v>
          </cell>
          <cell r="C5351">
            <v>-20.498549220000001</v>
          </cell>
          <cell r="D5351">
            <v>-51.027179789999998</v>
          </cell>
        </row>
        <row r="5352">
          <cell r="A5352" t="str">
            <v>Suzano</v>
          </cell>
          <cell r="B5352">
            <v>303932</v>
          </cell>
          <cell r="C5352">
            <v>-23.545308070000001</v>
          </cell>
          <cell r="D5352">
            <v>-46.311577900000003</v>
          </cell>
        </row>
        <row r="5353">
          <cell r="A5353" t="str">
            <v>Tabaí</v>
          </cell>
          <cell r="B5353">
            <v>305775</v>
          </cell>
          <cell r="C5353">
            <v>-29.643519059999999</v>
          </cell>
          <cell r="D5353">
            <v>-51.682747450000001</v>
          </cell>
        </row>
        <row r="5354">
          <cell r="A5354" t="str">
            <v>Tabaporã</v>
          </cell>
          <cell r="B5354">
            <v>304224</v>
          </cell>
          <cell r="C5354">
            <v>-11.3088719</v>
          </cell>
          <cell r="D5354">
            <v>-56.823276100000001</v>
          </cell>
        </row>
        <row r="5355">
          <cell r="A5355" t="str">
            <v>Tabapuã</v>
          </cell>
          <cell r="B5355">
            <v>303703</v>
          </cell>
          <cell r="C5355">
            <v>-20.96063642</v>
          </cell>
          <cell r="D5355">
            <v>-49.031147539999999</v>
          </cell>
        </row>
        <row r="5356">
          <cell r="A5356" t="str">
            <v>Tabatinga</v>
          </cell>
          <cell r="B5356">
            <v>303815</v>
          </cell>
          <cell r="C5356">
            <v>-21.729460069999998</v>
          </cell>
          <cell r="D5356">
            <v>-48.69034138</v>
          </cell>
        </row>
        <row r="5357">
          <cell r="A5357" t="str">
            <v>Tabatinga</v>
          </cell>
          <cell r="B5357">
            <v>305836</v>
          </cell>
          <cell r="C5357">
            <v>-4.2419796700000001</v>
          </cell>
          <cell r="D5357">
            <v>-69.938752190000002</v>
          </cell>
        </row>
        <row r="5358">
          <cell r="A5358" t="str">
            <v>Tabira</v>
          </cell>
          <cell r="B5358">
            <v>300784</v>
          </cell>
          <cell r="C5358">
            <v>-7.5840817449999998</v>
          </cell>
          <cell r="D5358">
            <v>-37.538042529999998</v>
          </cell>
        </row>
        <row r="5359">
          <cell r="A5359" t="str">
            <v>Taboão da Serra</v>
          </cell>
          <cell r="B5359">
            <v>303747</v>
          </cell>
          <cell r="C5359">
            <v>-23.602346109999999</v>
          </cell>
          <cell r="D5359">
            <v>-46.753037089999999</v>
          </cell>
        </row>
        <row r="5360">
          <cell r="A5360" t="str">
            <v>Tabocas do Brejo Velho</v>
          </cell>
          <cell r="B5360">
            <v>302108</v>
          </cell>
          <cell r="C5360">
            <v>-12.70307611</v>
          </cell>
          <cell r="D5360">
            <v>-44.007806989999999</v>
          </cell>
        </row>
        <row r="5361">
          <cell r="A5361" t="str">
            <v>Taboleiro Grande</v>
          </cell>
          <cell r="B5361">
            <v>300763</v>
          </cell>
          <cell r="C5361">
            <v>-5.9198901179999996</v>
          </cell>
          <cell r="D5361">
            <v>-38.037003069999997</v>
          </cell>
        </row>
        <row r="5362">
          <cell r="A5362" t="str">
            <v>Tabuleiro</v>
          </cell>
          <cell r="B5362">
            <v>303092</v>
          </cell>
          <cell r="C5362">
            <v>-21.363728089999999</v>
          </cell>
          <cell r="D5362">
            <v>-43.238424449999997</v>
          </cell>
        </row>
        <row r="5363">
          <cell r="A5363" t="str">
            <v>Tabuleiro do Norte</v>
          </cell>
          <cell r="B5363">
            <v>300746</v>
          </cell>
          <cell r="C5363">
            <v>-5.2439327990000004</v>
          </cell>
          <cell r="D5363">
            <v>-38.12848537</v>
          </cell>
        </row>
        <row r="5364">
          <cell r="A5364" t="str">
            <v>Tacaimbó</v>
          </cell>
          <cell r="B5364">
            <v>300601</v>
          </cell>
          <cell r="C5364">
            <v>-8.3169332909999998</v>
          </cell>
          <cell r="D5364">
            <v>-36.291872589999997</v>
          </cell>
        </row>
        <row r="5365">
          <cell r="A5365" t="str">
            <v>Tacaratu</v>
          </cell>
          <cell r="B5365">
            <v>301274</v>
          </cell>
          <cell r="C5365">
            <v>-9.103399391</v>
          </cell>
          <cell r="D5365">
            <v>-38.149809529999999</v>
          </cell>
        </row>
        <row r="5366">
          <cell r="A5366" t="str">
            <v>Taciba</v>
          </cell>
          <cell r="B5366">
            <v>304509</v>
          </cell>
          <cell r="C5366">
            <v>-22.38997857</v>
          </cell>
          <cell r="D5366">
            <v>-51.285008070000003</v>
          </cell>
        </row>
        <row r="5367">
          <cell r="A5367" t="str">
            <v>Tacima</v>
          </cell>
          <cell r="B5367">
            <v>305897</v>
          </cell>
          <cell r="C5367">
            <v>-6.4880000039999999</v>
          </cell>
          <cell r="D5367">
            <v>-35.637</v>
          </cell>
        </row>
        <row r="5368">
          <cell r="A5368" t="str">
            <v>Tacuaras</v>
          </cell>
          <cell r="B5368">
            <v>314398</v>
          </cell>
          <cell r="C5368">
            <v>-26.823541509999998</v>
          </cell>
          <cell r="D5368">
            <v>-57.957232689999998</v>
          </cell>
        </row>
        <row r="5369">
          <cell r="A5369" t="str">
            <v>Tacuarembó</v>
          </cell>
          <cell r="B5369">
            <v>314301</v>
          </cell>
          <cell r="C5369">
            <v>-31.70783187</v>
          </cell>
          <cell r="D5369">
            <v>-55.9815465</v>
          </cell>
        </row>
        <row r="5370">
          <cell r="A5370" t="str">
            <v>Tacuatí</v>
          </cell>
          <cell r="B5370">
            <v>314272</v>
          </cell>
          <cell r="C5370">
            <v>-23.448214960000001</v>
          </cell>
          <cell r="D5370">
            <v>-56.765685230000003</v>
          </cell>
        </row>
        <row r="5371">
          <cell r="A5371" t="str">
            <v>Tacuru</v>
          </cell>
          <cell r="B5371">
            <v>305236</v>
          </cell>
          <cell r="C5371">
            <v>-23.636410470000001</v>
          </cell>
          <cell r="D5371">
            <v>-55.014589059999999</v>
          </cell>
        </row>
        <row r="5372">
          <cell r="A5372" t="str">
            <v>Taguaí</v>
          </cell>
          <cell r="B5372">
            <v>304963</v>
          </cell>
          <cell r="C5372">
            <v>-23.451988270000001</v>
          </cell>
          <cell r="D5372">
            <v>-49.408948109999997</v>
          </cell>
        </row>
        <row r="5373">
          <cell r="A5373" t="str">
            <v>Taguatinga</v>
          </cell>
          <cell r="B5373">
            <v>302213</v>
          </cell>
          <cell r="C5373">
            <v>-12.398103750000001</v>
          </cell>
          <cell r="D5373">
            <v>-46.434633030000001</v>
          </cell>
        </row>
        <row r="5374">
          <cell r="A5374" t="str">
            <v>Taiaçu</v>
          </cell>
          <cell r="B5374">
            <v>303804</v>
          </cell>
          <cell r="C5374">
            <v>-21.143611230000001</v>
          </cell>
          <cell r="D5374">
            <v>-48.511607689999998</v>
          </cell>
        </row>
        <row r="5375">
          <cell r="A5375" t="str">
            <v>Tailândia</v>
          </cell>
          <cell r="B5375">
            <v>301946</v>
          </cell>
          <cell r="C5375">
            <v>-2.9462264899999999</v>
          </cell>
          <cell r="D5375">
            <v>-48.949253740000003</v>
          </cell>
        </row>
        <row r="5376">
          <cell r="A5376" t="str">
            <v>Taió</v>
          </cell>
          <cell r="B5376">
            <v>304616</v>
          </cell>
          <cell r="C5376">
            <v>-27.12147989</v>
          </cell>
          <cell r="D5376">
            <v>-49.99461788</v>
          </cell>
        </row>
        <row r="5377">
          <cell r="A5377" t="str">
            <v>Taiobeiras</v>
          </cell>
          <cell r="B5377">
            <v>302131</v>
          </cell>
          <cell r="C5377">
            <v>-15.811078269999999</v>
          </cell>
          <cell r="D5377">
            <v>-42.22629465</v>
          </cell>
        </row>
        <row r="5378">
          <cell r="A5378" t="str">
            <v>Taipas do Tocantins</v>
          </cell>
          <cell r="B5378">
            <v>302217</v>
          </cell>
          <cell r="C5378">
            <v>-12.19218279</v>
          </cell>
          <cell r="D5378">
            <v>-46.99144459</v>
          </cell>
        </row>
        <row r="5379">
          <cell r="A5379" t="str">
            <v>Taipu</v>
          </cell>
          <cell r="B5379">
            <v>302312</v>
          </cell>
          <cell r="C5379">
            <v>-5.6253878879999997</v>
          </cell>
          <cell r="D5379">
            <v>-35.598755619999999</v>
          </cell>
        </row>
        <row r="5380">
          <cell r="A5380" t="str">
            <v>Taiúva</v>
          </cell>
          <cell r="B5380">
            <v>303801</v>
          </cell>
          <cell r="C5380">
            <v>-21.12399138</v>
          </cell>
          <cell r="D5380">
            <v>-48.451950420000003</v>
          </cell>
        </row>
        <row r="5381">
          <cell r="A5381" t="str">
            <v>Talismã</v>
          </cell>
          <cell r="B5381">
            <v>302459</v>
          </cell>
          <cell r="C5381">
            <v>-12.80448316</v>
          </cell>
          <cell r="D5381">
            <v>-49.093049149999999</v>
          </cell>
        </row>
        <row r="5382">
          <cell r="A5382" t="str">
            <v>Tamandaré</v>
          </cell>
          <cell r="B5382">
            <v>301079</v>
          </cell>
          <cell r="C5382">
            <v>-8.7570757520000004</v>
          </cell>
          <cell r="D5382">
            <v>-35.103575460000002</v>
          </cell>
        </row>
        <row r="5383">
          <cell r="A5383" t="str">
            <v>Tamarana</v>
          </cell>
          <cell r="B5383">
            <v>304741</v>
          </cell>
          <cell r="C5383">
            <v>-23.7208328</v>
          </cell>
          <cell r="D5383">
            <v>-51.099482860000002</v>
          </cell>
        </row>
        <row r="5384">
          <cell r="A5384" t="str">
            <v>Tambaú</v>
          </cell>
          <cell r="B5384">
            <v>303661</v>
          </cell>
          <cell r="C5384">
            <v>-21.703391969999998</v>
          </cell>
          <cell r="D5384">
            <v>-47.270742079999998</v>
          </cell>
        </row>
        <row r="5385">
          <cell r="A5385" t="str">
            <v>Tamboara</v>
          </cell>
          <cell r="B5385">
            <v>304862</v>
          </cell>
          <cell r="C5385">
            <v>-23.20402073</v>
          </cell>
          <cell r="D5385">
            <v>-52.474707649999999</v>
          </cell>
        </row>
        <row r="5386">
          <cell r="A5386" t="str">
            <v>Tamboril</v>
          </cell>
          <cell r="B5386">
            <v>300861</v>
          </cell>
          <cell r="C5386">
            <v>-4.8317661420000002</v>
          </cell>
          <cell r="D5386">
            <v>-40.319918620000003</v>
          </cell>
        </row>
        <row r="5387">
          <cell r="A5387" t="str">
            <v>Tamboril do Piauí</v>
          </cell>
          <cell r="B5387">
            <v>302048</v>
          </cell>
          <cell r="C5387">
            <v>-8.3995513420000005</v>
          </cell>
          <cell r="D5387">
            <v>-42.912322949999997</v>
          </cell>
        </row>
        <row r="5388">
          <cell r="A5388" t="str">
            <v>Tanabi</v>
          </cell>
          <cell r="B5388">
            <v>303429</v>
          </cell>
          <cell r="C5388">
            <v>-20.623252879999999</v>
          </cell>
          <cell r="D5388">
            <v>-49.656729599999998</v>
          </cell>
        </row>
        <row r="5389">
          <cell r="A5389" t="str">
            <v>Tangará</v>
          </cell>
          <cell r="B5389">
            <v>300512</v>
          </cell>
          <cell r="C5389">
            <v>-6.1976040010000002</v>
          </cell>
          <cell r="D5389">
            <v>-35.800295890000001</v>
          </cell>
        </row>
        <row r="5390">
          <cell r="A5390" t="str">
            <v>Tangará</v>
          </cell>
          <cell r="B5390">
            <v>305082</v>
          </cell>
          <cell r="C5390">
            <v>-27.100050939999999</v>
          </cell>
          <cell r="D5390">
            <v>-51.247694940000002</v>
          </cell>
        </row>
        <row r="5391">
          <cell r="A5391" t="str">
            <v>Tangará da Serra</v>
          </cell>
          <cell r="B5391">
            <v>304240</v>
          </cell>
          <cell r="C5391">
            <v>-14.623337749999999</v>
          </cell>
          <cell r="D5391">
            <v>-57.49371919</v>
          </cell>
        </row>
        <row r="5392">
          <cell r="A5392" t="str">
            <v>Tanguá</v>
          </cell>
          <cell r="B5392">
            <v>303080</v>
          </cell>
          <cell r="C5392">
            <v>-22.742791180000001</v>
          </cell>
          <cell r="D5392">
            <v>-42.720558320000002</v>
          </cell>
        </row>
        <row r="5393">
          <cell r="A5393" t="str">
            <v>Tanhaçu</v>
          </cell>
          <cell r="B5393">
            <v>301585</v>
          </cell>
          <cell r="C5393">
            <v>-14.020114299999999</v>
          </cell>
          <cell r="D5393">
            <v>-41.247611929999998</v>
          </cell>
        </row>
        <row r="5394">
          <cell r="A5394" t="str">
            <v>Tanque d'Arca</v>
          </cell>
          <cell r="B5394">
            <v>301158</v>
          </cell>
          <cell r="C5394">
            <v>-9.5347819119999997</v>
          </cell>
          <cell r="D5394">
            <v>-36.433359529999997</v>
          </cell>
        </row>
        <row r="5395">
          <cell r="A5395" t="str">
            <v>Tanque do Piauí</v>
          </cell>
          <cell r="B5395">
            <v>301805</v>
          </cell>
          <cell r="C5395">
            <v>-6.5982810340000002</v>
          </cell>
          <cell r="D5395">
            <v>-42.279854640000003</v>
          </cell>
        </row>
        <row r="5396">
          <cell r="A5396" t="str">
            <v>Tanque Novo</v>
          </cell>
          <cell r="B5396">
            <v>302144</v>
          </cell>
          <cell r="C5396">
            <v>-13.547598539999999</v>
          </cell>
          <cell r="D5396">
            <v>-42.490800800000002</v>
          </cell>
        </row>
        <row r="5397">
          <cell r="A5397" t="str">
            <v>Tanquinho</v>
          </cell>
          <cell r="B5397">
            <v>301412</v>
          </cell>
          <cell r="C5397">
            <v>-11.97506323</v>
          </cell>
          <cell r="D5397">
            <v>-39.104823119999999</v>
          </cell>
        </row>
        <row r="5398">
          <cell r="A5398" t="str">
            <v>Taparuba</v>
          </cell>
          <cell r="B5398">
            <v>302542</v>
          </cell>
          <cell r="C5398">
            <v>-19.76255634</v>
          </cell>
          <cell r="D5398">
            <v>-41.608335019999998</v>
          </cell>
        </row>
        <row r="5399">
          <cell r="A5399" t="str">
            <v>Tapauá</v>
          </cell>
          <cell r="B5399">
            <v>304265</v>
          </cell>
          <cell r="C5399">
            <v>-5.6212464950000003</v>
          </cell>
          <cell r="D5399">
            <v>-63.18125508</v>
          </cell>
        </row>
        <row r="5400">
          <cell r="A5400" t="str">
            <v>Tapejara</v>
          </cell>
          <cell r="B5400">
            <v>305163</v>
          </cell>
          <cell r="C5400">
            <v>-28.065711310000001</v>
          </cell>
          <cell r="D5400">
            <v>-52.010115720000002</v>
          </cell>
        </row>
        <row r="5401">
          <cell r="A5401" t="str">
            <v>Tapejara</v>
          </cell>
          <cell r="B5401">
            <v>305523</v>
          </cell>
          <cell r="C5401">
            <v>-23.731924849999999</v>
          </cell>
          <cell r="D5401">
            <v>-52.8739268</v>
          </cell>
        </row>
        <row r="5402">
          <cell r="A5402" t="str">
            <v>Tapera</v>
          </cell>
          <cell r="B5402">
            <v>305392</v>
          </cell>
          <cell r="C5402">
            <v>-28.625982270000002</v>
          </cell>
          <cell r="D5402">
            <v>-52.869940329999999</v>
          </cell>
        </row>
        <row r="5403">
          <cell r="A5403" t="str">
            <v>Taperoá</v>
          </cell>
          <cell r="B5403">
            <v>301539</v>
          </cell>
          <cell r="C5403">
            <v>-13.539157810000001</v>
          </cell>
          <cell r="D5403">
            <v>-39.100498520000002</v>
          </cell>
        </row>
        <row r="5404">
          <cell r="A5404" t="str">
            <v>Taperoá</v>
          </cell>
          <cell r="B5404">
            <v>300769</v>
          </cell>
          <cell r="C5404">
            <v>-7.2067129039999998</v>
          </cell>
          <cell r="D5404">
            <v>-36.82480108</v>
          </cell>
        </row>
        <row r="5405">
          <cell r="A5405" t="str">
            <v>Tapes</v>
          </cell>
          <cell r="B5405">
            <v>305517</v>
          </cell>
          <cell r="C5405">
            <v>-30.668788599999999</v>
          </cell>
          <cell r="D5405">
            <v>-51.399598320000003</v>
          </cell>
        </row>
        <row r="5406">
          <cell r="A5406" t="str">
            <v>Tapira</v>
          </cell>
          <cell r="B5406">
            <v>303317</v>
          </cell>
          <cell r="C5406">
            <v>-19.923102459999999</v>
          </cell>
          <cell r="D5406">
            <v>-46.822200189999997</v>
          </cell>
        </row>
        <row r="5407">
          <cell r="A5407" t="str">
            <v>Tapira</v>
          </cell>
          <cell r="B5407">
            <v>305525</v>
          </cell>
          <cell r="C5407">
            <v>-23.319804340000001</v>
          </cell>
          <cell r="D5407">
            <v>-53.068885600000002</v>
          </cell>
        </row>
        <row r="5408">
          <cell r="A5408" t="str">
            <v>Tapiraí</v>
          </cell>
          <cell r="B5408">
            <v>303018</v>
          </cell>
          <cell r="C5408">
            <v>-19.887987030000001</v>
          </cell>
          <cell r="D5408">
            <v>-46.020391539999999</v>
          </cell>
        </row>
        <row r="5409">
          <cell r="A5409" t="str">
            <v>Tapiraí</v>
          </cell>
          <cell r="B5409">
            <v>303771</v>
          </cell>
          <cell r="C5409">
            <v>-23.961635179999998</v>
          </cell>
          <cell r="D5409">
            <v>-47.50665429</v>
          </cell>
        </row>
        <row r="5410">
          <cell r="A5410" t="str">
            <v>Tapiramutá</v>
          </cell>
          <cell r="B5410">
            <v>301463</v>
          </cell>
          <cell r="C5410">
            <v>-11.84792189</v>
          </cell>
          <cell r="D5410">
            <v>-40.792990809999999</v>
          </cell>
        </row>
        <row r="5411">
          <cell r="A5411" t="str">
            <v>Tapiratiba</v>
          </cell>
          <cell r="B5411">
            <v>303514</v>
          </cell>
          <cell r="C5411">
            <v>-21.471796470000001</v>
          </cell>
          <cell r="D5411">
            <v>-46.745218940000001</v>
          </cell>
        </row>
        <row r="5412">
          <cell r="A5412" t="str">
            <v>Tapurah</v>
          </cell>
          <cell r="B5412">
            <v>304233</v>
          </cell>
          <cell r="C5412">
            <v>-12.73765597</v>
          </cell>
          <cell r="D5412">
            <v>-56.514257309999998</v>
          </cell>
        </row>
        <row r="5413">
          <cell r="A5413" t="str">
            <v>Taquara</v>
          </cell>
          <cell r="B5413">
            <v>305462</v>
          </cell>
          <cell r="C5413">
            <v>-29.650952159999999</v>
          </cell>
          <cell r="D5413">
            <v>-50.775727519999997</v>
          </cell>
        </row>
        <row r="5414">
          <cell r="A5414" t="str">
            <v>Taquaraçu de Minas</v>
          </cell>
          <cell r="B5414">
            <v>302820</v>
          </cell>
          <cell r="C5414">
            <v>-19.665658759999999</v>
          </cell>
          <cell r="D5414">
            <v>-43.692594579999998</v>
          </cell>
        </row>
        <row r="5415">
          <cell r="A5415" t="str">
            <v>Taquaral</v>
          </cell>
          <cell r="B5415">
            <v>303800</v>
          </cell>
          <cell r="C5415">
            <v>-21.074197250000001</v>
          </cell>
          <cell r="D5415">
            <v>-48.412956860000001</v>
          </cell>
        </row>
        <row r="5416">
          <cell r="A5416" t="str">
            <v>Taquaral de Goiás</v>
          </cell>
          <cell r="B5416">
            <v>304891</v>
          </cell>
          <cell r="C5416">
            <v>-16.05500301</v>
          </cell>
          <cell r="D5416">
            <v>-49.60253033</v>
          </cell>
        </row>
        <row r="5417">
          <cell r="A5417" t="str">
            <v>Taquarana</v>
          </cell>
          <cell r="B5417">
            <v>301163</v>
          </cell>
          <cell r="C5417">
            <v>-9.6457239930000007</v>
          </cell>
          <cell r="D5417">
            <v>-36.49314554</v>
          </cell>
        </row>
        <row r="5418">
          <cell r="A5418" t="str">
            <v>Taquari</v>
          </cell>
          <cell r="B5418">
            <v>305776</v>
          </cell>
          <cell r="C5418">
            <v>-29.79480766</v>
          </cell>
          <cell r="D5418">
            <v>-51.865803329999999</v>
          </cell>
        </row>
        <row r="5419">
          <cell r="A5419" t="str">
            <v>Taquaritinga</v>
          </cell>
          <cell r="B5419">
            <v>303808</v>
          </cell>
          <cell r="C5419">
            <v>-21.405329049999999</v>
          </cell>
          <cell r="D5419">
            <v>-48.510750399999999</v>
          </cell>
        </row>
        <row r="5420">
          <cell r="A5420" t="str">
            <v>Taquaritinga do Norte</v>
          </cell>
          <cell r="B5420">
            <v>300588</v>
          </cell>
          <cell r="C5420">
            <v>-7.8980130800000001</v>
          </cell>
          <cell r="D5420">
            <v>-36.049725119999998</v>
          </cell>
        </row>
        <row r="5421">
          <cell r="A5421" t="str">
            <v>Taquarituba</v>
          </cell>
          <cell r="B5421">
            <v>303950</v>
          </cell>
          <cell r="C5421">
            <v>-23.532988100000001</v>
          </cell>
          <cell r="D5421">
            <v>-49.243948330000002</v>
          </cell>
        </row>
        <row r="5422">
          <cell r="A5422" t="str">
            <v>Taquarivaí</v>
          </cell>
          <cell r="B5422">
            <v>304664</v>
          </cell>
          <cell r="C5422">
            <v>-23.921590900000002</v>
          </cell>
          <cell r="D5422">
            <v>-48.69518308</v>
          </cell>
        </row>
        <row r="5423">
          <cell r="A5423" t="str">
            <v>Taquaruçu do Sul</v>
          </cell>
          <cell r="B5423">
            <v>305682</v>
          </cell>
          <cell r="C5423">
            <v>-27.400920360000001</v>
          </cell>
          <cell r="D5423">
            <v>-53.470707099999998</v>
          </cell>
        </row>
        <row r="5424">
          <cell r="A5424" t="str">
            <v>Taquarussu</v>
          </cell>
          <cell r="B5424">
            <v>304851</v>
          </cell>
          <cell r="C5424">
            <v>-22.488006030000001</v>
          </cell>
          <cell r="D5424">
            <v>-53.351267120000003</v>
          </cell>
        </row>
        <row r="5425">
          <cell r="A5425" t="str">
            <v>Tarabai</v>
          </cell>
          <cell r="B5425">
            <v>304689</v>
          </cell>
          <cell r="C5425">
            <v>-22.302074910000002</v>
          </cell>
          <cell r="D5425">
            <v>-51.562560259999998</v>
          </cell>
        </row>
        <row r="5426">
          <cell r="A5426" t="str">
            <v>Tarapoto</v>
          </cell>
          <cell r="B5426">
            <v>314491</v>
          </cell>
          <cell r="C5426">
            <v>-6.5142399119999999</v>
          </cell>
          <cell r="D5426">
            <v>-76.374204710000001</v>
          </cell>
        </row>
        <row r="5427">
          <cell r="A5427" t="str">
            <v>Tarauacá</v>
          </cell>
          <cell r="B5427">
            <v>305892</v>
          </cell>
          <cell r="C5427">
            <v>-8.1573657520000005</v>
          </cell>
          <cell r="D5427">
            <v>-70.772639400000003</v>
          </cell>
        </row>
        <row r="5428">
          <cell r="A5428" t="str">
            <v>Tarma</v>
          </cell>
          <cell r="B5428">
            <v>314407</v>
          </cell>
          <cell r="C5428">
            <v>-11.4218232</v>
          </cell>
          <cell r="D5428">
            <v>-75.679507819999998</v>
          </cell>
        </row>
        <row r="5429">
          <cell r="A5429" t="str">
            <v>Tarrafas</v>
          </cell>
          <cell r="B5429">
            <v>301181</v>
          </cell>
          <cell r="C5429">
            <v>-6.6831713150000001</v>
          </cell>
          <cell r="D5429">
            <v>-39.757503370000002</v>
          </cell>
        </row>
        <row r="5430">
          <cell r="A5430" t="str">
            <v>Tartarugalzinho</v>
          </cell>
          <cell r="B5430">
            <v>305870</v>
          </cell>
          <cell r="C5430">
            <v>1.5061567870000001</v>
          </cell>
          <cell r="D5430">
            <v>-50.909131889999998</v>
          </cell>
        </row>
        <row r="5431">
          <cell r="A5431" t="str">
            <v>Tarumã</v>
          </cell>
          <cell r="B5431">
            <v>304498</v>
          </cell>
          <cell r="C5431">
            <v>-22.743339679999998</v>
          </cell>
          <cell r="D5431">
            <v>-50.5790425</v>
          </cell>
        </row>
        <row r="5432">
          <cell r="A5432" t="str">
            <v>Tarumirim</v>
          </cell>
          <cell r="B5432">
            <v>302727</v>
          </cell>
          <cell r="C5432">
            <v>-19.278790180000001</v>
          </cell>
          <cell r="D5432">
            <v>-42.01193284</v>
          </cell>
        </row>
        <row r="5433">
          <cell r="A5433" t="str">
            <v>Tasso Fragoso</v>
          </cell>
          <cell r="B5433">
            <v>302072</v>
          </cell>
          <cell r="C5433">
            <v>-8.4737183330000008</v>
          </cell>
          <cell r="D5433">
            <v>-45.747890060000003</v>
          </cell>
        </row>
        <row r="5434">
          <cell r="A5434" t="str">
            <v>Tatuí</v>
          </cell>
          <cell r="B5434">
            <v>303778</v>
          </cell>
          <cell r="C5434">
            <v>-23.349206540000001</v>
          </cell>
          <cell r="D5434">
            <v>-47.846526679999997</v>
          </cell>
        </row>
        <row r="5435">
          <cell r="A5435" t="str">
            <v>Tauá</v>
          </cell>
          <cell r="B5435">
            <v>300881</v>
          </cell>
          <cell r="C5435">
            <v>-5.9862622239999999</v>
          </cell>
          <cell r="D5435">
            <v>-40.29712808</v>
          </cell>
        </row>
        <row r="5436">
          <cell r="A5436" t="str">
            <v>Taubaté</v>
          </cell>
          <cell r="B5436">
            <v>303464</v>
          </cell>
          <cell r="C5436">
            <v>-23.0108943</v>
          </cell>
          <cell r="D5436">
            <v>-45.559650150000003</v>
          </cell>
        </row>
        <row r="5437">
          <cell r="A5437" t="str">
            <v>Tavares</v>
          </cell>
          <cell r="B5437">
            <v>300812</v>
          </cell>
          <cell r="C5437">
            <v>-7.6273917710000001</v>
          </cell>
          <cell r="D5437">
            <v>-37.871517969999999</v>
          </cell>
        </row>
        <row r="5438">
          <cell r="A5438" t="str">
            <v>Tavares</v>
          </cell>
          <cell r="B5438">
            <v>305504</v>
          </cell>
          <cell r="C5438">
            <v>-31.28692071</v>
          </cell>
          <cell r="D5438">
            <v>-51.093942990000002</v>
          </cell>
        </row>
        <row r="5439">
          <cell r="A5439" t="str">
            <v>Tayabamba</v>
          </cell>
          <cell r="B5439">
            <v>314502</v>
          </cell>
          <cell r="C5439">
            <v>-8.2781419360000008</v>
          </cell>
          <cell r="D5439">
            <v>-77.276134690000006</v>
          </cell>
        </row>
        <row r="5440">
          <cell r="A5440" t="str">
            <v>Tayaí</v>
          </cell>
          <cell r="B5440">
            <v>314317</v>
          </cell>
          <cell r="C5440">
            <v>-26.151710749999999</v>
          </cell>
          <cell r="D5440">
            <v>-55.470669970000003</v>
          </cell>
        </row>
        <row r="5441">
          <cell r="A5441" t="str">
            <v>Tefé</v>
          </cell>
          <cell r="B5441">
            <v>304252</v>
          </cell>
          <cell r="C5441">
            <v>-3.3686019229999999</v>
          </cell>
          <cell r="D5441">
            <v>-64.719802950000002</v>
          </cell>
        </row>
        <row r="5442">
          <cell r="A5442" t="str">
            <v>Teixeira</v>
          </cell>
          <cell r="B5442">
            <v>300617</v>
          </cell>
          <cell r="C5442">
            <v>-7.2214547109999998</v>
          </cell>
          <cell r="D5442">
            <v>-37.252782209999999</v>
          </cell>
        </row>
        <row r="5443">
          <cell r="A5443" t="str">
            <v>Teixeira de Freitas</v>
          </cell>
          <cell r="B5443">
            <v>302416</v>
          </cell>
          <cell r="C5443">
            <v>-17.54038624</v>
          </cell>
          <cell r="D5443">
            <v>-39.74029797</v>
          </cell>
        </row>
        <row r="5444">
          <cell r="A5444" t="str">
            <v>Teixeira Soares</v>
          </cell>
          <cell r="B5444">
            <v>305243</v>
          </cell>
          <cell r="C5444">
            <v>-25.3705736</v>
          </cell>
          <cell r="D5444">
            <v>-50.457502409999996</v>
          </cell>
        </row>
        <row r="5445">
          <cell r="A5445" t="str">
            <v>Teixeiras</v>
          </cell>
          <cell r="B5445">
            <v>302755</v>
          </cell>
          <cell r="C5445">
            <v>-20.656561279999998</v>
          </cell>
          <cell r="D5445">
            <v>-42.856760010000002</v>
          </cell>
        </row>
        <row r="5446">
          <cell r="A5446" t="str">
            <v>Teixeirópolis</v>
          </cell>
          <cell r="B5446">
            <v>304294</v>
          </cell>
          <cell r="C5446">
            <v>-10.933671240000001</v>
          </cell>
          <cell r="D5446">
            <v>-62.256231659999997</v>
          </cell>
        </row>
        <row r="5447">
          <cell r="A5447" t="str">
            <v>Tejuçuoca</v>
          </cell>
          <cell r="B5447">
            <v>300694</v>
          </cell>
          <cell r="C5447">
            <v>-3.9887041660000002</v>
          </cell>
          <cell r="D5447">
            <v>-39.580186099999999</v>
          </cell>
        </row>
        <row r="5448">
          <cell r="A5448" t="str">
            <v>Tejupá</v>
          </cell>
          <cell r="B5448">
            <v>304962</v>
          </cell>
          <cell r="C5448">
            <v>-23.342988420000001</v>
          </cell>
          <cell r="D5448">
            <v>-49.375948200000003</v>
          </cell>
        </row>
        <row r="5449">
          <cell r="A5449" t="str">
            <v>Telêmaco Borba</v>
          </cell>
          <cell r="B5449">
            <v>304747</v>
          </cell>
          <cell r="C5449">
            <v>-24.324990639999999</v>
          </cell>
          <cell r="D5449">
            <v>-50.618012829999998</v>
          </cell>
        </row>
        <row r="5450">
          <cell r="A5450" t="str">
            <v>Telha</v>
          </cell>
          <cell r="B5450">
            <v>302361</v>
          </cell>
          <cell r="C5450">
            <v>-10.20686094</v>
          </cell>
          <cell r="D5450">
            <v>-36.882082920000002</v>
          </cell>
        </row>
        <row r="5451">
          <cell r="A5451" t="str">
            <v>Tenente Ananias</v>
          </cell>
          <cell r="B5451">
            <v>300935</v>
          </cell>
          <cell r="C5451">
            <v>-6.4586423929999999</v>
          </cell>
          <cell r="D5451">
            <v>-38.182292429999997</v>
          </cell>
        </row>
        <row r="5452">
          <cell r="A5452" t="str">
            <v>Tenente Laurentino Cruz</v>
          </cell>
          <cell r="B5452">
            <v>300545</v>
          </cell>
          <cell r="C5452">
            <v>-6.1480656949999997</v>
          </cell>
          <cell r="D5452">
            <v>-36.717404510000001</v>
          </cell>
        </row>
        <row r="5453">
          <cell r="A5453" t="str">
            <v>Tenente Portela</v>
          </cell>
          <cell r="B5453">
            <v>305417</v>
          </cell>
          <cell r="C5453">
            <v>-27.37152536</v>
          </cell>
          <cell r="D5453">
            <v>-53.758942730000001</v>
          </cell>
        </row>
        <row r="5454">
          <cell r="A5454" t="str">
            <v>Tenório</v>
          </cell>
          <cell r="B5454">
            <v>300652</v>
          </cell>
          <cell r="C5454">
            <v>-6.9389633579999996</v>
          </cell>
          <cell r="D5454">
            <v>-36.627636459999998</v>
          </cell>
        </row>
        <row r="5455">
          <cell r="A5455" t="str">
            <v>Teodoro Sampaio</v>
          </cell>
          <cell r="B5455">
            <v>301385</v>
          </cell>
          <cell r="C5455">
            <v>-12.302576439999999</v>
          </cell>
          <cell r="D5455">
            <v>-38.640162940000003</v>
          </cell>
        </row>
        <row r="5456">
          <cell r="A5456" t="str">
            <v>Teodoro Sampaio</v>
          </cell>
          <cell r="B5456">
            <v>304706</v>
          </cell>
          <cell r="C5456">
            <v>-22.53039789</v>
          </cell>
          <cell r="D5456">
            <v>-52.168606660000002</v>
          </cell>
        </row>
        <row r="5457">
          <cell r="A5457" t="str">
            <v>Teofilândia</v>
          </cell>
          <cell r="B5457">
            <v>301394</v>
          </cell>
          <cell r="C5457">
            <v>-11.479028169999999</v>
          </cell>
          <cell r="D5457">
            <v>-38.997128109999998</v>
          </cell>
        </row>
        <row r="5458">
          <cell r="A5458" t="str">
            <v>Teófilo Otoni</v>
          </cell>
          <cell r="B5458">
            <v>302873</v>
          </cell>
          <cell r="C5458">
            <v>-17.86000357</v>
          </cell>
          <cell r="D5458">
            <v>-41.509066349999998</v>
          </cell>
        </row>
        <row r="5459">
          <cell r="A5459" t="str">
            <v>Teolândia</v>
          </cell>
          <cell r="B5459">
            <v>301733</v>
          </cell>
          <cell r="C5459">
            <v>-13.592413240000001</v>
          </cell>
          <cell r="D5459">
            <v>-39.488752220000002</v>
          </cell>
        </row>
        <row r="5460">
          <cell r="A5460" t="str">
            <v>Teotônio Vilela</v>
          </cell>
          <cell r="B5460">
            <v>301161</v>
          </cell>
          <cell r="C5460">
            <v>-9.916997727</v>
          </cell>
          <cell r="D5460">
            <v>-36.34951272</v>
          </cell>
        </row>
        <row r="5461">
          <cell r="A5461" t="str">
            <v>Terenos</v>
          </cell>
          <cell r="B5461">
            <v>305596</v>
          </cell>
          <cell r="C5461">
            <v>-20.438294559999999</v>
          </cell>
          <cell r="D5461">
            <v>-54.865183180000002</v>
          </cell>
        </row>
        <row r="5462">
          <cell r="A5462" t="str">
            <v>Teresina</v>
          </cell>
          <cell r="B5462">
            <v>295772</v>
          </cell>
          <cell r="C5462">
            <v>-5.0927489259999996</v>
          </cell>
          <cell r="D5462">
            <v>-42.80404936</v>
          </cell>
        </row>
        <row r="5463">
          <cell r="A5463" t="str">
            <v>Teresina de Goiás</v>
          </cell>
          <cell r="B5463">
            <v>302299</v>
          </cell>
          <cell r="C5463">
            <v>-13.780498290000001</v>
          </cell>
          <cell r="D5463">
            <v>-47.266276900000001</v>
          </cell>
        </row>
        <row r="5464">
          <cell r="A5464" t="str">
            <v>Teresópolis</v>
          </cell>
          <cell r="B5464">
            <v>303077</v>
          </cell>
          <cell r="C5464">
            <v>-22.41694845</v>
          </cell>
          <cell r="D5464">
            <v>-42.975560289999997</v>
          </cell>
        </row>
        <row r="5465">
          <cell r="A5465" t="str">
            <v>Terezinha</v>
          </cell>
          <cell r="B5465">
            <v>301139</v>
          </cell>
          <cell r="C5465">
            <v>-9.0560359189999993</v>
          </cell>
          <cell r="D5465">
            <v>-36.624478259999997</v>
          </cell>
        </row>
        <row r="5466">
          <cell r="A5466" t="str">
            <v>Terezópolis de Goiás</v>
          </cell>
          <cell r="B5466">
            <v>302405</v>
          </cell>
          <cell r="C5466">
            <v>-16.394978680000001</v>
          </cell>
          <cell r="D5466">
            <v>-49.080092069999999</v>
          </cell>
        </row>
        <row r="5467">
          <cell r="A5467" t="str">
            <v>Terra Alta</v>
          </cell>
          <cell r="B5467">
            <v>301900</v>
          </cell>
          <cell r="C5467">
            <v>-1.037025133</v>
          </cell>
          <cell r="D5467">
            <v>-47.909419759999999</v>
          </cell>
        </row>
        <row r="5468">
          <cell r="A5468" t="str">
            <v>Terra Boa</v>
          </cell>
          <cell r="B5468">
            <v>305030</v>
          </cell>
          <cell r="C5468">
            <v>-23.76879314</v>
          </cell>
          <cell r="D5468">
            <v>-52.447439340000003</v>
          </cell>
        </row>
        <row r="5469">
          <cell r="A5469" t="str">
            <v>Terra de Areia</v>
          </cell>
          <cell r="B5469">
            <v>304134</v>
          </cell>
          <cell r="C5469">
            <v>-29.578682430000001</v>
          </cell>
          <cell r="D5469">
            <v>-50.064834449999999</v>
          </cell>
        </row>
        <row r="5470">
          <cell r="A5470" t="str">
            <v>Terra Nova</v>
          </cell>
          <cell r="B5470">
            <v>300869</v>
          </cell>
          <cell r="C5470">
            <v>-8.2286015549999991</v>
          </cell>
          <cell r="D5470">
            <v>-39.37894223</v>
          </cell>
        </row>
        <row r="5471">
          <cell r="A5471" t="str">
            <v>Terra Nova</v>
          </cell>
          <cell r="B5471">
            <v>301387</v>
          </cell>
          <cell r="C5471">
            <v>-12.40393128</v>
          </cell>
          <cell r="D5471">
            <v>-38.620324709999998</v>
          </cell>
        </row>
        <row r="5472">
          <cell r="A5472" t="str">
            <v>Terra Nova do Norte</v>
          </cell>
          <cell r="B5472">
            <v>304556</v>
          </cell>
          <cell r="C5472">
            <v>-10.51741779</v>
          </cell>
          <cell r="D5472">
            <v>-55.231422610000003</v>
          </cell>
        </row>
        <row r="5473">
          <cell r="A5473" t="str">
            <v>Terra Rica</v>
          </cell>
          <cell r="B5473">
            <v>304844</v>
          </cell>
          <cell r="C5473">
            <v>-22.726391970000002</v>
          </cell>
          <cell r="D5473">
            <v>-52.620294989999998</v>
          </cell>
        </row>
        <row r="5474">
          <cell r="A5474" t="str">
            <v>Terra Roxa</v>
          </cell>
          <cell r="B5474">
            <v>303624</v>
          </cell>
          <cell r="C5474">
            <v>-20.787481530000001</v>
          </cell>
          <cell r="D5474">
            <v>-48.331844570000001</v>
          </cell>
        </row>
        <row r="5475">
          <cell r="A5475" t="str">
            <v>Terra Roxa</v>
          </cell>
          <cell r="B5475">
            <v>305015</v>
          </cell>
          <cell r="C5475">
            <v>-24.157915240000001</v>
          </cell>
          <cell r="D5475">
            <v>-54.099264550000001</v>
          </cell>
        </row>
        <row r="5476">
          <cell r="A5476" t="str">
            <v>Terra Santa</v>
          </cell>
          <cell r="B5476">
            <v>304168</v>
          </cell>
          <cell r="C5476">
            <v>-2.104815871</v>
          </cell>
          <cell r="D5476">
            <v>-56.488075250000001</v>
          </cell>
        </row>
        <row r="5477">
          <cell r="A5477" t="str">
            <v>Tesouro</v>
          </cell>
          <cell r="B5477">
            <v>304537</v>
          </cell>
          <cell r="C5477">
            <v>-16.081589470000001</v>
          </cell>
          <cell r="D5477">
            <v>-53.554408410000001</v>
          </cell>
        </row>
        <row r="5478">
          <cell r="A5478" t="str">
            <v>Teutônia</v>
          </cell>
          <cell r="B5478">
            <v>305772</v>
          </cell>
          <cell r="C5478">
            <v>-29.44868233</v>
          </cell>
          <cell r="D5478">
            <v>-51.804830369999998</v>
          </cell>
        </row>
        <row r="5479">
          <cell r="A5479" t="str">
            <v>Theobroma</v>
          </cell>
          <cell r="B5479">
            <v>304277</v>
          </cell>
          <cell r="C5479">
            <v>-10.248746499999999</v>
          </cell>
          <cell r="D5479">
            <v>-62.35425223</v>
          </cell>
        </row>
        <row r="5480">
          <cell r="A5480" t="str">
            <v>Tianguá</v>
          </cell>
          <cell r="B5480">
            <v>300846</v>
          </cell>
          <cell r="C5480">
            <v>-3.7300399899999999</v>
          </cell>
          <cell r="D5480">
            <v>-40.992615790000002</v>
          </cell>
        </row>
        <row r="5481">
          <cell r="A5481" t="str">
            <v>Tibagi</v>
          </cell>
          <cell r="B5481">
            <v>304746</v>
          </cell>
          <cell r="C5481">
            <v>-24.50958941</v>
          </cell>
          <cell r="D5481">
            <v>-50.415723810000003</v>
          </cell>
        </row>
        <row r="5482">
          <cell r="A5482" t="str">
            <v>Tibau</v>
          </cell>
          <cell r="B5482">
            <v>300535</v>
          </cell>
          <cell r="C5482">
            <v>-4.8376956030000002</v>
          </cell>
          <cell r="D5482">
            <v>-37.2556619</v>
          </cell>
        </row>
        <row r="5483">
          <cell r="A5483" t="str">
            <v>Tibau do Sul</v>
          </cell>
          <cell r="B5483">
            <v>302306</v>
          </cell>
          <cell r="C5483">
            <v>-6.1873886970000003</v>
          </cell>
          <cell r="D5483">
            <v>-35.092088259999997</v>
          </cell>
        </row>
        <row r="5484">
          <cell r="A5484" t="str">
            <v>Tietê</v>
          </cell>
          <cell r="B5484">
            <v>303772</v>
          </cell>
          <cell r="C5484">
            <v>-23.110573179999999</v>
          </cell>
          <cell r="D5484">
            <v>-47.71678309</v>
          </cell>
        </row>
        <row r="5485">
          <cell r="A5485" t="str">
            <v>Tigrinhos</v>
          </cell>
          <cell r="B5485">
            <v>305537</v>
          </cell>
          <cell r="C5485">
            <v>-26.688078109999999</v>
          </cell>
          <cell r="D5485">
            <v>-53.154981290000002</v>
          </cell>
        </row>
        <row r="5486">
          <cell r="A5486" t="str">
            <v>Tijucas</v>
          </cell>
          <cell r="B5486">
            <v>304009</v>
          </cell>
          <cell r="C5486">
            <v>-27.235908309999999</v>
          </cell>
          <cell r="D5486">
            <v>-48.632646219999998</v>
          </cell>
        </row>
        <row r="5487">
          <cell r="A5487" t="str">
            <v>Tijucas do Sul</v>
          </cell>
          <cell r="B5487">
            <v>303994</v>
          </cell>
          <cell r="C5487">
            <v>-25.931532619999999</v>
          </cell>
          <cell r="D5487">
            <v>-49.195441170000002</v>
          </cell>
        </row>
        <row r="5488">
          <cell r="A5488" t="str">
            <v>Timbaúba</v>
          </cell>
          <cell r="B5488">
            <v>300480</v>
          </cell>
          <cell r="C5488">
            <v>-7.5104088649999996</v>
          </cell>
          <cell r="D5488">
            <v>-35.317196959999997</v>
          </cell>
        </row>
        <row r="5489">
          <cell r="A5489" t="str">
            <v>Timbaúba dos Batistas</v>
          </cell>
          <cell r="B5489">
            <v>300796</v>
          </cell>
          <cell r="C5489">
            <v>-6.4624653399999996</v>
          </cell>
          <cell r="D5489">
            <v>-37.273277159999999</v>
          </cell>
        </row>
        <row r="5490">
          <cell r="A5490" t="str">
            <v>Timbé do Sul</v>
          </cell>
          <cell r="B5490">
            <v>304124</v>
          </cell>
          <cell r="C5490">
            <v>-28.829231799999999</v>
          </cell>
          <cell r="D5490">
            <v>-49.842487740000003</v>
          </cell>
        </row>
        <row r="5491">
          <cell r="A5491" t="str">
            <v>Timbiras</v>
          </cell>
          <cell r="B5491">
            <v>302565</v>
          </cell>
          <cell r="C5491">
            <v>-4.2563679700000003</v>
          </cell>
          <cell r="D5491">
            <v>-43.932305739999997</v>
          </cell>
        </row>
        <row r="5492">
          <cell r="A5492" t="str">
            <v>Timbó</v>
          </cell>
          <cell r="B5492">
            <v>304026</v>
          </cell>
          <cell r="C5492">
            <v>-26.825120460000001</v>
          </cell>
          <cell r="D5492">
            <v>-49.269466940000001</v>
          </cell>
        </row>
        <row r="5493">
          <cell r="A5493" t="str">
            <v>Timbó Grande</v>
          </cell>
          <cell r="B5493">
            <v>305614</v>
          </cell>
          <cell r="C5493">
            <v>-26.613146759999999</v>
          </cell>
          <cell r="D5493">
            <v>-50.66115628</v>
          </cell>
        </row>
        <row r="5494">
          <cell r="A5494" t="str">
            <v>Timburi</v>
          </cell>
          <cell r="B5494">
            <v>304201</v>
          </cell>
          <cell r="C5494">
            <v>-23.20498869</v>
          </cell>
          <cell r="D5494">
            <v>-49.606947900000002</v>
          </cell>
        </row>
        <row r="5495">
          <cell r="A5495" t="str">
            <v>Timon</v>
          </cell>
          <cell r="B5495">
            <v>301781</v>
          </cell>
          <cell r="C5495">
            <v>-5.0980944800000003</v>
          </cell>
          <cell r="D5495">
            <v>-42.833262879999999</v>
          </cell>
        </row>
        <row r="5496">
          <cell r="A5496" t="str">
            <v>Timóteo</v>
          </cell>
          <cell r="B5496">
            <v>303557</v>
          </cell>
          <cell r="C5496">
            <v>-19.576418449999998</v>
          </cell>
          <cell r="D5496">
            <v>-42.648037100000003</v>
          </cell>
        </row>
        <row r="5497">
          <cell r="A5497" t="str">
            <v>Tingo Maria</v>
          </cell>
          <cell r="B5497">
            <v>314371</v>
          </cell>
          <cell r="C5497">
            <v>-9.2848456739999996</v>
          </cell>
          <cell r="D5497">
            <v>-75.990316149999998</v>
          </cell>
        </row>
        <row r="5498">
          <cell r="A5498" t="str">
            <v>Tio Hugo</v>
          </cell>
          <cell r="B5498">
            <v>300945</v>
          </cell>
          <cell r="C5498">
            <v>-28.571702349999999</v>
          </cell>
          <cell r="D5498">
            <v>-52.595963429999998</v>
          </cell>
        </row>
        <row r="5499">
          <cell r="A5499" t="str">
            <v>Tiradentes</v>
          </cell>
          <cell r="B5499">
            <v>304990</v>
          </cell>
          <cell r="C5499">
            <v>-21.110709109999998</v>
          </cell>
          <cell r="D5499">
            <v>-44.174796409999999</v>
          </cell>
        </row>
        <row r="5500">
          <cell r="A5500" t="str">
            <v>Tiradentes do Sul</v>
          </cell>
          <cell r="B5500">
            <v>305434</v>
          </cell>
          <cell r="C5500">
            <v>-27.402695349999998</v>
          </cell>
          <cell r="D5500">
            <v>-54.081827820000001</v>
          </cell>
        </row>
        <row r="5501">
          <cell r="A5501" t="str">
            <v>Tiros</v>
          </cell>
          <cell r="B5501">
            <v>303010</v>
          </cell>
          <cell r="C5501">
            <v>-19.004195580000001</v>
          </cell>
          <cell r="D5501">
            <v>-45.963030580000002</v>
          </cell>
        </row>
        <row r="5502">
          <cell r="A5502" t="str">
            <v>Tobatí</v>
          </cell>
          <cell r="B5502">
            <v>314469</v>
          </cell>
          <cell r="C5502">
            <v>-25.272176200000001</v>
          </cell>
          <cell r="D5502">
            <v>-57.07046957</v>
          </cell>
        </row>
        <row r="5503">
          <cell r="A5503" t="str">
            <v>Tobias Barreto</v>
          </cell>
          <cell r="B5503">
            <v>301305</v>
          </cell>
          <cell r="C5503">
            <v>-11.18024039</v>
          </cell>
          <cell r="D5503">
            <v>-37.999765080000003</v>
          </cell>
        </row>
        <row r="5504">
          <cell r="A5504" t="str">
            <v>Tocantínia</v>
          </cell>
          <cell r="B5504">
            <v>302236</v>
          </cell>
          <cell r="C5504">
            <v>-9.5636197759999995</v>
          </cell>
          <cell r="D5504">
            <v>-48.374486060000002</v>
          </cell>
        </row>
        <row r="5505">
          <cell r="A5505" t="str">
            <v>Tocantinópolis</v>
          </cell>
          <cell r="B5505">
            <v>301998</v>
          </cell>
          <cell r="C5505">
            <v>-6.3248804659999998</v>
          </cell>
          <cell r="D5505">
            <v>-47.422773229999997</v>
          </cell>
        </row>
        <row r="5506">
          <cell r="A5506" t="str">
            <v>Tocantins</v>
          </cell>
          <cell r="B5506">
            <v>303085</v>
          </cell>
          <cell r="C5506">
            <v>-21.177890900000001</v>
          </cell>
          <cell r="D5506">
            <v>-43.013069389999998</v>
          </cell>
        </row>
        <row r="5507">
          <cell r="A5507" t="str">
            <v>Tocos do Moji</v>
          </cell>
          <cell r="B5507">
            <v>303269</v>
          </cell>
          <cell r="C5507">
            <v>-22.370273940000001</v>
          </cell>
          <cell r="D5507">
            <v>-46.097459030000003</v>
          </cell>
        </row>
        <row r="5508">
          <cell r="A5508" t="str">
            <v>Toledo</v>
          </cell>
          <cell r="B5508">
            <v>305010</v>
          </cell>
          <cell r="C5508">
            <v>-24.725103470000001</v>
          </cell>
          <cell r="D5508">
            <v>-53.74162544</v>
          </cell>
        </row>
        <row r="5509">
          <cell r="A5509" t="str">
            <v>Toledo</v>
          </cell>
          <cell r="B5509">
            <v>303549</v>
          </cell>
          <cell r="C5509">
            <v>-22.74261044</v>
          </cell>
          <cell r="D5509">
            <v>-46.373166959999999</v>
          </cell>
        </row>
        <row r="5510">
          <cell r="A5510" t="str">
            <v>Tomar do Geru</v>
          </cell>
          <cell r="B5510">
            <v>301306</v>
          </cell>
          <cell r="C5510">
            <v>-11.369833610000001</v>
          </cell>
          <cell r="D5510">
            <v>-37.843651149999999</v>
          </cell>
        </row>
        <row r="5511">
          <cell r="A5511" t="str">
            <v>Tomazina</v>
          </cell>
          <cell r="B5511">
            <v>303964</v>
          </cell>
          <cell r="C5511">
            <v>-23.780091120000002</v>
          </cell>
          <cell r="D5511">
            <v>-49.950369780000003</v>
          </cell>
        </row>
        <row r="5512">
          <cell r="A5512" t="str">
            <v>Tombos</v>
          </cell>
          <cell r="B5512">
            <v>302914</v>
          </cell>
          <cell r="C5512">
            <v>-20.909109010000002</v>
          </cell>
          <cell r="D5512">
            <v>-42.023133639999998</v>
          </cell>
        </row>
        <row r="5513">
          <cell r="A5513" t="str">
            <v>Tomé-Açu</v>
          </cell>
          <cell r="B5513">
            <v>301922</v>
          </cell>
          <cell r="C5513">
            <v>-2.4184127960000001</v>
          </cell>
          <cell r="D5513">
            <v>-48.154475779999999</v>
          </cell>
        </row>
        <row r="5514">
          <cell r="A5514" t="str">
            <v>Tonantins</v>
          </cell>
          <cell r="B5514">
            <v>305832</v>
          </cell>
          <cell r="C5514">
            <v>-2.866204942</v>
          </cell>
          <cell r="D5514">
            <v>-67.792375250000006</v>
          </cell>
        </row>
        <row r="5515">
          <cell r="A5515" t="str">
            <v>Toritama</v>
          </cell>
          <cell r="B5515">
            <v>300589</v>
          </cell>
          <cell r="C5515">
            <v>-8.0041833059999998</v>
          </cell>
          <cell r="D5515">
            <v>-36.056873299999999</v>
          </cell>
        </row>
        <row r="5516">
          <cell r="A5516" t="str">
            <v>Torixoréu</v>
          </cell>
          <cell r="B5516">
            <v>304533</v>
          </cell>
          <cell r="C5516">
            <v>-16.201033290000002</v>
          </cell>
          <cell r="D5516">
            <v>-52.55751455</v>
          </cell>
        </row>
        <row r="5517">
          <cell r="A5517" t="str">
            <v>Toropi</v>
          </cell>
          <cell r="B5517">
            <v>305709</v>
          </cell>
          <cell r="C5517">
            <v>-29.478714950000001</v>
          </cell>
          <cell r="D5517">
            <v>-54.224868790000002</v>
          </cell>
        </row>
        <row r="5518">
          <cell r="A5518" t="str">
            <v>Torre de Pedra</v>
          </cell>
          <cell r="B5518">
            <v>303782</v>
          </cell>
          <cell r="C5518">
            <v>-23.246647329999998</v>
          </cell>
          <cell r="D5518">
            <v>-48.195915679999999</v>
          </cell>
        </row>
        <row r="5519">
          <cell r="A5519" t="str">
            <v>Torres</v>
          </cell>
          <cell r="B5519">
            <v>304123</v>
          </cell>
          <cell r="C5519">
            <v>-29.333922099999999</v>
          </cell>
          <cell r="D5519">
            <v>-49.73373016</v>
          </cell>
        </row>
        <row r="5520">
          <cell r="A5520" t="str">
            <v>Torrinha</v>
          </cell>
          <cell r="B5520">
            <v>303920</v>
          </cell>
          <cell r="C5520">
            <v>-22.42598937</v>
          </cell>
          <cell r="D5520">
            <v>-48.168950410000001</v>
          </cell>
        </row>
        <row r="5521">
          <cell r="A5521" t="str">
            <v>Touros</v>
          </cell>
          <cell r="B5521">
            <v>300415</v>
          </cell>
          <cell r="C5521">
            <v>-5.1993380580000004</v>
          </cell>
          <cell r="D5521">
            <v>-35.459725089999999</v>
          </cell>
        </row>
        <row r="5522">
          <cell r="A5522" t="str">
            <v>Trabiju</v>
          </cell>
          <cell r="B5522">
            <v>304590</v>
          </cell>
          <cell r="C5522">
            <v>-22.039253420000001</v>
          </cell>
          <cell r="D5522">
            <v>-48.334574029999999</v>
          </cell>
        </row>
        <row r="5523">
          <cell r="A5523" t="str">
            <v>Tracuateua</v>
          </cell>
          <cell r="B5523">
            <v>301887</v>
          </cell>
          <cell r="C5523">
            <v>-1.0784446050000001</v>
          </cell>
          <cell r="D5523">
            <v>-46.90259966</v>
          </cell>
        </row>
        <row r="5524">
          <cell r="A5524" t="str">
            <v>Tracunhaém</v>
          </cell>
          <cell r="B5524">
            <v>300483</v>
          </cell>
          <cell r="C5524">
            <v>-7.8032574759999997</v>
          </cell>
          <cell r="D5524">
            <v>-35.236337550000002</v>
          </cell>
        </row>
        <row r="5525">
          <cell r="A5525" t="str">
            <v>Traipu</v>
          </cell>
          <cell r="B5525">
            <v>302368</v>
          </cell>
          <cell r="C5525">
            <v>-9.9628317919999994</v>
          </cell>
          <cell r="D5525">
            <v>-37.00247195</v>
          </cell>
        </row>
        <row r="5526">
          <cell r="A5526" t="str">
            <v>Trairão</v>
          </cell>
          <cell r="B5526">
            <v>304182</v>
          </cell>
          <cell r="C5526">
            <v>-4.5738663500000003</v>
          </cell>
          <cell r="D5526">
            <v>-55.943279510000004</v>
          </cell>
        </row>
        <row r="5527">
          <cell r="A5527" t="str">
            <v>Trairi</v>
          </cell>
          <cell r="B5527">
            <v>302358</v>
          </cell>
          <cell r="C5527">
            <v>-3.2697156519999999</v>
          </cell>
          <cell r="D5527">
            <v>-39.268443660000003</v>
          </cell>
        </row>
        <row r="5528">
          <cell r="A5528" t="str">
            <v>Trajano de Morais</v>
          </cell>
          <cell r="B5528">
            <v>304413</v>
          </cell>
          <cell r="C5528">
            <v>-22.06314922</v>
          </cell>
          <cell r="D5528">
            <v>-42.071007829999999</v>
          </cell>
        </row>
        <row r="5529">
          <cell r="A5529" t="str">
            <v>Tramandaí</v>
          </cell>
          <cell r="B5529">
            <v>304140</v>
          </cell>
          <cell r="C5529">
            <v>-29.98462391</v>
          </cell>
          <cell r="D5529">
            <v>-50.13263371</v>
          </cell>
        </row>
        <row r="5530">
          <cell r="A5530" t="str">
            <v>Travesseiro</v>
          </cell>
          <cell r="B5530">
            <v>305222</v>
          </cell>
          <cell r="C5530">
            <v>-29.29813824</v>
          </cell>
          <cell r="D5530">
            <v>-52.053684310000001</v>
          </cell>
        </row>
        <row r="5531">
          <cell r="A5531" t="str">
            <v>Tremedal</v>
          </cell>
          <cell r="B5531">
            <v>301621</v>
          </cell>
          <cell r="C5531">
            <v>-14.97688389</v>
          </cell>
          <cell r="D5531">
            <v>-41.409017480000003</v>
          </cell>
        </row>
        <row r="5532">
          <cell r="A5532" t="str">
            <v>Tremembé</v>
          </cell>
          <cell r="B5532">
            <v>303463</v>
          </cell>
          <cell r="C5532">
            <v>-22.957620160000001</v>
          </cell>
          <cell r="D5532">
            <v>-45.547915920000001</v>
          </cell>
        </row>
        <row r="5533">
          <cell r="A5533" t="str">
            <v>Três Arroios</v>
          </cell>
          <cell r="B5533">
            <v>305667</v>
          </cell>
          <cell r="C5533">
            <v>-27.500745850000001</v>
          </cell>
          <cell r="D5533">
            <v>-52.145202249999997</v>
          </cell>
        </row>
        <row r="5534">
          <cell r="A5534" t="str">
            <v>Três Barras</v>
          </cell>
          <cell r="B5534">
            <v>304604</v>
          </cell>
          <cell r="C5534">
            <v>-26.106107690000002</v>
          </cell>
          <cell r="D5534">
            <v>-50.320124180000001</v>
          </cell>
        </row>
        <row r="5535">
          <cell r="A5535" t="str">
            <v>Três Barras do Paraná</v>
          </cell>
          <cell r="B5535">
            <v>305641</v>
          </cell>
          <cell r="C5535">
            <v>-25.418982570000001</v>
          </cell>
          <cell r="D5535">
            <v>-53.18379762</v>
          </cell>
        </row>
        <row r="5536">
          <cell r="A5536" t="str">
            <v>Três Cachoeiras</v>
          </cell>
          <cell r="B5536">
            <v>304132</v>
          </cell>
          <cell r="C5536">
            <v>-29.455969249999999</v>
          </cell>
          <cell r="D5536">
            <v>-49.923904640000003</v>
          </cell>
        </row>
        <row r="5537">
          <cell r="A5537" t="str">
            <v>Três Corações</v>
          </cell>
          <cell r="B5537">
            <v>303219</v>
          </cell>
          <cell r="C5537">
            <v>-21.692567700000001</v>
          </cell>
          <cell r="D5537">
            <v>-45.251501380000001</v>
          </cell>
        </row>
        <row r="5538">
          <cell r="A5538" t="str">
            <v>Três Coroas</v>
          </cell>
          <cell r="B5538">
            <v>305460</v>
          </cell>
          <cell r="C5538">
            <v>-29.514199940000001</v>
          </cell>
          <cell r="D5538">
            <v>-50.774317910000001</v>
          </cell>
        </row>
        <row r="5539">
          <cell r="A5539" t="str">
            <v>Três de Maio</v>
          </cell>
          <cell r="B5539">
            <v>305439</v>
          </cell>
          <cell r="C5539">
            <v>-27.78050344</v>
          </cell>
          <cell r="D5539">
            <v>-54.236172340000003</v>
          </cell>
        </row>
        <row r="5540">
          <cell r="A5540" t="str">
            <v>Três Forquilhas</v>
          </cell>
          <cell r="B5540">
            <v>304137</v>
          </cell>
          <cell r="C5540">
            <v>-29.536973369999998</v>
          </cell>
          <cell r="D5540">
            <v>-50.064398830000002</v>
          </cell>
        </row>
        <row r="5541">
          <cell r="A5541" t="str">
            <v>Três Fronteiras</v>
          </cell>
          <cell r="B5541">
            <v>304387</v>
          </cell>
          <cell r="C5541">
            <v>-20.2349934</v>
          </cell>
          <cell r="D5541">
            <v>-50.889947050000004</v>
          </cell>
        </row>
        <row r="5542">
          <cell r="A5542" t="str">
            <v>Três Lagoas</v>
          </cell>
          <cell r="B5542">
            <v>304455</v>
          </cell>
          <cell r="C5542">
            <v>-20.785311409999998</v>
          </cell>
          <cell r="D5542">
            <v>-51.701154680000002</v>
          </cell>
        </row>
        <row r="5543">
          <cell r="A5543" t="str">
            <v>Três Marias</v>
          </cell>
          <cell r="B5543">
            <v>302960</v>
          </cell>
          <cell r="C5543">
            <v>-18.20220312</v>
          </cell>
          <cell r="D5543">
            <v>-45.228530769999999</v>
          </cell>
        </row>
        <row r="5544">
          <cell r="A5544" t="str">
            <v>Três Palmeiras</v>
          </cell>
          <cell r="B5544">
            <v>305373</v>
          </cell>
          <cell r="C5544">
            <v>-27.614359780000001</v>
          </cell>
          <cell r="D5544">
            <v>-52.844172100000002</v>
          </cell>
        </row>
        <row r="5545">
          <cell r="A5545" t="str">
            <v>Três Passos</v>
          </cell>
          <cell r="B5545">
            <v>305420</v>
          </cell>
          <cell r="C5545">
            <v>-27.455937939999998</v>
          </cell>
          <cell r="D5545">
            <v>-53.93009112</v>
          </cell>
        </row>
        <row r="5546">
          <cell r="A5546" t="str">
            <v>Três Pontas</v>
          </cell>
          <cell r="B5546">
            <v>303218</v>
          </cell>
          <cell r="C5546">
            <v>-21.369914999999999</v>
          </cell>
          <cell r="D5546">
            <v>-45.511271319999999</v>
          </cell>
        </row>
        <row r="5547">
          <cell r="A5547" t="str">
            <v>Três Ranchos</v>
          </cell>
          <cell r="B5547">
            <v>303304</v>
          </cell>
          <cell r="C5547">
            <v>-18.358025179999998</v>
          </cell>
          <cell r="D5547">
            <v>-47.777852680000002</v>
          </cell>
        </row>
        <row r="5548">
          <cell r="A5548" t="str">
            <v>Três Rios</v>
          </cell>
          <cell r="B5548">
            <v>303134</v>
          </cell>
          <cell r="C5548">
            <v>-22.116992840000002</v>
          </cell>
          <cell r="D5548">
            <v>-43.218904240000001</v>
          </cell>
        </row>
        <row r="5549">
          <cell r="A5549" t="str">
            <v>Treviso</v>
          </cell>
          <cell r="B5549">
            <v>304105</v>
          </cell>
          <cell r="C5549">
            <v>-28.510144409999999</v>
          </cell>
          <cell r="D5549">
            <v>-49.463802870000002</v>
          </cell>
        </row>
        <row r="5550">
          <cell r="A5550" t="str">
            <v>Treze de Maio</v>
          </cell>
          <cell r="B5550">
            <v>304075</v>
          </cell>
          <cell r="C5550">
            <v>-28.55414648</v>
          </cell>
          <cell r="D5550">
            <v>-49.156968980000002</v>
          </cell>
        </row>
        <row r="5551">
          <cell r="A5551" t="str">
            <v>Treze Tílias</v>
          </cell>
          <cell r="B5551">
            <v>305100</v>
          </cell>
          <cell r="C5551">
            <v>-27.003078240000001</v>
          </cell>
          <cell r="D5551">
            <v>-51.408886590000002</v>
          </cell>
        </row>
        <row r="5552">
          <cell r="A5552" t="str">
            <v>Trindade</v>
          </cell>
          <cell r="B5552">
            <v>301024</v>
          </cell>
          <cell r="C5552">
            <v>-7.75941978</v>
          </cell>
          <cell r="D5552">
            <v>-40.265047060000001</v>
          </cell>
        </row>
        <row r="5553">
          <cell r="A5553" t="str">
            <v>Trindade</v>
          </cell>
          <cell r="B5553">
            <v>302607</v>
          </cell>
          <cell r="C5553">
            <v>-16.652157840000001</v>
          </cell>
          <cell r="D5553">
            <v>-49.493067160000003</v>
          </cell>
        </row>
        <row r="5554">
          <cell r="A5554" t="str">
            <v>Trindade do Sul</v>
          </cell>
          <cell r="B5554">
            <v>305370</v>
          </cell>
          <cell r="C5554">
            <v>-27.524366449999999</v>
          </cell>
          <cell r="D5554">
            <v>-52.896047060000001</v>
          </cell>
        </row>
        <row r="5555">
          <cell r="A5555" t="str">
            <v>Trinidad</v>
          </cell>
          <cell r="B5555">
            <v>314356</v>
          </cell>
          <cell r="C5555">
            <v>-27.137866549999998</v>
          </cell>
          <cell r="D5555">
            <v>-55.701243310000002</v>
          </cell>
        </row>
        <row r="5556">
          <cell r="A5556" t="str">
            <v>Trinidad</v>
          </cell>
          <cell r="B5556">
            <v>314454</v>
          </cell>
          <cell r="C5556">
            <v>-14.84505959</v>
          </cell>
          <cell r="D5556">
            <v>-64.907110680000002</v>
          </cell>
        </row>
        <row r="5557">
          <cell r="A5557" t="str">
            <v>Triunfo</v>
          </cell>
          <cell r="B5557">
            <v>300823</v>
          </cell>
          <cell r="C5557">
            <v>-7.8343883610000002</v>
          </cell>
          <cell r="D5557">
            <v>-38.105529400000002</v>
          </cell>
        </row>
        <row r="5558">
          <cell r="A5558" t="str">
            <v>Triunfo</v>
          </cell>
          <cell r="B5558">
            <v>300998</v>
          </cell>
          <cell r="C5558">
            <v>-6.5717188330000003</v>
          </cell>
          <cell r="D5558">
            <v>-38.59889347</v>
          </cell>
        </row>
        <row r="5559">
          <cell r="A5559" t="str">
            <v>Triunfo</v>
          </cell>
          <cell r="B5559">
            <v>305780</v>
          </cell>
          <cell r="C5559">
            <v>-29.92960742</v>
          </cell>
          <cell r="D5559">
            <v>-51.707927910000002</v>
          </cell>
        </row>
        <row r="5560">
          <cell r="A5560" t="str">
            <v>Triunfo Potiguar</v>
          </cell>
          <cell r="B5560">
            <v>300548</v>
          </cell>
          <cell r="C5560">
            <v>-5.8672401110000001</v>
          </cell>
          <cell r="D5560">
            <v>-37.186361959999999</v>
          </cell>
        </row>
        <row r="5561">
          <cell r="A5561" t="str">
            <v>Trizidela do Vale</v>
          </cell>
          <cell r="B5561">
            <v>302436</v>
          </cell>
          <cell r="C5561">
            <v>-4.5682573990000002</v>
          </cell>
          <cell r="D5561">
            <v>-44.616415750000002</v>
          </cell>
        </row>
        <row r="5562">
          <cell r="A5562" t="str">
            <v>Trombas</v>
          </cell>
          <cell r="B5562">
            <v>303043</v>
          </cell>
          <cell r="C5562">
            <v>-13.50832885</v>
          </cell>
          <cell r="D5562">
            <v>-48.742099709999998</v>
          </cell>
        </row>
        <row r="5563">
          <cell r="A5563" t="str">
            <v>Trombudo Central</v>
          </cell>
          <cell r="B5563">
            <v>304086</v>
          </cell>
          <cell r="C5563">
            <v>-27.303775900000002</v>
          </cell>
          <cell r="D5563">
            <v>-49.793386249999998</v>
          </cell>
        </row>
        <row r="5564">
          <cell r="A5564" t="str">
            <v>Tubarão</v>
          </cell>
          <cell r="B5564">
            <v>304071</v>
          </cell>
          <cell r="C5564">
            <v>-28.471794769999999</v>
          </cell>
          <cell r="D5564">
            <v>-49.014803669999999</v>
          </cell>
        </row>
        <row r="5565">
          <cell r="A5565" t="str">
            <v>Tucano</v>
          </cell>
          <cell r="B5565">
            <v>301315</v>
          </cell>
          <cell r="C5565">
            <v>-10.95882733</v>
          </cell>
          <cell r="D5565">
            <v>-38.789726559999998</v>
          </cell>
        </row>
        <row r="5566">
          <cell r="A5566" t="str">
            <v>Tucumã</v>
          </cell>
          <cell r="B5566">
            <v>304155</v>
          </cell>
          <cell r="C5566">
            <v>-6.7472797230000001</v>
          </cell>
          <cell r="D5566">
            <v>-51.163008929999997</v>
          </cell>
        </row>
        <row r="5567">
          <cell r="A5567" t="str">
            <v>Tucunduva</v>
          </cell>
          <cell r="B5567">
            <v>305443</v>
          </cell>
          <cell r="C5567">
            <v>-27.65775756</v>
          </cell>
          <cell r="D5567">
            <v>-54.44434407</v>
          </cell>
        </row>
        <row r="5568">
          <cell r="A5568" t="str">
            <v>Tucuruí</v>
          </cell>
          <cell r="B5568">
            <v>301950</v>
          </cell>
          <cell r="C5568">
            <v>-3.766093632</v>
          </cell>
          <cell r="D5568">
            <v>-49.677721400000003</v>
          </cell>
        </row>
        <row r="5569">
          <cell r="A5569" t="str">
            <v>Tufilândia</v>
          </cell>
          <cell r="B5569">
            <v>301767</v>
          </cell>
          <cell r="C5569">
            <v>-3.6739428410000001</v>
          </cell>
          <cell r="D5569">
            <v>-45.624141440000002</v>
          </cell>
        </row>
        <row r="5570">
          <cell r="A5570" t="str">
            <v>Tuiuti</v>
          </cell>
          <cell r="B5570">
            <v>303648</v>
          </cell>
          <cell r="C5570">
            <v>-22.81980089</v>
          </cell>
          <cell r="D5570">
            <v>-46.694143369999999</v>
          </cell>
        </row>
        <row r="5571">
          <cell r="A5571" t="str">
            <v>Tumiritinga</v>
          </cell>
          <cell r="B5571">
            <v>302536</v>
          </cell>
          <cell r="C5571">
            <v>-18.984920070000001</v>
          </cell>
          <cell r="D5571">
            <v>-41.653026660000002</v>
          </cell>
        </row>
        <row r="5572">
          <cell r="A5572" t="str">
            <v>Tunápolis</v>
          </cell>
          <cell r="B5572">
            <v>305354</v>
          </cell>
          <cell r="C5572">
            <v>-26.96857005</v>
          </cell>
          <cell r="D5572">
            <v>-53.642181379999997</v>
          </cell>
        </row>
        <row r="5573">
          <cell r="A5573" t="str">
            <v>Tunas</v>
          </cell>
          <cell r="B5573">
            <v>305404</v>
          </cell>
          <cell r="C5573">
            <v>-29.10441685</v>
          </cell>
          <cell r="D5573">
            <v>-52.954304180000001</v>
          </cell>
        </row>
        <row r="5574">
          <cell r="A5574" t="str">
            <v>Tunas do Paraná</v>
          </cell>
          <cell r="B5574">
            <v>304959</v>
          </cell>
          <cell r="C5574">
            <v>-24.97356057</v>
          </cell>
          <cell r="D5574">
            <v>-49.088309129999999</v>
          </cell>
        </row>
        <row r="5575">
          <cell r="A5575" t="str">
            <v>Tuneiras do Oeste</v>
          </cell>
          <cell r="B5575">
            <v>305524</v>
          </cell>
          <cell r="C5575">
            <v>-23.865261140000001</v>
          </cell>
          <cell r="D5575">
            <v>-52.877314269999999</v>
          </cell>
        </row>
        <row r="5576">
          <cell r="A5576" t="str">
            <v>Tuntum</v>
          </cell>
          <cell r="B5576">
            <v>302452</v>
          </cell>
          <cell r="C5576">
            <v>-5.2551633930000001</v>
          </cell>
          <cell r="D5576">
            <v>-44.6447219</v>
          </cell>
        </row>
        <row r="5577">
          <cell r="A5577" t="str">
            <v>Tupã</v>
          </cell>
          <cell r="B5577">
            <v>304468</v>
          </cell>
          <cell r="C5577">
            <v>-21.933992620000001</v>
          </cell>
          <cell r="D5577">
            <v>-50.519532699999999</v>
          </cell>
        </row>
        <row r="5578">
          <cell r="A5578" t="str">
            <v>Tupaciguara</v>
          </cell>
          <cell r="B5578">
            <v>303366</v>
          </cell>
          <cell r="C5578">
            <v>-18.592995179999999</v>
          </cell>
          <cell r="D5578">
            <v>-48.704950820000001</v>
          </cell>
        </row>
        <row r="5579">
          <cell r="A5579" t="str">
            <v>Tupanatinga</v>
          </cell>
          <cell r="B5579">
            <v>302556</v>
          </cell>
          <cell r="C5579">
            <v>-8.7535875910000005</v>
          </cell>
          <cell r="D5579">
            <v>-37.34324419</v>
          </cell>
        </row>
        <row r="5580">
          <cell r="A5580" t="str">
            <v>Tupanci do Sul</v>
          </cell>
          <cell r="B5580">
            <v>305590</v>
          </cell>
          <cell r="C5580">
            <v>-27.924560589999999</v>
          </cell>
          <cell r="D5580">
            <v>-51.538730119999997</v>
          </cell>
        </row>
        <row r="5581">
          <cell r="A5581" t="str">
            <v>Tupanciretã</v>
          </cell>
          <cell r="B5581">
            <v>305458</v>
          </cell>
          <cell r="C5581">
            <v>-29.080982079999998</v>
          </cell>
          <cell r="D5581">
            <v>-53.835938579999997</v>
          </cell>
        </row>
        <row r="5582">
          <cell r="A5582" t="str">
            <v>Tupandi</v>
          </cell>
          <cell r="B5582">
            <v>305505</v>
          </cell>
          <cell r="C5582">
            <v>-29.477663700000001</v>
          </cell>
          <cell r="D5582">
            <v>-51.417810979999999</v>
          </cell>
        </row>
        <row r="5583">
          <cell r="A5583" t="str">
            <v>Tuparendi</v>
          </cell>
          <cell r="B5583">
            <v>305444</v>
          </cell>
          <cell r="C5583">
            <v>-27.760233589999999</v>
          </cell>
          <cell r="D5583">
            <v>-54.481898729999997</v>
          </cell>
        </row>
        <row r="5584">
          <cell r="A5584" t="str">
            <v>Tuparetama</v>
          </cell>
          <cell r="B5584">
            <v>300780</v>
          </cell>
          <cell r="C5584">
            <v>-7.6014881250000004</v>
          </cell>
          <cell r="D5584">
            <v>-37.309993429999999</v>
          </cell>
        </row>
        <row r="5585">
          <cell r="A5585" t="str">
            <v>Tupãssi</v>
          </cell>
          <cell r="B5585">
            <v>305004</v>
          </cell>
          <cell r="C5585">
            <v>-24.588349879999999</v>
          </cell>
          <cell r="D5585">
            <v>-53.510956579999998</v>
          </cell>
        </row>
        <row r="5586">
          <cell r="A5586" t="str">
            <v>Tupi Paulista</v>
          </cell>
          <cell r="B5586">
            <v>305745</v>
          </cell>
          <cell r="C5586">
            <v>-21.386470079999999</v>
          </cell>
          <cell r="D5586">
            <v>-51.574633779999999</v>
          </cell>
        </row>
        <row r="5587">
          <cell r="A5587" t="str">
            <v>Tupirama</v>
          </cell>
          <cell r="B5587">
            <v>302204</v>
          </cell>
          <cell r="C5587">
            <v>-8.9758706589999999</v>
          </cell>
          <cell r="D5587">
            <v>-48.190315900000002</v>
          </cell>
        </row>
        <row r="5588">
          <cell r="A5588" t="str">
            <v>Tupiratins</v>
          </cell>
          <cell r="B5588">
            <v>302200</v>
          </cell>
          <cell r="C5588">
            <v>-8.4014629210000003</v>
          </cell>
          <cell r="D5588">
            <v>-48.128920340000001</v>
          </cell>
        </row>
        <row r="5589">
          <cell r="A5589" t="str">
            <v>Turiaçu</v>
          </cell>
          <cell r="B5589">
            <v>301670</v>
          </cell>
          <cell r="C5589">
            <v>-1.6656163340000001</v>
          </cell>
          <cell r="D5589">
            <v>-45.370409789999997</v>
          </cell>
        </row>
        <row r="5590">
          <cell r="A5590" t="str">
            <v>Turilândia</v>
          </cell>
          <cell r="B5590">
            <v>301711</v>
          </cell>
          <cell r="C5590">
            <v>-2.220379399</v>
          </cell>
          <cell r="D5590">
            <v>-45.306655599999999</v>
          </cell>
        </row>
        <row r="5591">
          <cell r="A5591" t="str">
            <v>Turiúba</v>
          </cell>
          <cell r="B5591">
            <v>303492</v>
          </cell>
          <cell r="C5591">
            <v>-20.949760439999999</v>
          </cell>
          <cell r="D5591">
            <v>-50.107465650000002</v>
          </cell>
        </row>
        <row r="5592">
          <cell r="A5592" t="str">
            <v>Turmalina</v>
          </cell>
          <cell r="B5592">
            <v>302661</v>
          </cell>
          <cell r="C5592">
            <v>-17.283289910000001</v>
          </cell>
          <cell r="D5592">
            <v>-42.728832840000003</v>
          </cell>
        </row>
        <row r="5593">
          <cell r="A5593" t="str">
            <v>Turmalina</v>
          </cell>
          <cell r="B5593">
            <v>304358</v>
          </cell>
          <cell r="C5593">
            <v>-20.051550859999999</v>
          </cell>
          <cell r="D5593">
            <v>-50.481333980000002</v>
          </cell>
        </row>
        <row r="5594">
          <cell r="A5594" t="str">
            <v>Turuçu</v>
          </cell>
          <cell r="B5594">
            <v>305547</v>
          </cell>
          <cell r="C5594">
            <v>-31.42197337</v>
          </cell>
          <cell r="D5594">
            <v>-52.177941939999997</v>
          </cell>
        </row>
        <row r="5595">
          <cell r="A5595" t="str">
            <v>Tururu</v>
          </cell>
          <cell r="B5595">
            <v>300687</v>
          </cell>
          <cell r="C5595">
            <v>-3.5845266329999999</v>
          </cell>
          <cell r="D5595">
            <v>-39.429974889999997</v>
          </cell>
        </row>
        <row r="5596">
          <cell r="A5596" t="str">
            <v>Turvânia</v>
          </cell>
          <cell r="B5596">
            <v>302410</v>
          </cell>
          <cell r="C5596">
            <v>-16.609480399999999</v>
          </cell>
          <cell r="D5596">
            <v>-50.136396670000003</v>
          </cell>
        </row>
        <row r="5597">
          <cell r="A5597" t="str">
            <v>Turvelândia</v>
          </cell>
          <cell r="B5597">
            <v>303397</v>
          </cell>
          <cell r="C5597">
            <v>-17.850667439999999</v>
          </cell>
          <cell r="D5597">
            <v>-50.302783750000003</v>
          </cell>
        </row>
        <row r="5598">
          <cell r="A5598" t="str">
            <v>Turvo</v>
          </cell>
          <cell r="B5598">
            <v>304117</v>
          </cell>
          <cell r="C5598">
            <v>-28.927652510000001</v>
          </cell>
          <cell r="D5598">
            <v>-49.683506090000002</v>
          </cell>
        </row>
        <row r="5599">
          <cell r="A5599" t="str">
            <v>Turvo</v>
          </cell>
          <cell r="B5599">
            <v>304828</v>
          </cell>
          <cell r="C5599">
            <v>-25.044140720000001</v>
          </cell>
          <cell r="D5599">
            <v>-51.528659050000002</v>
          </cell>
        </row>
        <row r="5600">
          <cell r="A5600" t="str">
            <v>Turvolândia</v>
          </cell>
          <cell r="B5600">
            <v>304416</v>
          </cell>
          <cell r="C5600">
            <v>-21.873818060000001</v>
          </cell>
          <cell r="D5600">
            <v>-45.786336540000001</v>
          </cell>
        </row>
        <row r="5601">
          <cell r="A5601" t="str">
            <v>Tutóia</v>
          </cell>
          <cell r="B5601">
            <v>303205</v>
          </cell>
          <cell r="C5601">
            <v>-2.7618015059999999</v>
          </cell>
          <cell r="D5601">
            <v>-42.275869190000002</v>
          </cell>
        </row>
        <row r="5602">
          <cell r="A5602" t="str">
            <v>Uarini</v>
          </cell>
          <cell r="B5602">
            <v>304783</v>
          </cell>
          <cell r="C5602">
            <v>-2.996468481</v>
          </cell>
          <cell r="D5602">
            <v>-65.113759340000001</v>
          </cell>
        </row>
        <row r="5603">
          <cell r="A5603" t="str">
            <v>Uauá</v>
          </cell>
          <cell r="B5603">
            <v>301300</v>
          </cell>
          <cell r="C5603">
            <v>-9.8421422080000003</v>
          </cell>
          <cell r="D5603">
            <v>-39.47954842</v>
          </cell>
        </row>
        <row r="5604">
          <cell r="A5604" t="str">
            <v>Ubá</v>
          </cell>
          <cell r="B5604">
            <v>303262</v>
          </cell>
          <cell r="C5604">
            <v>-21.120923860000001</v>
          </cell>
          <cell r="D5604">
            <v>-42.936297699999997</v>
          </cell>
        </row>
        <row r="5605">
          <cell r="A5605" t="str">
            <v>Ubaí</v>
          </cell>
          <cell r="B5605">
            <v>302194</v>
          </cell>
          <cell r="C5605">
            <v>-16.28896207</v>
          </cell>
          <cell r="D5605">
            <v>-44.778620009999997</v>
          </cell>
        </row>
        <row r="5606">
          <cell r="A5606" t="str">
            <v>Ubaíra</v>
          </cell>
          <cell r="B5606">
            <v>301734</v>
          </cell>
          <cell r="C5606">
            <v>-13.26852474</v>
          </cell>
          <cell r="D5606">
            <v>-39.662719150000001</v>
          </cell>
        </row>
        <row r="5607">
          <cell r="A5607" t="str">
            <v>Ubaitaba</v>
          </cell>
          <cell r="B5607">
            <v>302386</v>
          </cell>
          <cell r="C5607">
            <v>-14.29984488</v>
          </cell>
          <cell r="D5607">
            <v>-39.322723009999997</v>
          </cell>
        </row>
        <row r="5608">
          <cell r="A5608" t="str">
            <v>Ubajara</v>
          </cell>
          <cell r="B5608">
            <v>300717</v>
          </cell>
          <cell r="C5608">
            <v>-3.8548747990000001</v>
          </cell>
          <cell r="D5608">
            <v>-40.92076634</v>
          </cell>
        </row>
        <row r="5609">
          <cell r="A5609" t="str">
            <v>Ubaporanga</v>
          </cell>
          <cell r="B5609">
            <v>302896</v>
          </cell>
          <cell r="C5609">
            <v>-19.635526840000001</v>
          </cell>
          <cell r="D5609">
            <v>-42.106282309999997</v>
          </cell>
        </row>
        <row r="5610">
          <cell r="A5610" t="str">
            <v>Ubarana</v>
          </cell>
          <cell r="B5610">
            <v>303859</v>
          </cell>
          <cell r="C5610">
            <v>-21.165429379999999</v>
          </cell>
          <cell r="D5610">
            <v>-49.720177479999997</v>
          </cell>
        </row>
        <row r="5611">
          <cell r="A5611" t="str">
            <v>Ubatã</v>
          </cell>
          <cell r="B5611">
            <v>302388</v>
          </cell>
          <cell r="C5611">
            <v>-14.21574714</v>
          </cell>
          <cell r="D5611">
            <v>-39.518054810000002</v>
          </cell>
        </row>
        <row r="5612">
          <cell r="A5612" t="str">
            <v>Ubatuba</v>
          </cell>
          <cell r="B5612">
            <v>303281</v>
          </cell>
          <cell r="C5612">
            <v>-23.433644820000001</v>
          </cell>
          <cell r="D5612">
            <v>-45.083803070000002</v>
          </cell>
        </row>
        <row r="5613">
          <cell r="A5613" t="str">
            <v>Uberaba</v>
          </cell>
          <cell r="B5613">
            <v>303331</v>
          </cell>
          <cell r="C5613">
            <v>-19.747668990000001</v>
          </cell>
          <cell r="D5613">
            <v>-47.938470359999997</v>
          </cell>
        </row>
        <row r="5614">
          <cell r="A5614" t="str">
            <v>Uberlândia</v>
          </cell>
          <cell r="B5614">
            <v>303403</v>
          </cell>
          <cell r="C5614">
            <v>-18.914602389999999</v>
          </cell>
          <cell r="D5614">
            <v>-48.275331510000001</v>
          </cell>
        </row>
        <row r="5615">
          <cell r="A5615" t="str">
            <v>Ubirajara</v>
          </cell>
          <cell r="B5615">
            <v>303894</v>
          </cell>
          <cell r="C5615">
            <v>-22.527676490000001</v>
          </cell>
          <cell r="D5615">
            <v>-49.661676030000002</v>
          </cell>
        </row>
        <row r="5616">
          <cell r="A5616" t="str">
            <v>Ubiratã</v>
          </cell>
          <cell r="B5616">
            <v>305056</v>
          </cell>
          <cell r="C5616">
            <v>-24.539756319999999</v>
          </cell>
          <cell r="D5616">
            <v>-52.986928259999999</v>
          </cell>
        </row>
        <row r="5617">
          <cell r="A5617" t="str">
            <v>Ubiretama</v>
          </cell>
          <cell r="B5617">
            <v>305725</v>
          </cell>
          <cell r="C5617">
            <v>-28.045983870000001</v>
          </cell>
          <cell r="D5617">
            <v>-54.680937909999997</v>
          </cell>
        </row>
        <row r="5618">
          <cell r="A5618" t="str">
            <v>Uchoa</v>
          </cell>
          <cell r="B5618">
            <v>303705</v>
          </cell>
          <cell r="C5618">
            <v>-20.952991839999999</v>
          </cell>
          <cell r="D5618">
            <v>-49.17494937</v>
          </cell>
        </row>
        <row r="5619">
          <cell r="A5619" t="str">
            <v>Uibaí</v>
          </cell>
          <cell r="B5619">
            <v>302267</v>
          </cell>
          <cell r="C5619">
            <v>-11.339857670000001</v>
          </cell>
          <cell r="D5619">
            <v>-42.135724519999997</v>
          </cell>
        </row>
        <row r="5620">
          <cell r="A5620" t="str">
            <v>Uiramutã</v>
          </cell>
          <cell r="B5620">
            <v>305877</v>
          </cell>
          <cell r="C5620">
            <v>4.602794769</v>
          </cell>
          <cell r="D5620">
            <v>-60.181905200000003</v>
          </cell>
        </row>
        <row r="5621">
          <cell r="A5621" t="str">
            <v>Uirapuru</v>
          </cell>
          <cell r="B5621">
            <v>302804</v>
          </cell>
          <cell r="C5621">
            <v>-14.28397809</v>
          </cell>
          <cell r="D5621">
            <v>-49.920459229999999</v>
          </cell>
        </row>
        <row r="5622">
          <cell r="A5622" t="str">
            <v>Uiraúna</v>
          </cell>
          <cell r="B5622">
            <v>300993</v>
          </cell>
          <cell r="C5622">
            <v>-6.5207155720000003</v>
          </cell>
          <cell r="D5622">
            <v>-38.411551369999998</v>
          </cell>
        </row>
        <row r="5623">
          <cell r="A5623" t="str">
            <v>Ulianópolis</v>
          </cell>
          <cell r="B5623">
            <v>301923</v>
          </cell>
          <cell r="C5623">
            <v>-3.7395416149999998</v>
          </cell>
          <cell r="D5623">
            <v>-47.498483120000003</v>
          </cell>
        </row>
        <row r="5624">
          <cell r="A5624" t="str">
            <v>Umari</v>
          </cell>
          <cell r="B5624">
            <v>301000</v>
          </cell>
          <cell r="C5624">
            <v>-6.6393401829999998</v>
          </cell>
          <cell r="D5624">
            <v>-38.701113239999998</v>
          </cell>
        </row>
        <row r="5625">
          <cell r="A5625" t="str">
            <v>Umarizal</v>
          </cell>
          <cell r="B5625">
            <v>300749</v>
          </cell>
          <cell r="C5625">
            <v>-5.9827896359999997</v>
          </cell>
          <cell r="D5625">
            <v>-37.818339530000003</v>
          </cell>
        </row>
        <row r="5626">
          <cell r="A5626" t="str">
            <v>Umbaúba</v>
          </cell>
          <cell r="B5626">
            <v>301267</v>
          </cell>
          <cell r="C5626">
            <v>-11.383369760000001</v>
          </cell>
          <cell r="D5626">
            <v>-37.661487100000002</v>
          </cell>
        </row>
        <row r="5627">
          <cell r="A5627" t="str">
            <v>Umburanas</v>
          </cell>
          <cell r="B5627">
            <v>301491</v>
          </cell>
          <cell r="C5627">
            <v>-10.730858639999999</v>
          </cell>
          <cell r="D5627">
            <v>-41.326344949999999</v>
          </cell>
        </row>
        <row r="5628">
          <cell r="A5628" t="str">
            <v>Umburatiba</v>
          </cell>
          <cell r="B5628">
            <v>303594</v>
          </cell>
          <cell r="C5628">
            <v>-17.255272529999999</v>
          </cell>
          <cell r="D5628">
            <v>-40.578278519999998</v>
          </cell>
        </row>
        <row r="5629">
          <cell r="A5629" t="str">
            <v>Umbuzeiro</v>
          </cell>
          <cell r="B5629">
            <v>300661</v>
          </cell>
          <cell r="C5629">
            <v>-7.6954962790000003</v>
          </cell>
          <cell r="D5629">
            <v>-35.66391806</v>
          </cell>
        </row>
        <row r="5630">
          <cell r="A5630" t="str">
            <v>Umirim</v>
          </cell>
          <cell r="B5630">
            <v>300691</v>
          </cell>
          <cell r="C5630">
            <v>-3.6769362569999999</v>
          </cell>
          <cell r="D5630">
            <v>-39.346831340000001</v>
          </cell>
        </row>
        <row r="5631">
          <cell r="A5631" t="str">
            <v>Umuarama</v>
          </cell>
          <cell r="B5631">
            <v>305040</v>
          </cell>
          <cell r="C5631">
            <v>-23.76609565</v>
          </cell>
          <cell r="D5631">
            <v>-53.320552589999998</v>
          </cell>
        </row>
        <row r="5632">
          <cell r="A5632" t="str">
            <v>Una</v>
          </cell>
          <cell r="B5632">
            <v>301750</v>
          </cell>
          <cell r="C5632">
            <v>-15.29370999</v>
          </cell>
          <cell r="D5632">
            <v>-39.074956319999998</v>
          </cell>
        </row>
        <row r="5633">
          <cell r="A5633" t="str">
            <v>Unaí</v>
          </cell>
          <cell r="B5633">
            <v>302769</v>
          </cell>
          <cell r="C5633">
            <v>-16.359665580000001</v>
          </cell>
          <cell r="D5633">
            <v>-46.902540160000001</v>
          </cell>
        </row>
        <row r="5634">
          <cell r="A5634" t="str">
            <v>União</v>
          </cell>
          <cell r="B5634">
            <v>301779</v>
          </cell>
          <cell r="C5634">
            <v>-4.5861084280000002</v>
          </cell>
          <cell r="D5634">
            <v>-42.85862779</v>
          </cell>
        </row>
        <row r="5635">
          <cell r="A5635" t="str">
            <v>União da Serra</v>
          </cell>
          <cell r="B5635">
            <v>305209</v>
          </cell>
          <cell r="C5635">
            <v>-28.7837605</v>
          </cell>
          <cell r="D5635">
            <v>-52.024236860000002</v>
          </cell>
        </row>
        <row r="5636">
          <cell r="A5636" t="str">
            <v>União da Vitória</v>
          </cell>
          <cell r="B5636">
            <v>305620</v>
          </cell>
          <cell r="C5636">
            <v>-26.227792640000001</v>
          </cell>
          <cell r="D5636">
            <v>-51.087750569999997</v>
          </cell>
        </row>
        <row r="5637">
          <cell r="A5637" t="str">
            <v>União de Minas</v>
          </cell>
          <cell r="B5637">
            <v>304352</v>
          </cell>
          <cell r="C5637">
            <v>-19.529994250000001</v>
          </cell>
          <cell r="D5637">
            <v>-50.335948100000003</v>
          </cell>
        </row>
        <row r="5638">
          <cell r="A5638" t="str">
            <v>União do Oeste</v>
          </cell>
          <cell r="B5638">
            <v>305295</v>
          </cell>
          <cell r="C5638">
            <v>-26.762509210000001</v>
          </cell>
          <cell r="D5638">
            <v>-52.854573729999998</v>
          </cell>
        </row>
        <row r="5639">
          <cell r="A5639" t="str">
            <v>União do Sul</v>
          </cell>
          <cell r="B5639">
            <v>304196</v>
          </cell>
          <cell r="C5639">
            <v>-11.53016905</v>
          </cell>
          <cell r="D5639">
            <v>-54.368598390000002</v>
          </cell>
        </row>
        <row r="5640">
          <cell r="A5640" t="str">
            <v>União dos Palmares</v>
          </cell>
          <cell r="B5640">
            <v>301474</v>
          </cell>
          <cell r="C5640">
            <v>-9.1596414809999995</v>
          </cell>
          <cell r="D5640">
            <v>-36.022567639999998</v>
          </cell>
        </row>
        <row r="5641">
          <cell r="A5641" t="str">
            <v>União Paulista</v>
          </cell>
          <cell r="B5641">
            <v>303486</v>
          </cell>
          <cell r="C5641">
            <v>-20.886992150000001</v>
          </cell>
          <cell r="D5641">
            <v>-49.896948309999999</v>
          </cell>
        </row>
        <row r="5642">
          <cell r="A5642" t="str">
            <v>Uniflor</v>
          </cell>
          <cell r="B5642">
            <v>304801</v>
          </cell>
          <cell r="C5642">
            <v>-23.087293320000001</v>
          </cell>
          <cell r="D5642">
            <v>-52.157740349999997</v>
          </cell>
        </row>
        <row r="5643">
          <cell r="A5643" t="str">
            <v>Unión</v>
          </cell>
          <cell r="B5643">
            <v>314270</v>
          </cell>
          <cell r="C5643">
            <v>-24.78708507</v>
          </cell>
          <cell r="D5643">
            <v>-56.537663780000003</v>
          </cell>
        </row>
        <row r="5644">
          <cell r="A5644" t="str">
            <v>Unistalda</v>
          </cell>
          <cell r="B5644">
            <v>305809</v>
          </cell>
          <cell r="C5644">
            <v>-29.046925330000001</v>
          </cell>
          <cell r="D5644">
            <v>-55.149912180000001</v>
          </cell>
        </row>
        <row r="5645">
          <cell r="A5645" t="str">
            <v>Upanema</v>
          </cell>
          <cell r="B5645">
            <v>300550</v>
          </cell>
          <cell r="C5645">
            <v>-5.6423085530000003</v>
          </cell>
          <cell r="D5645">
            <v>-37.259840609999998</v>
          </cell>
        </row>
        <row r="5646">
          <cell r="A5646" t="str">
            <v>Uraí</v>
          </cell>
          <cell r="B5646">
            <v>304726</v>
          </cell>
          <cell r="C5646">
            <v>-23.200464319999998</v>
          </cell>
          <cell r="D5646">
            <v>-50.79429828</v>
          </cell>
        </row>
        <row r="5647">
          <cell r="A5647" t="str">
            <v>Urandi</v>
          </cell>
          <cell r="B5647">
            <v>302122</v>
          </cell>
          <cell r="C5647">
            <v>-14.7690521</v>
          </cell>
          <cell r="D5647">
            <v>-42.657632200000002</v>
          </cell>
        </row>
        <row r="5648">
          <cell r="A5648" t="str">
            <v>Urânia</v>
          </cell>
          <cell r="B5648">
            <v>304371</v>
          </cell>
          <cell r="C5648">
            <v>-20.245920380000001</v>
          </cell>
          <cell r="D5648">
            <v>-50.645913759999999</v>
          </cell>
        </row>
        <row r="5649">
          <cell r="A5649" t="str">
            <v>Urbano Santos</v>
          </cell>
          <cell r="B5649">
            <v>301654</v>
          </cell>
          <cell r="C5649">
            <v>-3.206807902</v>
          </cell>
          <cell r="D5649">
            <v>-43.388183750000003</v>
          </cell>
        </row>
        <row r="5650">
          <cell r="A5650" t="str">
            <v>Uru</v>
          </cell>
          <cell r="B5650">
            <v>303862</v>
          </cell>
          <cell r="C5650">
            <v>-21.783990660000001</v>
          </cell>
          <cell r="D5650">
            <v>-49.280948930000001</v>
          </cell>
        </row>
        <row r="5651">
          <cell r="A5651" t="str">
            <v>Uruaçu</v>
          </cell>
          <cell r="B5651">
            <v>302792</v>
          </cell>
          <cell r="C5651">
            <v>-14.52428235</v>
          </cell>
          <cell r="D5651">
            <v>-49.140026890000001</v>
          </cell>
        </row>
        <row r="5652">
          <cell r="A5652" t="str">
            <v>Uruana</v>
          </cell>
          <cell r="B5652">
            <v>304885</v>
          </cell>
          <cell r="C5652">
            <v>-15.50501225</v>
          </cell>
          <cell r="D5652">
            <v>-49.679334709999999</v>
          </cell>
        </row>
        <row r="5653">
          <cell r="A5653" t="str">
            <v>Uruana de Minas</v>
          </cell>
          <cell r="B5653">
            <v>302764</v>
          </cell>
          <cell r="C5653">
            <v>-16.060298790000001</v>
          </cell>
          <cell r="D5653">
            <v>-46.25649713</v>
          </cell>
        </row>
        <row r="5654">
          <cell r="A5654" t="str">
            <v>Uruará</v>
          </cell>
          <cell r="B5654">
            <v>304151</v>
          </cell>
          <cell r="C5654">
            <v>-3.7155785309999998</v>
          </cell>
          <cell r="D5654">
            <v>-53.740052419999998</v>
          </cell>
        </row>
        <row r="5655">
          <cell r="A5655" t="str">
            <v>Urubici</v>
          </cell>
          <cell r="B5655">
            <v>304091</v>
          </cell>
          <cell r="C5655">
            <v>-28.016145009999999</v>
          </cell>
          <cell r="D5655">
            <v>-49.592981729999998</v>
          </cell>
        </row>
        <row r="5656">
          <cell r="A5656" t="str">
            <v>Uruburetama</v>
          </cell>
          <cell r="B5656">
            <v>300689</v>
          </cell>
          <cell r="C5656">
            <v>-3.6235598549999999</v>
          </cell>
          <cell r="D5656">
            <v>-39.510996480000003</v>
          </cell>
        </row>
        <row r="5657">
          <cell r="A5657" t="str">
            <v>Urucânia</v>
          </cell>
          <cell r="B5657">
            <v>302743</v>
          </cell>
          <cell r="C5657">
            <v>-20.352565380000001</v>
          </cell>
          <cell r="D5657">
            <v>-42.737352440000002</v>
          </cell>
        </row>
        <row r="5658">
          <cell r="A5658" t="str">
            <v>Urucará</v>
          </cell>
          <cell r="B5658">
            <v>304174</v>
          </cell>
          <cell r="C5658">
            <v>-2.529746426</v>
          </cell>
          <cell r="D5658">
            <v>-57.754225689999998</v>
          </cell>
        </row>
        <row r="5659">
          <cell r="A5659" t="str">
            <v>Uruçuca</v>
          </cell>
          <cell r="B5659">
            <v>301807</v>
          </cell>
          <cell r="C5659">
            <v>-14.59107337</v>
          </cell>
          <cell r="D5659">
            <v>-39.285072640000003</v>
          </cell>
        </row>
        <row r="5660">
          <cell r="A5660" t="str">
            <v>Uruçuí</v>
          </cell>
          <cell r="B5660">
            <v>301870</v>
          </cell>
          <cell r="C5660">
            <v>-7.239852516</v>
          </cell>
          <cell r="D5660">
            <v>-44.558038680000003</v>
          </cell>
        </row>
        <row r="5661">
          <cell r="A5661" t="str">
            <v>Urucuia</v>
          </cell>
          <cell r="B5661">
            <v>302587</v>
          </cell>
          <cell r="C5661">
            <v>-16.124480569999999</v>
          </cell>
          <cell r="D5661">
            <v>-45.740979760000002</v>
          </cell>
        </row>
        <row r="5662">
          <cell r="A5662" t="str">
            <v>Urucurituba</v>
          </cell>
          <cell r="B5662">
            <v>304177</v>
          </cell>
          <cell r="C5662">
            <v>-3.128796908</v>
          </cell>
          <cell r="D5662">
            <v>-58.150067839999998</v>
          </cell>
        </row>
        <row r="5663">
          <cell r="A5663" t="str">
            <v>Uruguaiana</v>
          </cell>
          <cell r="B5663">
            <v>305829</v>
          </cell>
          <cell r="C5663">
            <v>-29.76189493</v>
          </cell>
          <cell r="D5663">
            <v>-57.085776129999999</v>
          </cell>
        </row>
        <row r="5664">
          <cell r="A5664" t="str">
            <v>Uruoca</v>
          </cell>
          <cell r="B5664">
            <v>301329</v>
          </cell>
          <cell r="C5664">
            <v>-3.3137376330000001</v>
          </cell>
          <cell r="D5664">
            <v>-40.558937569999998</v>
          </cell>
        </row>
        <row r="5665">
          <cell r="A5665" t="str">
            <v>Urupá</v>
          </cell>
          <cell r="B5665">
            <v>304297</v>
          </cell>
          <cell r="C5665">
            <v>-11.126532320000001</v>
          </cell>
          <cell r="D5665">
            <v>-62.364353010000002</v>
          </cell>
        </row>
        <row r="5666">
          <cell r="A5666" t="str">
            <v>Urupema</v>
          </cell>
          <cell r="B5666">
            <v>304098</v>
          </cell>
          <cell r="C5666">
            <v>-27.956154999999999</v>
          </cell>
          <cell r="D5666">
            <v>-49.873318359999999</v>
          </cell>
        </row>
        <row r="5667">
          <cell r="A5667" t="str">
            <v>Urupês</v>
          </cell>
          <cell r="B5667">
            <v>303852</v>
          </cell>
          <cell r="C5667">
            <v>-21.203672529999999</v>
          </cell>
          <cell r="D5667">
            <v>-49.293512880000002</v>
          </cell>
        </row>
        <row r="5668">
          <cell r="A5668" t="str">
            <v>Urussanga</v>
          </cell>
          <cell r="B5668">
            <v>304104</v>
          </cell>
          <cell r="C5668">
            <v>-28.518532870000001</v>
          </cell>
          <cell r="D5668">
            <v>-49.324248959999998</v>
          </cell>
        </row>
        <row r="5669">
          <cell r="A5669" t="str">
            <v>Urutaí</v>
          </cell>
          <cell r="B5669">
            <v>304940</v>
          </cell>
          <cell r="C5669">
            <v>-17.465552349999999</v>
          </cell>
          <cell r="D5669">
            <v>-48.201874779999997</v>
          </cell>
        </row>
        <row r="5670">
          <cell r="A5670" t="str">
            <v>Utinga</v>
          </cell>
          <cell r="B5670">
            <v>301500</v>
          </cell>
          <cell r="C5670">
            <v>-12.07871973</v>
          </cell>
          <cell r="D5670">
            <v>-41.095769220000001</v>
          </cell>
        </row>
        <row r="5671">
          <cell r="A5671" t="str">
            <v>Vacaria</v>
          </cell>
          <cell r="B5671">
            <v>305146</v>
          </cell>
          <cell r="C5671">
            <v>-28.50834661</v>
          </cell>
          <cell r="D5671">
            <v>-50.942236680000001</v>
          </cell>
        </row>
        <row r="5672">
          <cell r="A5672" t="str">
            <v>Vale de São Domingos</v>
          </cell>
          <cell r="B5672">
            <v>300377</v>
          </cell>
          <cell r="C5672">
            <v>-15.29541405</v>
          </cell>
          <cell r="D5672">
            <v>-59.062382360000001</v>
          </cell>
        </row>
        <row r="5673">
          <cell r="A5673" t="str">
            <v>Vale do Anari</v>
          </cell>
          <cell r="B5673">
            <v>304275</v>
          </cell>
          <cell r="C5673">
            <v>-9.8576642359999997</v>
          </cell>
          <cell r="D5673">
            <v>-62.17454532</v>
          </cell>
        </row>
        <row r="5674">
          <cell r="A5674" t="str">
            <v>Vale do Paraíso</v>
          </cell>
          <cell r="B5674">
            <v>304276</v>
          </cell>
          <cell r="C5674">
            <v>-10.426781289999999</v>
          </cell>
          <cell r="D5674">
            <v>-62.12846081</v>
          </cell>
        </row>
        <row r="5675">
          <cell r="A5675" t="str">
            <v>Vale do Sol</v>
          </cell>
          <cell r="B5675">
            <v>305553</v>
          </cell>
          <cell r="C5675">
            <v>-29.60383083</v>
          </cell>
          <cell r="D5675">
            <v>-52.686279079999998</v>
          </cell>
        </row>
        <row r="5676">
          <cell r="A5676" t="str">
            <v>Vale Real</v>
          </cell>
          <cell r="B5676">
            <v>305482</v>
          </cell>
          <cell r="C5676">
            <v>-29.390446919999999</v>
          </cell>
          <cell r="D5676">
            <v>-51.256943739999997</v>
          </cell>
        </row>
        <row r="5677">
          <cell r="A5677" t="str">
            <v>Vale Verde</v>
          </cell>
          <cell r="B5677">
            <v>305512</v>
          </cell>
          <cell r="C5677">
            <v>-29.786980369999998</v>
          </cell>
          <cell r="D5677">
            <v>-52.183940730000003</v>
          </cell>
        </row>
        <row r="5678">
          <cell r="A5678" t="str">
            <v>Valença</v>
          </cell>
          <cell r="B5678">
            <v>301538</v>
          </cell>
          <cell r="C5678">
            <v>-13.367399929999999</v>
          </cell>
          <cell r="D5678">
            <v>-39.073277509999997</v>
          </cell>
        </row>
        <row r="5679">
          <cell r="A5679" t="str">
            <v>Valença</v>
          </cell>
          <cell r="B5679">
            <v>303148</v>
          </cell>
          <cell r="C5679">
            <v>-22.244978159999999</v>
          </cell>
          <cell r="D5679">
            <v>-43.713255099999998</v>
          </cell>
        </row>
        <row r="5680">
          <cell r="A5680" t="str">
            <v>Valença do Piauí</v>
          </cell>
          <cell r="B5680">
            <v>301044</v>
          </cell>
          <cell r="C5680">
            <v>-6.4034238080000003</v>
          </cell>
          <cell r="D5680">
            <v>-41.73783426</v>
          </cell>
        </row>
        <row r="5681">
          <cell r="A5681" t="str">
            <v>Valente</v>
          </cell>
          <cell r="B5681">
            <v>301401</v>
          </cell>
          <cell r="C5681">
            <v>-11.413347590000001</v>
          </cell>
          <cell r="D5681">
            <v>-39.4653165</v>
          </cell>
        </row>
        <row r="5682">
          <cell r="A5682" t="str">
            <v>Valentim Gentil</v>
          </cell>
          <cell r="B5682">
            <v>303480</v>
          </cell>
          <cell r="C5682">
            <v>-20.422142239999999</v>
          </cell>
          <cell r="D5682">
            <v>-50.089340780000001</v>
          </cell>
        </row>
        <row r="5683">
          <cell r="A5683" t="str">
            <v>Valinhos</v>
          </cell>
          <cell r="B5683">
            <v>303651</v>
          </cell>
          <cell r="C5683">
            <v>-22.970281589999999</v>
          </cell>
          <cell r="D5683">
            <v>-46.997766859999999</v>
          </cell>
        </row>
        <row r="5684">
          <cell r="A5684" t="str">
            <v>Valparaíso</v>
          </cell>
          <cell r="B5684">
            <v>304474</v>
          </cell>
          <cell r="C5684">
            <v>-21.223390720000001</v>
          </cell>
          <cell r="D5684">
            <v>-50.870293830000001</v>
          </cell>
        </row>
        <row r="5685">
          <cell r="A5685" t="str">
            <v>Valparaíso de Goiás</v>
          </cell>
          <cell r="B5685">
            <v>302778</v>
          </cell>
          <cell r="C5685">
            <v>-16.06552847</v>
          </cell>
          <cell r="D5685">
            <v>-47.976064479999998</v>
          </cell>
        </row>
        <row r="5686">
          <cell r="A5686" t="str">
            <v>Vanini</v>
          </cell>
          <cell r="B5686">
            <v>305179</v>
          </cell>
          <cell r="C5686">
            <v>-28.47630857</v>
          </cell>
          <cell r="D5686">
            <v>-51.845174399999998</v>
          </cell>
        </row>
        <row r="5687">
          <cell r="A5687" t="str">
            <v>Vargeão</v>
          </cell>
          <cell r="B5687">
            <v>305118</v>
          </cell>
          <cell r="C5687">
            <v>-26.862559610000002</v>
          </cell>
          <cell r="D5687">
            <v>-52.155353769999998</v>
          </cell>
        </row>
        <row r="5688">
          <cell r="A5688" t="str">
            <v>Vargem</v>
          </cell>
          <cell r="B5688">
            <v>303633</v>
          </cell>
          <cell r="C5688">
            <v>-22.8875238</v>
          </cell>
          <cell r="D5688">
            <v>-46.412842650000002</v>
          </cell>
        </row>
        <row r="5689">
          <cell r="A5689" t="str">
            <v>Vargem</v>
          </cell>
          <cell r="B5689">
            <v>305135</v>
          </cell>
          <cell r="C5689">
            <v>-27.48719058</v>
          </cell>
          <cell r="D5689">
            <v>-50.972796700000004</v>
          </cell>
        </row>
        <row r="5690">
          <cell r="A5690" t="str">
            <v>Vargem Alegre</v>
          </cell>
          <cell r="B5690">
            <v>302903</v>
          </cell>
          <cell r="C5690">
            <v>-19.59923732</v>
          </cell>
          <cell r="D5690">
            <v>-42.295285579999998</v>
          </cell>
        </row>
        <row r="5691">
          <cell r="A5691" t="str">
            <v>Vargem Alta</v>
          </cell>
          <cell r="B5691">
            <v>302549</v>
          </cell>
          <cell r="C5691">
            <v>-20.669501149999999</v>
          </cell>
          <cell r="D5691">
            <v>-41.018273780000001</v>
          </cell>
        </row>
        <row r="5692">
          <cell r="A5692" t="str">
            <v>Vargem Bonita</v>
          </cell>
          <cell r="B5692">
            <v>303321</v>
          </cell>
          <cell r="C5692">
            <v>-20.333734490000001</v>
          </cell>
          <cell r="D5692">
            <v>-46.369212470000001</v>
          </cell>
        </row>
        <row r="5693">
          <cell r="A5693" t="str">
            <v>Vargem Bonita</v>
          </cell>
          <cell r="B5693">
            <v>305106</v>
          </cell>
          <cell r="C5693">
            <v>-27.005929200000001</v>
          </cell>
          <cell r="D5693">
            <v>-51.740682710000002</v>
          </cell>
        </row>
        <row r="5694">
          <cell r="A5694" t="str">
            <v>Vargem Grande</v>
          </cell>
          <cell r="B5694">
            <v>301662</v>
          </cell>
          <cell r="C5694">
            <v>-3.5453875990000001</v>
          </cell>
          <cell r="D5694">
            <v>-43.91741116</v>
          </cell>
        </row>
        <row r="5695">
          <cell r="A5695" t="str">
            <v>Vargem Grande do Rio Pardo</v>
          </cell>
          <cell r="B5695">
            <v>302120</v>
          </cell>
          <cell r="C5695">
            <v>-15.401575790000001</v>
          </cell>
          <cell r="D5695">
            <v>-42.309637500000001</v>
          </cell>
        </row>
        <row r="5696">
          <cell r="A5696" t="str">
            <v>Vargem Grande do Sul</v>
          </cell>
          <cell r="B5696">
            <v>303526</v>
          </cell>
          <cell r="C5696">
            <v>-21.832667300000001</v>
          </cell>
          <cell r="D5696">
            <v>-46.891681910000003</v>
          </cell>
        </row>
        <row r="5697">
          <cell r="A5697" t="str">
            <v>Vargem Grande Paulista</v>
          </cell>
          <cell r="B5697">
            <v>303752</v>
          </cell>
          <cell r="C5697">
            <v>-23.599816409999999</v>
          </cell>
          <cell r="D5697">
            <v>-47.022439910000003</v>
          </cell>
        </row>
        <row r="5698">
          <cell r="A5698" t="str">
            <v>Varginha</v>
          </cell>
          <cell r="B5698">
            <v>303223</v>
          </cell>
          <cell r="C5698">
            <v>-21.556056810000001</v>
          </cell>
          <cell r="D5698">
            <v>-45.4368093</v>
          </cell>
        </row>
        <row r="5699">
          <cell r="A5699" t="str">
            <v>Varjão</v>
          </cell>
          <cell r="B5699">
            <v>303379</v>
          </cell>
          <cell r="C5699">
            <v>-17.044016589999998</v>
          </cell>
          <cell r="D5699">
            <v>-49.632418850000001</v>
          </cell>
        </row>
        <row r="5700">
          <cell r="A5700" t="str">
            <v>Varjão de Minas</v>
          </cell>
          <cell r="B5700">
            <v>302964</v>
          </cell>
          <cell r="C5700">
            <v>-18.378589259999998</v>
          </cell>
          <cell r="D5700">
            <v>-46.031027610000002</v>
          </cell>
        </row>
        <row r="5701">
          <cell r="A5701" t="str">
            <v>Varjota</v>
          </cell>
          <cell r="B5701">
            <v>301337</v>
          </cell>
          <cell r="C5701">
            <v>-4.1942691019999998</v>
          </cell>
          <cell r="D5701">
            <v>-40.474409399999999</v>
          </cell>
        </row>
        <row r="5702">
          <cell r="A5702" t="str">
            <v>Varre-Sai</v>
          </cell>
          <cell r="B5702">
            <v>302629</v>
          </cell>
          <cell r="C5702">
            <v>-20.928042399999999</v>
          </cell>
          <cell r="D5702">
            <v>-41.870448580000001</v>
          </cell>
        </row>
        <row r="5703">
          <cell r="A5703" t="str">
            <v>Várzea</v>
          </cell>
          <cell r="B5703">
            <v>300423</v>
          </cell>
          <cell r="C5703">
            <v>-6.3468263330000001</v>
          </cell>
          <cell r="D5703">
            <v>-35.373472870000001</v>
          </cell>
        </row>
        <row r="5704">
          <cell r="A5704" t="str">
            <v>Várzea</v>
          </cell>
          <cell r="B5704">
            <v>300967</v>
          </cell>
          <cell r="C5704">
            <v>-6.7709243539999999</v>
          </cell>
          <cell r="D5704">
            <v>-36.992527029999998</v>
          </cell>
        </row>
        <row r="5705">
          <cell r="A5705" t="str">
            <v>Várzea Alegre</v>
          </cell>
          <cell r="B5705">
            <v>300832</v>
          </cell>
          <cell r="C5705">
            <v>-6.7897974230000004</v>
          </cell>
          <cell r="D5705">
            <v>-39.295182390000001</v>
          </cell>
        </row>
        <row r="5706">
          <cell r="A5706" t="str">
            <v>Várzea Branca</v>
          </cell>
          <cell r="B5706">
            <v>302052</v>
          </cell>
          <cell r="C5706">
            <v>-9.2401695060000009</v>
          </cell>
          <cell r="D5706">
            <v>-42.964610280000002</v>
          </cell>
        </row>
        <row r="5707">
          <cell r="A5707" t="str">
            <v>Várzea da Palma</v>
          </cell>
          <cell r="B5707">
            <v>302945</v>
          </cell>
          <cell r="C5707">
            <v>-17.597995730000001</v>
          </cell>
          <cell r="D5707">
            <v>-44.730957109999999</v>
          </cell>
        </row>
        <row r="5708">
          <cell r="A5708" t="str">
            <v>Várzea da Roça</v>
          </cell>
          <cell r="B5708">
            <v>301456</v>
          </cell>
          <cell r="C5708">
            <v>-11.606985999999999</v>
          </cell>
          <cell r="D5708">
            <v>-40.138635569999998</v>
          </cell>
        </row>
        <row r="5709">
          <cell r="A5709" t="str">
            <v>Várzea do Poço</v>
          </cell>
          <cell r="B5709">
            <v>301449</v>
          </cell>
          <cell r="C5709">
            <v>-11.52735171</v>
          </cell>
          <cell r="D5709">
            <v>-40.318682510000002</v>
          </cell>
        </row>
        <row r="5710">
          <cell r="A5710" t="str">
            <v>Várzea Grande</v>
          </cell>
          <cell r="B5710">
            <v>304650</v>
          </cell>
          <cell r="C5710">
            <v>-15.646249449999999</v>
          </cell>
          <cell r="D5710">
            <v>-56.132654219999999</v>
          </cell>
        </row>
        <row r="5711">
          <cell r="A5711" t="str">
            <v>Várzea Grande</v>
          </cell>
          <cell r="B5711">
            <v>301804</v>
          </cell>
          <cell r="C5711">
            <v>-6.5494043179999997</v>
          </cell>
          <cell r="D5711">
            <v>-42.248312820000002</v>
          </cell>
        </row>
        <row r="5712">
          <cell r="A5712" t="str">
            <v>Várzea Nova</v>
          </cell>
          <cell r="B5712">
            <v>301492</v>
          </cell>
          <cell r="C5712">
            <v>-11.2561236</v>
          </cell>
          <cell r="D5712">
            <v>-40.943508170000001</v>
          </cell>
        </row>
        <row r="5713">
          <cell r="A5713" t="str">
            <v>Várzea Paulista</v>
          </cell>
          <cell r="B5713">
            <v>303731</v>
          </cell>
          <cell r="C5713">
            <v>-23.214059769999999</v>
          </cell>
          <cell r="D5713">
            <v>-46.823843400000001</v>
          </cell>
        </row>
        <row r="5714">
          <cell r="A5714" t="str">
            <v>Varzedo</v>
          </cell>
          <cell r="B5714">
            <v>301723</v>
          </cell>
          <cell r="C5714">
            <v>-12.96760244</v>
          </cell>
          <cell r="D5714">
            <v>-39.392200279999997</v>
          </cell>
        </row>
        <row r="5715">
          <cell r="A5715" t="str">
            <v>Varzelândia</v>
          </cell>
          <cell r="B5715">
            <v>303038</v>
          </cell>
          <cell r="C5715">
            <v>-15.703902080000001</v>
          </cell>
          <cell r="D5715">
            <v>-44.029749270000003</v>
          </cell>
        </row>
        <row r="5716">
          <cell r="A5716" t="str">
            <v>Vassouras</v>
          </cell>
          <cell r="B5716">
            <v>303149</v>
          </cell>
          <cell r="C5716">
            <v>-22.40637182</v>
          </cell>
          <cell r="D5716">
            <v>-43.66893022</v>
          </cell>
        </row>
        <row r="5717">
          <cell r="A5717" t="str">
            <v>Vazante</v>
          </cell>
          <cell r="B5717">
            <v>304936</v>
          </cell>
          <cell r="C5717">
            <v>-17.99021948</v>
          </cell>
          <cell r="D5717">
            <v>-46.900836179999999</v>
          </cell>
        </row>
        <row r="5718">
          <cell r="A5718" t="str">
            <v>Venâncio Aires</v>
          </cell>
          <cell r="B5718">
            <v>305510</v>
          </cell>
          <cell r="C5718">
            <v>-29.614782250000001</v>
          </cell>
          <cell r="D5718">
            <v>-52.193617629999999</v>
          </cell>
        </row>
        <row r="5719">
          <cell r="A5719" t="str">
            <v>Venda Nova do Imigrante</v>
          </cell>
          <cell r="B5719">
            <v>302546</v>
          </cell>
          <cell r="C5719">
            <v>-20.32749755</v>
          </cell>
          <cell r="D5719">
            <v>-41.135896860000003</v>
          </cell>
        </row>
        <row r="5720">
          <cell r="A5720" t="str">
            <v>Venha-Ver</v>
          </cell>
          <cell r="B5720">
            <v>300991</v>
          </cell>
          <cell r="C5720">
            <v>-6.3152013199999999</v>
          </cell>
          <cell r="D5720">
            <v>-38.487691519999998</v>
          </cell>
        </row>
        <row r="5721">
          <cell r="A5721" t="str">
            <v>Ventania</v>
          </cell>
          <cell r="B5721">
            <v>303974</v>
          </cell>
          <cell r="C5721">
            <v>-24.245987410000001</v>
          </cell>
          <cell r="D5721">
            <v>-50.242946510000003</v>
          </cell>
        </row>
        <row r="5722">
          <cell r="A5722" t="str">
            <v>Venturosa</v>
          </cell>
          <cell r="B5722">
            <v>301195</v>
          </cell>
          <cell r="C5722">
            <v>-8.5764555520000005</v>
          </cell>
          <cell r="D5722">
            <v>-36.876205050000003</v>
          </cell>
        </row>
        <row r="5723">
          <cell r="A5723" t="str">
            <v>Vera</v>
          </cell>
          <cell r="B5723">
            <v>304562</v>
          </cell>
          <cell r="C5723">
            <v>-12.289116549999999</v>
          </cell>
          <cell r="D5723">
            <v>-55.29691613</v>
          </cell>
        </row>
        <row r="5724">
          <cell r="A5724" t="str">
            <v>Vera Cruz</v>
          </cell>
          <cell r="B5724">
            <v>301519</v>
          </cell>
          <cell r="C5724">
            <v>-12.963744480000001</v>
          </cell>
          <cell r="D5724">
            <v>-38.617736100000002</v>
          </cell>
        </row>
        <row r="5725">
          <cell r="A5725" t="str">
            <v>Vera Cruz</v>
          </cell>
          <cell r="B5725">
            <v>302327</v>
          </cell>
          <cell r="C5725">
            <v>-6.0444017399999996</v>
          </cell>
          <cell r="D5725">
            <v>-35.428270050000002</v>
          </cell>
        </row>
        <row r="5726">
          <cell r="A5726" t="str">
            <v>Vera Cruz</v>
          </cell>
          <cell r="B5726">
            <v>304429</v>
          </cell>
          <cell r="C5726">
            <v>-22.2187752</v>
          </cell>
          <cell r="D5726">
            <v>-49.821151129999997</v>
          </cell>
        </row>
        <row r="5727">
          <cell r="A5727" t="str">
            <v>Vera Cruz</v>
          </cell>
          <cell r="B5727">
            <v>305555</v>
          </cell>
          <cell r="C5727">
            <v>-29.71891029</v>
          </cell>
          <cell r="D5727">
            <v>-52.515637169999998</v>
          </cell>
        </row>
        <row r="5728">
          <cell r="A5728" t="str">
            <v>Vera Cruz do Oeste</v>
          </cell>
          <cell r="B5728">
            <v>305014</v>
          </cell>
          <cell r="C5728">
            <v>-25.058150739999999</v>
          </cell>
          <cell r="D5728">
            <v>-53.877546459999998</v>
          </cell>
        </row>
        <row r="5729">
          <cell r="A5729" t="str">
            <v>Vera Mendes</v>
          </cell>
          <cell r="B5729">
            <v>301067</v>
          </cell>
          <cell r="C5729">
            <v>-7.5978989199999996</v>
          </cell>
          <cell r="D5729">
            <v>-41.467671260000003</v>
          </cell>
        </row>
        <row r="5730">
          <cell r="A5730" t="str">
            <v>Veranópolis</v>
          </cell>
          <cell r="B5730">
            <v>305187</v>
          </cell>
          <cell r="C5730">
            <v>-28.93167433</v>
          </cell>
          <cell r="D5730">
            <v>-51.552065460000001</v>
          </cell>
        </row>
        <row r="5731">
          <cell r="A5731" t="str">
            <v>Verdejante</v>
          </cell>
          <cell r="B5731">
            <v>300862</v>
          </cell>
          <cell r="C5731">
            <v>-7.9304903180000004</v>
          </cell>
          <cell r="D5731">
            <v>-38.969875889999997</v>
          </cell>
        </row>
        <row r="5732">
          <cell r="A5732" t="str">
            <v>Verdelândia</v>
          </cell>
          <cell r="B5732">
            <v>303037</v>
          </cell>
          <cell r="C5732">
            <v>-15.592666599999999</v>
          </cell>
          <cell r="D5732">
            <v>-43.60699159</v>
          </cell>
        </row>
        <row r="5733">
          <cell r="A5733" t="str">
            <v>Verê</v>
          </cell>
          <cell r="B5733">
            <v>305637</v>
          </cell>
          <cell r="C5733">
            <v>-25.87766834</v>
          </cell>
          <cell r="D5733">
            <v>-52.905555630000002</v>
          </cell>
        </row>
        <row r="5734">
          <cell r="A5734" t="str">
            <v>Vereda</v>
          </cell>
          <cell r="B5734">
            <v>302420</v>
          </cell>
          <cell r="C5734">
            <v>-17.21872518</v>
          </cell>
          <cell r="D5734">
            <v>-40.097705980000001</v>
          </cell>
        </row>
        <row r="5735">
          <cell r="A5735" t="str">
            <v>Veredinha</v>
          </cell>
          <cell r="B5735">
            <v>302663</v>
          </cell>
          <cell r="C5735">
            <v>-17.397849399999998</v>
          </cell>
          <cell r="D5735">
            <v>-42.73105408</v>
          </cell>
        </row>
        <row r="5736">
          <cell r="A5736" t="str">
            <v>Vergara</v>
          </cell>
          <cell r="B5736">
            <v>314304</v>
          </cell>
          <cell r="C5736">
            <v>-32.939582819999998</v>
          </cell>
          <cell r="D5736">
            <v>-53.943688459999997</v>
          </cell>
        </row>
        <row r="5737">
          <cell r="A5737" t="str">
            <v>Veríssimo</v>
          </cell>
          <cell r="B5737">
            <v>303404</v>
          </cell>
          <cell r="C5737">
            <v>-19.662993490000002</v>
          </cell>
          <cell r="D5737">
            <v>-48.307951109999998</v>
          </cell>
        </row>
        <row r="5738">
          <cell r="A5738" t="str">
            <v>Vermelho Novo</v>
          </cell>
          <cell r="B5738">
            <v>303572</v>
          </cell>
          <cell r="C5738">
            <v>-20.041095129999999</v>
          </cell>
          <cell r="D5738">
            <v>-42.269156379999998</v>
          </cell>
        </row>
        <row r="5739">
          <cell r="A5739" t="str">
            <v>Vertente do Lério</v>
          </cell>
          <cell r="B5739">
            <v>301318</v>
          </cell>
          <cell r="C5739">
            <v>-7.7712670849999999</v>
          </cell>
          <cell r="D5739">
            <v>-35.849349289999999</v>
          </cell>
        </row>
        <row r="5740">
          <cell r="A5740" t="str">
            <v>Vertentes</v>
          </cell>
          <cell r="B5740">
            <v>300587</v>
          </cell>
          <cell r="C5740">
            <v>-7.90361197</v>
          </cell>
          <cell r="D5740">
            <v>-35.986697470000003</v>
          </cell>
        </row>
        <row r="5741">
          <cell r="A5741" t="str">
            <v>Vespasiano</v>
          </cell>
          <cell r="B5741">
            <v>302827</v>
          </cell>
          <cell r="C5741">
            <v>-19.688798370000001</v>
          </cell>
          <cell r="D5741">
            <v>-43.924270249999999</v>
          </cell>
        </row>
        <row r="5742">
          <cell r="A5742" t="str">
            <v>Vespasiano Correa</v>
          </cell>
          <cell r="B5742">
            <v>305197</v>
          </cell>
          <cell r="C5742">
            <v>-29.06798122</v>
          </cell>
          <cell r="D5742">
            <v>-51.858941649999998</v>
          </cell>
        </row>
        <row r="5743">
          <cell r="A5743" t="str">
            <v>Viadutos</v>
          </cell>
          <cell r="B5743">
            <v>305668</v>
          </cell>
          <cell r="C5743">
            <v>-27.57203938</v>
          </cell>
          <cell r="D5743">
            <v>-52.021592759999997</v>
          </cell>
        </row>
        <row r="5744">
          <cell r="A5744" t="str">
            <v>Viamão</v>
          </cell>
          <cell r="B5744">
            <v>305499</v>
          </cell>
          <cell r="C5744">
            <v>-30.082380029999999</v>
          </cell>
          <cell r="D5744">
            <v>-51.019888090000002</v>
          </cell>
        </row>
        <row r="5745">
          <cell r="A5745" t="str">
            <v>Viana</v>
          </cell>
          <cell r="B5745">
            <v>301706</v>
          </cell>
          <cell r="C5745">
            <v>-3.2118967939999998</v>
          </cell>
          <cell r="D5745">
            <v>-44.999531179999998</v>
          </cell>
        </row>
        <row r="5746">
          <cell r="A5746" t="str">
            <v>Viana</v>
          </cell>
          <cell r="B5746">
            <v>302516</v>
          </cell>
          <cell r="C5746">
            <v>-20.382985059999999</v>
          </cell>
          <cell r="D5746">
            <v>-40.493639279999996</v>
          </cell>
        </row>
        <row r="5747">
          <cell r="A5747" t="str">
            <v>Vianópolis</v>
          </cell>
          <cell r="B5747">
            <v>302815</v>
          </cell>
          <cell r="C5747">
            <v>-16.74573432</v>
          </cell>
          <cell r="D5747">
            <v>-48.506622780000001</v>
          </cell>
        </row>
        <row r="5748">
          <cell r="A5748" t="str">
            <v>Vicência</v>
          </cell>
          <cell r="B5748">
            <v>300485</v>
          </cell>
          <cell r="C5748">
            <v>-7.6564512860000002</v>
          </cell>
          <cell r="D5748">
            <v>-35.321833570000003</v>
          </cell>
        </row>
        <row r="5749">
          <cell r="A5749" t="str">
            <v>Vicente Dutra</v>
          </cell>
          <cell r="B5749">
            <v>305322</v>
          </cell>
          <cell r="C5749">
            <v>-27.16121717</v>
          </cell>
          <cell r="D5749">
            <v>-53.402666699999997</v>
          </cell>
        </row>
        <row r="5750">
          <cell r="A5750" t="str">
            <v>Vicentina</v>
          </cell>
          <cell r="B5750">
            <v>304858</v>
          </cell>
          <cell r="C5750">
            <v>-22.40984705</v>
          </cell>
          <cell r="D5750">
            <v>-54.437602120000001</v>
          </cell>
        </row>
        <row r="5751">
          <cell r="A5751" t="str">
            <v>Vicentinópolis</v>
          </cell>
          <cell r="B5751">
            <v>303384</v>
          </cell>
          <cell r="C5751">
            <v>-17.732657069999998</v>
          </cell>
          <cell r="D5751">
            <v>-49.805151420000001</v>
          </cell>
        </row>
        <row r="5752">
          <cell r="A5752" t="str">
            <v>Viçosa</v>
          </cell>
          <cell r="B5752">
            <v>302759</v>
          </cell>
          <cell r="C5752">
            <v>-20.756394619999998</v>
          </cell>
          <cell r="D5752">
            <v>-42.874535369999997</v>
          </cell>
        </row>
        <row r="5753">
          <cell r="A5753" t="str">
            <v>Viçosa</v>
          </cell>
          <cell r="B5753">
            <v>300753</v>
          </cell>
          <cell r="C5753">
            <v>-5.9829395639999996</v>
          </cell>
          <cell r="D5753">
            <v>-37.946545460000003</v>
          </cell>
        </row>
        <row r="5754">
          <cell r="A5754" t="str">
            <v>Viçosa</v>
          </cell>
          <cell r="B5754">
            <v>301133</v>
          </cell>
          <cell r="C5754">
            <v>-9.3718891689999992</v>
          </cell>
          <cell r="D5754">
            <v>-36.242251330000002</v>
          </cell>
        </row>
        <row r="5755">
          <cell r="A5755" t="str">
            <v>Viçosa do Ceará</v>
          </cell>
          <cell r="B5755">
            <v>300845</v>
          </cell>
          <cell r="C5755">
            <v>-3.5670969320000001</v>
          </cell>
          <cell r="D5755">
            <v>-41.091884409999999</v>
          </cell>
        </row>
        <row r="5756">
          <cell r="A5756" t="str">
            <v>Victor Graeff</v>
          </cell>
          <cell r="B5756">
            <v>305388</v>
          </cell>
          <cell r="C5756">
            <v>-28.563635690000002</v>
          </cell>
          <cell r="D5756">
            <v>-52.749992519999999</v>
          </cell>
        </row>
        <row r="5757">
          <cell r="A5757" t="str">
            <v>Vidal Ramos</v>
          </cell>
          <cell r="B5757">
            <v>304080</v>
          </cell>
          <cell r="C5757">
            <v>-27.389124420000002</v>
          </cell>
          <cell r="D5757">
            <v>-49.359769700000001</v>
          </cell>
        </row>
        <row r="5758">
          <cell r="A5758" t="str">
            <v>Videira</v>
          </cell>
          <cell r="B5758">
            <v>305079</v>
          </cell>
          <cell r="C5758">
            <v>-27.00909905</v>
          </cell>
          <cell r="D5758">
            <v>-51.154714990000002</v>
          </cell>
        </row>
        <row r="5759">
          <cell r="A5759" t="str">
            <v>Vieiras</v>
          </cell>
          <cell r="B5759">
            <v>302733</v>
          </cell>
          <cell r="C5759">
            <v>-20.867480390000001</v>
          </cell>
          <cell r="D5759">
            <v>-42.2404121</v>
          </cell>
        </row>
        <row r="5760">
          <cell r="A5760" t="str">
            <v>Vieirópolis</v>
          </cell>
          <cell r="B5760">
            <v>300937</v>
          </cell>
          <cell r="C5760">
            <v>-6.5072586479999996</v>
          </cell>
          <cell r="D5760">
            <v>-38.256977990000003</v>
          </cell>
        </row>
        <row r="5761">
          <cell r="A5761" t="str">
            <v>Vigia</v>
          </cell>
          <cell r="B5761">
            <v>301902</v>
          </cell>
          <cell r="C5761">
            <v>-0.86156986000000002</v>
          </cell>
          <cell r="D5761">
            <v>-48.139024399999997</v>
          </cell>
        </row>
        <row r="5762">
          <cell r="A5762" t="str">
            <v>Vila Alta</v>
          </cell>
          <cell r="B5762">
            <v>305071</v>
          </cell>
          <cell r="C5762">
            <v>-23.508596910000001</v>
          </cell>
          <cell r="D5762">
            <v>-53.728981150000003</v>
          </cell>
        </row>
        <row r="5763">
          <cell r="A5763" t="str">
            <v>Vila Bela da Santíssima Trindade</v>
          </cell>
          <cell r="B5763">
            <v>304317</v>
          </cell>
          <cell r="C5763">
            <v>-15.00436204</v>
          </cell>
          <cell r="D5763">
            <v>-59.947710090000001</v>
          </cell>
        </row>
        <row r="5764">
          <cell r="A5764" t="str">
            <v>Vila Boa</v>
          </cell>
          <cell r="B5764">
            <v>302763</v>
          </cell>
          <cell r="C5764">
            <v>-15.03412443</v>
          </cell>
          <cell r="D5764">
            <v>-47.0528847</v>
          </cell>
        </row>
        <row r="5765">
          <cell r="A5765" t="str">
            <v>Vila Flor</v>
          </cell>
          <cell r="B5765">
            <v>302333</v>
          </cell>
          <cell r="C5765">
            <v>-6.3138476810000004</v>
          </cell>
          <cell r="D5765">
            <v>-35.076307460000002</v>
          </cell>
        </row>
        <row r="5766">
          <cell r="A5766" t="str">
            <v>Vila Flores</v>
          </cell>
          <cell r="B5766">
            <v>305186</v>
          </cell>
          <cell r="C5766">
            <v>-28.86030221</v>
          </cell>
          <cell r="D5766">
            <v>-51.550822140000001</v>
          </cell>
        </row>
        <row r="5767">
          <cell r="A5767" t="str">
            <v>Vila Lângaro</v>
          </cell>
          <cell r="B5767">
            <v>305165</v>
          </cell>
          <cell r="C5767">
            <v>-28.106657940000002</v>
          </cell>
          <cell r="D5767">
            <v>-52.144246750000001</v>
          </cell>
        </row>
        <row r="5768">
          <cell r="A5768" t="str">
            <v>Vila Maria</v>
          </cell>
          <cell r="B5768">
            <v>305207</v>
          </cell>
          <cell r="C5768">
            <v>-28.536327660000001</v>
          </cell>
          <cell r="D5768">
            <v>-52.149101600000002</v>
          </cell>
        </row>
        <row r="5769">
          <cell r="A5769" t="str">
            <v>Vila Nova do Piauí</v>
          </cell>
          <cell r="B5769">
            <v>301036</v>
          </cell>
          <cell r="C5769">
            <v>-7.1422818250000004</v>
          </cell>
          <cell r="D5769">
            <v>-40.939525519999997</v>
          </cell>
        </row>
        <row r="5770">
          <cell r="A5770" t="str">
            <v>Vila Nova do Sul</v>
          </cell>
          <cell r="B5770">
            <v>305708</v>
          </cell>
          <cell r="C5770">
            <v>-30.348643859999999</v>
          </cell>
          <cell r="D5770">
            <v>-53.877169879999997</v>
          </cell>
        </row>
        <row r="5771">
          <cell r="A5771" t="str">
            <v>Vila Nova dos Martírios</v>
          </cell>
          <cell r="B5771">
            <v>301965</v>
          </cell>
          <cell r="C5771">
            <v>-5.1819678339999999</v>
          </cell>
          <cell r="D5771">
            <v>-48.138016630000003</v>
          </cell>
        </row>
        <row r="5772">
          <cell r="A5772" t="str">
            <v>Vila Pavão</v>
          </cell>
          <cell r="B5772">
            <v>302474</v>
          </cell>
          <cell r="C5772">
            <v>-18.609561429999999</v>
          </cell>
          <cell r="D5772">
            <v>-40.60933636</v>
          </cell>
        </row>
        <row r="5773">
          <cell r="A5773" t="str">
            <v>Vila Propício</v>
          </cell>
          <cell r="B5773">
            <v>302809</v>
          </cell>
          <cell r="C5773">
            <v>-15.45601636</v>
          </cell>
          <cell r="D5773">
            <v>-48.882738199999999</v>
          </cell>
        </row>
        <row r="5774">
          <cell r="A5774" t="str">
            <v>Vila Rica</v>
          </cell>
          <cell r="B5774">
            <v>304187</v>
          </cell>
          <cell r="C5774">
            <v>-10.014086669999999</v>
          </cell>
          <cell r="D5774">
            <v>-51.118997999999998</v>
          </cell>
        </row>
        <row r="5775">
          <cell r="A5775" t="str">
            <v>Vila Valério</v>
          </cell>
          <cell r="B5775">
            <v>302889</v>
          </cell>
          <cell r="C5775">
            <v>-18.996242500000001</v>
          </cell>
          <cell r="D5775">
            <v>-40.385256509999998</v>
          </cell>
        </row>
        <row r="5776">
          <cell r="A5776" t="str">
            <v>Vila Velha</v>
          </cell>
          <cell r="B5776">
            <v>302511</v>
          </cell>
          <cell r="C5776">
            <v>-20.342187089999999</v>
          </cell>
          <cell r="D5776">
            <v>-40.287803390000001</v>
          </cell>
        </row>
        <row r="5777">
          <cell r="A5777" t="str">
            <v>Vilhena</v>
          </cell>
          <cell r="B5777">
            <v>304309</v>
          </cell>
          <cell r="C5777">
            <v>-12.75060049</v>
          </cell>
          <cell r="D5777">
            <v>-60.149297670000003</v>
          </cell>
        </row>
        <row r="5778">
          <cell r="A5778" t="str">
            <v>Villa Ana</v>
          </cell>
          <cell r="B5778">
            <v>314338</v>
          </cell>
          <cell r="C5778">
            <v>-28.49091048</v>
          </cell>
          <cell r="D5778">
            <v>-59.60830799</v>
          </cell>
        </row>
        <row r="5779">
          <cell r="A5779" t="str">
            <v>Villa Bella</v>
          </cell>
          <cell r="B5779">
            <v>314440</v>
          </cell>
          <cell r="C5779">
            <v>-10.415572940000001</v>
          </cell>
          <cell r="D5779">
            <v>-65.388698460000001</v>
          </cell>
        </row>
        <row r="5780">
          <cell r="A5780" t="str">
            <v>Villa de Jumbilla</v>
          </cell>
          <cell r="B5780">
            <v>314506</v>
          </cell>
          <cell r="C5780">
            <v>-5.8824428229999999</v>
          </cell>
          <cell r="D5780">
            <v>-77.746717090000004</v>
          </cell>
        </row>
        <row r="5781">
          <cell r="A5781" t="str">
            <v>Villa Florida</v>
          </cell>
          <cell r="B5781">
            <v>314513</v>
          </cell>
          <cell r="C5781">
            <v>-26.423130960000002</v>
          </cell>
          <cell r="D5781">
            <v>-57.065932109999999</v>
          </cell>
        </row>
        <row r="5782">
          <cell r="A5782" t="str">
            <v>Villa Franca</v>
          </cell>
          <cell r="B5782">
            <v>314394</v>
          </cell>
          <cell r="C5782">
            <v>-26.323584289999999</v>
          </cell>
          <cell r="D5782">
            <v>-58.126001520000003</v>
          </cell>
        </row>
        <row r="5783">
          <cell r="A5783" t="str">
            <v>Villa Hayes</v>
          </cell>
          <cell r="B5783">
            <v>314284</v>
          </cell>
          <cell r="C5783">
            <v>-25.10181957</v>
          </cell>
          <cell r="D5783">
            <v>-57.499409270000001</v>
          </cell>
        </row>
        <row r="5784">
          <cell r="A5784" t="str">
            <v>Villa Oliva</v>
          </cell>
          <cell r="B5784">
            <v>314386</v>
          </cell>
          <cell r="C5784">
            <v>-26.042921849999999</v>
          </cell>
          <cell r="D5784">
            <v>-57.84423185</v>
          </cell>
        </row>
        <row r="5785">
          <cell r="A5785" t="str">
            <v>Villaguay</v>
          </cell>
          <cell r="B5785">
            <v>314357</v>
          </cell>
          <cell r="C5785">
            <v>-31.860050950000002</v>
          </cell>
          <cell r="D5785">
            <v>-59.029874</v>
          </cell>
        </row>
        <row r="5786">
          <cell r="A5786" t="str">
            <v>Villalbin</v>
          </cell>
          <cell r="B5786">
            <v>314396</v>
          </cell>
          <cell r="C5786">
            <v>-27.159256079999999</v>
          </cell>
          <cell r="D5786">
            <v>-57.915836890000001</v>
          </cell>
        </row>
        <row r="5787">
          <cell r="A5787" t="str">
            <v>Villarrica</v>
          </cell>
          <cell r="B5787">
            <v>314352</v>
          </cell>
          <cell r="C5787">
            <v>-25.780126020000001</v>
          </cell>
          <cell r="D5787">
            <v>-56.440927039999998</v>
          </cell>
        </row>
        <row r="5788">
          <cell r="A5788" t="str">
            <v>Vinhedo</v>
          </cell>
          <cell r="B5788">
            <v>303650</v>
          </cell>
          <cell r="C5788">
            <v>-23.030660810000001</v>
          </cell>
          <cell r="D5788">
            <v>-46.983711939999999</v>
          </cell>
        </row>
        <row r="5789">
          <cell r="A5789" t="str">
            <v>Viradouro</v>
          </cell>
          <cell r="B5789">
            <v>303625</v>
          </cell>
          <cell r="C5789">
            <v>-20.873848890000001</v>
          </cell>
          <cell r="D5789">
            <v>-48.293376549999998</v>
          </cell>
        </row>
        <row r="5790">
          <cell r="A5790" t="str">
            <v>Virgem da Lapa</v>
          </cell>
          <cell r="B5790">
            <v>302651</v>
          </cell>
          <cell r="C5790">
            <v>-16.80747452</v>
          </cell>
          <cell r="D5790">
            <v>-42.343424249999998</v>
          </cell>
        </row>
        <row r="5791">
          <cell r="A5791" t="str">
            <v>Virgínia</v>
          </cell>
          <cell r="B5791">
            <v>303441</v>
          </cell>
          <cell r="C5791">
            <v>-22.3269032</v>
          </cell>
          <cell r="D5791">
            <v>-45.096848029999997</v>
          </cell>
        </row>
        <row r="5792">
          <cell r="A5792" t="str">
            <v>Virginópolis</v>
          </cell>
          <cell r="B5792">
            <v>302696</v>
          </cell>
          <cell r="C5792">
            <v>-18.815880369999999</v>
          </cell>
          <cell r="D5792">
            <v>-42.701851759999997</v>
          </cell>
        </row>
        <row r="5793">
          <cell r="A5793" t="str">
            <v>Virgolândia</v>
          </cell>
          <cell r="B5793">
            <v>302679</v>
          </cell>
          <cell r="C5793">
            <v>-18.474934470000001</v>
          </cell>
          <cell r="D5793">
            <v>-42.307956769999997</v>
          </cell>
        </row>
        <row r="5794">
          <cell r="A5794" t="str">
            <v>Virmond</v>
          </cell>
          <cell r="B5794">
            <v>305092</v>
          </cell>
          <cell r="C5794">
            <v>-25.383379470000001</v>
          </cell>
          <cell r="D5794">
            <v>-52.199156449999997</v>
          </cell>
        </row>
        <row r="5795">
          <cell r="A5795" t="str">
            <v>Visconde do Rio Branco</v>
          </cell>
          <cell r="B5795">
            <v>303259</v>
          </cell>
          <cell r="C5795">
            <v>-21.01320467</v>
          </cell>
          <cell r="D5795">
            <v>-42.836494719999997</v>
          </cell>
        </row>
        <row r="5796">
          <cell r="A5796" t="str">
            <v>Viseu</v>
          </cell>
          <cell r="B5796">
            <v>301883</v>
          </cell>
          <cell r="C5796">
            <v>-1.202384772</v>
          </cell>
          <cell r="D5796">
            <v>-46.138915599999997</v>
          </cell>
        </row>
        <row r="5797">
          <cell r="A5797" t="str">
            <v>Vista Alegre</v>
          </cell>
          <cell r="B5797">
            <v>305409</v>
          </cell>
          <cell r="C5797">
            <v>-27.369087230000002</v>
          </cell>
          <cell r="D5797">
            <v>-53.492333100000003</v>
          </cell>
        </row>
        <row r="5798">
          <cell r="A5798" t="str">
            <v>Vista Alegre do Alto</v>
          </cell>
          <cell r="B5798">
            <v>303806</v>
          </cell>
          <cell r="C5798">
            <v>-21.170991359999999</v>
          </cell>
          <cell r="D5798">
            <v>-48.62895013</v>
          </cell>
        </row>
        <row r="5799">
          <cell r="A5799" t="str">
            <v>Vista Alegre do Prata</v>
          </cell>
          <cell r="B5799">
            <v>305184</v>
          </cell>
          <cell r="C5799">
            <v>-28.805694299999999</v>
          </cell>
          <cell r="D5799">
            <v>-51.795102489999998</v>
          </cell>
        </row>
        <row r="5800">
          <cell r="A5800" t="str">
            <v>Vista Gaúcha</v>
          </cell>
          <cell r="B5800">
            <v>305411</v>
          </cell>
          <cell r="C5800">
            <v>-27.290684429999999</v>
          </cell>
          <cell r="D5800">
            <v>-53.697840030000002</v>
          </cell>
        </row>
        <row r="5801">
          <cell r="A5801" t="str">
            <v>Vista Serrana</v>
          </cell>
          <cell r="B5801">
            <v>300612</v>
          </cell>
          <cell r="C5801">
            <v>-6.7385413160000001</v>
          </cell>
          <cell r="D5801">
            <v>-37.568703630000002</v>
          </cell>
        </row>
        <row r="5802">
          <cell r="A5802" t="str">
            <v>Vitor Meireles</v>
          </cell>
          <cell r="B5802">
            <v>304612</v>
          </cell>
          <cell r="C5802">
            <v>-26.878630860000001</v>
          </cell>
          <cell r="D5802">
            <v>-49.833218879999997</v>
          </cell>
        </row>
        <row r="5803">
          <cell r="A5803" t="str">
            <v>Vitória</v>
          </cell>
          <cell r="B5803">
            <v>295776</v>
          </cell>
          <cell r="C5803">
            <v>-20.316436299999999</v>
          </cell>
          <cell r="D5803">
            <v>-40.313497599999998</v>
          </cell>
        </row>
        <row r="5804">
          <cell r="A5804" t="str">
            <v>Vitória Brasil</v>
          </cell>
          <cell r="B5804">
            <v>304364</v>
          </cell>
          <cell r="C5804">
            <v>-20.196993330000002</v>
          </cell>
          <cell r="D5804">
            <v>-50.483947669999999</v>
          </cell>
        </row>
        <row r="5805">
          <cell r="A5805" t="str">
            <v>Vitória da Conquista</v>
          </cell>
          <cell r="B5805">
            <v>301606</v>
          </cell>
          <cell r="C5805">
            <v>-14.861922959999999</v>
          </cell>
          <cell r="D5805">
            <v>-40.844498360000003</v>
          </cell>
        </row>
        <row r="5806">
          <cell r="A5806" t="str">
            <v>Vitória das Missões</v>
          </cell>
          <cell r="B5806">
            <v>305651</v>
          </cell>
          <cell r="C5806">
            <v>-28.350983379999999</v>
          </cell>
          <cell r="D5806">
            <v>-54.495938010000003</v>
          </cell>
        </row>
        <row r="5807">
          <cell r="A5807" t="str">
            <v>Vitória de Santo Antão</v>
          </cell>
          <cell r="B5807">
            <v>300502</v>
          </cell>
          <cell r="C5807">
            <v>-8.1286167050000007</v>
          </cell>
          <cell r="D5807">
            <v>-35.297911450000001</v>
          </cell>
        </row>
        <row r="5808">
          <cell r="A5808" t="str">
            <v>Vitória do Jari</v>
          </cell>
          <cell r="B5808">
            <v>304673</v>
          </cell>
          <cell r="C5808">
            <v>-0.92960132399999995</v>
          </cell>
          <cell r="D5808">
            <v>-52.42546917</v>
          </cell>
        </row>
        <row r="5809">
          <cell r="A5809" t="str">
            <v>Vitória do Mearim</v>
          </cell>
          <cell r="B5809">
            <v>301708</v>
          </cell>
          <cell r="C5809">
            <v>-3.4516398399999999</v>
          </cell>
          <cell r="D5809">
            <v>-44.864654479999999</v>
          </cell>
        </row>
        <row r="5810">
          <cell r="A5810" t="str">
            <v>Vitória do Xingu</v>
          </cell>
          <cell r="B5810">
            <v>304145</v>
          </cell>
          <cell r="C5810">
            <v>-2.886835617</v>
          </cell>
          <cell r="D5810">
            <v>-52.014573329999997</v>
          </cell>
        </row>
        <row r="5811">
          <cell r="A5811" t="str">
            <v>Vitorino</v>
          </cell>
          <cell r="B5811">
            <v>305278</v>
          </cell>
          <cell r="C5811">
            <v>-26.268750489999999</v>
          </cell>
          <cell r="D5811">
            <v>-52.784714379999997</v>
          </cell>
        </row>
        <row r="5812">
          <cell r="A5812" t="str">
            <v>Vitorino Freire</v>
          </cell>
          <cell r="B5812">
            <v>303587</v>
          </cell>
          <cell r="C5812">
            <v>-4.289113328</v>
          </cell>
          <cell r="D5812">
            <v>-45.246109969999999</v>
          </cell>
        </row>
        <row r="5813">
          <cell r="A5813" t="str">
            <v>Volta Grande</v>
          </cell>
          <cell r="B5813">
            <v>304405</v>
          </cell>
          <cell r="C5813">
            <v>-21.76756911</v>
          </cell>
          <cell r="D5813">
            <v>-42.537866459999996</v>
          </cell>
        </row>
        <row r="5814">
          <cell r="A5814" t="str">
            <v>Volta Redonda</v>
          </cell>
          <cell r="B5814">
            <v>303182</v>
          </cell>
          <cell r="C5814">
            <v>-22.520694200000001</v>
          </cell>
          <cell r="D5814">
            <v>-44.099933579999998</v>
          </cell>
        </row>
        <row r="5815">
          <cell r="A5815" t="str">
            <v>Votorantim</v>
          </cell>
          <cell r="B5815">
            <v>303763</v>
          </cell>
          <cell r="C5815">
            <v>-23.545067159999999</v>
          </cell>
          <cell r="D5815">
            <v>-47.439157549999997</v>
          </cell>
        </row>
        <row r="5816">
          <cell r="A5816" t="str">
            <v>Votuporanga</v>
          </cell>
          <cell r="B5816">
            <v>303475</v>
          </cell>
          <cell r="C5816">
            <v>-20.424120500000001</v>
          </cell>
          <cell r="D5816">
            <v>-49.978524090000001</v>
          </cell>
        </row>
        <row r="5817">
          <cell r="A5817" t="str">
            <v>Wagner</v>
          </cell>
          <cell r="B5817">
            <v>301502</v>
          </cell>
          <cell r="C5817">
            <v>-12.279123350000001</v>
          </cell>
          <cell r="D5817">
            <v>-41.16680779</v>
          </cell>
        </row>
        <row r="5818">
          <cell r="A5818" t="str">
            <v>Wall Ferraz</v>
          </cell>
          <cell r="B5818">
            <v>301055</v>
          </cell>
          <cell r="C5818">
            <v>-7.2319264910000003</v>
          </cell>
          <cell r="D5818">
            <v>-41.905374979999998</v>
          </cell>
        </row>
        <row r="5819">
          <cell r="A5819" t="str">
            <v>Wanderlândia</v>
          </cell>
          <cell r="B5819">
            <v>302009</v>
          </cell>
          <cell r="C5819">
            <v>-6.8531508030000001</v>
          </cell>
          <cell r="D5819">
            <v>-47.960516939999998</v>
          </cell>
        </row>
        <row r="5820">
          <cell r="A5820" t="str">
            <v>Wanderley</v>
          </cell>
          <cell r="B5820">
            <v>302281</v>
          </cell>
          <cell r="C5820">
            <v>-12.11213326</v>
          </cell>
          <cell r="D5820">
            <v>-43.898670850000002</v>
          </cell>
        </row>
        <row r="5821">
          <cell r="A5821" t="str">
            <v>Wenceslau Braz</v>
          </cell>
          <cell r="B5821">
            <v>303449</v>
          </cell>
          <cell r="C5821">
            <v>-22.537315249999999</v>
          </cell>
          <cell r="D5821">
            <v>-45.36302345</v>
          </cell>
        </row>
        <row r="5822">
          <cell r="A5822" t="str">
            <v>Wenceslau Braz</v>
          </cell>
          <cell r="B5822">
            <v>304965</v>
          </cell>
          <cell r="C5822">
            <v>-23.874688760000002</v>
          </cell>
          <cell r="D5822">
            <v>-49.803622140000002</v>
          </cell>
        </row>
        <row r="5823">
          <cell r="A5823" t="str">
            <v>Wenceslau Guimarães</v>
          </cell>
          <cell r="B5823">
            <v>302378</v>
          </cell>
          <cell r="C5823">
            <v>-13.686895460000001</v>
          </cell>
          <cell r="D5823">
            <v>-39.478517160000003</v>
          </cell>
        </row>
        <row r="5824">
          <cell r="A5824" t="str">
            <v>Westfalia</v>
          </cell>
          <cell r="B5824">
            <v>300388</v>
          </cell>
          <cell r="C5824">
            <v>-29.426752879999999</v>
          </cell>
          <cell r="D5824">
            <v>-51.76490957</v>
          </cell>
        </row>
        <row r="5825">
          <cell r="A5825" t="str">
            <v>Witmarsum</v>
          </cell>
          <cell r="B5825">
            <v>304220</v>
          </cell>
          <cell r="C5825">
            <v>-26.927966090000002</v>
          </cell>
          <cell r="D5825">
            <v>-49.795106820000001</v>
          </cell>
        </row>
        <row r="5826">
          <cell r="A5826" t="str">
            <v>Xambioá</v>
          </cell>
          <cell r="B5826">
            <v>302021</v>
          </cell>
          <cell r="C5826">
            <v>-6.4145101210000002</v>
          </cell>
          <cell r="D5826">
            <v>-48.532354099999999</v>
          </cell>
        </row>
        <row r="5827">
          <cell r="A5827" t="str">
            <v>Xambrê</v>
          </cell>
          <cell r="B5827">
            <v>305072</v>
          </cell>
          <cell r="C5827">
            <v>-23.736870100000001</v>
          </cell>
          <cell r="D5827">
            <v>-53.488873499999997</v>
          </cell>
        </row>
        <row r="5828">
          <cell r="A5828" t="str">
            <v>Xangri-lá</v>
          </cell>
          <cell r="B5828">
            <v>304136</v>
          </cell>
          <cell r="C5828">
            <v>-29.801009929999999</v>
          </cell>
          <cell r="D5828">
            <v>-50.043798789999997</v>
          </cell>
        </row>
        <row r="5829">
          <cell r="A5829" t="str">
            <v>Xanxerê</v>
          </cell>
          <cell r="B5829">
            <v>305124</v>
          </cell>
          <cell r="C5829">
            <v>-26.875164850000001</v>
          </cell>
          <cell r="D5829">
            <v>-52.404027380000002</v>
          </cell>
        </row>
        <row r="5830">
          <cell r="A5830" t="str">
            <v>Xapuri</v>
          </cell>
          <cell r="B5830">
            <v>305860</v>
          </cell>
          <cell r="C5830">
            <v>-10.651996799999999</v>
          </cell>
          <cell r="D5830">
            <v>-68.497338350000007</v>
          </cell>
        </row>
        <row r="5831">
          <cell r="A5831" t="str">
            <v>Xavantina</v>
          </cell>
          <cell r="B5831">
            <v>305125</v>
          </cell>
          <cell r="C5831">
            <v>-27.06717141</v>
          </cell>
          <cell r="D5831">
            <v>-52.343442760000002</v>
          </cell>
        </row>
        <row r="5832">
          <cell r="A5832" t="str">
            <v>Xaxim</v>
          </cell>
          <cell r="B5832">
            <v>305286</v>
          </cell>
          <cell r="C5832">
            <v>-26.960113580000002</v>
          </cell>
          <cell r="D5832">
            <v>-52.537895550000002</v>
          </cell>
        </row>
        <row r="5833">
          <cell r="A5833" t="str">
            <v>Xexéu</v>
          </cell>
          <cell r="B5833">
            <v>301091</v>
          </cell>
          <cell r="C5833">
            <v>-8.8050306450000004</v>
          </cell>
          <cell r="D5833">
            <v>-35.621516370000002</v>
          </cell>
        </row>
        <row r="5834">
          <cell r="A5834" t="str">
            <v>Xinguara</v>
          </cell>
          <cell r="B5834">
            <v>302038</v>
          </cell>
          <cell r="C5834">
            <v>-7.0987094209999997</v>
          </cell>
          <cell r="D5834">
            <v>-49.944061099999999</v>
          </cell>
        </row>
        <row r="5835">
          <cell r="A5835" t="str">
            <v>Xique-Xique</v>
          </cell>
          <cell r="B5835">
            <v>302269</v>
          </cell>
          <cell r="C5835">
            <v>-10.82339432</v>
          </cell>
          <cell r="D5835">
            <v>-42.724891939999999</v>
          </cell>
        </row>
        <row r="5836">
          <cell r="A5836" t="str">
            <v>Yabebyry</v>
          </cell>
          <cell r="B5836">
            <v>314414</v>
          </cell>
          <cell r="C5836">
            <v>-27.387614039999999</v>
          </cell>
          <cell r="D5836">
            <v>-57.136614559999998</v>
          </cell>
        </row>
        <row r="5837">
          <cell r="A5837" t="str">
            <v>Yaguarón</v>
          </cell>
          <cell r="B5837">
            <v>314488</v>
          </cell>
          <cell r="C5837">
            <v>-25.567831049999999</v>
          </cell>
          <cell r="D5837">
            <v>-57.260919770000001</v>
          </cell>
        </row>
        <row r="5838">
          <cell r="A5838" t="str">
            <v>Yanahuanca</v>
          </cell>
          <cell r="B5838">
            <v>314379</v>
          </cell>
          <cell r="C5838">
            <v>-10.48324302</v>
          </cell>
          <cell r="D5838">
            <v>-76.516903189999994</v>
          </cell>
        </row>
        <row r="5839">
          <cell r="A5839" t="str">
            <v>Yata</v>
          </cell>
          <cell r="B5839">
            <v>314445</v>
          </cell>
          <cell r="C5839">
            <v>-10.991769059999999</v>
          </cell>
          <cell r="D5839">
            <v>-65.565824050000003</v>
          </cell>
        </row>
        <row r="5840">
          <cell r="A5840" t="str">
            <v>Ybycuí</v>
          </cell>
          <cell r="B5840">
            <v>314482</v>
          </cell>
          <cell r="C5840">
            <v>-26.01620763</v>
          </cell>
          <cell r="D5840">
            <v>-56.984002009999998</v>
          </cell>
        </row>
        <row r="5841">
          <cell r="A5841" t="str">
            <v>Ygatimi</v>
          </cell>
          <cell r="B5841">
            <v>314263</v>
          </cell>
          <cell r="C5841">
            <v>-24.12143966</v>
          </cell>
          <cell r="D5841">
            <v>-55.617565190000001</v>
          </cell>
        </row>
        <row r="5842">
          <cell r="A5842" t="str">
            <v>Yhú</v>
          </cell>
          <cell r="B5842">
            <v>314265</v>
          </cell>
          <cell r="C5842">
            <v>-25.026530359999999</v>
          </cell>
          <cell r="D5842">
            <v>-55.933518280000001</v>
          </cell>
        </row>
        <row r="5843">
          <cell r="A5843" t="str">
            <v>Ypané</v>
          </cell>
          <cell r="B5843">
            <v>314499</v>
          </cell>
          <cell r="C5843">
            <v>-25.466920200000001</v>
          </cell>
          <cell r="D5843">
            <v>-57.476197550000002</v>
          </cell>
        </row>
        <row r="5844">
          <cell r="A5844" t="str">
            <v>Ypé Jhú</v>
          </cell>
          <cell r="B5844">
            <v>314259</v>
          </cell>
          <cell r="C5844">
            <v>-23.902976720000002</v>
          </cell>
          <cell r="D5844">
            <v>-55.454642499999999</v>
          </cell>
        </row>
        <row r="5845">
          <cell r="A5845" t="str">
            <v>Ytaity M. Bocavaty</v>
          </cell>
          <cell r="B5845">
            <v>314343</v>
          </cell>
          <cell r="C5845">
            <v>-25.68724881</v>
          </cell>
          <cell r="D5845">
            <v>-56.45994778</v>
          </cell>
        </row>
        <row r="5846">
          <cell r="A5846" t="str">
            <v>Yungay</v>
          </cell>
          <cell r="B5846">
            <v>314423</v>
          </cell>
          <cell r="C5846">
            <v>-9.1453941010000008</v>
          </cell>
          <cell r="D5846">
            <v>-77.738700820000005</v>
          </cell>
        </row>
        <row r="5847">
          <cell r="A5847" t="str">
            <v>Yurimaguas</v>
          </cell>
          <cell r="B5847">
            <v>314485</v>
          </cell>
          <cell r="C5847">
            <v>-5.884249284</v>
          </cell>
          <cell r="D5847">
            <v>-76.115275519999997</v>
          </cell>
        </row>
        <row r="5848">
          <cell r="A5848" t="str">
            <v>Yuty</v>
          </cell>
          <cell r="B5848">
            <v>314359</v>
          </cell>
          <cell r="C5848">
            <v>-26.588258159999999</v>
          </cell>
          <cell r="D5848">
            <v>-56.171463750000001</v>
          </cell>
        </row>
        <row r="5849">
          <cell r="A5849" t="str">
            <v>Zabelê</v>
          </cell>
          <cell r="B5849">
            <v>300776</v>
          </cell>
          <cell r="C5849">
            <v>-8.0760165480000001</v>
          </cell>
          <cell r="D5849">
            <v>-37.099304289999999</v>
          </cell>
        </row>
        <row r="5850">
          <cell r="A5850" t="str">
            <v>Zacarias</v>
          </cell>
          <cell r="B5850">
            <v>303870</v>
          </cell>
          <cell r="C5850">
            <v>-21.051991959999999</v>
          </cell>
          <cell r="D5850">
            <v>-50.05094802</v>
          </cell>
        </row>
        <row r="5851">
          <cell r="A5851" t="str">
            <v>Zé Doca</v>
          </cell>
          <cell r="B5851">
            <v>303192</v>
          </cell>
          <cell r="C5851">
            <v>-3.2705354880000002</v>
          </cell>
          <cell r="D5851">
            <v>-45.655704489999998</v>
          </cell>
        </row>
        <row r="5852">
          <cell r="A5852" t="str">
            <v>Zortéa</v>
          </cell>
          <cell r="B5852">
            <v>305579</v>
          </cell>
          <cell r="C5852">
            <v>-27.452539659999999</v>
          </cell>
          <cell r="D5852">
            <v>-51.552438289999998</v>
          </cell>
        </row>
        <row r="5853">
          <cell r="A5853" t="str">
            <v>Madri</v>
          </cell>
          <cell r="B5853">
            <v>314526</v>
          </cell>
          <cell r="C5853">
            <v>40.416775399999999</v>
          </cell>
          <cell r="D5853">
            <v>-3.7037901999999998</v>
          </cell>
        </row>
        <row r="5854">
          <cell r="A5854" t="str">
            <v>Washington</v>
          </cell>
          <cell r="B5854">
            <v>314527</v>
          </cell>
          <cell r="C5854">
            <v>38.907192299999998</v>
          </cell>
          <cell r="D5854">
            <v>-77.036870699999994</v>
          </cell>
        </row>
        <row r="5855">
          <cell r="A5855" t="str">
            <v>Tóquio</v>
          </cell>
          <cell r="B5855">
            <v>314528</v>
          </cell>
          <cell r="C5855">
            <v>35.676422500000001</v>
          </cell>
          <cell r="D5855">
            <v>139.65002699999999</v>
          </cell>
        </row>
        <row r="5856">
          <cell r="A5856" t="str">
            <v>Xangai</v>
          </cell>
          <cell r="B5856">
            <v>314529</v>
          </cell>
          <cell r="C5856">
            <v>31.230416000000002</v>
          </cell>
          <cell r="D5856">
            <v>121.47370100000001</v>
          </cell>
        </row>
        <row r="5857">
          <cell r="A5857" t="str">
            <v>Beijing</v>
          </cell>
          <cell r="B5857">
            <v>314530</v>
          </cell>
          <cell r="C5857">
            <v>39.904210999999997</v>
          </cell>
          <cell r="D5857">
            <v>116.40739499999999</v>
          </cell>
        </row>
        <row r="5858">
          <cell r="A5858" t="str">
            <v>Lisboa</v>
          </cell>
          <cell r="B5858">
            <v>314531</v>
          </cell>
          <cell r="C5858">
            <v>38.722252400000002</v>
          </cell>
          <cell r="D5858">
            <v>-9.1393366</v>
          </cell>
        </row>
        <row r="5859">
          <cell r="A5859" t="str">
            <v>Las Vegas</v>
          </cell>
          <cell r="B5859">
            <v>314532</v>
          </cell>
          <cell r="C5859">
            <v>36.171562999999999</v>
          </cell>
          <cell r="D5859">
            <v>-115.1391009</v>
          </cell>
        </row>
        <row r="5860">
          <cell r="A5860" t="str">
            <v>Valencia</v>
          </cell>
          <cell r="B5860">
            <v>314533</v>
          </cell>
          <cell r="C5860">
            <v>39.469907499999998</v>
          </cell>
          <cell r="D5860">
            <v>-0.37628810000000001</v>
          </cell>
        </row>
        <row r="5861">
          <cell r="A5861" t="str">
            <v>Paris</v>
          </cell>
          <cell r="B5861">
            <v>314534</v>
          </cell>
          <cell r="C5861">
            <v>48.857547500000003</v>
          </cell>
          <cell r="D5861">
            <v>2.3513765000000002</v>
          </cell>
        </row>
        <row r="5862">
          <cell r="A5862" t="str">
            <v>Pittsburgh</v>
          </cell>
          <cell r="B5862">
            <v>314535</v>
          </cell>
          <cell r="C5862">
            <v>40.440624800000002</v>
          </cell>
          <cell r="D5862">
            <v>-79.995886400000003</v>
          </cell>
        </row>
        <row r="5863">
          <cell r="A5863" t="str">
            <v>Glasgow</v>
          </cell>
          <cell r="B5863">
            <v>314536</v>
          </cell>
          <cell r="C5863">
            <v>55.861670400000001</v>
          </cell>
          <cell r="D5863">
            <v>-4.2583345000000001</v>
          </cell>
        </row>
        <row r="5864">
          <cell r="A5864" t="str">
            <v>Dubai</v>
          </cell>
          <cell r="B5864">
            <v>314537</v>
          </cell>
          <cell r="C5864">
            <v>25.204849299999999</v>
          </cell>
          <cell r="D5864">
            <v>55.270782799999999</v>
          </cell>
        </row>
        <row r="5865">
          <cell r="A5865" t="str">
            <v>Florença</v>
          </cell>
          <cell r="B5865">
            <v>314538</v>
          </cell>
          <cell r="C5865">
            <v>43.769968499999997</v>
          </cell>
          <cell r="D5865">
            <v>11.257670600000001</v>
          </cell>
        </row>
        <row r="5866">
          <cell r="A5866" t="str">
            <v>Roma</v>
          </cell>
          <cell r="B5866">
            <v>314539</v>
          </cell>
          <cell r="C5866">
            <v>41.896706799999997</v>
          </cell>
          <cell r="D5866">
            <v>12.4822025</v>
          </cell>
        </row>
        <row r="5867">
          <cell r="A5867" t="str">
            <v>Budapeste</v>
          </cell>
          <cell r="B5867">
            <v>314540</v>
          </cell>
          <cell r="C5867">
            <v>47.497911999999999</v>
          </cell>
          <cell r="D5867">
            <v>19.040234999999999</v>
          </cell>
        </row>
        <row r="5868">
          <cell r="A5868" t="str">
            <v>Santiago do Chile</v>
          </cell>
          <cell r="B5868">
            <v>314541</v>
          </cell>
          <cell r="C5868">
            <v>-33.448889700000002</v>
          </cell>
          <cell r="D5868">
            <v>-70.669265499999995</v>
          </cell>
        </row>
        <row r="5869">
          <cell r="A5869" t="str">
            <v>Columbus - Ohio</v>
          </cell>
          <cell r="B5869">
            <v>314542</v>
          </cell>
          <cell r="C5869">
            <v>39.961175500000003</v>
          </cell>
          <cell r="D5869">
            <v>-82.998794200000006</v>
          </cell>
        </row>
        <row r="5870">
          <cell r="A5870" t="str">
            <v>Tallin</v>
          </cell>
          <cell r="B5870">
            <v>314543</v>
          </cell>
          <cell r="C5870">
            <v>59.436960800000001</v>
          </cell>
          <cell r="D5870">
            <v>24.7535746</v>
          </cell>
        </row>
      </sheetData>
      <sheetData sheetId="1">
        <row r="1">
          <cell r="A1" t="str">
            <v>Cod Trechos (únicos)</v>
          </cell>
          <cell r="B1" t="str">
            <v>Trechos Únicos</v>
          </cell>
          <cell r="C1" t="str">
            <v>Emb</v>
          </cell>
          <cell r="D1" t="str">
            <v>CodEmbarque</v>
          </cell>
          <cell r="E1" t="str">
            <v>Des</v>
          </cell>
          <cell r="F1" t="str">
            <v>CodDesembarque</v>
          </cell>
          <cell r="G1" t="str">
            <v>Distância (GCD)</v>
          </cell>
          <cell r="H1" t="str">
            <v>Aeroporto (Embarque)</v>
          </cell>
          <cell r="I1" t="str">
            <v>Latitude</v>
          </cell>
          <cell r="J1" t="str">
            <v>Longitude</v>
          </cell>
          <cell r="K1" t="str">
            <v>Aeroporto (Desembarque)</v>
          </cell>
          <cell r="L1" t="str">
            <v>Latitude</v>
          </cell>
          <cell r="M1" t="str">
            <v>Longitude</v>
          </cell>
        </row>
        <row r="2">
          <cell r="A2">
            <v>87476343695</v>
          </cell>
          <cell r="B2" t="str">
            <v>João Pessoa/Brasília</v>
          </cell>
          <cell r="C2" t="str">
            <v>João Pessoa</v>
          </cell>
          <cell r="D2">
            <v>295765</v>
          </cell>
          <cell r="E2" t="str">
            <v>Brasília</v>
          </cell>
          <cell r="F2">
            <v>295763</v>
          </cell>
          <cell r="G2">
            <v>1713.419991</v>
          </cell>
          <cell r="H2" t="str">
            <v>Aeroporto de João Pessoa</v>
          </cell>
          <cell r="I2">
            <v>-7.1460090999999997</v>
          </cell>
          <cell r="J2">
            <v>-34.9487764</v>
          </cell>
          <cell r="K2" t="str">
            <v>Aeroporto de Brasília</v>
          </cell>
          <cell r="L2">
            <v>-15.8699745</v>
          </cell>
          <cell r="M2">
            <v>-47.9209672</v>
          </cell>
        </row>
        <row r="3">
          <cell r="A3">
            <v>87480780170</v>
          </cell>
          <cell r="B3" t="str">
            <v>João Pessoa/Rio de Janeiro</v>
          </cell>
          <cell r="C3" t="str">
            <v>João Pessoa</v>
          </cell>
          <cell r="D3">
            <v>295765</v>
          </cell>
          <cell r="E3" t="str">
            <v>Rio de Janeiro</v>
          </cell>
          <cell r="F3">
            <v>295778</v>
          </cell>
          <cell r="G3">
            <v>1961.5007860000001</v>
          </cell>
          <cell r="H3" t="str">
            <v>Aeroporto de João Pessoa</v>
          </cell>
          <cell r="I3">
            <v>-7.1460090999999997</v>
          </cell>
          <cell r="J3">
            <v>-34.9487764</v>
          </cell>
          <cell r="K3" t="str">
            <v>Aeroporto de Rio de Janeiro</v>
          </cell>
          <cell r="L3">
            <v>-22.906846699999999</v>
          </cell>
          <cell r="M3">
            <v>-43.1728965</v>
          </cell>
        </row>
        <row r="4">
          <cell r="A4">
            <v>90113384435</v>
          </cell>
          <cell r="B4" t="str">
            <v>Rio Branco/João Pessoa</v>
          </cell>
          <cell r="C4" t="str">
            <v>Rio Branco</v>
          </cell>
          <cell r="D4">
            <v>304679</v>
          </cell>
          <cell r="E4" t="str">
            <v>João Pessoa</v>
          </cell>
          <cell r="F4">
            <v>295765</v>
          </cell>
          <cell r="G4">
            <v>3635.5531019999999</v>
          </cell>
          <cell r="H4" t="str">
            <v>Aeroporto de Rio Branco</v>
          </cell>
          <cell r="I4">
            <v>-9.8664357999999996</v>
          </cell>
          <cell r="J4">
            <v>-67.897356200000004</v>
          </cell>
          <cell r="K4" t="str">
            <v>Aeroporto de João Pessoa</v>
          </cell>
          <cell r="L4">
            <v>-7.1460090999999997</v>
          </cell>
          <cell r="M4">
            <v>-34.9487764</v>
          </cell>
        </row>
        <row r="5">
          <cell r="A5">
            <v>90112775077</v>
          </cell>
          <cell r="B5" t="str">
            <v>Brasília/Rio Branco</v>
          </cell>
          <cell r="C5" t="str">
            <v>Brasília</v>
          </cell>
          <cell r="D5">
            <v>295763</v>
          </cell>
          <cell r="E5" t="str">
            <v>Rio Branco</v>
          </cell>
          <cell r="F5">
            <v>304679</v>
          </cell>
          <cell r="G5">
            <v>2265.0605850000002</v>
          </cell>
          <cell r="H5" t="str">
            <v>Aeroporto de Brasília</v>
          </cell>
          <cell r="I5">
            <v>-15.8699745</v>
          </cell>
          <cell r="J5">
            <v>-47.9209672</v>
          </cell>
          <cell r="K5" t="str">
            <v>Aeroporto de Rio Branco</v>
          </cell>
          <cell r="L5">
            <v>-9.8664357999999996</v>
          </cell>
          <cell r="M5">
            <v>-67.897356200000004</v>
          </cell>
        </row>
        <row r="6">
          <cell r="A6">
            <v>87476639458</v>
          </cell>
          <cell r="B6" t="str">
            <v>Recife/Brasília</v>
          </cell>
          <cell r="C6" t="str">
            <v>Recife</v>
          </cell>
          <cell r="D6">
            <v>295766</v>
          </cell>
          <cell r="E6" t="str">
            <v>Brasília</v>
          </cell>
          <cell r="F6">
            <v>295763</v>
          </cell>
          <cell r="G6">
            <v>1654.211456</v>
          </cell>
          <cell r="H6" t="str">
            <v>Aeroporto de Recife</v>
          </cell>
          <cell r="I6">
            <v>-8.1287392000000001</v>
          </cell>
          <cell r="J6">
            <v>-34.925852599999999</v>
          </cell>
          <cell r="K6" t="str">
            <v>Aeroporto de Brasília</v>
          </cell>
          <cell r="L6">
            <v>-15.8699745</v>
          </cell>
          <cell r="M6">
            <v>-47.9209672</v>
          </cell>
        </row>
        <row r="7">
          <cell r="A7">
            <v>90420980035</v>
          </cell>
          <cell r="B7" t="str">
            <v>Foz do Iguaçu/João Pessoa</v>
          </cell>
          <cell r="C7" t="str">
            <v>Foz do Iguaçu</v>
          </cell>
          <cell r="D7">
            <v>305719</v>
          </cell>
          <cell r="E7" t="str">
            <v>João Pessoa</v>
          </cell>
          <cell r="F7">
            <v>295765</v>
          </cell>
          <cell r="G7">
            <v>2917.0455609999999</v>
          </cell>
          <cell r="H7" t="str">
            <v>Aeroporto de Foz do Iguaçu</v>
          </cell>
          <cell r="I7">
            <v>-25.597779500000001</v>
          </cell>
          <cell r="J7">
            <v>-54.488511199999998</v>
          </cell>
          <cell r="K7" t="str">
            <v>Aeroporto de João Pessoa</v>
          </cell>
          <cell r="L7">
            <v>-7.1460090999999997</v>
          </cell>
          <cell r="M7">
            <v>-34.9487764</v>
          </cell>
        </row>
        <row r="8">
          <cell r="A8">
            <v>90421897192</v>
          </cell>
          <cell r="B8" t="str">
            <v>Foz do Iguaçu/Maceió</v>
          </cell>
          <cell r="C8" t="str">
            <v>Foz do Iguaçu</v>
          </cell>
          <cell r="D8">
            <v>305719</v>
          </cell>
          <cell r="E8" t="str">
            <v>Maceió</v>
          </cell>
          <cell r="F8">
            <v>295768</v>
          </cell>
          <cell r="G8">
            <v>2663.6074760000001</v>
          </cell>
          <cell r="H8" t="str">
            <v>Aeroporto de Foz do Iguaçu</v>
          </cell>
          <cell r="I8">
            <v>-25.597779500000001</v>
          </cell>
          <cell r="J8">
            <v>-54.488511199999998</v>
          </cell>
          <cell r="K8" t="str">
            <v>Aeroporto de Maceió</v>
          </cell>
          <cell r="L8">
            <v>-9.5118603000000004</v>
          </cell>
          <cell r="M8">
            <v>-35.793182799999997</v>
          </cell>
        </row>
        <row r="9">
          <cell r="A9">
            <v>87481075935</v>
          </cell>
          <cell r="B9" t="str">
            <v>São Paulo/João Pessoa</v>
          </cell>
          <cell r="C9" t="str">
            <v>São Paulo</v>
          </cell>
          <cell r="D9">
            <v>295779</v>
          </cell>
          <cell r="E9" t="str">
            <v>João Pessoa</v>
          </cell>
          <cell r="F9">
            <v>295765</v>
          </cell>
          <cell r="G9">
            <v>2189.9742419999998</v>
          </cell>
          <cell r="H9" t="str">
            <v>Aeroporto de São Paulo</v>
          </cell>
          <cell r="I9">
            <v>-23.430217500000001</v>
          </cell>
          <cell r="J9">
            <v>-46.471671100000002</v>
          </cell>
          <cell r="K9" t="str">
            <v>Aeroporto de João Pessoa</v>
          </cell>
          <cell r="L9">
            <v>-7.1460090999999997</v>
          </cell>
          <cell r="M9">
            <v>-34.9487764</v>
          </cell>
        </row>
        <row r="10">
          <cell r="A10">
            <v>87480188640</v>
          </cell>
          <cell r="B10" t="str">
            <v>Vitória/João Pessoa</v>
          </cell>
          <cell r="C10" t="str">
            <v>Vitória</v>
          </cell>
          <cell r="D10">
            <v>295776</v>
          </cell>
          <cell r="E10" t="str">
            <v>João Pessoa</v>
          </cell>
          <cell r="F10">
            <v>295765</v>
          </cell>
          <cell r="G10">
            <v>1568.389426</v>
          </cell>
          <cell r="H10" t="str">
            <v>Aeroporto de Vitória</v>
          </cell>
          <cell r="I10">
            <v>-20.2655119</v>
          </cell>
          <cell r="J10">
            <v>-40.282682299999998</v>
          </cell>
          <cell r="K10" t="str">
            <v>Aeroporto de João Pessoa</v>
          </cell>
          <cell r="L10">
            <v>-7.1460090999999997</v>
          </cell>
          <cell r="M10">
            <v>-34.9487764</v>
          </cell>
        </row>
        <row r="11">
          <cell r="A11">
            <v>87481371700</v>
          </cell>
          <cell r="B11" t="str">
            <v>João Pessoa/Curitiba</v>
          </cell>
          <cell r="C11" t="str">
            <v>João Pessoa</v>
          </cell>
          <cell r="D11">
            <v>295765</v>
          </cell>
          <cell r="E11" t="str">
            <v>Curitiba</v>
          </cell>
          <cell r="F11">
            <v>295780</v>
          </cell>
          <cell r="G11">
            <v>2541.6476309999998</v>
          </cell>
          <cell r="H11" t="str">
            <v>Aeroporto de João Pessoa</v>
          </cell>
          <cell r="I11">
            <v>-7.1460090999999997</v>
          </cell>
          <cell r="J11">
            <v>-34.9487764</v>
          </cell>
          <cell r="K11" t="str">
            <v>Aeroporto de Curitiba</v>
          </cell>
          <cell r="L11">
            <v>-25.529927499999999</v>
          </cell>
          <cell r="M11">
            <v>-49.172387100000002</v>
          </cell>
        </row>
        <row r="12">
          <cell r="A12">
            <v>87480484405</v>
          </cell>
          <cell r="B12" t="str">
            <v>João Pessoa/Belo Horizonte</v>
          </cell>
          <cell r="C12" t="str">
            <v>João Pessoa</v>
          </cell>
          <cell r="D12">
            <v>295765</v>
          </cell>
          <cell r="E12" t="str">
            <v>Belo Horizonte</v>
          </cell>
          <cell r="F12">
            <v>295777</v>
          </cell>
          <cell r="G12">
            <v>1714.8365369999999</v>
          </cell>
          <cell r="H12" t="str">
            <v>Aeroporto de João Pessoa</v>
          </cell>
          <cell r="I12">
            <v>-7.1460090999999997</v>
          </cell>
          <cell r="J12">
            <v>-34.9487764</v>
          </cell>
          <cell r="K12" t="str">
            <v>Aeroporto de Belo Horizonte</v>
          </cell>
          <cell r="L12">
            <v>-19.849847499999999</v>
          </cell>
          <cell r="M12">
            <v>-43.954889899999998</v>
          </cell>
        </row>
        <row r="13">
          <cell r="A13">
            <v>89809937432</v>
          </cell>
          <cell r="B13" t="str">
            <v>Recife/Campinas</v>
          </cell>
          <cell r="C13" t="str">
            <v>Recife</v>
          </cell>
          <cell r="D13">
            <v>295766</v>
          </cell>
          <cell r="E13" t="str">
            <v>Campinas</v>
          </cell>
          <cell r="F13">
            <v>303652</v>
          </cell>
          <cell r="G13">
            <v>2106.9244319999998</v>
          </cell>
          <cell r="H13" t="str">
            <v>Aeroporto de Recife</v>
          </cell>
          <cell r="I13">
            <v>-8.1287392000000001</v>
          </cell>
          <cell r="J13">
            <v>-34.925852599999999</v>
          </cell>
          <cell r="K13" t="str">
            <v>Aeroporto de Campinas</v>
          </cell>
          <cell r="L13">
            <v>-23.008050000000001</v>
          </cell>
          <cell r="M13">
            <v>-47.139659600000002</v>
          </cell>
        </row>
        <row r="14">
          <cell r="A14">
            <v>89736291698</v>
          </cell>
          <cell r="B14" t="str">
            <v>Recife/Uberlândia</v>
          </cell>
          <cell r="C14" t="str">
            <v>Recife</v>
          </cell>
          <cell r="D14">
            <v>295766</v>
          </cell>
          <cell r="E14" t="str">
            <v>Uberlândia</v>
          </cell>
          <cell r="F14">
            <v>303403</v>
          </cell>
          <cell r="G14">
            <v>1869.577536</v>
          </cell>
          <cell r="H14" t="str">
            <v>Aeroporto de Recife</v>
          </cell>
          <cell r="I14">
            <v>-8.1287392000000001</v>
          </cell>
          <cell r="J14">
            <v>-34.925852599999999</v>
          </cell>
          <cell r="K14" t="str">
            <v>Aeroporto de Uberlândia</v>
          </cell>
          <cell r="L14">
            <v>-18.889520099999999</v>
          </cell>
          <cell r="M14">
            <v>-48.230739499999999</v>
          </cell>
        </row>
        <row r="15">
          <cell r="A15">
            <v>88859340835</v>
          </cell>
          <cell r="B15" t="str">
            <v>João Pessoa/Belém</v>
          </cell>
          <cell r="C15" t="str">
            <v>João Pessoa</v>
          </cell>
          <cell r="D15">
            <v>295765</v>
          </cell>
          <cell r="E15" t="str">
            <v>Belém</v>
          </cell>
          <cell r="F15">
            <v>300439</v>
          </cell>
          <cell r="G15">
            <v>1631.4561289999999</v>
          </cell>
          <cell r="H15" t="str">
            <v>Aeroporto de João Pessoa</v>
          </cell>
          <cell r="I15">
            <v>-7.1460090999999997</v>
          </cell>
          <cell r="J15">
            <v>-34.9487764</v>
          </cell>
          <cell r="K15" t="str">
            <v>Aeroporto de Belém</v>
          </cell>
          <cell r="L15">
            <v>-1.3845639000000001</v>
          </cell>
          <cell r="M15">
            <v>-48.481221300000001</v>
          </cell>
        </row>
        <row r="16">
          <cell r="A16">
            <v>87478414050</v>
          </cell>
          <cell r="B16" t="str">
            <v>Salvador/João Pessoa</v>
          </cell>
          <cell r="C16" t="str">
            <v>Salvador</v>
          </cell>
          <cell r="D16">
            <v>295770</v>
          </cell>
          <cell r="E16" t="str">
            <v>João Pessoa</v>
          </cell>
          <cell r="F16">
            <v>295765</v>
          </cell>
          <cell r="G16">
            <v>741.11941309999997</v>
          </cell>
          <cell r="H16" t="str">
            <v>Aeroporto de Salvador</v>
          </cell>
          <cell r="I16">
            <v>-12.916180600000001</v>
          </cell>
          <cell r="J16">
            <v>-38.3341937</v>
          </cell>
          <cell r="K16" t="str">
            <v>Aeroporto de João Pessoa</v>
          </cell>
          <cell r="L16">
            <v>-7.1460090999999997</v>
          </cell>
          <cell r="M16">
            <v>-34.9487764</v>
          </cell>
        </row>
        <row r="17">
          <cell r="A17">
            <v>87481667465</v>
          </cell>
          <cell r="B17" t="str">
            <v>Florianópolis/João Pessoa</v>
          </cell>
          <cell r="C17" t="str">
            <v>Florianópolis</v>
          </cell>
          <cell r="D17">
            <v>295781</v>
          </cell>
          <cell r="E17" t="str">
            <v>João Pessoa</v>
          </cell>
          <cell r="F17">
            <v>295765</v>
          </cell>
          <cell r="G17">
            <v>2695.5823350000001</v>
          </cell>
          <cell r="H17" t="str">
            <v>Aeroporto de Florianópolis</v>
          </cell>
          <cell r="I17">
            <v>-27.674546599999999</v>
          </cell>
          <cell r="J17">
            <v>-48.546156199999999</v>
          </cell>
          <cell r="K17" t="str">
            <v>Aeroporto de João Pessoa</v>
          </cell>
          <cell r="L17">
            <v>-7.1460090999999997</v>
          </cell>
          <cell r="M17">
            <v>-34.9487764</v>
          </cell>
        </row>
        <row r="18">
          <cell r="A18">
            <v>93000050835</v>
          </cell>
          <cell r="B18" t="str">
            <v>Fortaleza/João Pessoa</v>
          </cell>
          <cell r="C18" t="str">
            <v>Fortaleza</v>
          </cell>
          <cell r="D18">
            <v>314439</v>
          </cell>
          <cell r="E18" t="str">
            <v>João Pessoa</v>
          </cell>
          <cell r="F18">
            <v>295765</v>
          </cell>
          <cell r="G18">
            <v>546.23643000000004</v>
          </cell>
          <cell r="H18" t="str">
            <v>Aeroporto de Fortaleza</v>
          </cell>
          <cell r="I18">
            <v>-3.7787913999999998</v>
          </cell>
          <cell r="J18">
            <v>-38.540554</v>
          </cell>
          <cell r="K18" t="str">
            <v>Aeroporto de João Pessoa</v>
          </cell>
          <cell r="L18">
            <v>-7.1460090999999997</v>
          </cell>
          <cell r="M18">
            <v>-34.9487764</v>
          </cell>
        </row>
        <row r="19">
          <cell r="A19">
            <v>93028463044</v>
          </cell>
          <cell r="B19" t="str">
            <v>Recife/Paris</v>
          </cell>
          <cell r="C19" t="str">
            <v>Recife</v>
          </cell>
          <cell r="D19">
            <v>295766</v>
          </cell>
          <cell r="E19" t="str">
            <v>Paris</v>
          </cell>
          <cell r="F19">
            <v>314534</v>
          </cell>
          <cell r="G19">
            <v>7328.4136790000002</v>
          </cell>
          <cell r="H19" t="str">
            <v>Aeroporto de Recife</v>
          </cell>
          <cell r="I19">
            <v>-8.1287392000000001</v>
          </cell>
          <cell r="J19">
            <v>-34.925852599999999</v>
          </cell>
          <cell r="K19" t="str">
            <v>Aeroporto de Paris</v>
          </cell>
          <cell r="L19">
            <v>49.003955699999999</v>
          </cell>
          <cell r="M19">
            <v>2.5690925</v>
          </cell>
        </row>
        <row r="20">
          <cell r="A20">
            <v>87483146290</v>
          </cell>
          <cell r="B20" t="str">
            <v>João Pessoa/Porto Alegre</v>
          </cell>
          <cell r="C20" t="str">
            <v>João Pessoa</v>
          </cell>
          <cell r="D20">
            <v>295765</v>
          </cell>
          <cell r="E20" t="str">
            <v>Porto Alegre</v>
          </cell>
          <cell r="F20">
            <v>295786</v>
          </cell>
          <cell r="G20">
            <v>3054.7955320000001</v>
          </cell>
          <cell r="H20" t="str">
            <v>Aeroporto de João Pessoa</v>
          </cell>
          <cell r="I20">
            <v>-7.1460090999999997</v>
          </cell>
          <cell r="J20">
            <v>-34.9487764</v>
          </cell>
          <cell r="K20" t="str">
            <v>Aeroporto de Porto Alegre</v>
          </cell>
          <cell r="L20">
            <v>-29.994941900000001</v>
          </cell>
          <cell r="M20">
            <v>-51.176328900000001</v>
          </cell>
        </row>
        <row r="21">
          <cell r="A21">
            <v>87478118285</v>
          </cell>
          <cell r="B21" t="str">
            <v>João Pessoa/Aracaju</v>
          </cell>
          <cell r="C21" t="str">
            <v>João Pessoa</v>
          </cell>
          <cell r="D21">
            <v>295765</v>
          </cell>
          <cell r="E21" t="str">
            <v>Aracaju</v>
          </cell>
          <cell r="F21">
            <v>295769</v>
          </cell>
          <cell r="G21">
            <v>486.73466200000001</v>
          </cell>
          <cell r="H21" t="str">
            <v>Aeroporto de João Pessoa</v>
          </cell>
          <cell r="I21">
            <v>-7.1460090999999997</v>
          </cell>
          <cell r="J21">
            <v>-34.9487764</v>
          </cell>
          <cell r="K21" t="str">
            <v>Aeroporto de Aracaju</v>
          </cell>
          <cell r="L21">
            <v>-10.9869886</v>
          </cell>
          <cell r="M21">
            <v>-37.072622299999999</v>
          </cell>
        </row>
        <row r="22">
          <cell r="A22">
            <v>89023490410</v>
          </cell>
          <cell r="B22" t="str">
            <v>Santarém/João Pessoa</v>
          </cell>
          <cell r="C22" t="str">
            <v>Santarém</v>
          </cell>
          <cell r="D22">
            <v>300994</v>
          </cell>
          <cell r="E22" t="str">
            <v>João Pessoa</v>
          </cell>
          <cell r="F22">
            <v>295765</v>
          </cell>
          <cell r="G22">
            <v>2259.8977129999998</v>
          </cell>
          <cell r="H22" t="str">
            <v>Aeroporto de Santarém</v>
          </cell>
          <cell r="I22">
            <v>-2.4248295</v>
          </cell>
          <cell r="J22">
            <v>-54.786243300000002</v>
          </cell>
          <cell r="K22" t="str">
            <v>Aeroporto de João Pessoa</v>
          </cell>
          <cell r="L22">
            <v>-7.1460090999999997</v>
          </cell>
          <cell r="M22">
            <v>-34.9487764</v>
          </cell>
        </row>
        <row r="23">
          <cell r="A23">
            <v>90003951385</v>
          </cell>
          <cell r="B23" t="str">
            <v>Vilhena/João Pessoa</v>
          </cell>
          <cell r="C23" t="str">
            <v>Vilhena</v>
          </cell>
          <cell r="D23">
            <v>304309</v>
          </cell>
          <cell r="E23" t="str">
            <v>João Pessoa</v>
          </cell>
          <cell r="F23">
            <v>295765</v>
          </cell>
          <cell r="G23">
            <v>2822.0634890000001</v>
          </cell>
          <cell r="H23" t="str">
            <v>Aeroporto de Vilhena</v>
          </cell>
          <cell r="I23">
            <v>-12.689778499999999</v>
          </cell>
          <cell r="J23">
            <v>-60.100487600000001</v>
          </cell>
          <cell r="K23" t="str">
            <v>Aeroporto de João Pessoa</v>
          </cell>
          <cell r="L23">
            <v>-7.1460090999999997</v>
          </cell>
          <cell r="M23">
            <v>-34.9487764</v>
          </cell>
        </row>
        <row r="24">
          <cell r="A24">
            <v>87479005580</v>
          </cell>
          <cell r="B24" t="str">
            <v>João Pessoa/Teresina</v>
          </cell>
          <cell r="C24" t="str">
            <v>João Pessoa</v>
          </cell>
          <cell r="D24">
            <v>295765</v>
          </cell>
          <cell r="E24" t="str">
            <v>Teresina</v>
          </cell>
          <cell r="F24">
            <v>295772</v>
          </cell>
          <cell r="G24">
            <v>901.24066259999995</v>
          </cell>
          <cell r="H24" t="str">
            <v>Aeroporto de João Pessoa</v>
          </cell>
          <cell r="I24">
            <v>-7.1460090999999997</v>
          </cell>
          <cell r="J24">
            <v>-34.9487764</v>
          </cell>
          <cell r="K24" t="str">
            <v>Aeroporto de Teresina</v>
          </cell>
          <cell r="L24">
            <v>-5.0602517999999996</v>
          </cell>
          <cell r="M24">
            <v>-42.823645200000001</v>
          </cell>
        </row>
        <row r="25">
          <cell r="A25">
            <v>87482554778</v>
          </cell>
          <cell r="B25" t="str">
            <v>Recife/Manaus</v>
          </cell>
          <cell r="C25" t="str">
            <v>Recife</v>
          </cell>
          <cell r="D25">
            <v>295766</v>
          </cell>
          <cell r="E25" t="str">
            <v>Manaus</v>
          </cell>
          <cell r="F25">
            <v>295783</v>
          </cell>
          <cell r="G25">
            <v>2836.8484389999999</v>
          </cell>
          <cell r="H25" t="str">
            <v>Aeroporto de Recife</v>
          </cell>
          <cell r="I25">
            <v>-8.1287392000000001</v>
          </cell>
          <cell r="J25">
            <v>-34.925852599999999</v>
          </cell>
          <cell r="K25" t="str">
            <v>Aeroporto de Manaus</v>
          </cell>
          <cell r="L25">
            <v>-3.0318168000000001</v>
          </cell>
          <cell r="M25">
            <v>-60.046076599999999</v>
          </cell>
        </row>
        <row r="26">
          <cell r="A26">
            <v>87477822520</v>
          </cell>
          <cell r="B26" t="str">
            <v>Maceió/João Pessoa</v>
          </cell>
          <cell r="C26" t="str">
            <v>Maceió</v>
          </cell>
          <cell r="D26">
            <v>295768</v>
          </cell>
          <cell r="E26" t="str">
            <v>João Pessoa</v>
          </cell>
          <cell r="F26">
            <v>295765</v>
          </cell>
          <cell r="G26">
            <v>279.06946140000002</v>
          </cell>
          <cell r="H26" t="str">
            <v>Aeroporto de Maceió</v>
          </cell>
          <cell r="I26">
            <v>-9.5118603000000004</v>
          </cell>
          <cell r="J26">
            <v>-35.793182799999997</v>
          </cell>
          <cell r="K26" t="str">
            <v>Aeroporto de João Pessoa</v>
          </cell>
          <cell r="L26">
            <v>-7.1460090999999997</v>
          </cell>
          <cell r="M26">
            <v>-34.9487764</v>
          </cell>
        </row>
        <row r="27">
          <cell r="A27">
            <v>89913455532</v>
          </cell>
          <cell r="B27" t="str">
            <v>Navegantes/Recife</v>
          </cell>
          <cell r="C27" t="str">
            <v>Navegantes</v>
          </cell>
          <cell r="D27">
            <v>304002</v>
          </cell>
          <cell r="E27" t="str">
            <v>Recife</v>
          </cell>
          <cell r="F27">
            <v>295766</v>
          </cell>
          <cell r="G27">
            <v>2538.3613270000001</v>
          </cell>
          <cell r="H27" t="str">
            <v>Aeroporto de Navegantes</v>
          </cell>
          <cell r="I27">
            <v>-26.8792127</v>
          </cell>
          <cell r="J27">
            <v>-48.650041299999998</v>
          </cell>
          <cell r="K27" t="str">
            <v>Aeroporto de Recife</v>
          </cell>
          <cell r="L27">
            <v>-8.1287392000000001</v>
          </cell>
          <cell r="M27">
            <v>-34.925852599999999</v>
          </cell>
        </row>
        <row r="28">
          <cell r="A28">
            <v>89809633780</v>
          </cell>
          <cell r="B28" t="str">
            <v>Campinas/João Pessoa</v>
          </cell>
          <cell r="C28" t="str">
            <v>Campinas</v>
          </cell>
          <cell r="D28">
            <v>303652</v>
          </cell>
          <cell r="E28" t="str">
            <v>João Pessoa</v>
          </cell>
          <cell r="F28">
            <v>295765</v>
          </cell>
          <cell r="G28">
            <v>2193.8649999999998</v>
          </cell>
          <cell r="H28" t="str">
            <v>Aeroporto de Campinas</v>
          </cell>
          <cell r="I28">
            <v>-23.008050000000001</v>
          </cell>
          <cell r="J28">
            <v>-47.139659600000002</v>
          </cell>
          <cell r="K28" t="str">
            <v>Aeroporto de João Pessoa</v>
          </cell>
          <cell r="L28">
            <v>-7.1460090999999997</v>
          </cell>
          <cell r="M28">
            <v>-34.9487764</v>
          </cell>
        </row>
        <row r="29">
          <cell r="A29">
            <v>87483737820</v>
          </cell>
          <cell r="B29" t="str">
            <v>João Pessoa/Macapá</v>
          </cell>
          <cell r="C29" t="str">
            <v>João Pessoa</v>
          </cell>
          <cell r="D29">
            <v>295765</v>
          </cell>
          <cell r="E29" t="str">
            <v>Macapá</v>
          </cell>
          <cell r="F29">
            <v>295788</v>
          </cell>
          <cell r="G29">
            <v>1959.0886390000001</v>
          </cell>
          <cell r="H29" t="str">
            <v>Aeroporto de João Pessoa</v>
          </cell>
          <cell r="I29">
            <v>-7.1460090999999997</v>
          </cell>
          <cell r="J29">
            <v>-34.9487764</v>
          </cell>
          <cell r="K29" t="str">
            <v>Aeroporto de Macapá</v>
          </cell>
          <cell r="L29">
            <v>5.0131200000000001E-2</v>
          </cell>
          <cell r="M29">
            <v>-51.067049500000003</v>
          </cell>
        </row>
        <row r="30">
          <cell r="A30">
            <v>87478709815</v>
          </cell>
          <cell r="B30" t="str">
            <v>São Luís/João Pessoa</v>
          </cell>
          <cell r="C30" t="str">
            <v>São Luís</v>
          </cell>
          <cell r="D30">
            <v>295771</v>
          </cell>
          <cell r="E30" t="str">
            <v>João Pessoa</v>
          </cell>
          <cell r="F30">
            <v>295765</v>
          </cell>
          <cell r="G30">
            <v>1147.346953</v>
          </cell>
          <cell r="H30" t="str">
            <v>Aeroporto de São Luís</v>
          </cell>
          <cell r="I30">
            <v>-2.5835530000000002</v>
          </cell>
          <cell r="J30">
            <v>-44.236409399999999</v>
          </cell>
          <cell r="K30" t="str">
            <v>Aeroporto de João Pessoa</v>
          </cell>
          <cell r="L30">
            <v>-7.1460090999999997</v>
          </cell>
          <cell r="M30">
            <v>-34.9487764</v>
          </cell>
        </row>
        <row r="31">
          <cell r="A31">
            <v>90618902496</v>
          </cell>
          <cell r="B31" t="str">
            <v>Campina Grande/Petrolina</v>
          </cell>
          <cell r="C31" t="str">
            <v>Campina Grande</v>
          </cell>
          <cell r="D31">
            <v>300632</v>
          </cell>
          <cell r="E31" t="str">
            <v>Petrolina</v>
          </cell>
          <cell r="F31">
            <v>301428</v>
          </cell>
          <cell r="G31">
            <v>564.58192329999997</v>
          </cell>
          <cell r="H31" t="str">
            <v>Aeroporto de Campina Grande</v>
          </cell>
          <cell r="I31">
            <v>-7.2688784000000002</v>
          </cell>
          <cell r="J31">
            <v>-35.894020599999998</v>
          </cell>
          <cell r="K31" t="str">
            <v>Aeroporto de Petrolina</v>
          </cell>
          <cell r="L31">
            <v>-9.3666170999999991</v>
          </cell>
          <cell r="M31">
            <v>-40.565696199999998</v>
          </cell>
        </row>
        <row r="32">
          <cell r="A32">
            <v>93000365274</v>
          </cell>
          <cell r="B32" t="str">
            <v>Recife/Fortaleza</v>
          </cell>
          <cell r="C32" t="str">
            <v>Recife</v>
          </cell>
          <cell r="D32">
            <v>295766</v>
          </cell>
          <cell r="E32" t="str">
            <v>Fortaleza</v>
          </cell>
          <cell r="F32">
            <v>314439</v>
          </cell>
          <cell r="G32">
            <v>627.62636250000003</v>
          </cell>
          <cell r="H32" t="str">
            <v>Aeroporto de Recife</v>
          </cell>
          <cell r="I32">
            <v>-8.1287392000000001</v>
          </cell>
          <cell r="J32">
            <v>-34.925852599999999</v>
          </cell>
          <cell r="K32" t="str">
            <v>Aeroporto de Fortaleza</v>
          </cell>
          <cell r="L32">
            <v>-3.7787913999999998</v>
          </cell>
          <cell r="M32">
            <v>-38.540554</v>
          </cell>
        </row>
        <row r="33">
          <cell r="A33">
            <v>88918527904</v>
          </cell>
          <cell r="B33" t="str">
            <v>Campina Grande/Teresina</v>
          </cell>
          <cell r="C33" t="str">
            <v>Campina Grande</v>
          </cell>
          <cell r="D33">
            <v>300632</v>
          </cell>
          <cell r="E33" t="str">
            <v>Teresina</v>
          </cell>
          <cell r="F33">
            <v>295772</v>
          </cell>
          <cell r="G33">
            <v>804.66057320000004</v>
          </cell>
          <cell r="H33" t="str">
            <v>Aeroporto de Campina Grande</v>
          </cell>
          <cell r="I33">
            <v>-7.2688784000000002</v>
          </cell>
          <cell r="J33">
            <v>-35.894020599999998</v>
          </cell>
          <cell r="K33" t="str">
            <v>Aeroporto de Teresina</v>
          </cell>
          <cell r="L33">
            <v>-5.0602517999999996</v>
          </cell>
          <cell r="M33">
            <v>-42.823645200000001</v>
          </cell>
        </row>
        <row r="34">
          <cell r="A34">
            <v>87479892875</v>
          </cell>
          <cell r="B34" t="str">
            <v>Goiânia/João Pessoa</v>
          </cell>
          <cell r="C34" t="str">
            <v>Goiânia</v>
          </cell>
          <cell r="D34">
            <v>295775</v>
          </cell>
          <cell r="E34" t="str">
            <v>João Pessoa</v>
          </cell>
          <cell r="F34">
            <v>295765</v>
          </cell>
          <cell r="G34">
            <v>1875.298241</v>
          </cell>
          <cell r="H34" t="str">
            <v>Aeroporto de Goiânia</v>
          </cell>
          <cell r="I34">
            <v>-16.629841500000001</v>
          </cell>
          <cell r="J34">
            <v>-49.214384000000003</v>
          </cell>
          <cell r="K34" t="str">
            <v>Aeroporto de João Pessoa</v>
          </cell>
          <cell r="L34">
            <v>-7.1460090999999997</v>
          </cell>
          <cell r="M34">
            <v>-34.9487764</v>
          </cell>
        </row>
        <row r="35">
          <cell r="A35">
            <v>89814661785</v>
          </cell>
          <cell r="B35" t="str">
            <v>Ribeirão Preto/João Pessoa</v>
          </cell>
          <cell r="C35" t="str">
            <v>Ribeirão Preto</v>
          </cell>
          <cell r="D35">
            <v>303669</v>
          </cell>
          <cell r="E35" t="str">
            <v>João Pessoa</v>
          </cell>
          <cell r="F35">
            <v>295765</v>
          </cell>
          <cell r="G35">
            <v>2079.6042189999998</v>
          </cell>
          <cell r="H35" t="str">
            <v>Aeroporto de Ribeirão Preto</v>
          </cell>
          <cell r="I35">
            <v>-21.1391642</v>
          </cell>
          <cell r="J35">
            <v>-47.776570800000002</v>
          </cell>
          <cell r="K35" t="str">
            <v>Aeroporto de João Pessoa</v>
          </cell>
          <cell r="L35">
            <v>-7.1460090999999997</v>
          </cell>
          <cell r="M35">
            <v>-34.9487764</v>
          </cell>
        </row>
        <row r="36">
          <cell r="A36">
            <v>88859641274</v>
          </cell>
          <cell r="B36" t="str">
            <v>Belém/Recife</v>
          </cell>
          <cell r="C36" t="str">
            <v>Belém</v>
          </cell>
          <cell r="D36">
            <v>300439</v>
          </cell>
          <cell r="E36" t="str">
            <v>Recife</v>
          </cell>
          <cell r="F36">
            <v>295766</v>
          </cell>
          <cell r="G36">
            <v>1678.548213</v>
          </cell>
          <cell r="H36" t="str">
            <v>Aeroporto de Belém</v>
          </cell>
          <cell r="I36">
            <v>-1.3845639000000001</v>
          </cell>
          <cell r="J36">
            <v>-48.481221300000001</v>
          </cell>
          <cell r="K36" t="str">
            <v>Aeroporto de Recife</v>
          </cell>
          <cell r="L36">
            <v>-8.1287392000000001</v>
          </cell>
          <cell r="M36">
            <v>-34.925852599999999</v>
          </cell>
        </row>
        <row r="37">
          <cell r="A37">
            <v>89905757405</v>
          </cell>
          <cell r="B37" t="str">
            <v>João Pessoa/Ponta Grossa</v>
          </cell>
          <cell r="C37" t="str">
            <v>João Pessoa</v>
          </cell>
          <cell r="D37">
            <v>295765</v>
          </cell>
          <cell r="E37" t="str">
            <v>Ponta Grossa</v>
          </cell>
          <cell r="F37">
            <v>303977</v>
          </cell>
          <cell r="G37">
            <v>2575.4283700000001</v>
          </cell>
          <cell r="H37" t="str">
            <v>Aeroporto de João Pessoa</v>
          </cell>
          <cell r="I37">
            <v>-7.1460090999999997</v>
          </cell>
          <cell r="J37">
            <v>-34.9487764</v>
          </cell>
          <cell r="K37" t="str">
            <v>Aeroporto de Ponta Grossa</v>
          </cell>
          <cell r="L37">
            <v>-25.1883093</v>
          </cell>
          <cell r="M37">
            <v>-50.141847900000002</v>
          </cell>
        </row>
        <row r="38">
          <cell r="A38">
            <v>88885171930</v>
          </cell>
          <cell r="B38" t="str">
            <v>Porto Alegre/Santa Maria</v>
          </cell>
          <cell r="C38" t="str">
            <v>Porto Alegre</v>
          </cell>
          <cell r="D38">
            <v>295786</v>
          </cell>
          <cell r="E38" t="str">
            <v>Santa Maria</v>
          </cell>
          <cell r="F38">
            <v>300505</v>
          </cell>
          <cell r="G38">
            <v>245.57535730000001</v>
          </cell>
          <cell r="H38" t="str">
            <v>Aeroporto de Porto Alegre</v>
          </cell>
          <cell r="I38">
            <v>-29.994941900000001</v>
          </cell>
          <cell r="J38">
            <v>-51.176328900000001</v>
          </cell>
          <cell r="K38" t="str">
            <v>Aeroporto de Santa Maria</v>
          </cell>
          <cell r="L38">
            <v>-29.708356800000001</v>
          </cell>
          <cell r="M38">
            <v>-53.700503900000001</v>
          </cell>
        </row>
        <row r="39">
          <cell r="A39">
            <v>88878861325</v>
          </cell>
          <cell r="B39" t="str">
            <v>Santa Maria/João Pessoa</v>
          </cell>
          <cell r="C39" t="str">
            <v>Santa Maria</v>
          </cell>
          <cell r="D39">
            <v>300505</v>
          </cell>
          <cell r="E39" t="str">
            <v>João Pessoa</v>
          </cell>
          <cell r="F39">
            <v>295765</v>
          </cell>
          <cell r="G39">
            <v>3184.5977149999999</v>
          </cell>
          <cell r="H39" t="str">
            <v>Aeroporto de Santa Maria</v>
          </cell>
          <cell r="I39">
            <v>-29.708356800000001</v>
          </cell>
          <cell r="J39">
            <v>-53.700503900000001</v>
          </cell>
          <cell r="K39" t="str">
            <v>Aeroporto de João Pessoa</v>
          </cell>
          <cell r="L39">
            <v>-7.1460090999999997</v>
          </cell>
          <cell r="M39">
            <v>-34.9487764</v>
          </cell>
        </row>
        <row r="40">
          <cell r="A40">
            <v>94530425448</v>
          </cell>
          <cell r="B40" t="str">
            <v>Campina Grande/Fortaleza</v>
          </cell>
          <cell r="C40" t="str">
            <v>Campina Grande</v>
          </cell>
          <cell r="D40">
            <v>300632</v>
          </cell>
          <cell r="E40" t="str">
            <v>Fortaleza</v>
          </cell>
          <cell r="F40">
            <v>314439</v>
          </cell>
          <cell r="G40">
            <v>486.32373260000003</v>
          </cell>
          <cell r="H40" t="str">
            <v>Aeroporto de Campina Grande</v>
          </cell>
          <cell r="I40">
            <v>-7.2688784000000002</v>
          </cell>
          <cell r="J40">
            <v>-35.894020599999998</v>
          </cell>
          <cell r="K40" t="str">
            <v>Aeroporto de Fortaleza</v>
          </cell>
          <cell r="L40">
            <v>-3.7787913999999998</v>
          </cell>
          <cell r="M40">
            <v>-38.540554</v>
          </cell>
        </row>
        <row r="41">
          <cell r="A41">
            <v>89658497865</v>
          </cell>
          <cell r="B41" t="str">
            <v>Niterói/João Pessoa</v>
          </cell>
          <cell r="C41" t="str">
            <v>Niterói</v>
          </cell>
          <cell r="D41">
            <v>303141</v>
          </cell>
          <cell r="E41" t="str">
            <v>João Pessoa</v>
          </cell>
          <cell r="F41">
            <v>295765</v>
          </cell>
          <cell r="G41">
            <v>1955.5055</v>
          </cell>
          <cell r="H41" t="str">
            <v>Aeroporto de Niterói</v>
          </cell>
          <cell r="I41">
            <v>-22.880707300000001</v>
          </cell>
          <cell r="J41">
            <v>-43.101352599999998</v>
          </cell>
          <cell r="K41" t="str">
            <v>Aeroporto de João Pessoa</v>
          </cell>
          <cell r="L41">
            <v>-7.1460090999999997</v>
          </cell>
          <cell r="M41">
            <v>-34.9487764</v>
          </cell>
        </row>
        <row r="42">
          <cell r="A42">
            <v>89767930915</v>
          </cell>
          <cell r="B42" t="str">
            <v>João Pessoa/Poços de Caldas</v>
          </cell>
          <cell r="C42" t="str">
            <v>João Pessoa</v>
          </cell>
          <cell r="D42">
            <v>295765</v>
          </cell>
          <cell r="E42" t="str">
            <v>Poços de Caldas</v>
          </cell>
          <cell r="F42">
            <v>303511</v>
          </cell>
          <cell r="G42">
            <v>2050.6301760000001</v>
          </cell>
          <cell r="H42" t="str">
            <v>Aeroporto de João Pessoa</v>
          </cell>
          <cell r="I42">
            <v>-7.1460090999999997</v>
          </cell>
          <cell r="J42">
            <v>-34.9487764</v>
          </cell>
          <cell r="K42" t="str">
            <v>Aeroporto de Poços de Caldas</v>
          </cell>
          <cell r="L42">
            <v>-21.785399699999999</v>
          </cell>
          <cell r="M42">
            <v>-46.561934200000003</v>
          </cell>
        </row>
        <row r="43">
          <cell r="A43">
            <v>89742790890</v>
          </cell>
          <cell r="B43" t="str">
            <v>São José do Rio Preto/João Pessoa</v>
          </cell>
          <cell r="C43" t="str">
            <v>São José do Rio Preto</v>
          </cell>
          <cell r="D43">
            <v>303426</v>
          </cell>
          <cell r="E43" t="str">
            <v>João Pessoa</v>
          </cell>
          <cell r="F43">
            <v>295765</v>
          </cell>
          <cell r="G43">
            <v>2175.0305920000001</v>
          </cell>
          <cell r="H43" t="str">
            <v>Aeroporto de São José do Rio Preto</v>
          </cell>
          <cell r="I43">
            <v>-20.812705399999999</v>
          </cell>
          <cell r="J43">
            <v>-49.405148799999999</v>
          </cell>
          <cell r="K43" t="str">
            <v>Aeroporto de João Pessoa</v>
          </cell>
          <cell r="L43">
            <v>-7.1460090999999997</v>
          </cell>
          <cell r="M43">
            <v>-34.9487764</v>
          </cell>
        </row>
        <row r="44">
          <cell r="A44">
            <v>89204498590</v>
          </cell>
          <cell r="B44" t="str">
            <v>João Pessoa/Vitória da Conquista</v>
          </cell>
          <cell r="C44" t="str">
            <v>João Pessoa</v>
          </cell>
          <cell r="D44">
            <v>295765</v>
          </cell>
          <cell r="E44" t="str">
            <v>Vitória da Conquista</v>
          </cell>
          <cell r="F44">
            <v>301606</v>
          </cell>
          <cell r="G44">
            <v>1081.5366429999999</v>
          </cell>
          <cell r="H44" t="str">
            <v>Aeroporto de João Pessoa</v>
          </cell>
          <cell r="I44">
            <v>-7.1460090999999997</v>
          </cell>
          <cell r="J44">
            <v>-34.9487764</v>
          </cell>
          <cell r="K44" t="str">
            <v>Aeroporto de Vitória da Conquista</v>
          </cell>
          <cell r="L44">
            <v>-14.9104285</v>
          </cell>
          <cell r="M44">
            <v>-40.917746600000001</v>
          </cell>
        </row>
        <row r="45">
          <cell r="A45">
            <v>87479301352</v>
          </cell>
          <cell r="B45" t="str">
            <v>Recife/Teresina</v>
          </cell>
          <cell r="C45" t="str">
            <v>Recife</v>
          </cell>
          <cell r="D45">
            <v>295766</v>
          </cell>
          <cell r="E45" t="str">
            <v>Teresina</v>
          </cell>
          <cell r="F45">
            <v>295772</v>
          </cell>
          <cell r="G45">
            <v>936.88896439999996</v>
          </cell>
          <cell r="H45" t="str">
            <v>Aeroporto de Recife</v>
          </cell>
          <cell r="I45">
            <v>-8.1287392000000001</v>
          </cell>
          <cell r="J45">
            <v>-34.925852599999999</v>
          </cell>
          <cell r="K45" t="str">
            <v>Aeroporto de Teresina</v>
          </cell>
          <cell r="L45">
            <v>-5.0602517999999996</v>
          </cell>
          <cell r="M45">
            <v>-42.823645200000001</v>
          </cell>
        </row>
        <row r="46">
          <cell r="A46">
            <v>90421285754</v>
          </cell>
          <cell r="B46" t="str">
            <v>Recife/Foz do Iguaçu</v>
          </cell>
          <cell r="C46" t="str">
            <v>Recife</v>
          </cell>
          <cell r="D46">
            <v>295766</v>
          </cell>
          <cell r="E46" t="str">
            <v>Foz do Iguaçu</v>
          </cell>
          <cell r="F46">
            <v>305719</v>
          </cell>
          <cell r="G46">
            <v>2839.840921</v>
          </cell>
          <cell r="H46" t="str">
            <v>Aeroporto de Recife</v>
          </cell>
          <cell r="I46">
            <v>-8.1287392000000001</v>
          </cell>
          <cell r="J46">
            <v>-34.925852599999999</v>
          </cell>
          <cell r="K46" t="str">
            <v>Aeroporto de Foz do Iguaçu</v>
          </cell>
          <cell r="L46">
            <v>-25.597779500000001</v>
          </cell>
          <cell r="M46">
            <v>-54.488511199999998</v>
          </cell>
        </row>
        <row r="47">
          <cell r="A47">
            <v>89735988295</v>
          </cell>
          <cell r="B47" t="str">
            <v>Uberlândia/João Pessoa</v>
          </cell>
          <cell r="C47" t="str">
            <v>Uberlândia</v>
          </cell>
          <cell r="D47">
            <v>303403</v>
          </cell>
          <cell r="E47" t="str">
            <v>João Pessoa</v>
          </cell>
          <cell r="F47">
            <v>295765</v>
          </cell>
          <cell r="G47">
            <v>1941.3673020000001</v>
          </cell>
          <cell r="H47" t="str">
            <v>Aeroporto de Uberlândia</v>
          </cell>
          <cell r="I47">
            <v>-18.889520099999999</v>
          </cell>
          <cell r="J47">
            <v>-48.230739499999999</v>
          </cell>
          <cell r="K47" t="str">
            <v>Aeroporto de João Pessoa</v>
          </cell>
          <cell r="L47">
            <v>-7.1460090999999997</v>
          </cell>
          <cell r="M47">
            <v>-34.9487764</v>
          </cell>
        </row>
        <row r="48">
          <cell r="A48">
            <v>90150059295</v>
          </cell>
          <cell r="B48" t="str">
            <v>Maringá/João Pessoa</v>
          </cell>
          <cell r="C48" t="str">
            <v>Maringá</v>
          </cell>
          <cell r="D48">
            <v>304803</v>
          </cell>
          <cell r="E48" t="str">
            <v>João Pessoa</v>
          </cell>
          <cell r="F48">
            <v>295765</v>
          </cell>
          <cell r="G48">
            <v>2573.2532590000001</v>
          </cell>
          <cell r="H48" t="str">
            <v>Aeroporto de Maringá</v>
          </cell>
          <cell r="I48">
            <v>-23.4795266</v>
          </cell>
          <cell r="J48">
            <v>-52.012245900000003</v>
          </cell>
          <cell r="K48" t="str">
            <v>Aeroporto de João Pessoa</v>
          </cell>
          <cell r="L48">
            <v>-7.1460090999999997</v>
          </cell>
          <cell r="M48">
            <v>-34.9487764</v>
          </cell>
        </row>
        <row r="49">
          <cell r="A49">
            <v>89894822274</v>
          </cell>
          <cell r="B49" t="str">
            <v>Guarulhos/Recife</v>
          </cell>
          <cell r="C49" t="str">
            <v>Guarulhos</v>
          </cell>
          <cell r="D49">
            <v>303939</v>
          </cell>
          <cell r="E49" t="str">
            <v>Recife</v>
          </cell>
          <cell r="F49">
            <v>295766</v>
          </cell>
          <cell r="G49">
            <v>2100.4987289999999</v>
          </cell>
          <cell r="H49" t="str">
            <v>Aeroporto de Guarulhos</v>
          </cell>
          <cell r="I49">
            <v>-23.430217500000001</v>
          </cell>
          <cell r="J49">
            <v>-46.471671100000002</v>
          </cell>
          <cell r="K49" t="str">
            <v>Aeroporto de Recife</v>
          </cell>
          <cell r="L49">
            <v>-8.1287392000000001</v>
          </cell>
          <cell r="M49">
            <v>-34.925852599999999</v>
          </cell>
        </row>
        <row r="50">
          <cell r="A50">
            <v>89894518335</v>
          </cell>
          <cell r="B50" t="str">
            <v>João Pessoa/Guarulhos</v>
          </cell>
          <cell r="C50" t="str">
            <v>João Pessoa</v>
          </cell>
          <cell r="D50">
            <v>295765</v>
          </cell>
          <cell r="E50" t="str">
            <v>Guarulhos</v>
          </cell>
          <cell r="F50">
            <v>303939</v>
          </cell>
          <cell r="G50">
            <v>2189.9742419999998</v>
          </cell>
          <cell r="H50" t="str">
            <v>Aeroporto de João Pessoa</v>
          </cell>
          <cell r="I50">
            <v>-7.1460090999999997</v>
          </cell>
          <cell r="J50">
            <v>-34.9487764</v>
          </cell>
          <cell r="K50" t="str">
            <v>Aeroporto de Guarulhos</v>
          </cell>
          <cell r="L50">
            <v>-23.430217500000001</v>
          </cell>
          <cell r="M50">
            <v>-46.471671100000002</v>
          </cell>
        </row>
        <row r="51">
          <cell r="A51">
            <v>89085896825</v>
          </cell>
          <cell r="B51" t="str">
            <v>João Pessoa/Campo Grande</v>
          </cell>
          <cell r="C51" t="str">
            <v>João Pessoa</v>
          </cell>
          <cell r="D51">
            <v>295765</v>
          </cell>
          <cell r="E51" t="str">
            <v>Campo Grande</v>
          </cell>
          <cell r="F51">
            <v>301205</v>
          </cell>
          <cell r="G51">
            <v>2588.8989320000001</v>
          </cell>
          <cell r="H51" t="str">
            <v>Aeroporto de João Pessoa</v>
          </cell>
          <cell r="I51">
            <v>-7.1460090999999997</v>
          </cell>
          <cell r="J51">
            <v>-34.9487764</v>
          </cell>
          <cell r="K51" t="str">
            <v>Aeroporto de Campo Grande</v>
          </cell>
          <cell r="L51">
            <v>-20.457273499999999</v>
          </cell>
          <cell r="M51">
            <v>-54.668733500000002</v>
          </cell>
        </row>
        <row r="52">
          <cell r="A52">
            <v>89813884908</v>
          </cell>
          <cell r="B52" t="str">
            <v>Campinas/São Paulo</v>
          </cell>
          <cell r="C52" t="str">
            <v>Campinas</v>
          </cell>
          <cell r="D52">
            <v>303652</v>
          </cell>
          <cell r="E52" t="str">
            <v>São Paulo</v>
          </cell>
          <cell r="F52">
            <v>295779</v>
          </cell>
          <cell r="G52">
            <v>82.86733443</v>
          </cell>
          <cell r="H52" t="str">
            <v>Aeroporto de Campinas</v>
          </cell>
          <cell r="I52">
            <v>-23.008050000000001</v>
          </cell>
          <cell r="J52">
            <v>-47.139659600000002</v>
          </cell>
          <cell r="K52" t="str">
            <v>Aeroporto de São Paulo</v>
          </cell>
          <cell r="L52">
            <v>-23.430217500000001</v>
          </cell>
          <cell r="M52">
            <v>-46.471671100000002</v>
          </cell>
        </row>
        <row r="53">
          <cell r="A53">
            <v>93029054576</v>
          </cell>
          <cell r="B53" t="str">
            <v>Glasgow/Recife</v>
          </cell>
          <cell r="C53" t="str">
            <v>Glasgow</v>
          </cell>
          <cell r="D53">
            <v>314536</v>
          </cell>
          <cell r="E53" t="str">
            <v>Recife</v>
          </cell>
          <cell r="F53">
            <v>295766</v>
          </cell>
          <cell r="G53">
            <v>7652.694117</v>
          </cell>
          <cell r="H53" t="str">
            <v>Aeroporto de Glasgow</v>
          </cell>
          <cell r="I53">
            <v>55.870125399999999</v>
          </cell>
          <cell r="J53">
            <v>-4.4346879000000001</v>
          </cell>
          <cell r="K53" t="str">
            <v>Aeroporto de Recife</v>
          </cell>
          <cell r="L53">
            <v>-8.1287392000000001</v>
          </cell>
          <cell r="M53">
            <v>-34.925852599999999</v>
          </cell>
        </row>
        <row r="54">
          <cell r="A54">
            <v>93029350342</v>
          </cell>
          <cell r="B54" t="str">
            <v>Recife/Dubai</v>
          </cell>
          <cell r="C54" t="str">
            <v>Recife</v>
          </cell>
          <cell r="D54">
            <v>295766</v>
          </cell>
          <cell r="E54" t="str">
            <v>Dubai</v>
          </cell>
          <cell r="F54">
            <v>314537</v>
          </cell>
          <cell r="G54">
            <v>10424.02526</v>
          </cell>
          <cell r="H54" t="str">
            <v>Aeroporto de Recife</v>
          </cell>
          <cell r="I54">
            <v>-8.1287392000000001</v>
          </cell>
          <cell r="J54">
            <v>-34.925852599999999</v>
          </cell>
          <cell r="K54" t="str">
            <v>Aeroporto de Dubai</v>
          </cell>
          <cell r="L54">
            <v>25.256693200000001</v>
          </cell>
          <cell r="M54">
            <v>55.364317800000002</v>
          </cell>
        </row>
        <row r="55">
          <cell r="A55">
            <v>98933209832</v>
          </cell>
          <cell r="B55" t="str">
            <v>Dubai/Glasgow</v>
          </cell>
          <cell r="C55" t="str">
            <v>Dubai</v>
          </cell>
          <cell r="D55">
            <v>314537</v>
          </cell>
          <cell r="E55" t="str">
            <v>Glasgow</v>
          </cell>
          <cell r="F55">
            <v>314536</v>
          </cell>
          <cell r="G55">
            <v>5841.9193670000004</v>
          </cell>
          <cell r="H55" t="str">
            <v>Aeroporto de Dubai</v>
          </cell>
          <cell r="I55">
            <v>25.256693200000001</v>
          </cell>
          <cell r="J55">
            <v>55.364317800000002</v>
          </cell>
          <cell r="K55" t="str">
            <v>Aeroporto de Glasgow</v>
          </cell>
          <cell r="L55">
            <v>55.870125399999999</v>
          </cell>
          <cell r="M55">
            <v>-4.4346879000000001</v>
          </cell>
        </row>
        <row r="56">
          <cell r="A56">
            <v>91908914408</v>
          </cell>
          <cell r="B56" t="str">
            <v>Campina Grande/Foz do Iguaçu</v>
          </cell>
          <cell r="C56" t="str">
            <v>Campina Grande</v>
          </cell>
          <cell r="D56">
            <v>300632</v>
          </cell>
          <cell r="E56" t="str">
            <v>Foz do Iguaçu</v>
          </cell>
          <cell r="F56">
            <v>305719</v>
          </cell>
          <cell r="G56">
            <v>2836.5260450000001</v>
          </cell>
          <cell r="H56" t="str">
            <v>Aeroporto de Campina Grande</v>
          </cell>
          <cell r="I56">
            <v>-7.2688784000000002</v>
          </cell>
          <cell r="J56">
            <v>-35.894020599999998</v>
          </cell>
          <cell r="K56" t="str">
            <v>Aeroporto de Foz do Iguaçu</v>
          </cell>
          <cell r="L56">
            <v>-25.597779500000001</v>
          </cell>
          <cell r="M56">
            <v>-54.488511199999998</v>
          </cell>
        </row>
        <row r="57">
          <cell r="A57">
            <v>90130834570</v>
          </cell>
          <cell r="B57" t="str">
            <v>Londrina/João Pessoa</v>
          </cell>
          <cell r="C57" t="str">
            <v>Londrina</v>
          </cell>
          <cell r="D57">
            <v>304738</v>
          </cell>
          <cell r="E57" t="str">
            <v>João Pessoa</v>
          </cell>
          <cell r="F57">
            <v>295765</v>
          </cell>
          <cell r="G57">
            <v>2496.4115670000001</v>
          </cell>
          <cell r="H57" t="str">
            <v>Aeroporto de Londrina</v>
          </cell>
          <cell r="I57">
            <v>-23.328571199999999</v>
          </cell>
          <cell r="J57">
            <v>-51.137800800000001</v>
          </cell>
          <cell r="K57" t="str">
            <v>Aeroporto de João Pessoa</v>
          </cell>
          <cell r="L57">
            <v>-7.1460090999999997</v>
          </cell>
          <cell r="M57">
            <v>-34.9487764</v>
          </cell>
        </row>
        <row r="58">
          <cell r="A58">
            <v>88917626008</v>
          </cell>
          <cell r="B58" t="str">
            <v>Campina Grande/Aracaju</v>
          </cell>
          <cell r="C58" t="str">
            <v>Campina Grande</v>
          </cell>
          <cell r="D58">
            <v>300632</v>
          </cell>
          <cell r="E58" t="str">
            <v>Aracaju</v>
          </cell>
          <cell r="F58">
            <v>295769</v>
          </cell>
          <cell r="G58">
            <v>433.32546239999999</v>
          </cell>
          <cell r="H58" t="str">
            <v>Aeroporto de Campina Grande</v>
          </cell>
          <cell r="I58">
            <v>-7.2688784000000002</v>
          </cell>
          <cell r="J58">
            <v>-35.894020599999998</v>
          </cell>
          <cell r="K58" t="str">
            <v>Aeroporto de Aracaju</v>
          </cell>
          <cell r="L58">
            <v>-10.9869886</v>
          </cell>
          <cell r="M58">
            <v>-37.072622299999999</v>
          </cell>
        </row>
        <row r="59">
          <cell r="A59">
            <v>88922043015</v>
          </cell>
          <cell r="B59" t="str">
            <v>Boa Vista/João Pessoa</v>
          </cell>
          <cell r="C59" t="str">
            <v>Boa Vista</v>
          </cell>
          <cell r="D59">
            <v>300651</v>
          </cell>
          <cell r="E59" t="str">
            <v>João Pessoa</v>
          </cell>
          <cell r="F59">
            <v>295765</v>
          </cell>
          <cell r="G59">
            <v>3065.9559380000001</v>
          </cell>
          <cell r="H59" t="str">
            <v>Aeroporto de Boa Vista</v>
          </cell>
          <cell r="I59">
            <v>2.8412191</v>
          </cell>
          <cell r="J59">
            <v>-60.692256899999997</v>
          </cell>
          <cell r="K59" t="str">
            <v>Aeroporto de João Pessoa</v>
          </cell>
          <cell r="L59">
            <v>-7.1460090999999997</v>
          </cell>
          <cell r="M59">
            <v>-34.9487764</v>
          </cell>
        </row>
        <row r="60">
          <cell r="A60">
            <v>93029331570</v>
          </cell>
          <cell r="B60" t="str">
            <v>João Pessoa/Florença</v>
          </cell>
          <cell r="C60" t="str">
            <v>João Pessoa</v>
          </cell>
          <cell r="D60">
            <v>295765</v>
          </cell>
          <cell r="E60" t="str">
            <v>Florença</v>
          </cell>
          <cell r="F60">
            <v>314538</v>
          </cell>
          <cell r="G60">
            <v>7318.6862760000004</v>
          </cell>
          <cell r="H60" t="str">
            <v>Aeroporto de João Pessoa</v>
          </cell>
          <cell r="I60">
            <v>-7.1460090999999997</v>
          </cell>
          <cell r="J60">
            <v>-34.9487764</v>
          </cell>
          <cell r="K60" t="str">
            <v>Aeroporto de Florença</v>
          </cell>
          <cell r="L60">
            <v>43.809461900000002</v>
          </cell>
          <cell r="M60">
            <v>11.2027587</v>
          </cell>
        </row>
        <row r="61">
          <cell r="A61">
            <v>93029627335</v>
          </cell>
          <cell r="B61" t="str">
            <v>Roma/João Pessoa</v>
          </cell>
          <cell r="C61" t="str">
            <v>Roma</v>
          </cell>
          <cell r="D61">
            <v>314539</v>
          </cell>
          <cell r="E61" t="str">
            <v>João Pessoa</v>
          </cell>
          <cell r="F61">
            <v>295765</v>
          </cell>
          <cell r="G61">
            <v>7250.7873730000001</v>
          </cell>
          <cell r="H61" t="str">
            <v>Aeroporto de Roma</v>
          </cell>
          <cell r="I61">
            <v>41.803463200000003</v>
          </cell>
          <cell r="J61">
            <v>12.251921100000001</v>
          </cell>
          <cell r="K61" t="str">
            <v>Aeroporto de João Pessoa</v>
          </cell>
          <cell r="L61">
            <v>-7.1460090999999997</v>
          </cell>
          <cell r="M61">
            <v>-34.9487764</v>
          </cell>
        </row>
        <row r="62">
          <cell r="A62">
            <v>87477230984</v>
          </cell>
          <cell r="B62" t="str">
            <v>Brasília/Maceió</v>
          </cell>
          <cell r="C62" t="str">
            <v>Brasília</v>
          </cell>
          <cell r="D62">
            <v>295763</v>
          </cell>
          <cell r="E62" t="str">
            <v>Maceió</v>
          </cell>
          <cell r="F62">
            <v>295768</v>
          </cell>
          <cell r="G62">
            <v>1493.0450740000001</v>
          </cell>
          <cell r="H62" t="str">
            <v>Aeroporto de Brasília</v>
          </cell>
          <cell r="I62">
            <v>-15.8706905</v>
          </cell>
          <cell r="J62">
            <v>-47.919348399999997</v>
          </cell>
          <cell r="K62" t="str">
            <v>Aeroporto de Maceió</v>
          </cell>
          <cell r="L62">
            <v>-9.5118603000000004</v>
          </cell>
          <cell r="M62">
            <v>-35.793182799999997</v>
          </cell>
        </row>
        <row r="63">
          <cell r="A63">
            <v>87480780140</v>
          </cell>
          <cell r="B63" t="str">
            <v>Curitiba/Brasília</v>
          </cell>
          <cell r="C63" t="str">
            <v>Curitiba</v>
          </cell>
          <cell r="D63">
            <v>295780</v>
          </cell>
          <cell r="E63" t="str">
            <v>Brasília</v>
          </cell>
          <cell r="F63">
            <v>295763</v>
          </cell>
          <cell r="G63">
            <v>1082.215598</v>
          </cell>
          <cell r="H63" t="str">
            <v>Aeroporto de Curitiba</v>
          </cell>
          <cell r="I63">
            <v>-25.529927499999999</v>
          </cell>
          <cell r="J63">
            <v>-49.172387100000002</v>
          </cell>
          <cell r="K63" t="str">
            <v>Aeroporto de Brasília</v>
          </cell>
          <cell r="L63">
            <v>-15.8706905</v>
          </cell>
          <cell r="M63">
            <v>-47.919348399999997</v>
          </cell>
        </row>
        <row r="64">
          <cell r="A64">
            <v>87480484377</v>
          </cell>
          <cell r="B64" t="str">
            <v>Brasília/São Paulo</v>
          </cell>
          <cell r="C64" t="str">
            <v>Brasília</v>
          </cell>
          <cell r="D64">
            <v>295763</v>
          </cell>
          <cell r="E64" t="str">
            <v>São Paulo</v>
          </cell>
          <cell r="F64">
            <v>295779</v>
          </cell>
          <cell r="G64">
            <v>854.35576990000004</v>
          </cell>
          <cell r="H64" t="str">
            <v>Aeroporto de Brasília</v>
          </cell>
          <cell r="I64">
            <v>-15.8706905</v>
          </cell>
          <cell r="J64">
            <v>-47.919348399999997</v>
          </cell>
          <cell r="K64" t="str">
            <v>Aeroporto de São Paulo</v>
          </cell>
          <cell r="L64">
            <v>-23.430217500000001</v>
          </cell>
          <cell r="M64">
            <v>-46.471671100000002</v>
          </cell>
        </row>
        <row r="65">
          <cell r="A65">
            <v>87478414054</v>
          </cell>
          <cell r="B65" t="str">
            <v>Recife/Aracaju</v>
          </cell>
          <cell r="C65" t="str">
            <v>Recife</v>
          </cell>
          <cell r="D65">
            <v>295766</v>
          </cell>
          <cell r="E65" t="str">
            <v>Aracaju</v>
          </cell>
          <cell r="F65">
            <v>295769</v>
          </cell>
          <cell r="G65">
            <v>395.59857959999999</v>
          </cell>
          <cell r="H65" t="str">
            <v>Aeroporto de Recife</v>
          </cell>
          <cell r="I65">
            <v>-8.1287392000000001</v>
          </cell>
          <cell r="J65">
            <v>-34.925852599999999</v>
          </cell>
          <cell r="K65" t="str">
            <v>Aeroporto de Aracaju</v>
          </cell>
          <cell r="L65">
            <v>-10.9869886</v>
          </cell>
          <cell r="M65">
            <v>-37.072622299999999</v>
          </cell>
        </row>
        <row r="66">
          <cell r="A66">
            <v>87482258995</v>
          </cell>
          <cell r="B66" t="str">
            <v>Manaus/João Pessoa</v>
          </cell>
          <cell r="C66" t="str">
            <v>Manaus</v>
          </cell>
          <cell r="D66">
            <v>295783</v>
          </cell>
          <cell r="E66" t="str">
            <v>João Pessoa</v>
          </cell>
          <cell r="F66">
            <v>295765</v>
          </cell>
          <cell r="G66">
            <v>2817.0983059999999</v>
          </cell>
          <cell r="H66" t="str">
            <v>Aeroporto de Manaus</v>
          </cell>
          <cell r="I66">
            <v>-3.0318168000000001</v>
          </cell>
          <cell r="J66">
            <v>-60.046076599999999</v>
          </cell>
          <cell r="K66" t="str">
            <v>Aeroporto de João Pessoa</v>
          </cell>
          <cell r="L66">
            <v>-7.1460090999999997</v>
          </cell>
          <cell r="M66">
            <v>-34.9487764</v>
          </cell>
        </row>
        <row r="67">
          <cell r="A67">
            <v>93026392682</v>
          </cell>
          <cell r="B67" t="str">
            <v>Washington/Recife</v>
          </cell>
          <cell r="C67" t="str">
            <v>Washington</v>
          </cell>
          <cell r="D67">
            <v>314527</v>
          </cell>
          <cell r="E67" t="str">
            <v>Recife</v>
          </cell>
          <cell r="F67">
            <v>295766</v>
          </cell>
          <cell r="G67">
            <v>6831.3632129999996</v>
          </cell>
          <cell r="H67" t="str">
            <v>Aeroporto de Washington</v>
          </cell>
          <cell r="I67">
            <v>38.952340399999997</v>
          </cell>
          <cell r="J67">
            <v>-77.458634399999994</v>
          </cell>
          <cell r="K67" t="str">
            <v>Aeroporto de Recife</v>
          </cell>
          <cell r="L67">
            <v>-8.1287392000000001</v>
          </cell>
          <cell r="M67">
            <v>-34.925852599999999</v>
          </cell>
        </row>
        <row r="68">
          <cell r="A68">
            <v>88922343666</v>
          </cell>
          <cell r="B68" t="str">
            <v>Boa Vista/Recife</v>
          </cell>
          <cell r="C68" t="str">
            <v>Boa Vista</v>
          </cell>
          <cell r="D68">
            <v>300651</v>
          </cell>
          <cell r="E68" t="str">
            <v>Recife</v>
          </cell>
          <cell r="F68">
            <v>295766</v>
          </cell>
          <cell r="G68">
            <v>3107.9048149999999</v>
          </cell>
          <cell r="H68" t="str">
            <v>Aeroporto de Boa Vista</v>
          </cell>
          <cell r="I68">
            <v>2.8412191</v>
          </cell>
          <cell r="J68">
            <v>-60.692256899999997</v>
          </cell>
          <cell r="K68" t="str">
            <v>Aeroporto de Recife</v>
          </cell>
          <cell r="L68">
            <v>-8.1287392000000001</v>
          </cell>
          <cell r="M68">
            <v>-34.925852599999999</v>
          </cell>
        </row>
        <row r="69">
          <cell r="A69">
            <v>87481075948</v>
          </cell>
          <cell r="B69" t="str">
            <v>Recife/Rio de Janeiro</v>
          </cell>
          <cell r="C69" t="str">
            <v>Recife</v>
          </cell>
          <cell r="D69">
            <v>295766</v>
          </cell>
          <cell r="E69" t="str">
            <v>Rio de Janeiro</v>
          </cell>
          <cell r="F69">
            <v>295778</v>
          </cell>
          <cell r="G69">
            <v>1864.8173400000001</v>
          </cell>
          <cell r="H69" t="str">
            <v>Aeroporto de Recife</v>
          </cell>
          <cell r="I69">
            <v>-8.1287392000000001</v>
          </cell>
          <cell r="J69">
            <v>-34.925852599999999</v>
          </cell>
          <cell r="K69" t="str">
            <v>Aeroporto de Rio de Janeiro</v>
          </cell>
          <cell r="L69">
            <v>-22.906846699999999</v>
          </cell>
          <cell r="M69">
            <v>-43.1728965</v>
          </cell>
        </row>
        <row r="70">
          <cell r="A70">
            <v>89245905690</v>
          </cell>
          <cell r="B70" t="str">
            <v>João Pessoa/Ilhéus</v>
          </cell>
          <cell r="C70" t="str">
            <v>João Pessoa</v>
          </cell>
          <cell r="D70">
            <v>295765</v>
          </cell>
          <cell r="E70" t="str">
            <v>Ilhéus</v>
          </cell>
          <cell r="F70">
            <v>301746</v>
          </cell>
          <cell r="G70">
            <v>962.38417159999995</v>
          </cell>
          <cell r="H70" t="str">
            <v>Aeroporto de João Pessoa</v>
          </cell>
          <cell r="I70">
            <v>-7.1460090999999997</v>
          </cell>
          <cell r="J70">
            <v>-34.9487764</v>
          </cell>
          <cell r="K70" t="str">
            <v>Aeroporto de Ilhéus</v>
          </cell>
          <cell r="L70">
            <v>-14.815408</v>
          </cell>
          <cell r="M70">
            <v>-39.032647500000003</v>
          </cell>
        </row>
        <row r="71">
          <cell r="A71">
            <v>90370709768</v>
          </cell>
          <cell r="B71" t="str">
            <v>Recife/Pelotas</v>
          </cell>
          <cell r="C71" t="str">
            <v>Recife</v>
          </cell>
          <cell r="D71">
            <v>295766</v>
          </cell>
          <cell r="E71" t="str">
            <v>Pelotas</v>
          </cell>
          <cell r="F71">
            <v>305548</v>
          </cell>
          <cell r="G71">
            <v>3182.220589</v>
          </cell>
          <cell r="H71" t="str">
            <v>Aeroporto de Recife</v>
          </cell>
          <cell r="I71">
            <v>-8.1287392000000001</v>
          </cell>
          <cell r="J71">
            <v>-34.925852599999999</v>
          </cell>
          <cell r="K71" t="str">
            <v>Aeroporto de Pelotas</v>
          </cell>
          <cell r="L71">
            <v>-31.7158227</v>
          </cell>
          <cell r="M71">
            <v>-52.330688700000003</v>
          </cell>
        </row>
        <row r="72">
          <cell r="A72">
            <v>90370404220</v>
          </cell>
          <cell r="B72" t="str">
            <v>Pelotas/João Pessoa</v>
          </cell>
          <cell r="C72" t="str">
            <v>Pelotas</v>
          </cell>
          <cell r="D72">
            <v>305548</v>
          </cell>
          <cell r="E72" t="str">
            <v>João Pessoa</v>
          </cell>
          <cell r="F72">
            <v>295765</v>
          </cell>
          <cell r="G72">
            <v>3273.9793110000001</v>
          </cell>
          <cell r="H72" t="str">
            <v>Aeroporto de Pelotas</v>
          </cell>
          <cell r="I72">
            <v>-31.7158227</v>
          </cell>
          <cell r="J72">
            <v>-52.330688700000003</v>
          </cell>
          <cell r="K72" t="str">
            <v>Aeroporto de João Pessoa</v>
          </cell>
          <cell r="L72">
            <v>-7.1460090999999997</v>
          </cell>
          <cell r="M72">
            <v>-34.9487764</v>
          </cell>
        </row>
        <row r="73">
          <cell r="A73">
            <v>87486991508</v>
          </cell>
          <cell r="B73" t="str">
            <v>Rio de Janeiro/Porto Alegre</v>
          </cell>
          <cell r="C73" t="str">
            <v>Rio de Janeiro</v>
          </cell>
          <cell r="D73">
            <v>295778</v>
          </cell>
          <cell r="E73" t="str">
            <v>Porto Alegre</v>
          </cell>
          <cell r="F73">
            <v>295786</v>
          </cell>
          <cell r="G73">
            <v>1120.3314600000001</v>
          </cell>
          <cell r="H73" t="str">
            <v>Aeroporto de Rio de Janeiro</v>
          </cell>
          <cell r="I73">
            <v>-22.906846699999999</v>
          </cell>
          <cell r="J73">
            <v>-43.1728965</v>
          </cell>
          <cell r="K73" t="str">
            <v>Aeroporto de Porto Alegre</v>
          </cell>
          <cell r="L73">
            <v>-29.994941900000001</v>
          </cell>
          <cell r="M73">
            <v>-51.176328900000001</v>
          </cell>
        </row>
        <row r="74">
          <cell r="A74">
            <v>87481963230</v>
          </cell>
          <cell r="B74" t="str">
            <v>João Pessoa/Cuiabá</v>
          </cell>
          <cell r="C74" t="str">
            <v>João Pessoa</v>
          </cell>
          <cell r="D74">
            <v>295765</v>
          </cell>
          <cell r="E74" t="str">
            <v>Cuiabá</v>
          </cell>
          <cell r="F74">
            <v>295782</v>
          </cell>
          <cell r="G74">
            <v>2492.0075689999999</v>
          </cell>
          <cell r="H74" t="str">
            <v>Aeroporto de João Pessoa</v>
          </cell>
          <cell r="I74">
            <v>-7.1460090999999997</v>
          </cell>
          <cell r="J74">
            <v>-34.9487764</v>
          </cell>
          <cell r="K74" t="str">
            <v>Aeroporto de Cuiabá</v>
          </cell>
          <cell r="L74">
            <v>-15.6506042</v>
          </cell>
          <cell r="M74">
            <v>-56.120458900000003</v>
          </cell>
        </row>
        <row r="75">
          <cell r="A75">
            <v>87481963246</v>
          </cell>
          <cell r="B75" t="str">
            <v>Recife/Florianópolis</v>
          </cell>
          <cell r="C75" t="str">
            <v>Recife</v>
          </cell>
          <cell r="D75">
            <v>295766</v>
          </cell>
          <cell r="E75" t="str">
            <v>Florianópolis</v>
          </cell>
          <cell r="F75">
            <v>295781</v>
          </cell>
          <cell r="G75">
            <v>2603.2603009999998</v>
          </cell>
          <cell r="H75" t="str">
            <v>Aeroporto de Recife</v>
          </cell>
          <cell r="I75">
            <v>-8.1287392000000001</v>
          </cell>
          <cell r="J75">
            <v>-34.925852599999999</v>
          </cell>
          <cell r="K75" t="str">
            <v>Aeroporto de Florianópolis</v>
          </cell>
          <cell r="L75">
            <v>-27.674546599999999</v>
          </cell>
          <cell r="M75">
            <v>-48.546156199999999</v>
          </cell>
        </row>
        <row r="76">
          <cell r="A76">
            <v>88921233592</v>
          </cell>
          <cell r="B76" t="str">
            <v>Campina Grande/Florianópolis</v>
          </cell>
          <cell r="C76" t="str">
            <v>Campina Grande</v>
          </cell>
          <cell r="D76">
            <v>300632</v>
          </cell>
          <cell r="E76" t="str">
            <v>Florianópolis</v>
          </cell>
          <cell r="F76">
            <v>295781</v>
          </cell>
          <cell r="G76">
            <v>2632.0406859999998</v>
          </cell>
          <cell r="H76" t="str">
            <v>Aeroporto de Campina Grande</v>
          </cell>
          <cell r="I76">
            <v>-7.2688784000000002</v>
          </cell>
          <cell r="J76">
            <v>-35.894020599999998</v>
          </cell>
          <cell r="K76" t="str">
            <v>Aeroporto de Florianópolis</v>
          </cell>
          <cell r="L76">
            <v>-27.674546599999999</v>
          </cell>
          <cell r="M76">
            <v>-48.546156199999999</v>
          </cell>
        </row>
        <row r="77">
          <cell r="A77">
            <v>88922736752</v>
          </cell>
          <cell r="B77" t="str">
            <v>Porto Alegre/Campina Grande</v>
          </cell>
          <cell r="C77" t="str">
            <v>Porto Alegre</v>
          </cell>
          <cell r="D77">
            <v>295786</v>
          </cell>
          <cell r="E77" t="str">
            <v>Campina Grande</v>
          </cell>
          <cell r="F77">
            <v>300632</v>
          </cell>
          <cell r="G77">
            <v>2989.3677010000001</v>
          </cell>
          <cell r="H77" t="str">
            <v>Aeroporto de Porto Alegre</v>
          </cell>
          <cell r="I77">
            <v>-29.994941900000001</v>
          </cell>
          <cell r="J77">
            <v>-51.176328900000001</v>
          </cell>
          <cell r="K77" t="str">
            <v>Aeroporto de Campina Grande</v>
          </cell>
          <cell r="L77">
            <v>-7.2688784000000002</v>
          </cell>
          <cell r="M77">
            <v>-35.894020599999998</v>
          </cell>
        </row>
        <row r="78">
          <cell r="A78">
            <v>87487583080</v>
          </cell>
          <cell r="B78" t="str">
            <v>Curitiba/Porto Alegre</v>
          </cell>
          <cell r="C78" t="str">
            <v>Curitiba</v>
          </cell>
          <cell r="D78">
            <v>295780</v>
          </cell>
          <cell r="E78" t="str">
            <v>Porto Alegre</v>
          </cell>
          <cell r="F78">
            <v>295786</v>
          </cell>
          <cell r="G78">
            <v>534.32407850000004</v>
          </cell>
          <cell r="H78" t="str">
            <v>Aeroporto de Curitiba</v>
          </cell>
          <cell r="I78">
            <v>-25.529927499999999</v>
          </cell>
          <cell r="J78">
            <v>-49.172387100000002</v>
          </cell>
          <cell r="K78" t="str">
            <v>Aeroporto de Porto Alegre</v>
          </cell>
          <cell r="L78">
            <v>-29.994941900000001</v>
          </cell>
          <cell r="M78">
            <v>-51.176328900000001</v>
          </cell>
        </row>
        <row r="79">
          <cell r="A79">
            <v>91287508064</v>
          </cell>
          <cell r="B79" t="str">
            <v>Campinas/Campina Grande</v>
          </cell>
          <cell r="C79" t="str">
            <v>Campinas</v>
          </cell>
          <cell r="D79">
            <v>303652</v>
          </cell>
          <cell r="E79" t="str">
            <v>Campina Grande</v>
          </cell>
          <cell r="F79">
            <v>300632</v>
          </cell>
          <cell r="G79">
            <v>2123.893368</v>
          </cell>
          <cell r="H79" t="str">
            <v>Aeroporto de Campinas</v>
          </cell>
          <cell r="I79">
            <v>-23.008050000000001</v>
          </cell>
          <cell r="J79">
            <v>-47.139659600000002</v>
          </cell>
          <cell r="K79" t="str">
            <v>Aeroporto de Campina Grande</v>
          </cell>
          <cell r="L79">
            <v>-7.2688784000000002</v>
          </cell>
          <cell r="M79">
            <v>-35.894020599999998</v>
          </cell>
        </row>
        <row r="80">
          <cell r="A80">
            <v>89422773160</v>
          </cell>
          <cell r="B80" t="str">
            <v>Cascavel/João Pessoa</v>
          </cell>
          <cell r="C80" t="str">
            <v>Cascavel</v>
          </cell>
          <cell r="D80">
            <v>302344</v>
          </cell>
          <cell r="E80" t="str">
            <v>João Pessoa</v>
          </cell>
          <cell r="F80">
            <v>295765</v>
          </cell>
          <cell r="G80">
            <v>2799.0172360000001</v>
          </cell>
          <cell r="H80" t="str">
            <v>Aeroporto de Cascavel</v>
          </cell>
          <cell r="I80">
            <v>-25.0020946</v>
          </cell>
          <cell r="J80">
            <v>-53.503557399999998</v>
          </cell>
          <cell r="K80" t="str">
            <v>Aeroporto de João Pessoa</v>
          </cell>
          <cell r="L80">
            <v>-7.1460090999999997</v>
          </cell>
          <cell r="M80">
            <v>-34.9487764</v>
          </cell>
        </row>
        <row r="81">
          <cell r="A81">
            <v>87479597088</v>
          </cell>
          <cell r="B81" t="str">
            <v>Brasília/Vitória</v>
          </cell>
          <cell r="C81" t="str">
            <v>Brasília</v>
          </cell>
          <cell r="D81">
            <v>295763</v>
          </cell>
          <cell r="E81" t="str">
            <v>Vitória</v>
          </cell>
          <cell r="F81">
            <v>295776</v>
          </cell>
          <cell r="G81">
            <v>943.39339910000001</v>
          </cell>
          <cell r="H81" t="str">
            <v>Aeroporto de Brasília</v>
          </cell>
          <cell r="I81">
            <v>-15.8706905</v>
          </cell>
          <cell r="J81">
            <v>-47.919348399999997</v>
          </cell>
          <cell r="K81" t="str">
            <v>Aeroporto de Vitória</v>
          </cell>
          <cell r="L81">
            <v>-20.261650700000001</v>
          </cell>
          <cell r="M81">
            <v>-40.283330800000002</v>
          </cell>
        </row>
        <row r="82">
          <cell r="A82">
            <v>88920632328</v>
          </cell>
          <cell r="B82" t="str">
            <v>São Paulo/Campina Grande</v>
          </cell>
          <cell r="C82" t="str">
            <v>São Paulo</v>
          </cell>
          <cell r="D82">
            <v>295779</v>
          </cell>
          <cell r="E82" t="str">
            <v>Campina Grande</v>
          </cell>
          <cell r="F82">
            <v>300632</v>
          </cell>
          <cell r="G82">
            <v>2123.1299210000002</v>
          </cell>
          <cell r="H82" t="str">
            <v>Aeroporto de São Paulo</v>
          </cell>
          <cell r="I82">
            <v>-23.430217500000001</v>
          </cell>
          <cell r="J82">
            <v>-46.471671100000002</v>
          </cell>
          <cell r="K82" t="str">
            <v>Aeroporto de Campina Grande</v>
          </cell>
          <cell r="L82">
            <v>-7.2688784000000002</v>
          </cell>
          <cell r="M82">
            <v>-35.894020599999998</v>
          </cell>
        </row>
        <row r="83">
          <cell r="A83">
            <v>90378094110</v>
          </cell>
          <cell r="B83" t="str">
            <v>João Pessoa/Caxias do Sul</v>
          </cell>
          <cell r="C83" t="str">
            <v>João Pessoa</v>
          </cell>
          <cell r="D83">
            <v>295765</v>
          </cell>
          <cell r="E83" t="str">
            <v>Caxias do Sul</v>
          </cell>
          <cell r="F83">
            <v>305574</v>
          </cell>
          <cell r="G83">
            <v>2984.7648640000002</v>
          </cell>
          <cell r="H83" t="str">
            <v>Aeroporto de João Pessoa</v>
          </cell>
          <cell r="I83">
            <v>-7.1460090999999997</v>
          </cell>
          <cell r="J83">
            <v>-34.9487764</v>
          </cell>
          <cell r="K83" t="str">
            <v>Aeroporto de Caxias do Sul</v>
          </cell>
          <cell r="L83">
            <v>-29.1949191</v>
          </cell>
          <cell r="M83">
            <v>-51.186930199999999</v>
          </cell>
        </row>
        <row r="84">
          <cell r="A84">
            <v>89152153848</v>
          </cell>
          <cell r="B84" t="str">
            <v>Petrolina/Recife</v>
          </cell>
          <cell r="C84" t="str">
            <v>Petrolina</v>
          </cell>
          <cell r="D84">
            <v>301428</v>
          </cell>
          <cell r="E84" t="str">
            <v>Recife</v>
          </cell>
          <cell r="F84">
            <v>295766</v>
          </cell>
          <cell r="G84">
            <v>635.08738310000001</v>
          </cell>
          <cell r="H84" t="str">
            <v>Aeroporto de Petrolina</v>
          </cell>
          <cell r="I84">
            <v>-9.3666170999999991</v>
          </cell>
          <cell r="J84">
            <v>-40.565696199999998</v>
          </cell>
          <cell r="K84" t="str">
            <v>Aeroporto de Recife</v>
          </cell>
          <cell r="L84">
            <v>-8.1287392000000001</v>
          </cell>
          <cell r="M84">
            <v>-34.925852599999999</v>
          </cell>
        </row>
        <row r="85">
          <cell r="A85">
            <v>87480484416</v>
          </cell>
          <cell r="B85" t="str">
            <v>Recife/Vitória</v>
          </cell>
          <cell r="C85" t="str">
            <v>Recife</v>
          </cell>
          <cell r="D85">
            <v>295766</v>
          </cell>
          <cell r="E85" t="str">
            <v>Vitória</v>
          </cell>
          <cell r="F85">
            <v>295776</v>
          </cell>
          <cell r="G85">
            <v>1467.4387690000001</v>
          </cell>
          <cell r="H85" t="str">
            <v>Aeroporto de Recife</v>
          </cell>
          <cell r="I85">
            <v>-8.1287392000000001</v>
          </cell>
          <cell r="J85">
            <v>-34.925852599999999</v>
          </cell>
          <cell r="K85" t="str">
            <v>Aeroporto de Vitória</v>
          </cell>
          <cell r="L85">
            <v>-20.261650700000001</v>
          </cell>
          <cell r="M85">
            <v>-40.283330800000002</v>
          </cell>
        </row>
        <row r="86">
          <cell r="A86">
            <v>89743094316</v>
          </cell>
          <cell r="B86" t="str">
            <v>Recife/São José do Rio Preto</v>
          </cell>
          <cell r="C86" t="str">
            <v>Recife</v>
          </cell>
          <cell r="D86">
            <v>295766</v>
          </cell>
          <cell r="E86" t="str">
            <v>São José do Rio Preto</v>
          </cell>
          <cell r="F86">
            <v>303426</v>
          </cell>
          <cell r="G86">
            <v>2099.8223250000001</v>
          </cell>
          <cell r="H86" t="str">
            <v>Aeroporto de Recife</v>
          </cell>
          <cell r="I86">
            <v>-8.1287392000000001</v>
          </cell>
          <cell r="J86">
            <v>-34.925852599999999</v>
          </cell>
          <cell r="K86" t="str">
            <v>Aeroporto de São José do Rio Preto</v>
          </cell>
          <cell r="L86">
            <v>-20.812705399999999</v>
          </cell>
          <cell r="M86">
            <v>-49.405148799999999</v>
          </cell>
        </row>
        <row r="87">
          <cell r="A87">
            <v>89251820990</v>
          </cell>
          <cell r="B87" t="str">
            <v>Porto Seguro/João Pessoa</v>
          </cell>
          <cell r="C87" t="str">
            <v>Porto Seguro</v>
          </cell>
          <cell r="D87">
            <v>301766</v>
          </cell>
          <cell r="E87" t="str">
            <v>João Pessoa</v>
          </cell>
          <cell r="F87">
            <v>295765</v>
          </cell>
          <cell r="G87">
            <v>1127.266077</v>
          </cell>
          <cell r="H87" t="str">
            <v>Aeroporto de Porto Seguro</v>
          </cell>
          <cell r="I87">
            <v>-16.441057600000001</v>
          </cell>
          <cell r="J87">
            <v>-39.080624499999999</v>
          </cell>
          <cell r="K87" t="str">
            <v>Aeroporto de João Pessoa</v>
          </cell>
          <cell r="L87">
            <v>-7.1460090999999997</v>
          </cell>
          <cell r="M87">
            <v>-34.9487764</v>
          </cell>
        </row>
        <row r="88">
          <cell r="A88">
            <v>89913151530</v>
          </cell>
          <cell r="B88" t="str">
            <v>Navegantes/João Pessoa</v>
          </cell>
          <cell r="C88" t="str">
            <v>Navegantes</v>
          </cell>
          <cell r="D88">
            <v>304002</v>
          </cell>
          <cell r="E88" t="str">
            <v>João Pessoa</v>
          </cell>
          <cell r="F88">
            <v>295765</v>
          </cell>
          <cell r="G88">
            <v>2629.2706629999998</v>
          </cell>
          <cell r="H88" t="str">
            <v>Aeroporto de Navegantes</v>
          </cell>
          <cell r="I88">
            <v>-26.8792127</v>
          </cell>
          <cell r="J88">
            <v>-48.650041299999998</v>
          </cell>
          <cell r="K88" t="str">
            <v>Aeroporto de João Pessoa</v>
          </cell>
          <cell r="L88">
            <v>-7.1460090999999997</v>
          </cell>
          <cell r="M88">
            <v>-34.9487764</v>
          </cell>
        </row>
        <row r="89">
          <cell r="A89">
            <v>90241154915</v>
          </cell>
          <cell r="B89" t="str">
            <v>João Pessoa/Palmas</v>
          </cell>
          <cell r="C89" t="str">
            <v>João Pessoa</v>
          </cell>
          <cell r="D89">
            <v>295765</v>
          </cell>
          <cell r="E89" t="str">
            <v>Palmas</v>
          </cell>
          <cell r="F89">
            <v>305111</v>
          </cell>
          <cell r="G89">
            <v>1515.0099190000001</v>
          </cell>
          <cell r="H89" t="str">
            <v>Aeroporto de João Pessoa</v>
          </cell>
          <cell r="I89">
            <v>-7.1460090999999997</v>
          </cell>
          <cell r="J89">
            <v>-34.9487764</v>
          </cell>
          <cell r="K89" t="str">
            <v>Aeroporto de Palmas</v>
          </cell>
          <cell r="L89">
            <v>-10.295659300000001</v>
          </cell>
          <cell r="M89">
            <v>-48.358108299999998</v>
          </cell>
        </row>
        <row r="90">
          <cell r="A90">
            <v>89151852420</v>
          </cell>
          <cell r="B90" t="str">
            <v>João Pessoa/Petrolina</v>
          </cell>
          <cell r="C90" t="str">
            <v>João Pessoa</v>
          </cell>
          <cell r="D90">
            <v>295765</v>
          </cell>
          <cell r="E90" t="str">
            <v>Petrolina</v>
          </cell>
          <cell r="F90">
            <v>301428</v>
          </cell>
          <cell r="G90">
            <v>665.73965859999998</v>
          </cell>
          <cell r="H90" t="str">
            <v>Aeroporto de João Pessoa</v>
          </cell>
          <cell r="I90">
            <v>-7.1460090999999997</v>
          </cell>
          <cell r="J90">
            <v>-34.9487764</v>
          </cell>
          <cell r="K90" t="str">
            <v>Aeroporto de Petrolina</v>
          </cell>
          <cell r="L90">
            <v>-9.3666170999999991</v>
          </cell>
          <cell r="M90">
            <v>-40.565696199999998</v>
          </cell>
        </row>
        <row r="91">
          <cell r="A91">
            <v>89915517650</v>
          </cell>
          <cell r="B91" t="str">
            <v>João Pessoa/Joinville</v>
          </cell>
          <cell r="C91" t="str">
            <v>João Pessoa</v>
          </cell>
          <cell r="D91">
            <v>295765</v>
          </cell>
          <cell r="E91" t="str">
            <v>Joinville</v>
          </cell>
          <cell r="F91">
            <v>304010</v>
          </cell>
          <cell r="G91">
            <v>2579.8349079999998</v>
          </cell>
          <cell r="H91" t="str">
            <v>Aeroporto de João Pessoa</v>
          </cell>
          <cell r="I91">
            <v>-7.1460090999999997</v>
          </cell>
          <cell r="J91">
            <v>-34.9487764</v>
          </cell>
          <cell r="K91" t="str">
            <v>Aeroporto de Joinville</v>
          </cell>
          <cell r="L91">
            <v>-26.225396199999999</v>
          </cell>
          <cell r="M91">
            <v>-48.802658299999997</v>
          </cell>
        </row>
        <row r="92">
          <cell r="A92">
            <v>87480188614</v>
          </cell>
          <cell r="B92" t="str">
            <v>Brasília/Rio de Janeiro</v>
          </cell>
          <cell r="C92" t="str">
            <v>Brasília</v>
          </cell>
          <cell r="D92">
            <v>295763</v>
          </cell>
          <cell r="E92" t="str">
            <v>Rio de Janeiro</v>
          </cell>
          <cell r="F92">
            <v>295778</v>
          </cell>
          <cell r="G92">
            <v>927.37353729999995</v>
          </cell>
          <cell r="H92" t="str">
            <v>Aeroporto de Brasília</v>
          </cell>
          <cell r="I92">
            <v>-15.8706905</v>
          </cell>
          <cell r="J92">
            <v>-47.919348399999997</v>
          </cell>
          <cell r="K92" t="str">
            <v>Aeroporto de Rio de Janeiro</v>
          </cell>
          <cell r="L92">
            <v>-22.906846699999999</v>
          </cell>
          <cell r="M92">
            <v>-43.1728965</v>
          </cell>
        </row>
        <row r="93">
          <cell r="A93">
            <v>87480780156</v>
          </cell>
          <cell r="B93" t="str">
            <v>Natal/São Paulo</v>
          </cell>
          <cell r="C93" t="str">
            <v>Natal</v>
          </cell>
          <cell r="D93">
            <v>295764</v>
          </cell>
          <cell r="E93" t="str">
            <v>São Paulo</v>
          </cell>
          <cell r="F93">
            <v>295779</v>
          </cell>
          <cell r="G93">
            <v>2296.6486289999998</v>
          </cell>
          <cell r="H93" t="str">
            <v>Aeroporto de Natal</v>
          </cell>
          <cell r="I93">
            <v>-5.7632583000000004</v>
          </cell>
          <cell r="J93">
            <v>-35.3726992</v>
          </cell>
          <cell r="K93" t="str">
            <v>Aeroporto de São Paulo</v>
          </cell>
          <cell r="L93">
            <v>-23.430217500000001</v>
          </cell>
          <cell r="M93">
            <v>-46.471671100000002</v>
          </cell>
        </row>
        <row r="94">
          <cell r="A94">
            <v>89740842743</v>
          </cell>
          <cell r="B94" t="str">
            <v>Florianópolis/Uberlândia</v>
          </cell>
          <cell r="C94" t="str">
            <v>Florianópolis</v>
          </cell>
          <cell r="D94">
            <v>295781</v>
          </cell>
          <cell r="E94" t="str">
            <v>Uberlândia</v>
          </cell>
          <cell r="F94">
            <v>303403</v>
          </cell>
          <cell r="G94">
            <v>977.6552441</v>
          </cell>
          <cell r="H94" t="str">
            <v>Aeroporto de Florianópolis</v>
          </cell>
          <cell r="I94">
            <v>-27.674546599999999</v>
          </cell>
          <cell r="J94">
            <v>-48.546156199999999</v>
          </cell>
          <cell r="K94" t="str">
            <v>Aeroporto de Uberlândia</v>
          </cell>
          <cell r="L94">
            <v>-18.889520099999999</v>
          </cell>
          <cell r="M94">
            <v>-48.230739499999999</v>
          </cell>
        </row>
        <row r="95">
          <cell r="A95">
            <v>93027575746</v>
          </cell>
          <cell r="B95" t="str">
            <v>Recife/Lisboa</v>
          </cell>
          <cell r="C95" t="str">
            <v>Recife</v>
          </cell>
          <cell r="D95">
            <v>295766</v>
          </cell>
          <cell r="E95" t="str">
            <v>Lisboa</v>
          </cell>
          <cell r="F95">
            <v>314531</v>
          </cell>
          <cell r="G95">
            <v>5859.2539409999999</v>
          </cell>
          <cell r="H95" t="str">
            <v>Aeroporto de Recife</v>
          </cell>
          <cell r="I95">
            <v>-8.1287392000000001</v>
          </cell>
          <cell r="J95">
            <v>-34.925852599999999</v>
          </cell>
          <cell r="K95" t="str">
            <v>Aeroporto de Lisboa</v>
          </cell>
          <cell r="L95">
            <v>38.780049400000003</v>
          </cell>
          <cell r="M95">
            <v>-9.1341722000000001</v>
          </cell>
        </row>
        <row r="96">
          <cell r="A96">
            <v>87484625220</v>
          </cell>
          <cell r="B96" t="str">
            <v>Porto Alegre/Salvador</v>
          </cell>
          <cell r="C96" t="str">
            <v>Porto Alegre</v>
          </cell>
          <cell r="D96">
            <v>295786</v>
          </cell>
          <cell r="E96" t="str">
            <v>Salvador</v>
          </cell>
          <cell r="F96">
            <v>295770</v>
          </cell>
          <cell r="G96">
            <v>2314.2116299999998</v>
          </cell>
          <cell r="H96" t="str">
            <v>Aeroporto de Porto Alegre</v>
          </cell>
          <cell r="I96">
            <v>-29.994941900000001</v>
          </cell>
          <cell r="J96">
            <v>-51.176328900000001</v>
          </cell>
          <cell r="K96" t="str">
            <v>Aeroporto de Salvador</v>
          </cell>
          <cell r="L96">
            <v>-12.916180600000001</v>
          </cell>
          <cell r="M96">
            <v>-38.3341937</v>
          </cell>
        </row>
        <row r="97">
          <cell r="A97">
            <v>88920331696</v>
          </cell>
          <cell r="B97" t="str">
            <v>Campina Grande/Rio de Janeiro</v>
          </cell>
          <cell r="C97" t="str">
            <v>Campina Grande</v>
          </cell>
          <cell r="D97">
            <v>300632</v>
          </cell>
          <cell r="E97" t="str">
            <v>Rio de Janeiro</v>
          </cell>
          <cell r="F97">
            <v>295778</v>
          </cell>
          <cell r="G97">
            <v>1905.7031830000001</v>
          </cell>
          <cell r="H97" t="str">
            <v>Aeroporto de Campina Grande</v>
          </cell>
          <cell r="I97">
            <v>-7.2688784000000002</v>
          </cell>
          <cell r="J97">
            <v>-35.894020599999998</v>
          </cell>
          <cell r="K97" t="str">
            <v>Aeroporto de Rio de Janeiro</v>
          </cell>
          <cell r="L97">
            <v>-22.906846699999999</v>
          </cell>
          <cell r="M97">
            <v>-43.1728965</v>
          </cell>
        </row>
        <row r="98">
          <cell r="A98">
            <v>88920932960</v>
          </cell>
          <cell r="B98" t="str">
            <v>Curitiba/Campina Grande</v>
          </cell>
          <cell r="C98" t="str">
            <v>Curitiba</v>
          </cell>
          <cell r="D98">
            <v>295780</v>
          </cell>
          <cell r="E98" t="str">
            <v>Campina Grande</v>
          </cell>
          <cell r="F98">
            <v>300632</v>
          </cell>
          <cell r="G98">
            <v>2471.9536720000001</v>
          </cell>
          <cell r="H98" t="str">
            <v>Aeroporto de Curitiba</v>
          </cell>
          <cell r="I98">
            <v>-25.529927499999999</v>
          </cell>
          <cell r="J98">
            <v>-49.172387100000002</v>
          </cell>
          <cell r="K98" t="str">
            <v>Aeroporto de Campina Grande</v>
          </cell>
          <cell r="L98">
            <v>-7.2688784000000002</v>
          </cell>
          <cell r="M98">
            <v>-35.894020599999998</v>
          </cell>
        </row>
        <row r="99">
          <cell r="A99">
            <v>87482554718</v>
          </cell>
          <cell r="B99" t="str">
            <v>Brasília/Porto Alegre</v>
          </cell>
          <cell r="C99" t="str">
            <v>Brasília</v>
          </cell>
          <cell r="D99">
            <v>295763</v>
          </cell>
          <cell r="E99" t="str">
            <v>Porto Alegre</v>
          </cell>
          <cell r="F99">
            <v>295786</v>
          </cell>
          <cell r="G99">
            <v>1605.751383</v>
          </cell>
          <cell r="H99" t="str">
            <v>Aeroporto de Brasília</v>
          </cell>
          <cell r="I99">
            <v>-15.8706905</v>
          </cell>
          <cell r="J99">
            <v>-47.919348399999997</v>
          </cell>
          <cell r="K99" t="str">
            <v>Aeroporto de Porto Alegre</v>
          </cell>
          <cell r="L99">
            <v>-29.994941900000001</v>
          </cell>
          <cell r="M99">
            <v>-51.176328900000001</v>
          </cell>
        </row>
        <row r="100">
          <cell r="A100">
            <v>89086198030</v>
          </cell>
          <cell r="B100" t="str">
            <v>Campo Grande/Recife</v>
          </cell>
          <cell r="C100" t="str">
            <v>Campo Grande</v>
          </cell>
          <cell r="D100">
            <v>301205</v>
          </cell>
          <cell r="E100" t="str">
            <v>Recife</v>
          </cell>
          <cell r="F100">
            <v>295766</v>
          </cell>
          <cell r="G100">
            <v>2526.82006</v>
          </cell>
          <cell r="H100" t="str">
            <v>Aeroporto de Campo Grande</v>
          </cell>
          <cell r="I100">
            <v>-20.457273499999999</v>
          </cell>
          <cell r="J100">
            <v>-54.668733500000002</v>
          </cell>
          <cell r="K100" t="str">
            <v>Aeroporto de Recife</v>
          </cell>
          <cell r="L100">
            <v>-8.1287392000000001</v>
          </cell>
          <cell r="M100">
            <v>-34.925852599999999</v>
          </cell>
        </row>
        <row r="101">
          <cell r="A101">
            <v>87484921056</v>
          </cell>
          <cell r="B101" t="str">
            <v>Vitória/Florianópolis</v>
          </cell>
          <cell r="C101" t="str">
            <v>Vitória</v>
          </cell>
          <cell r="D101">
            <v>295776</v>
          </cell>
          <cell r="E101" t="str">
            <v>Florianópolis</v>
          </cell>
          <cell r="F101">
            <v>295781</v>
          </cell>
          <cell r="G101">
            <v>1176.1379280000001</v>
          </cell>
          <cell r="H101" t="str">
            <v>Aeroporto de Vitória</v>
          </cell>
          <cell r="I101">
            <v>-20.261650700000001</v>
          </cell>
          <cell r="J101">
            <v>-40.283330800000002</v>
          </cell>
          <cell r="K101" t="str">
            <v>Aeroporto de Florianópolis</v>
          </cell>
          <cell r="L101">
            <v>-27.674546599999999</v>
          </cell>
          <cell r="M101">
            <v>-48.546156199999999</v>
          </cell>
        </row>
        <row r="102">
          <cell r="A102">
            <v>90259492345</v>
          </cell>
          <cell r="B102" t="str">
            <v>João Pessoa/Passo Fundo</v>
          </cell>
          <cell r="C102" t="str">
            <v>João Pessoa</v>
          </cell>
          <cell r="D102">
            <v>295765</v>
          </cell>
          <cell r="E102" t="str">
            <v>Passo Fundo</v>
          </cell>
          <cell r="F102">
            <v>305173</v>
          </cell>
          <cell r="G102">
            <v>2973.844595</v>
          </cell>
          <cell r="H102" t="str">
            <v>Aeroporto de João Pessoa</v>
          </cell>
          <cell r="I102">
            <v>-7.1460090999999997</v>
          </cell>
          <cell r="J102">
            <v>-34.9487764</v>
          </cell>
          <cell r="K102" t="str">
            <v>Aeroporto de Passo Fundo</v>
          </cell>
          <cell r="L102">
            <v>-28.2404692</v>
          </cell>
          <cell r="M102">
            <v>-52.328319700000002</v>
          </cell>
        </row>
        <row r="103">
          <cell r="A103">
            <v>87484921062</v>
          </cell>
          <cell r="B103" t="str">
            <v>São Paulo/Rio de Janeiro</v>
          </cell>
          <cell r="C103" t="str">
            <v>São Paulo</v>
          </cell>
          <cell r="D103">
            <v>295779</v>
          </cell>
          <cell r="E103" t="str">
            <v>Rio de Janeiro</v>
          </cell>
          <cell r="F103">
            <v>295778</v>
          </cell>
          <cell r="G103">
            <v>342.29683490000002</v>
          </cell>
          <cell r="H103" t="str">
            <v>Aeroporto de São Paulo</v>
          </cell>
          <cell r="I103">
            <v>-23.430217500000001</v>
          </cell>
          <cell r="J103">
            <v>-46.471671100000002</v>
          </cell>
          <cell r="K103" t="str">
            <v>Aeroporto de Rio de Janeiro</v>
          </cell>
          <cell r="L103">
            <v>-22.906846699999999</v>
          </cell>
          <cell r="M103">
            <v>-43.1728965</v>
          </cell>
        </row>
        <row r="104">
          <cell r="A104">
            <v>87480484392</v>
          </cell>
          <cell r="B104" t="str">
            <v>Rio de Janeiro/Natal</v>
          </cell>
          <cell r="C104" t="str">
            <v>Rio de Janeiro</v>
          </cell>
          <cell r="D104">
            <v>295778</v>
          </cell>
          <cell r="E104" t="str">
            <v>Natal</v>
          </cell>
          <cell r="F104">
            <v>295764</v>
          </cell>
          <cell r="G104">
            <v>2082.3368770000002</v>
          </cell>
          <cell r="H104" t="str">
            <v>Aeroporto de Rio de Janeiro</v>
          </cell>
          <cell r="I104">
            <v>-22.906846699999999</v>
          </cell>
          <cell r="J104">
            <v>-43.1728965</v>
          </cell>
          <cell r="K104" t="str">
            <v>Aeroporto de Natal</v>
          </cell>
          <cell r="L104">
            <v>-5.7632583000000004</v>
          </cell>
          <cell r="M104">
            <v>-35.3726992</v>
          </cell>
        </row>
        <row r="105">
          <cell r="A105">
            <v>87480780182</v>
          </cell>
          <cell r="B105" t="str">
            <v>Belo Horizonte/Recife</v>
          </cell>
          <cell r="C105" t="str">
            <v>Belo Horizonte</v>
          </cell>
          <cell r="D105">
            <v>295777</v>
          </cell>
          <cell r="E105" t="str">
            <v>Recife</v>
          </cell>
          <cell r="F105">
            <v>295766</v>
          </cell>
          <cell r="G105">
            <v>1626.4017590000001</v>
          </cell>
          <cell r="H105" t="str">
            <v>Aeroporto de Belo Horizonte</v>
          </cell>
          <cell r="I105">
            <v>-19.849847499999999</v>
          </cell>
          <cell r="J105">
            <v>-43.954889899999998</v>
          </cell>
          <cell r="K105" t="str">
            <v>Aeroporto de Recife</v>
          </cell>
          <cell r="L105">
            <v>-8.1287392000000001</v>
          </cell>
          <cell r="M105">
            <v>-34.925852599999999</v>
          </cell>
        </row>
        <row r="106">
          <cell r="A106">
            <v>87481371714</v>
          </cell>
          <cell r="B106" t="str">
            <v>São Paulo/Recife</v>
          </cell>
          <cell r="C106" t="str">
            <v>São Paulo</v>
          </cell>
          <cell r="D106">
            <v>295779</v>
          </cell>
          <cell r="E106" t="str">
            <v>Recife</v>
          </cell>
          <cell r="F106">
            <v>295766</v>
          </cell>
          <cell r="G106">
            <v>2100.4987289999999</v>
          </cell>
          <cell r="H106" t="str">
            <v>Aeroporto de São Paulo</v>
          </cell>
          <cell r="I106">
            <v>-23.430217500000001</v>
          </cell>
          <cell r="J106">
            <v>-46.471671100000002</v>
          </cell>
          <cell r="K106" t="str">
            <v>Aeroporto de Recife</v>
          </cell>
          <cell r="L106">
            <v>-8.1287392000000001</v>
          </cell>
          <cell r="M106">
            <v>-34.925852599999999</v>
          </cell>
        </row>
        <row r="107">
          <cell r="A107">
            <v>87479005586</v>
          </cell>
          <cell r="B107" t="str">
            <v>Recife/São Luís</v>
          </cell>
          <cell r="C107" t="str">
            <v>Recife</v>
          </cell>
          <cell r="D107">
            <v>295766</v>
          </cell>
          <cell r="E107" t="str">
            <v>São Luís</v>
          </cell>
          <cell r="F107">
            <v>295771</v>
          </cell>
          <cell r="G107">
            <v>1201.0873879999999</v>
          </cell>
          <cell r="H107" t="str">
            <v>Aeroporto de Recife</v>
          </cell>
          <cell r="I107">
            <v>-8.1287392000000001</v>
          </cell>
          <cell r="J107">
            <v>-34.925852599999999</v>
          </cell>
          <cell r="K107" t="str">
            <v>Aeroporto de São Luís</v>
          </cell>
          <cell r="L107">
            <v>-2.5835530000000002</v>
          </cell>
          <cell r="M107">
            <v>-44.236409399999999</v>
          </cell>
        </row>
        <row r="108">
          <cell r="A108">
            <v>93028444275</v>
          </cell>
          <cell r="B108" t="str">
            <v>Pittsburgh/João Pessoa</v>
          </cell>
          <cell r="C108" t="str">
            <v>Pittsburgh</v>
          </cell>
          <cell r="D108">
            <v>314535</v>
          </cell>
          <cell r="E108" t="str">
            <v>João Pessoa</v>
          </cell>
          <cell r="F108">
            <v>295765</v>
          </cell>
          <cell r="G108">
            <v>7035.0747629999996</v>
          </cell>
          <cell r="H108" t="str">
            <v>Aeroporto de Pittsburgh</v>
          </cell>
          <cell r="I108">
            <v>-7.1460090999999997</v>
          </cell>
          <cell r="J108">
            <v>-34.9487764</v>
          </cell>
          <cell r="K108" t="str">
            <v>Aeroporto de João Pessoa</v>
          </cell>
          <cell r="L108">
            <v>40.492854199999996</v>
          </cell>
          <cell r="M108">
            <v>-80.2372941</v>
          </cell>
        </row>
        <row r="109">
          <cell r="A109">
            <v>87478709820</v>
          </cell>
          <cell r="B109" t="str">
            <v>Salvador/Recife</v>
          </cell>
          <cell r="C109" t="str">
            <v>Salvador</v>
          </cell>
          <cell r="D109">
            <v>295770</v>
          </cell>
          <cell r="E109" t="str">
            <v>Recife</v>
          </cell>
          <cell r="F109">
            <v>295766</v>
          </cell>
          <cell r="G109">
            <v>649.90442140000005</v>
          </cell>
          <cell r="H109" t="str">
            <v>Aeroporto de Salvador</v>
          </cell>
          <cell r="I109">
            <v>-12.916180600000001</v>
          </cell>
          <cell r="J109">
            <v>-38.3341937</v>
          </cell>
          <cell r="K109" t="str">
            <v>Aeroporto de Recife</v>
          </cell>
          <cell r="L109">
            <v>-8.1287392000000001</v>
          </cell>
          <cell r="M109">
            <v>-34.925852599999999</v>
          </cell>
        </row>
        <row r="110">
          <cell r="A110">
            <v>87482554760</v>
          </cell>
          <cell r="B110" t="str">
            <v>João Pessoa/Porto Velho</v>
          </cell>
          <cell r="C110" t="str">
            <v>João Pessoa</v>
          </cell>
          <cell r="D110">
            <v>295765</v>
          </cell>
          <cell r="E110" t="str">
            <v>Porto Velho</v>
          </cell>
          <cell r="F110">
            <v>295784</v>
          </cell>
          <cell r="G110">
            <v>3193.1624839999999</v>
          </cell>
          <cell r="H110" t="str">
            <v>Aeroporto de João Pessoa</v>
          </cell>
          <cell r="I110">
            <v>-7.1460090999999997</v>
          </cell>
          <cell r="J110">
            <v>-34.9487764</v>
          </cell>
          <cell r="K110" t="str">
            <v>Aeroporto de Porto Velho</v>
          </cell>
          <cell r="L110">
            <v>-8.7141715000000008</v>
          </cell>
          <cell r="M110">
            <v>-63.8983737</v>
          </cell>
        </row>
        <row r="111">
          <cell r="A111">
            <v>87478118288</v>
          </cell>
          <cell r="B111" t="str">
            <v>Recife/Maceió</v>
          </cell>
          <cell r="C111" t="str">
            <v>Recife</v>
          </cell>
          <cell r="D111">
            <v>295766</v>
          </cell>
          <cell r="E111" t="str">
            <v>Maceió</v>
          </cell>
          <cell r="F111">
            <v>295768</v>
          </cell>
          <cell r="G111">
            <v>180.9798476</v>
          </cell>
          <cell r="H111" t="str">
            <v>Aeroporto de Recife</v>
          </cell>
          <cell r="I111">
            <v>-8.1287392000000001</v>
          </cell>
          <cell r="J111">
            <v>-34.925852599999999</v>
          </cell>
          <cell r="K111" t="str">
            <v>Aeroporto de Maceió</v>
          </cell>
          <cell r="L111">
            <v>-9.5118603000000004</v>
          </cell>
          <cell r="M111">
            <v>-35.793182799999997</v>
          </cell>
        </row>
        <row r="112">
          <cell r="A112">
            <v>93026373920</v>
          </cell>
          <cell r="B112" t="str">
            <v>Tóquio/João Pessoa</v>
          </cell>
          <cell r="C112" t="str">
            <v>Tóquio</v>
          </cell>
          <cell r="D112">
            <v>314528</v>
          </cell>
          <cell r="E112" t="str">
            <v>João Pessoa</v>
          </cell>
          <cell r="F112">
            <v>295765</v>
          </cell>
          <cell r="G112">
            <v>16816.08077</v>
          </cell>
          <cell r="H112" t="str">
            <v>Aeroporto de Tóquio</v>
          </cell>
          <cell r="I112">
            <v>35.549393199999997</v>
          </cell>
          <cell r="J112">
            <v>139.77983860000001</v>
          </cell>
          <cell r="K112" t="str">
            <v>Aeroporto de João Pessoa</v>
          </cell>
          <cell r="L112">
            <v>-7.1460090999999997</v>
          </cell>
          <cell r="M112">
            <v>-34.9487764</v>
          </cell>
        </row>
        <row r="113">
          <cell r="A113">
            <v>93027556980</v>
          </cell>
          <cell r="B113" t="str">
            <v>João Pessoa/Las Vegas</v>
          </cell>
          <cell r="C113" t="str">
            <v>João Pessoa</v>
          </cell>
          <cell r="D113">
            <v>295765</v>
          </cell>
          <cell r="E113" t="str">
            <v>Las Vegas</v>
          </cell>
          <cell r="F113">
            <v>314532</v>
          </cell>
          <cell r="G113">
            <v>9607.1362919999992</v>
          </cell>
          <cell r="H113" t="str">
            <v>Aeroporto de João Pessoa</v>
          </cell>
          <cell r="I113">
            <v>-7.1460090999999997</v>
          </cell>
          <cell r="J113">
            <v>-34.9487764</v>
          </cell>
          <cell r="K113" t="str">
            <v>Aeroporto de Las Vegas</v>
          </cell>
          <cell r="L113">
            <v>36.0830907</v>
          </cell>
          <cell r="M113">
            <v>-115.1482238</v>
          </cell>
        </row>
        <row r="114">
          <cell r="A114">
            <v>90078484165</v>
          </cell>
          <cell r="B114" t="str">
            <v>Sinop/João Pessoa</v>
          </cell>
          <cell r="C114" t="str">
            <v>Sinop</v>
          </cell>
          <cell r="D114">
            <v>304561</v>
          </cell>
          <cell r="E114" t="str">
            <v>João Pessoa</v>
          </cell>
          <cell r="F114">
            <v>295765</v>
          </cell>
          <cell r="G114">
            <v>2322.7629670000001</v>
          </cell>
          <cell r="H114" t="str">
            <v>Aeroporto de Sinop</v>
          </cell>
          <cell r="I114">
            <v>-11.8785495</v>
          </cell>
          <cell r="J114">
            <v>-55.581722200000002</v>
          </cell>
          <cell r="K114" t="str">
            <v>Aeroporto de João Pessoa</v>
          </cell>
          <cell r="L114">
            <v>-7.1460090999999997</v>
          </cell>
          <cell r="M114">
            <v>-34.9487764</v>
          </cell>
        </row>
        <row r="115">
          <cell r="A115">
            <v>90083661702</v>
          </cell>
          <cell r="B115" t="str">
            <v>Cuiabá/Sinop</v>
          </cell>
          <cell r="C115" t="str">
            <v>Cuiabá</v>
          </cell>
          <cell r="D115">
            <v>295782</v>
          </cell>
          <cell r="E115" t="str">
            <v>Sinop</v>
          </cell>
          <cell r="F115">
            <v>304561</v>
          </cell>
          <cell r="G115">
            <v>423.56742800000001</v>
          </cell>
          <cell r="H115" t="str">
            <v>Aeroporto de Cuiabá</v>
          </cell>
          <cell r="I115">
            <v>-15.6506042</v>
          </cell>
          <cell r="J115">
            <v>-56.120458900000003</v>
          </cell>
          <cell r="K115" t="str">
            <v>Aeroporto de Sinop</v>
          </cell>
          <cell r="L115">
            <v>-11.8785495</v>
          </cell>
          <cell r="M115">
            <v>-55.581722200000002</v>
          </cell>
        </row>
        <row r="116">
          <cell r="A116">
            <v>89717650865</v>
          </cell>
          <cell r="B116" t="str">
            <v>Franca/João Pessoa</v>
          </cell>
          <cell r="C116" t="str">
            <v>Franca</v>
          </cell>
          <cell r="D116">
            <v>303341</v>
          </cell>
          <cell r="E116" t="str">
            <v>João Pessoa</v>
          </cell>
          <cell r="F116">
            <v>295765</v>
          </cell>
          <cell r="G116">
            <v>2006.62265</v>
          </cell>
          <cell r="H116" t="str">
            <v>Aeroporto de Franca</v>
          </cell>
          <cell r="I116">
            <v>-20.5846494</v>
          </cell>
          <cell r="J116">
            <v>-47.381773199999998</v>
          </cell>
          <cell r="K116" t="str">
            <v>Aeroporto de João Pessoa</v>
          </cell>
          <cell r="L116">
            <v>-7.1460090999999997</v>
          </cell>
          <cell r="M116">
            <v>-34.9487764</v>
          </cell>
        </row>
        <row r="117">
          <cell r="A117">
            <v>93026965450</v>
          </cell>
          <cell r="B117" t="str">
            <v>Beijing/João Pessoa</v>
          </cell>
          <cell r="C117" t="str">
            <v>Beijing</v>
          </cell>
          <cell r="D117">
            <v>314530</v>
          </cell>
          <cell r="E117" t="str">
            <v>João Pessoa</v>
          </cell>
          <cell r="F117">
            <v>295765</v>
          </cell>
          <cell r="G117">
            <v>15424.52146</v>
          </cell>
          <cell r="H117" t="str">
            <v>Aeroporto de Beijing</v>
          </cell>
          <cell r="I117">
            <v>39.509805</v>
          </cell>
          <cell r="J117">
            <v>116.4105069</v>
          </cell>
          <cell r="K117" t="str">
            <v>Aeroporto de João Pessoa</v>
          </cell>
          <cell r="L117">
            <v>-7.1460090999999997</v>
          </cell>
          <cell r="M117">
            <v>-34.9487764</v>
          </cell>
        </row>
        <row r="118">
          <cell r="A118">
            <v>93026669685</v>
          </cell>
          <cell r="B118" t="str">
            <v>Xangai/João Pessoa</v>
          </cell>
          <cell r="C118" t="str">
            <v>Xangai</v>
          </cell>
          <cell r="D118">
            <v>314529</v>
          </cell>
          <cell r="E118" t="str">
            <v>João Pessoa</v>
          </cell>
          <cell r="F118">
            <v>295765</v>
          </cell>
          <cell r="G118">
            <v>16420.642779999998</v>
          </cell>
          <cell r="H118" t="str">
            <v>Aeroporto de Xangai</v>
          </cell>
          <cell r="I118">
            <v>31.144343899999999</v>
          </cell>
          <cell r="J118">
            <v>121.808273</v>
          </cell>
          <cell r="K118" t="str">
            <v>Aeroporto de João Pessoa</v>
          </cell>
          <cell r="L118">
            <v>-7.1460090999999997</v>
          </cell>
          <cell r="M118">
            <v>-34.9487764</v>
          </cell>
        </row>
        <row r="119">
          <cell r="A119">
            <v>89885645385</v>
          </cell>
          <cell r="B119" t="str">
            <v>Piracicaba/João Pessoa</v>
          </cell>
          <cell r="C119" t="str">
            <v>Piracicaba</v>
          </cell>
          <cell r="D119">
            <v>303909</v>
          </cell>
          <cell r="E119" t="str">
            <v>João Pessoa</v>
          </cell>
          <cell r="F119">
            <v>295765</v>
          </cell>
          <cell r="G119">
            <v>2199.1675310000001</v>
          </cell>
          <cell r="H119" t="str">
            <v>Aeroporto de Piracicaba</v>
          </cell>
          <cell r="I119">
            <v>-22.707006</v>
          </cell>
          <cell r="J119">
            <v>-47.621831999999998</v>
          </cell>
          <cell r="K119" t="str">
            <v>Aeroporto de João Pessoa</v>
          </cell>
          <cell r="L119">
            <v>-7.1460090999999997</v>
          </cell>
          <cell r="M119">
            <v>-34.9487764</v>
          </cell>
        </row>
        <row r="120">
          <cell r="A120">
            <v>90446711590</v>
          </cell>
          <cell r="B120" t="str">
            <v>Santiago/João Pessoa</v>
          </cell>
          <cell r="C120" t="str">
            <v>Santiago</v>
          </cell>
          <cell r="D120">
            <v>305806</v>
          </cell>
          <cell r="E120" t="str">
            <v>João Pessoa</v>
          </cell>
          <cell r="F120">
            <v>295765</v>
          </cell>
          <cell r="G120">
            <v>4701.6614410000002</v>
          </cell>
          <cell r="H120" t="str">
            <v>Aeroporto de Santiago</v>
          </cell>
          <cell r="I120">
            <v>-33.397263899999999</v>
          </cell>
          <cell r="J120">
            <v>-70.7937376</v>
          </cell>
          <cell r="K120" t="str">
            <v>Aeroporto de João Pessoa</v>
          </cell>
          <cell r="L120">
            <v>-7.1460090999999997</v>
          </cell>
          <cell r="M120">
            <v>-34.9487764</v>
          </cell>
        </row>
        <row r="121">
          <cell r="A121">
            <v>87485808399</v>
          </cell>
          <cell r="B121" t="str">
            <v>São Paulo/Florianópolis</v>
          </cell>
          <cell r="C121" t="str">
            <v>São Paulo</v>
          </cell>
          <cell r="D121">
            <v>295779</v>
          </cell>
          <cell r="E121" t="str">
            <v>Florianópolis</v>
          </cell>
          <cell r="F121">
            <v>295781</v>
          </cell>
          <cell r="G121">
            <v>515.90735040000004</v>
          </cell>
          <cell r="H121" t="str">
            <v>Aeroporto de São Paulo</v>
          </cell>
          <cell r="I121">
            <v>-23.430217500000001</v>
          </cell>
          <cell r="J121">
            <v>-46.471671100000002</v>
          </cell>
          <cell r="K121" t="str">
            <v>Aeroporto de Florianópolis</v>
          </cell>
          <cell r="L121">
            <v>-27.674546599999999</v>
          </cell>
          <cell r="M121">
            <v>-48.546156199999999</v>
          </cell>
        </row>
        <row r="122">
          <cell r="A122">
            <v>89312459020</v>
          </cell>
          <cell r="B122" t="str">
            <v>Recife/Imperatriz</v>
          </cell>
          <cell r="C122" t="str">
            <v>Recife</v>
          </cell>
          <cell r="D122">
            <v>295766</v>
          </cell>
          <cell r="E122" t="str">
            <v>Imperatriz</v>
          </cell>
          <cell r="F122">
            <v>301970</v>
          </cell>
          <cell r="G122">
            <v>1413.465537</v>
          </cell>
          <cell r="H122" t="str">
            <v>Aeroporto de Recife</v>
          </cell>
          <cell r="I122">
            <v>-8.1287392000000001</v>
          </cell>
          <cell r="J122">
            <v>-34.925852599999999</v>
          </cell>
          <cell r="K122" t="str">
            <v>Aeroporto de Imperatriz</v>
          </cell>
          <cell r="L122">
            <v>-5.5317318999999996</v>
          </cell>
          <cell r="M122">
            <v>-47.456074000000001</v>
          </cell>
        </row>
        <row r="123">
          <cell r="A123">
            <v>89662438698</v>
          </cell>
          <cell r="B123" t="str">
            <v>Niterói/Rio de Janeiro</v>
          </cell>
          <cell r="C123" t="str">
            <v>Niterói</v>
          </cell>
          <cell r="D123">
            <v>303141</v>
          </cell>
          <cell r="E123" t="str">
            <v>Rio de Janeiro</v>
          </cell>
          <cell r="F123">
            <v>295778</v>
          </cell>
          <cell r="G123">
            <v>7.8862171879999998</v>
          </cell>
          <cell r="H123" t="str">
            <v>Aeroporto de Niterói</v>
          </cell>
          <cell r="I123">
            <v>-22.880707300000001</v>
          </cell>
          <cell r="J123">
            <v>-43.101352599999998</v>
          </cell>
          <cell r="K123" t="str">
            <v>Aeroporto de Rio de Janeiro</v>
          </cell>
          <cell r="L123">
            <v>-22.906846699999999</v>
          </cell>
          <cell r="M123">
            <v>-43.1728965</v>
          </cell>
        </row>
        <row r="124">
          <cell r="A124">
            <v>89649920680</v>
          </cell>
          <cell r="B124" t="str">
            <v>Juiz de Fora/João Pessoa</v>
          </cell>
          <cell r="C124" t="str">
            <v>Juiz de Fora</v>
          </cell>
          <cell r="D124">
            <v>303112</v>
          </cell>
          <cell r="E124" t="str">
            <v>João Pessoa</v>
          </cell>
          <cell r="F124">
            <v>295765</v>
          </cell>
          <cell r="G124">
            <v>1863.8136219999999</v>
          </cell>
          <cell r="H124" t="str">
            <v>Aeroporto de Juiz de Fora</v>
          </cell>
          <cell r="I124">
            <v>-21.791975000000001</v>
          </cell>
          <cell r="J124">
            <v>-43.385565</v>
          </cell>
          <cell r="K124" t="str">
            <v>Aeroporto de João Pessoa</v>
          </cell>
          <cell r="L124">
            <v>-7.1460090999999997</v>
          </cell>
          <cell r="M124">
            <v>-34.9487764</v>
          </cell>
        </row>
        <row r="125">
          <cell r="A125">
            <v>88881823724</v>
          </cell>
          <cell r="B125" t="str">
            <v>Barcelona/Recife</v>
          </cell>
          <cell r="C125" t="str">
            <v>Barcelona</v>
          </cell>
          <cell r="D125">
            <v>300514</v>
          </cell>
          <cell r="E125" t="str">
            <v>Recife</v>
          </cell>
          <cell r="F125">
            <v>295766</v>
          </cell>
          <cell r="G125">
            <v>6669.1027400000003</v>
          </cell>
          <cell r="H125" t="str">
            <v>Aeroporto de Barcelona</v>
          </cell>
          <cell r="I125">
            <v>41.298340500000002</v>
          </cell>
          <cell r="J125">
            <v>2.0800095000000001</v>
          </cell>
          <cell r="K125" t="str">
            <v>Aeroporto de Recife</v>
          </cell>
          <cell r="L125">
            <v>-8.1287392000000001</v>
          </cell>
          <cell r="M125">
            <v>-34.925852599999999</v>
          </cell>
        </row>
        <row r="126">
          <cell r="A126">
            <v>91529215056</v>
          </cell>
          <cell r="B126" t="str">
            <v>Campinas/Petrolina</v>
          </cell>
          <cell r="C126" t="str">
            <v>Campinas</v>
          </cell>
          <cell r="D126">
            <v>303652</v>
          </cell>
          <cell r="E126" t="str">
            <v>Petrolina</v>
          </cell>
          <cell r="F126">
            <v>301428</v>
          </cell>
          <cell r="G126">
            <v>1671.013784</v>
          </cell>
          <cell r="H126" t="str">
            <v>Aeroporto de Campinas</v>
          </cell>
          <cell r="I126">
            <v>-23.008050000000001</v>
          </cell>
          <cell r="J126">
            <v>-47.139659600000002</v>
          </cell>
          <cell r="K126" t="str">
            <v>Aeroporto de Petrolina</v>
          </cell>
          <cell r="L126">
            <v>-9.3666170999999991</v>
          </cell>
          <cell r="M126">
            <v>-40.565696199999998</v>
          </cell>
        </row>
        <row r="127">
          <cell r="A127">
            <v>90294688380</v>
          </cell>
          <cell r="B127" t="str">
            <v>João Pessoa/Chapecó</v>
          </cell>
          <cell r="C127" t="str">
            <v>João Pessoa</v>
          </cell>
          <cell r="D127">
            <v>295765</v>
          </cell>
          <cell r="E127" t="str">
            <v>Chapecó</v>
          </cell>
          <cell r="F127">
            <v>305292</v>
          </cell>
          <cell r="G127">
            <v>2904.5870490000002</v>
          </cell>
          <cell r="H127" t="str">
            <v>Aeroporto de João Pessoa</v>
          </cell>
          <cell r="I127">
            <v>-7.1460090999999997</v>
          </cell>
          <cell r="J127">
            <v>-34.9487764</v>
          </cell>
          <cell r="K127" t="str">
            <v>Aeroporto de Chapecó</v>
          </cell>
          <cell r="L127">
            <v>-27.132012799999998</v>
          </cell>
          <cell r="M127">
            <v>-52.660667199999999</v>
          </cell>
        </row>
        <row r="128">
          <cell r="A128">
            <v>89998923380</v>
          </cell>
          <cell r="B128" t="str">
            <v>Ji-Paraná/João Pessoa</v>
          </cell>
          <cell r="C128" t="str">
            <v>Ji-Paraná</v>
          </cell>
          <cell r="D128">
            <v>304292</v>
          </cell>
          <cell r="E128" t="str">
            <v>João Pessoa</v>
          </cell>
          <cell r="F128">
            <v>295765</v>
          </cell>
          <cell r="G128">
            <v>2982.7917000000002</v>
          </cell>
          <cell r="H128" t="str">
            <v>Aeroporto de Ji-Paraná</v>
          </cell>
          <cell r="I128">
            <v>-10.8746595</v>
          </cell>
          <cell r="J128">
            <v>-61.848756199999997</v>
          </cell>
          <cell r="K128" t="str">
            <v>Aeroporto de João Pessoa</v>
          </cell>
          <cell r="L128">
            <v>-7.1460090999999997</v>
          </cell>
          <cell r="M128">
            <v>-34.9487764</v>
          </cell>
        </row>
        <row r="129">
          <cell r="A129">
            <v>93001308591</v>
          </cell>
          <cell r="B129" t="str">
            <v>Aracaju/Fortaleza</v>
          </cell>
          <cell r="C129" t="str">
            <v>Aracaju</v>
          </cell>
          <cell r="D129">
            <v>295769</v>
          </cell>
          <cell r="E129" t="str">
            <v>Fortaleza</v>
          </cell>
          <cell r="F129">
            <v>314439</v>
          </cell>
          <cell r="G129">
            <v>817.90566100000001</v>
          </cell>
          <cell r="H129" t="str">
            <v>Aeroporto de Aracaju</v>
          </cell>
          <cell r="I129">
            <v>-10.9869886</v>
          </cell>
          <cell r="J129">
            <v>-37.072622299999999</v>
          </cell>
          <cell r="K129" t="str">
            <v>Aeroporto de Fortaleza</v>
          </cell>
          <cell r="L129">
            <v>-3.7787913999999998</v>
          </cell>
          <cell r="M129">
            <v>-38.540554</v>
          </cell>
        </row>
        <row r="130">
          <cell r="A130">
            <v>93027261215</v>
          </cell>
          <cell r="B130" t="str">
            <v>Lisboa/João Pessoa</v>
          </cell>
          <cell r="C130" t="str">
            <v>Lisboa</v>
          </cell>
          <cell r="D130">
            <v>314531</v>
          </cell>
          <cell r="E130" t="str">
            <v>João Pessoa</v>
          </cell>
          <cell r="F130">
            <v>295765</v>
          </cell>
          <cell r="G130">
            <v>5761.6142650000002</v>
          </cell>
          <cell r="H130" t="str">
            <v>Aeroporto de Lisboa</v>
          </cell>
          <cell r="I130">
            <v>38.780049400000003</v>
          </cell>
          <cell r="J130">
            <v>-9.1341722000000001</v>
          </cell>
          <cell r="K130" t="str">
            <v>Aeroporto de João Pessoa</v>
          </cell>
          <cell r="L130">
            <v>-7.1460090999999997</v>
          </cell>
          <cell r="M130">
            <v>-34.9487764</v>
          </cell>
        </row>
        <row r="131">
          <cell r="A131">
            <v>87479892851</v>
          </cell>
          <cell r="B131" t="str">
            <v>Brasília/Belo Horizonte</v>
          </cell>
          <cell r="C131" t="str">
            <v>Brasília</v>
          </cell>
          <cell r="D131">
            <v>295763</v>
          </cell>
          <cell r="E131" t="str">
            <v>Belo Horizonte</v>
          </cell>
          <cell r="F131">
            <v>295777</v>
          </cell>
          <cell r="G131">
            <v>609.86279950000005</v>
          </cell>
          <cell r="H131" t="str">
            <v>Aeroporto de Brasília</v>
          </cell>
          <cell r="I131">
            <v>-15.8706905</v>
          </cell>
          <cell r="J131">
            <v>-47.919348399999997</v>
          </cell>
          <cell r="K131" t="str">
            <v>Aeroporto de Belo Horizonte</v>
          </cell>
          <cell r="L131">
            <v>-19.849847499999999</v>
          </cell>
          <cell r="M131">
            <v>-43.954889899999998</v>
          </cell>
        </row>
        <row r="132">
          <cell r="A132">
            <v>89347353085</v>
          </cell>
          <cell r="B132" t="str">
            <v>Barreiras/João Pessoa</v>
          </cell>
          <cell r="C132" t="str">
            <v>Barreiras</v>
          </cell>
          <cell r="D132">
            <v>302089</v>
          </cell>
          <cell r="E132" t="str">
            <v>João Pessoa</v>
          </cell>
          <cell r="F132">
            <v>295765</v>
          </cell>
          <cell r="G132">
            <v>1230.8536610000001</v>
          </cell>
          <cell r="H132" t="str">
            <v>Aeroporto de Barreiras</v>
          </cell>
          <cell r="I132">
            <v>-12.0776383</v>
          </cell>
          <cell r="J132">
            <v>-45.000133300000002</v>
          </cell>
          <cell r="K132" t="str">
            <v>Aeroporto de João Pessoa</v>
          </cell>
          <cell r="L132">
            <v>-7.1460090999999997</v>
          </cell>
          <cell r="M132">
            <v>-34.9487764</v>
          </cell>
        </row>
        <row r="133">
          <cell r="A133">
            <v>93027852745</v>
          </cell>
          <cell r="B133" t="str">
            <v>João Pessoa/Valencia</v>
          </cell>
          <cell r="C133" t="str">
            <v>João Pessoa</v>
          </cell>
          <cell r="D133">
            <v>295765</v>
          </cell>
          <cell r="E133" t="str">
            <v>Valencia</v>
          </cell>
          <cell r="F133">
            <v>314533</v>
          </cell>
          <cell r="G133">
            <v>6281.9333360000001</v>
          </cell>
          <cell r="H133" t="str">
            <v>Aeroporto de João Pessoa</v>
          </cell>
          <cell r="I133">
            <v>-7.1460090999999997</v>
          </cell>
          <cell r="J133">
            <v>-34.9487764</v>
          </cell>
          <cell r="K133" t="str">
            <v>Aeroporto de Valencia</v>
          </cell>
          <cell r="L133">
            <v>39.488352499999998</v>
          </cell>
          <cell r="M133">
            <v>-0.484433</v>
          </cell>
        </row>
        <row r="134">
          <cell r="A134">
            <v>88917926640</v>
          </cell>
          <cell r="B134" t="str">
            <v>Salvador/Campina Grande</v>
          </cell>
          <cell r="C134" t="str">
            <v>Salvador</v>
          </cell>
          <cell r="D134">
            <v>295770</v>
          </cell>
          <cell r="E134" t="str">
            <v>Campina Grande</v>
          </cell>
          <cell r="F134">
            <v>300632</v>
          </cell>
          <cell r="G134">
            <v>682.55657250000002</v>
          </cell>
          <cell r="H134" t="str">
            <v>Aeroporto de Salvador</v>
          </cell>
          <cell r="I134">
            <v>-12.916180600000001</v>
          </cell>
          <cell r="J134">
            <v>-38.3341937</v>
          </cell>
          <cell r="K134" t="str">
            <v>Aeroporto de Campina Grande</v>
          </cell>
          <cell r="L134">
            <v>-7.2688784000000002</v>
          </cell>
          <cell r="M134">
            <v>-35.894020599999998</v>
          </cell>
        </row>
        <row r="135">
          <cell r="A135">
            <v>88915822216</v>
          </cell>
          <cell r="B135" t="str">
            <v>Campina Grande/Brasília</v>
          </cell>
          <cell r="C135" t="str">
            <v>Campina Grande</v>
          </cell>
          <cell r="D135">
            <v>300632</v>
          </cell>
          <cell r="E135" t="str">
            <v>Brasília</v>
          </cell>
          <cell r="F135">
            <v>295763</v>
          </cell>
          <cell r="G135">
            <v>1621.2666830000001</v>
          </cell>
          <cell r="H135" t="str">
            <v>Aeroporto de Campina Grande</v>
          </cell>
          <cell r="I135">
            <v>-7.2688784000000002</v>
          </cell>
          <cell r="J135">
            <v>-35.894020599999998</v>
          </cell>
          <cell r="K135" t="str">
            <v>Aeroporto de Brasília</v>
          </cell>
          <cell r="L135">
            <v>-15.8706905</v>
          </cell>
          <cell r="M135">
            <v>-47.919348399999997</v>
          </cell>
        </row>
        <row r="136">
          <cell r="A136">
            <v>90259797518</v>
          </cell>
          <cell r="B136" t="str">
            <v>Recife/Passo Fundo</v>
          </cell>
          <cell r="C136" t="str">
            <v>Recife</v>
          </cell>
          <cell r="D136">
            <v>295766</v>
          </cell>
          <cell r="E136" t="str">
            <v>Passo Fundo</v>
          </cell>
          <cell r="F136">
            <v>305173</v>
          </cell>
          <cell r="G136">
            <v>2887.3617640000002</v>
          </cell>
          <cell r="H136" t="str">
            <v>Aeroporto de Recife</v>
          </cell>
          <cell r="I136">
            <v>-8.1287392000000001</v>
          </cell>
          <cell r="J136">
            <v>-34.925852599999999</v>
          </cell>
          <cell r="K136" t="str">
            <v>Aeroporto de Passo Fundo</v>
          </cell>
          <cell r="L136">
            <v>-28.2404692</v>
          </cell>
          <cell r="M136">
            <v>-52.328319700000002</v>
          </cell>
        </row>
        <row r="137">
          <cell r="A137">
            <v>90264375113</v>
          </cell>
          <cell r="B137" t="str">
            <v>Passo Fundo/Florianópolis</v>
          </cell>
          <cell r="C137" t="str">
            <v>Passo Fundo</v>
          </cell>
          <cell r="D137">
            <v>305173</v>
          </cell>
          <cell r="E137" t="str">
            <v>Florianópolis</v>
          </cell>
          <cell r="F137">
            <v>295781</v>
          </cell>
          <cell r="G137">
            <v>376.8574893</v>
          </cell>
          <cell r="H137" t="str">
            <v>Aeroporto de Passo Fundo</v>
          </cell>
          <cell r="I137">
            <v>-28.2404692</v>
          </cell>
          <cell r="J137">
            <v>-52.328319700000002</v>
          </cell>
          <cell r="K137" t="str">
            <v>Aeroporto de Florianópolis</v>
          </cell>
          <cell r="L137">
            <v>-27.674546599999999</v>
          </cell>
          <cell r="M137">
            <v>-48.546156199999999</v>
          </cell>
        </row>
        <row r="138">
          <cell r="A138">
            <v>93026096916</v>
          </cell>
          <cell r="B138" t="str">
            <v>Recife/Madri</v>
          </cell>
          <cell r="C138" t="str">
            <v>Recife</v>
          </cell>
          <cell r="D138">
            <v>295766</v>
          </cell>
          <cell r="E138" t="str">
            <v>Madri</v>
          </cell>
          <cell r="F138">
            <v>314526</v>
          </cell>
          <cell r="G138">
            <v>6290.8568859999996</v>
          </cell>
          <cell r="H138" t="str">
            <v>Aeroporto de Recife</v>
          </cell>
          <cell r="I138">
            <v>-8.1287392000000001</v>
          </cell>
          <cell r="J138">
            <v>-34.925852599999999</v>
          </cell>
          <cell r="K138" t="str">
            <v>Aeroporto de Madri</v>
          </cell>
          <cell r="L138">
            <v>40.489514700000001</v>
          </cell>
          <cell r="M138">
            <v>-3.5642763999999998</v>
          </cell>
        </row>
        <row r="139">
          <cell r="A139">
            <v>89367169340</v>
          </cell>
          <cell r="B139" t="str">
            <v>Montes Claros/João Pessoa</v>
          </cell>
          <cell r="C139" t="str">
            <v>Montes Claros</v>
          </cell>
          <cell r="D139">
            <v>302156</v>
          </cell>
          <cell r="E139" t="str">
            <v>João Pessoa</v>
          </cell>
          <cell r="F139">
            <v>295765</v>
          </cell>
          <cell r="G139">
            <v>1435.2349449999999</v>
          </cell>
          <cell r="H139" t="str">
            <v>Aeroporto de Montes Claros</v>
          </cell>
          <cell r="I139">
            <v>-16.704953100000001</v>
          </cell>
          <cell r="J139">
            <v>-43.819986200000002</v>
          </cell>
          <cell r="K139" t="str">
            <v>Aeroporto de João Pessoa</v>
          </cell>
          <cell r="L139">
            <v>-7.1460090999999997</v>
          </cell>
          <cell r="M139">
            <v>-34.9487764</v>
          </cell>
        </row>
        <row r="140">
          <cell r="A140">
            <v>93030481533</v>
          </cell>
          <cell r="B140" t="str">
            <v>São Paulo/Washington</v>
          </cell>
          <cell r="C140" t="str">
            <v>São Paulo</v>
          </cell>
          <cell r="D140">
            <v>295779</v>
          </cell>
          <cell r="E140" t="str">
            <v>Washington</v>
          </cell>
          <cell r="F140">
            <v>314527</v>
          </cell>
          <cell r="G140">
            <v>7651.6345860000001</v>
          </cell>
          <cell r="H140" t="str">
            <v>Aeroporto de São Paulo</v>
          </cell>
          <cell r="I140">
            <v>-23.430217500000001</v>
          </cell>
          <cell r="J140">
            <v>-46.471671100000002</v>
          </cell>
          <cell r="K140" t="str">
            <v>Aeroporto de Washington</v>
          </cell>
          <cell r="L140">
            <v>38.952340399999997</v>
          </cell>
          <cell r="M140">
            <v>-77.458634399999994</v>
          </cell>
        </row>
        <row r="141">
          <cell r="A141">
            <v>89935038140</v>
          </cell>
          <cell r="B141" t="str">
            <v>João Pessoa/Jaguaruna</v>
          </cell>
          <cell r="C141" t="str">
            <v>João Pessoa</v>
          </cell>
          <cell r="D141">
            <v>295765</v>
          </cell>
          <cell r="E141" t="str">
            <v>Jaguaruna</v>
          </cell>
          <cell r="F141">
            <v>304076</v>
          </cell>
          <cell r="G141">
            <v>2808.934021</v>
          </cell>
          <cell r="H141" t="str">
            <v>Aeroporto de João Pessoa</v>
          </cell>
          <cell r="I141">
            <v>-7.1460090999999997</v>
          </cell>
          <cell r="J141">
            <v>-34.9487764</v>
          </cell>
          <cell r="K141" t="str">
            <v>Aeroporto de Jaguaruna</v>
          </cell>
          <cell r="L141">
            <v>-28.621120900000001</v>
          </cell>
          <cell r="M141">
            <v>-49.024982999999999</v>
          </cell>
        </row>
        <row r="142">
          <cell r="A142">
            <v>89650223792</v>
          </cell>
          <cell r="B142" t="str">
            <v>Recife/Juiz de Fora</v>
          </cell>
          <cell r="C142" t="str">
            <v>Recife</v>
          </cell>
          <cell r="D142">
            <v>295766</v>
          </cell>
          <cell r="E142" t="str">
            <v>Juiz de Fora</v>
          </cell>
          <cell r="F142">
            <v>303112</v>
          </cell>
          <cell r="G142">
            <v>1769.470098</v>
          </cell>
          <cell r="H142" t="str">
            <v>Aeroporto de Recife</v>
          </cell>
          <cell r="I142">
            <v>-8.1287392000000001</v>
          </cell>
          <cell r="J142">
            <v>-34.925852599999999</v>
          </cell>
          <cell r="K142" t="str">
            <v>Aeroporto de Juiz de Fora</v>
          </cell>
          <cell r="L142">
            <v>-21.791975000000001</v>
          </cell>
          <cell r="M142">
            <v>-43.385565</v>
          </cell>
        </row>
        <row r="143">
          <cell r="A143">
            <v>90424954382</v>
          </cell>
          <cell r="B143" t="str">
            <v>Rio de Janeiro/Foz do Iguaçu</v>
          </cell>
          <cell r="C143" t="str">
            <v>Rio de Janeiro</v>
          </cell>
          <cell r="D143">
            <v>295778</v>
          </cell>
          <cell r="E143" t="str">
            <v>Foz do Iguaçu</v>
          </cell>
          <cell r="F143">
            <v>305719</v>
          </cell>
          <cell r="G143">
            <v>1185.437799</v>
          </cell>
          <cell r="H143" t="str">
            <v>Aeroporto de Rio de Janeiro</v>
          </cell>
          <cell r="I143">
            <v>-22.906846699999999</v>
          </cell>
          <cell r="J143">
            <v>-43.1728965</v>
          </cell>
          <cell r="K143" t="str">
            <v>Aeroporto de Foz do Iguaçu</v>
          </cell>
          <cell r="L143">
            <v>-25.597779500000001</v>
          </cell>
          <cell r="M143">
            <v>-54.488511199999998</v>
          </cell>
        </row>
        <row r="144">
          <cell r="A144">
            <v>89893910457</v>
          </cell>
          <cell r="B144" t="str">
            <v>Guarulhos/Brasília</v>
          </cell>
          <cell r="C144" t="str">
            <v>Guarulhos</v>
          </cell>
          <cell r="D144">
            <v>303939</v>
          </cell>
          <cell r="E144" t="str">
            <v>Brasília</v>
          </cell>
          <cell r="F144">
            <v>295763</v>
          </cell>
          <cell r="G144">
            <v>854.35576990000004</v>
          </cell>
          <cell r="H144" t="str">
            <v>Aeroporto de Guarulhos</v>
          </cell>
          <cell r="I144">
            <v>-23.430217500000001</v>
          </cell>
          <cell r="J144">
            <v>-46.471671100000002</v>
          </cell>
          <cell r="K144" t="str">
            <v>Aeroporto de Brasília</v>
          </cell>
          <cell r="L144">
            <v>-15.8706905</v>
          </cell>
          <cell r="M144">
            <v>-47.919348399999997</v>
          </cell>
        </row>
        <row r="145">
          <cell r="A145">
            <v>89809330128</v>
          </cell>
          <cell r="B145" t="str">
            <v>Natal/Campinas</v>
          </cell>
          <cell r="C145" t="str">
            <v>Natal</v>
          </cell>
          <cell r="D145">
            <v>295764</v>
          </cell>
          <cell r="E145" t="str">
            <v>Campinas</v>
          </cell>
          <cell r="F145">
            <v>303652</v>
          </cell>
          <cell r="G145">
            <v>2295.929099</v>
          </cell>
          <cell r="H145" t="str">
            <v>Aeroporto de Natal</v>
          </cell>
          <cell r="I145">
            <v>-5.7632583000000004</v>
          </cell>
          <cell r="J145">
            <v>-35.3726992</v>
          </cell>
          <cell r="K145" t="str">
            <v>Aeroporto de Campinas</v>
          </cell>
          <cell r="L145">
            <v>-23.008050000000001</v>
          </cell>
          <cell r="M145">
            <v>-47.139659600000002</v>
          </cell>
        </row>
        <row r="146">
          <cell r="A146">
            <v>89564444595</v>
          </cell>
          <cell r="B146" t="str">
            <v>Confins/João Pessoa</v>
          </cell>
          <cell r="C146" t="str">
            <v>Confins</v>
          </cell>
          <cell r="D146">
            <v>302823</v>
          </cell>
          <cell r="E146" t="str">
            <v>João Pessoa</v>
          </cell>
          <cell r="F146">
            <v>295765</v>
          </cell>
          <cell r="G146">
            <v>1696.1051150000001</v>
          </cell>
          <cell r="H146" t="str">
            <v>Aeroporto de Confins</v>
          </cell>
          <cell r="I146">
            <v>-19.634871799999999</v>
          </cell>
          <cell r="J146">
            <v>-43.964870500000004</v>
          </cell>
          <cell r="K146" t="str">
            <v>Aeroporto de João Pessoa</v>
          </cell>
          <cell r="L146">
            <v>-7.1460090999999997</v>
          </cell>
          <cell r="M146">
            <v>-34.9487764</v>
          </cell>
        </row>
        <row r="147">
          <cell r="A147">
            <v>88879161830</v>
          </cell>
          <cell r="B147" t="str">
            <v>Recife/Santa Maria</v>
          </cell>
          <cell r="C147" t="str">
            <v>Recife</v>
          </cell>
          <cell r="D147">
            <v>295766</v>
          </cell>
          <cell r="E147" t="str">
            <v>Santa Maria</v>
          </cell>
          <cell r="F147">
            <v>300505</v>
          </cell>
          <cell r="G147">
            <v>3097.8756680000001</v>
          </cell>
          <cell r="H147" t="str">
            <v>Aeroporto de Recife</v>
          </cell>
          <cell r="I147">
            <v>-8.1287392000000001</v>
          </cell>
          <cell r="J147">
            <v>-34.925852599999999</v>
          </cell>
          <cell r="K147" t="str">
            <v>Aeroporto de Santa Maria</v>
          </cell>
          <cell r="L147">
            <v>-29.708356800000001</v>
          </cell>
          <cell r="M147">
            <v>-53.700503900000001</v>
          </cell>
        </row>
        <row r="148">
          <cell r="A148">
            <v>93029923100</v>
          </cell>
          <cell r="B148" t="str">
            <v>João Pessoa/Budapeste</v>
          </cell>
          <cell r="C148" t="str">
            <v>João Pessoa</v>
          </cell>
          <cell r="D148">
            <v>295765</v>
          </cell>
          <cell r="E148" t="str">
            <v>Budapeste</v>
          </cell>
          <cell r="F148">
            <v>314540</v>
          </cell>
          <cell r="G148">
            <v>8062.556157</v>
          </cell>
          <cell r="H148" t="str">
            <v>Aeroporto de João Pessoa</v>
          </cell>
          <cell r="I148">
            <v>-7.1460090999999997</v>
          </cell>
          <cell r="J148">
            <v>-34.9487764</v>
          </cell>
          <cell r="K148" t="str">
            <v>Aeroporto de Budapeste</v>
          </cell>
          <cell r="L148">
            <v>47.4331399</v>
          </cell>
          <cell r="M148">
            <v>19.2612983</v>
          </cell>
        </row>
        <row r="149">
          <cell r="A149">
            <v>88859040396</v>
          </cell>
          <cell r="B149" t="str">
            <v>Natal/Belém</v>
          </cell>
          <cell r="C149" t="str">
            <v>Natal</v>
          </cell>
          <cell r="D149">
            <v>295764</v>
          </cell>
          <cell r="E149" t="str">
            <v>Belém</v>
          </cell>
          <cell r="F149">
            <v>300439</v>
          </cell>
          <cell r="G149">
            <v>1534.1617940000001</v>
          </cell>
          <cell r="H149" t="str">
            <v>Aeroporto de Natal</v>
          </cell>
          <cell r="I149">
            <v>-5.7632583000000004</v>
          </cell>
          <cell r="J149">
            <v>-35.3726992</v>
          </cell>
          <cell r="K149" t="str">
            <v>Aeroporto de Belém</v>
          </cell>
          <cell r="L149">
            <v>-1.3845639000000001</v>
          </cell>
          <cell r="M149">
            <v>-48.481221300000001</v>
          </cell>
        </row>
        <row r="150">
          <cell r="A150">
            <v>92999736396</v>
          </cell>
          <cell r="B150" t="str">
            <v>Natal/Fortaleza</v>
          </cell>
          <cell r="C150" t="str">
            <v>Natal</v>
          </cell>
          <cell r="D150">
            <v>295764</v>
          </cell>
          <cell r="E150" t="str">
            <v>Fortaleza</v>
          </cell>
          <cell r="F150">
            <v>314439</v>
          </cell>
          <cell r="G150">
            <v>414.72562870000002</v>
          </cell>
          <cell r="H150" t="str">
            <v>Aeroporto de Natal</v>
          </cell>
          <cell r="I150">
            <v>-5.7632583000000004</v>
          </cell>
          <cell r="J150">
            <v>-35.3726992</v>
          </cell>
          <cell r="K150" t="str">
            <v>Aeroporto de Fortaleza</v>
          </cell>
          <cell r="L150">
            <v>-3.7787913999999998</v>
          </cell>
          <cell r="M150">
            <v>-38.540554</v>
          </cell>
        </row>
        <row r="151">
          <cell r="A151">
            <v>87483442076</v>
          </cell>
          <cell r="B151" t="str">
            <v>Recife/Porto Alegre</v>
          </cell>
          <cell r="C151" t="str">
            <v>Recife</v>
          </cell>
          <cell r="D151">
            <v>295766</v>
          </cell>
          <cell r="E151" t="str">
            <v>Porto Alegre</v>
          </cell>
          <cell r="F151">
            <v>295786</v>
          </cell>
          <cell r="G151">
            <v>2963.6257780000001</v>
          </cell>
          <cell r="H151" t="str">
            <v>Aeroporto de Recife</v>
          </cell>
          <cell r="I151">
            <v>-8.1287392000000001</v>
          </cell>
          <cell r="J151">
            <v>-34.925852599999999</v>
          </cell>
          <cell r="K151" t="str">
            <v>Aeroporto de Porto Alegre</v>
          </cell>
          <cell r="L151">
            <v>-29.994941900000001</v>
          </cell>
          <cell r="M151">
            <v>-51.176328900000001</v>
          </cell>
        </row>
        <row r="152">
          <cell r="A152">
            <v>89077615405</v>
          </cell>
          <cell r="B152" t="str">
            <v>Juazeiro do Norte/João Pessoa</v>
          </cell>
          <cell r="C152" t="str">
            <v>Juazeiro do Norte</v>
          </cell>
          <cell r="D152">
            <v>301177</v>
          </cell>
          <cell r="E152" t="str">
            <v>João Pessoa</v>
          </cell>
          <cell r="F152">
            <v>295765</v>
          </cell>
          <cell r="G152">
            <v>477.17316959999999</v>
          </cell>
          <cell r="H152" t="str">
            <v>Aeroporto de Juazeiro do Norte</v>
          </cell>
          <cell r="I152">
            <v>-7.2151500000000004</v>
          </cell>
          <cell r="J152">
            <v>-39.272256599999999</v>
          </cell>
          <cell r="K152" t="str">
            <v>Aeroporto de João Pessoa</v>
          </cell>
          <cell r="L152">
            <v>-7.1460090999999997</v>
          </cell>
          <cell r="M152">
            <v>-34.9487764</v>
          </cell>
        </row>
        <row r="153">
          <cell r="A153">
            <v>90388445885</v>
          </cell>
          <cell r="B153" t="str">
            <v>João Pessoa/Dourados</v>
          </cell>
          <cell r="C153" t="str">
            <v>João Pessoa</v>
          </cell>
          <cell r="D153">
            <v>295765</v>
          </cell>
          <cell r="E153" t="str">
            <v>Dourados</v>
          </cell>
          <cell r="F153">
            <v>305609</v>
          </cell>
          <cell r="G153">
            <v>2717.9668029999998</v>
          </cell>
          <cell r="H153" t="str">
            <v>Aeroporto de João Pessoa</v>
          </cell>
          <cell r="I153">
            <v>-7.1460090999999997</v>
          </cell>
          <cell r="J153">
            <v>-34.9487764</v>
          </cell>
          <cell r="K153" t="str">
            <v>Aeroporto de Dourados</v>
          </cell>
          <cell r="L153">
            <v>-22.197107299999999</v>
          </cell>
          <cell r="M153">
            <v>-54.924907699999999</v>
          </cell>
        </row>
        <row r="154">
          <cell r="A154">
            <v>89312157050</v>
          </cell>
          <cell r="B154" t="str">
            <v>João Pessoa/Imperatriz</v>
          </cell>
          <cell r="C154" t="str">
            <v>João Pessoa</v>
          </cell>
          <cell r="D154">
            <v>295765</v>
          </cell>
          <cell r="E154" t="str">
            <v>Imperatriz</v>
          </cell>
          <cell r="F154">
            <v>301970</v>
          </cell>
          <cell r="G154">
            <v>1394.163933</v>
          </cell>
          <cell r="H154" t="str">
            <v>Aeroporto de João Pessoa</v>
          </cell>
          <cell r="I154">
            <v>-7.1460090999999997</v>
          </cell>
          <cell r="J154">
            <v>-34.9487764</v>
          </cell>
          <cell r="K154" t="str">
            <v>Aeroporto de Imperatriz</v>
          </cell>
          <cell r="L154">
            <v>-5.5317318999999996</v>
          </cell>
          <cell r="M154">
            <v>-47.456074000000001</v>
          </cell>
        </row>
        <row r="155">
          <cell r="A155">
            <v>87482850504</v>
          </cell>
          <cell r="B155" t="str">
            <v>Natal/Porto Alegre</v>
          </cell>
          <cell r="C155" t="str">
            <v>Natal</v>
          </cell>
          <cell r="D155">
            <v>295764</v>
          </cell>
          <cell r="E155" t="str">
            <v>Porto Alegre</v>
          </cell>
          <cell r="F155">
            <v>295786</v>
          </cell>
          <cell r="G155">
            <v>3163.198762</v>
          </cell>
          <cell r="H155" t="str">
            <v>Aeroporto de Natal</v>
          </cell>
          <cell r="I155">
            <v>-5.7632583000000004</v>
          </cell>
          <cell r="J155">
            <v>-35.3726992</v>
          </cell>
          <cell r="K155" t="str">
            <v>Aeroporto de Porto Alegre</v>
          </cell>
          <cell r="L155">
            <v>-29.994941900000001</v>
          </cell>
          <cell r="M155">
            <v>-51.176328900000001</v>
          </cell>
        </row>
        <row r="156">
          <cell r="A156">
            <v>93030533406</v>
          </cell>
          <cell r="B156" t="str">
            <v>Recife/Santiago do Chile</v>
          </cell>
          <cell r="C156" t="str">
            <v>Recife</v>
          </cell>
          <cell r="D156">
            <v>295766</v>
          </cell>
          <cell r="E156" t="str">
            <v>Santiago do Chile</v>
          </cell>
          <cell r="F156">
            <v>314541</v>
          </cell>
          <cell r="G156">
            <v>4629.0017520000001</v>
          </cell>
          <cell r="H156" t="str">
            <v>Aeroporto de Recife</v>
          </cell>
          <cell r="I156">
            <v>-8.1287392000000001</v>
          </cell>
          <cell r="J156">
            <v>-34.925852599999999</v>
          </cell>
          <cell r="K156" t="str">
            <v>Aeroporto de Santiago do Chile</v>
          </cell>
          <cell r="L156">
            <v>-33.397263899999999</v>
          </cell>
          <cell r="M156">
            <v>-70.7937376</v>
          </cell>
        </row>
        <row r="157">
          <cell r="A157">
            <v>93030514630</v>
          </cell>
          <cell r="B157" t="str">
            <v>João Pessoa/Columbus - Ohio</v>
          </cell>
          <cell r="C157" t="str">
            <v>João Pessoa</v>
          </cell>
          <cell r="D157">
            <v>295765</v>
          </cell>
          <cell r="E157" t="str">
            <v>Columbus - Ohio</v>
          </cell>
          <cell r="F157">
            <v>314542</v>
          </cell>
          <cell r="G157">
            <v>7188.2811510000001</v>
          </cell>
          <cell r="H157" t="str">
            <v>Aeroporto de João Pessoa</v>
          </cell>
          <cell r="I157">
            <v>-7.1460090999999997</v>
          </cell>
          <cell r="J157">
            <v>-34.9487764</v>
          </cell>
          <cell r="K157" t="str">
            <v>Aeroporto de Columbus - Ohio</v>
          </cell>
          <cell r="L157">
            <v>39.961175500000003</v>
          </cell>
          <cell r="M157">
            <v>-82.998794200000006</v>
          </cell>
        </row>
        <row r="158">
          <cell r="A158">
            <v>90039738950</v>
          </cell>
          <cell r="B158" t="str">
            <v>Marília/João Pessoa</v>
          </cell>
          <cell r="C158" t="str">
            <v>Marília</v>
          </cell>
          <cell r="D158">
            <v>304430</v>
          </cell>
          <cell r="E158" t="str">
            <v>João Pessoa</v>
          </cell>
          <cell r="F158">
            <v>295765</v>
          </cell>
          <cell r="G158">
            <v>2319.8956360000002</v>
          </cell>
          <cell r="H158" t="str">
            <v>Aeroporto de Marília</v>
          </cell>
          <cell r="I158">
            <v>-22.196962200000002</v>
          </cell>
          <cell r="J158">
            <v>-49.930020900000002</v>
          </cell>
          <cell r="K158" t="str">
            <v>Aeroporto de João Pessoa</v>
          </cell>
          <cell r="L158">
            <v>-7.1460090999999997</v>
          </cell>
          <cell r="M158">
            <v>-34.9487764</v>
          </cell>
        </row>
        <row r="159">
          <cell r="A159">
            <v>93031124938</v>
          </cell>
          <cell r="B159" t="str">
            <v>Tallin/Recife</v>
          </cell>
          <cell r="C159" t="str">
            <v>Tallin</v>
          </cell>
          <cell r="D159">
            <v>314543</v>
          </cell>
          <cell r="E159" t="str">
            <v>Recife</v>
          </cell>
          <cell r="F159">
            <v>295766</v>
          </cell>
          <cell r="G159">
            <v>9166.9469850000005</v>
          </cell>
          <cell r="H159" t="str">
            <v>Aeroporto de Tallin</v>
          </cell>
          <cell r="I159">
            <v>59.414552</v>
          </cell>
          <cell r="J159">
            <v>24.8334513</v>
          </cell>
          <cell r="K159" t="str">
            <v>Aeroporto de Recife</v>
          </cell>
          <cell r="L159">
            <v>-8.1287392000000001</v>
          </cell>
          <cell r="M159">
            <v>-34.925852599999999</v>
          </cell>
        </row>
        <row r="160">
          <cell r="A160">
            <v>89739629131</v>
          </cell>
          <cell r="B160" t="str">
            <v>Uberlândia/Belo Horizonte</v>
          </cell>
          <cell r="C160" t="str">
            <v>Uberlândia</v>
          </cell>
          <cell r="D160">
            <v>303403</v>
          </cell>
          <cell r="E160" t="str">
            <v>Belo Horizonte</v>
          </cell>
          <cell r="F160">
            <v>295777</v>
          </cell>
          <cell r="G160">
            <v>461.1888136</v>
          </cell>
          <cell r="H160" t="str">
            <v>Aeroporto de Uberlândia</v>
          </cell>
          <cell r="I160">
            <v>-18.889520099999999</v>
          </cell>
          <cell r="J160">
            <v>-48.230739499999999</v>
          </cell>
          <cell r="K160" t="str">
            <v>Aeroporto de Belo Horizonte</v>
          </cell>
          <cell r="L160">
            <v>-19.849847499999999</v>
          </cell>
          <cell r="M160">
            <v>-43.954889899999998</v>
          </cell>
        </row>
        <row r="161">
          <cell r="A161">
            <v>87482259040</v>
          </cell>
          <cell r="B161" t="str">
            <v>Curitiba/Maceió</v>
          </cell>
          <cell r="C161" t="str">
            <v>Curitiba</v>
          </cell>
          <cell r="D161">
            <v>295780</v>
          </cell>
          <cell r="E161" t="str">
            <v>Maceió</v>
          </cell>
          <cell r="F161">
            <v>295768</v>
          </cell>
          <cell r="G161">
            <v>2273.776683</v>
          </cell>
          <cell r="H161" t="str">
            <v>Aeroporto de Curitiba</v>
          </cell>
          <cell r="I161">
            <v>-25.529927499999999</v>
          </cell>
          <cell r="J161">
            <v>-49.172387100000002</v>
          </cell>
          <cell r="K161" t="str">
            <v>Aeroporto de Maceió</v>
          </cell>
          <cell r="L161">
            <v>-9.5118603000000004</v>
          </cell>
          <cell r="M161">
            <v>-35.793182799999997</v>
          </cell>
        </row>
        <row r="162">
          <cell r="A162">
            <v>87487287294</v>
          </cell>
          <cell r="B162" t="str">
            <v>São Paulo/Porto Alegre</v>
          </cell>
          <cell r="C162" t="str">
            <v>São Paulo</v>
          </cell>
          <cell r="D162">
            <v>295779</v>
          </cell>
          <cell r="E162" t="str">
            <v>Porto Alegre</v>
          </cell>
          <cell r="F162">
            <v>295786</v>
          </cell>
          <cell r="G162">
            <v>866.71548670000004</v>
          </cell>
          <cell r="H162" t="str">
            <v>Aeroporto de São Paulo</v>
          </cell>
          <cell r="I162">
            <v>-23.430217500000001</v>
          </cell>
          <cell r="J162">
            <v>-46.471671100000002</v>
          </cell>
          <cell r="K162" t="str">
            <v>Aeroporto de Porto Alegre</v>
          </cell>
          <cell r="L162">
            <v>-29.994941900000001</v>
          </cell>
          <cell r="M162">
            <v>-51.176328900000001</v>
          </cell>
        </row>
        <row r="163">
          <cell r="A163">
            <v>87484625283</v>
          </cell>
          <cell r="B163" t="str">
            <v>Belo Horizonte/São Paulo</v>
          </cell>
          <cell r="C163" t="str">
            <v>Belo Horizonte</v>
          </cell>
          <cell r="D163">
            <v>295777</v>
          </cell>
          <cell r="E163" t="str">
            <v>São Paulo</v>
          </cell>
          <cell r="F163">
            <v>295779</v>
          </cell>
          <cell r="G163">
            <v>475.66726119999998</v>
          </cell>
          <cell r="H163" t="str">
            <v>Aeroporto de Belo Horizonte</v>
          </cell>
          <cell r="I163">
            <v>-19.849847499999999</v>
          </cell>
          <cell r="J163">
            <v>-43.954889899999998</v>
          </cell>
          <cell r="K163" t="str">
            <v>Aeroporto de São Paulo</v>
          </cell>
          <cell r="L163">
            <v>-23.430217500000001</v>
          </cell>
          <cell r="M163">
            <v>-46.471671100000002</v>
          </cell>
        </row>
        <row r="164">
          <cell r="A164">
            <v>88920031064</v>
          </cell>
          <cell r="B164" t="str">
            <v>Belo Horizonte/Campina Grande</v>
          </cell>
          <cell r="C164" t="str">
            <v>Belo Horizonte</v>
          </cell>
          <cell r="D164">
            <v>295777</v>
          </cell>
          <cell r="E164" t="str">
            <v>Campina Grande</v>
          </cell>
          <cell r="F164">
            <v>300632</v>
          </cell>
          <cell r="G164">
            <v>1647.466455</v>
          </cell>
          <cell r="H164" t="str">
            <v>Aeroporto de Belo Horizonte</v>
          </cell>
          <cell r="I164">
            <v>-19.849847499999999</v>
          </cell>
          <cell r="J164">
            <v>-43.954889899999998</v>
          </cell>
          <cell r="K164" t="str">
            <v>Aeroporto de Campina Grande</v>
          </cell>
          <cell r="L164">
            <v>-7.2688784000000002</v>
          </cell>
          <cell r="M164">
            <v>-35.894020599999998</v>
          </cell>
        </row>
        <row r="165">
          <cell r="A165">
            <v>90377798345</v>
          </cell>
          <cell r="B165" t="str">
            <v>Presidente Prudente/João Pessoa</v>
          </cell>
          <cell r="C165" t="str">
            <v>Presidente Prudente</v>
          </cell>
          <cell r="D165">
            <v>305573</v>
          </cell>
          <cell r="E165" t="str">
            <v>João Pessoa</v>
          </cell>
          <cell r="F165">
            <v>295765</v>
          </cell>
          <cell r="G165">
            <v>2431.6487529999999</v>
          </cell>
          <cell r="H165" t="str">
            <v>Aeroporto de Presidente Prudente</v>
          </cell>
          <cell r="I165">
            <v>-22.179103300000001</v>
          </cell>
          <cell r="J165">
            <v>-51.417322200000001</v>
          </cell>
          <cell r="K165" t="str">
            <v>Aeroporto de João Pessoa</v>
          </cell>
          <cell r="L165">
            <v>-7.1460090999999997</v>
          </cell>
          <cell r="M165">
            <v>-34.9487764</v>
          </cell>
        </row>
        <row r="166">
          <cell r="A166" t="e">
            <v>#N/A</v>
          </cell>
          <cell r="B166" t="str">
            <v>/</v>
          </cell>
          <cell r="D166" t="e">
            <v>#N/A</v>
          </cell>
          <cell r="F166" t="e">
            <v>#N/A</v>
          </cell>
          <cell r="H166" t="str">
            <v xml:space="preserve">Aeroporto de </v>
          </cell>
          <cell r="K166" t="str">
            <v xml:space="preserve">Aeroporto de </v>
          </cell>
        </row>
        <row r="167">
          <cell r="A167" t="e">
            <v>#N/A</v>
          </cell>
          <cell r="B167" t="str">
            <v>/</v>
          </cell>
          <cell r="D167" t="e">
            <v>#N/A</v>
          </cell>
          <cell r="F167" t="e">
            <v>#N/A</v>
          </cell>
          <cell r="H167" t="str">
            <v xml:space="preserve">Aeroporto de </v>
          </cell>
          <cell r="K167" t="str">
            <v xml:space="preserve">Aeroporto de </v>
          </cell>
        </row>
        <row r="168">
          <cell r="A168" t="e">
            <v>#N/A</v>
          </cell>
          <cell r="B168" t="str">
            <v>/</v>
          </cell>
          <cell r="D168" t="e">
            <v>#N/A</v>
          </cell>
          <cell r="F168" t="e">
            <v>#N/A</v>
          </cell>
          <cell r="H168" t="str">
            <v xml:space="preserve">Aeroporto de </v>
          </cell>
          <cell r="K168" t="str">
            <v xml:space="preserve">Aeroporto de </v>
          </cell>
        </row>
        <row r="169">
          <cell r="A169" t="e">
            <v>#N/A</v>
          </cell>
          <cell r="B169" t="str">
            <v>/</v>
          </cell>
          <cell r="D169" t="e">
            <v>#N/A</v>
          </cell>
          <cell r="F169" t="e">
            <v>#N/A</v>
          </cell>
          <cell r="H169" t="str">
            <v xml:space="preserve">Aeroporto de </v>
          </cell>
          <cell r="K169" t="str">
            <v xml:space="preserve">Aeroporto de </v>
          </cell>
        </row>
        <row r="170">
          <cell r="A170" t="e">
            <v>#N/A</v>
          </cell>
          <cell r="B170" t="str">
            <v>/</v>
          </cell>
          <cell r="D170" t="e">
            <v>#N/A</v>
          </cell>
          <cell r="F170" t="e">
            <v>#N/A</v>
          </cell>
          <cell r="H170" t="str">
            <v xml:space="preserve">Aeroporto de </v>
          </cell>
          <cell r="K170" t="str">
            <v xml:space="preserve">Aeroporto de </v>
          </cell>
        </row>
        <row r="171">
          <cell r="A171" t="e">
            <v>#N/A</v>
          </cell>
          <cell r="B171" t="str">
            <v>/</v>
          </cell>
          <cell r="D171" t="e">
            <v>#N/A</v>
          </cell>
          <cell r="F171" t="e">
            <v>#N/A</v>
          </cell>
          <cell r="H171" t="str">
            <v xml:space="preserve">Aeroporto de </v>
          </cell>
          <cell r="K171" t="str">
            <v xml:space="preserve">Aeroporto de </v>
          </cell>
        </row>
        <row r="172">
          <cell r="A172" t="e">
            <v>#N/A</v>
          </cell>
          <cell r="B172" t="str">
            <v>/</v>
          </cell>
          <cell r="D172" t="e">
            <v>#N/A</v>
          </cell>
          <cell r="F172" t="e">
            <v>#N/A</v>
          </cell>
          <cell r="H172" t="str">
            <v xml:space="preserve">Aeroporto de </v>
          </cell>
          <cell r="K172" t="str">
            <v xml:space="preserve">Aeroporto de </v>
          </cell>
        </row>
        <row r="173">
          <cell r="A173" t="e">
            <v>#N/A</v>
          </cell>
          <cell r="B173" t="str">
            <v>/</v>
          </cell>
          <cell r="D173" t="e">
            <v>#N/A</v>
          </cell>
          <cell r="F173" t="e">
            <v>#N/A</v>
          </cell>
          <cell r="H173" t="str">
            <v xml:space="preserve">Aeroporto de </v>
          </cell>
          <cell r="K173" t="str">
            <v xml:space="preserve">Aeroporto de </v>
          </cell>
        </row>
        <row r="174">
          <cell r="A174" t="e">
            <v>#N/A</v>
          </cell>
          <cell r="B174" t="str">
            <v>/</v>
          </cell>
          <cell r="D174" t="e">
            <v>#N/A</v>
          </cell>
          <cell r="F174" t="e">
            <v>#N/A</v>
          </cell>
          <cell r="H174" t="str">
            <v xml:space="preserve">Aeroporto de </v>
          </cell>
          <cell r="K174" t="str">
            <v xml:space="preserve">Aeroporto de </v>
          </cell>
        </row>
        <row r="175">
          <cell r="A175" t="e">
            <v>#N/A</v>
          </cell>
          <cell r="B175" t="str">
            <v>/</v>
          </cell>
          <cell r="D175" t="e">
            <v>#N/A</v>
          </cell>
          <cell r="F175" t="e">
            <v>#N/A</v>
          </cell>
          <cell r="H175" t="str">
            <v xml:space="preserve">Aeroporto de </v>
          </cell>
          <cell r="K175" t="str">
            <v xml:space="preserve">Aeroporto de </v>
          </cell>
        </row>
        <row r="176">
          <cell r="A176" t="e">
            <v>#N/A</v>
          </cell>
          <cell r="B176" t="str">
            <v>/</v>
          </cell>
          <cell r="D176" t="e">
            <v>#N/A</v>
          </cell>
          <cell r="F176" t="e">
            <v>#N/A</v>
          </cell>
          <cell r="H176" t="str">
            <v xml:space="preserve">Aeroporto de </v>
          </cell>
          <cell r="K176" t="str">
            <v xml:space="preserve">Aeroporto de </v>
          </cell>
        </row>
        <row r="177">
          <cell r="A177" t="e">
            <v>#N/A</v>
          </cell>
          <cell r="B177" t="str">
            <v>/</v>
          </cell>
          <cell r="D177" t="e">
            <v>#N/A</v>
          </cell>
          <cell r="F177" t="e">
            <v>#N/A</v>
          </cell>
          <cell r="H177" t="str">
            <v xml:space="preserve">Aeroporto de </v>
          </cell>
          <cell r="K177" t="str">
            <v xml:space="preserve">Aeroporto de </v>
          </cell>
        </row>
        <row r="178">
          <cell r="A178" t="e">
            <v>#N/A</v>
          </cell>
          <cell r="B178" t="str">
            <v>/</v>
          </cell>
          <cell r="D178" t="e">
            <v>#N/A</v>
          </cell>
          <cell r="F178" t="e">
            <v>#N/A</v>
          </cell>
          <cell r="H178" t="str">
            <v xml:space="preserve">Aeroporto de </v>
          </cell>
          <cell r="K178" t="str">
            <v xml:space="preserve">Aeroporto de </v>
          </cell>
        </row>
        <row r="179">
          <cell r="A179" t="e">
            <v>#N/A</v>
          </cell>
          <cell r="B179" t="str">
            <v>/</v>
          </cell>
          <cell r="D179" t="e">
            <v>#N/A</v>
          </cell>
          <cell r="F179" t="e">
            <v>#N/A</v>
          </cell>
          <cell r="H179" t="str">
            <v xml:space="preserve">Aeroporto de </v>
          </cell>
          <cell r="K179" t="str">
            <v xml:space="preserve">Aeroporto de </v>
          </cell>
        </row>
        <row r="180">
          <cell r="A180" t="e">
            <v>#N/A</v>
          </cell>
          <cell r="B180" t="str">
            <v>/</v>
          </cell>
          <cell r="D180" t="e">
            <v>#N/A</v>
          </cell>
          <cell r="F180" t="e">
            <v>#N/A</v>
          </cell>
          <cell r="H180" t="str">
            <v xml:space="preserve">Aeroporto de </v>
          </cell>
          <cell r="K180" t="str">
            <v xml:space="preserve">Aeroporto de </v>
          </cell>
        </row>
        <row r="181">
          <cell r="A181" t="e">
            <v>#N/A</v>
          </cell>
          <cell r="B181" t="str">
            <v>/</v>
          </cell>
          <cell r="D181" t="e">
            <v>#N/A</v>
          </cell>
          <cell r="F181" t="e">
            <v>#N/A</v>
          </cell>
          <cell r="H181" t="str">
            <v xml:space="preserve">Aeroporto de </v>
          </cell>
          <cell r="K181" t="str">
            <v xml:space="preserve">Aeroporto de </v>
          </cell>
        </row>
        <row r="182">
          <cell r="A182" t="e">
            <v>#N/A</v>
          </cell>
          <cell r="B182" t="str">
            <v>/</v>
          </cell>
          <cell r="D182" t="e">
            <v>#N/A</v>
          </cell>
          <cell r="F182" t="e">
            <v>#N/A</v>
          </cell>
          <cell r="H182" t="str">
            <v xml:space="preserve">Aeroporto de </v>
          </cell>
          <cell r="K182" t="str">
            <v xml:space="preserve">Aeroporto de </v>
          </cell>
        </row>
        <row r="183">
          <cell r="A183" t="e">
            <v>#N/A</v>
          </cell>
          <cell r="B183" t="str">
            <v>/</v>
          </cell>
          <cell r="D183" t="e">
            <v>#N/A</v>
          </cell>
          <cell r="F183" t="e">
            <v>#N/A</v>
          </cell>
          <cell r="H183" t="str">
            <v xml:space="preserve">Aeroporto de </v>
          </cell>
          <cell r="K183" t="str">
            <v xml:space="preserve">Aeroporto de </v>
          </cell>
        </row>
        <row r="184">
          <cell r="A184" t="e">
            <v>#N/A</v>
          </cell>
          <cell r="B184" t="str">
            <v>/</v>
          </cell>
          <cell r="D184" t="e">
            <v>#N/A</v>
          </cell>
          <cell r="F184" t="e">
            <v>#N/A</v>
          </cell>
          <cell r="H184" t="str">
            <v xml:space="preserve">Aeroporto de </v>
          </cell>
          <cell r="K184" t="str">
            <v xml:space="preserve">Aeroporto de </v>
          </cell>
        </row>
        <row r="185">
          <cell r="A185" t="e">
            <v>#N/A</v>
          </cell>
          <cell r="B185" t="str">
            <v>/</v>
          </cell>
          <cell r="D185" t="e">
            <v>#N/A</v>
          </cell>
          <cell r="F185" t="e">
            <v>#N/A</v>
          </cell>
          <cell r="H185" t="str">
            <v xml:space="preserve">Aeroporto de </v>
          </cell>
          <cell r="K185" t="str">
            <v xml:space="preserve">Aeroporto de </v>
          </cell>
        </row>
        <row r="186">
          <cell r="A186" t="e">
            <v>#N/A</v>
          </cell>
          <cell r="B186" t="str">
            <v>/</v>
          </cell>
          <cell r="D186" t="e">
            <v>#N/A</v>
          </cell>
          <cell r="F186" t="e">
            <v>#N/A</v>
          </cell>
          <cell r="H186" t="str">
            <v xml:space="preserve">Aeroporto de </v>
          </cell>
          <cell r="K186" t="str">
            <v xml:space="preserve">Aeroporto de </v>
          </cell>
        </row>
        <row r="187">
          <cell r="A187" t="e">
            <v>#N/A</v>
          </cell>
          <cell r="B187" t="str">
            <v>/</v>
          </cell>
          <cell r="D187" t="e">
            <v>#N/A</v>
          </cell>
          <cell r="F187" t="e">
            <v>#N/A</v>
          </cell>
          <cell r="H187" t="str">
            <v xml:space="preserve">Aeroporto de </v>
          </cell>
          <cell r="K187" t="str">
            <v xml:space="preserve">Aeroporto de </v>
          </cell>
        </row>
        <row r="188">
          <cell r="A188" t="e">
            <v>#N/A</v>
          </cell>
          <cell r="B188" t="str">
            <v>/</v>
          </cell>
          <cell r="D188" t="e">
            <v>#N/A</v>
          </cell>
          <cell r="F188" t="e">
            <v>#N/A</v>
          </cell>
          <cell r="H188" t="str">
            <v xml:space="preserve">Aeroporto de </v>
          </cell>
          <cell r="K188" t="str">
            <v xml:space="preserve">Aeroporto de </v>
          </cell>
        </row>
        <row r="189">
          <cell r="A189" t="e">
            <v>#N/A</v>
          </cell>
          <cell r="B189" t="str">
            <v>/</v>
          </cell>
          <cell r="D189" t="e">
            <v>#N/A</v>
          </cell>
          <cell r="F189" t="e">
            <v>#N/A</v>
          </cell>
          <cell r="H189" t="str">
            <v xml:space="preserve">Aeroporto de </v>
          </cell>
          <cell r="K189" t="str">
            <v xml:space="preserve">Aeroporto de </v>
          </cell>
        </row>
        <row r="190">
          <cell r="A190" t="e">
            <v>#N/A</v>
          </cell>
          <cell r="B190" t="str">
            <v>/</v>
          </cell>
          <cell r="D190" t="e">
            <v>#N/A</v>
          </cell>
          <cell r="F190" t="e">
            <v>#N/A</v>
          </cell>
          <cell r="H190" t="str">
            <v xml:space="preserve">Aeroporto de </v>
          </cell>
          <cell r="K190" t="str">
            <v xml:space="preserve">Aeroporto de </v>
          </cell>
        </row>
        <row r="191">
          <cell r="A191" t="e">
            <v>#N/A</v>
          </cell>
          <cell r="B191" t="str">
            <v>/</v>
          </cell>
          <cell r="D191" t="e">
            <v>#N/A</v>
          </cell>
          <cell r="F191" t="e">
            <v>#N/A</v>
          </cell>
          <cell r="H191" t="str">
            <v xml:space="preserve">Aeroporto de </v>
          </cell>
          <cell r="K191" t="str">
            <v xml:space="preserve">Aeroporto de </v>
          </cell>
        </row>
        <row r="192">
          <cell r="A192" t="e">
            <v>#N/A</v>
          </cell>
          <cell r="B192" t="str">
            <v>/</v>
          </cell>
          <cell r="D192" t="e">
            <v>#N/A</v>
          </cell>
          <cell r="F192" t="e">
            <v>#N/A</v>
          </cell>
          <cell r="H192" t="str">
            <v xml:space="preserve">Aeroporto de </v>
          </cell>
          <cell r="K192" t="str">
            <v xml:space="preserve">Aeroporto de </v>
          </cell>
        </row>
        <row r="193">
          <cell r="A193" t="e">
            <v>#N/A</v>
          </cell>
          <cell r="B193" t="str">
            <v>/</v>
          </cell>
          <cell r="D193" t="e">
            <v>#N/A</v>
          </cell>
          <cell r="F193" t="e">
            <v>#N/A</v>
          </cell>
          <cell r="H193" t="str">
            <v xml:space="preserve">Aeroporto de </v>
          </cell>
          <cell r="K193" t="str">
            <v xml:space="preserve">Aeroporto de </v>
          </cell>
        </row>
        <row r="194">
          <cell r="A194" t="e">
            <v>#N/A</v>
          </cell>
          <cell r="B194" t="str">
            <v>/</v>
          </cell>
          <cell r="D194" t="e">
            <v>#N/A</v>
          </cell>
          <cell r="F194" t="e">
            <v>#N/A</v>
          </cell>
          <cell r="H194" t="str">
            <v xml:space="preserve">Aeroporto de </v>
          </cell>
          <cell r="K194" t="str">
            <v xml:space="preserve">Aeroporto de </v>
          </cell>
        </row>
        <row r="195">
          <cell r="A195" t="e">
            <v>#N/A</v>
          </cell>
          <cell r="B195" t="str">
            <v>/</v>
          </cell>
          <cell r="D195" t="e">
            <v>#N/A</v>
          </cell>
          <cell r="F195" t="e">
            <v>#N/A</v>
          </cell>
          <cell r="H195" t="str">
            <v xml:space="preserve">Aeroporto de </v>
          </cell>
          <cell r="K195" t="str">
            <v xml:space="preserve">Aeroporto de </v>
          </cell>
        </row>
        <row r="196">
          <cell r="A196" t="e">
            <v>#N/A</v>
          </cell>
          <cell r="B196" t="str">
            <v>/</v>
          </cell>
          <cell r="D196" t="e">
            <v>#N/A</v>
          </cell>
          <cell r="F196" t="e">
            <v>#N/A</v>
          </cell>
          <cell r="H196" t="str">
            <v xml:space="preserve">Aeroporto de </v>
          </cell>
          <cell r="K196" t="str">
            <v xml:space="preserve">Aeroporto de </v>
          </cell>
        </row>
        <row r="197">
          <cell r="A197" t="e">
            <v>#N/A</v>
          </cell>
          <cell r="B197" t="str">
            <v>/</v>
          </cell>
          <cell r="D197" t="e">
            <v>#N/A</v>
          </cell>
          <cell r="F197" t="e">
            <v>#N/A</v>
          </cell>
          <cell r="H197" t="str">
            <v xml:space="preserve">Aeroporto de </v>
          </cell>
          <cell r="K197" t="str">
            <v xml:space="preserve">Aeroporto de </v>
          </cell>
        </row>
        <row r="198">
          <cell r="A198" t="e">
            <v>#N/A</v>
          </cell>
          <cell r="B198" t="str">
            <v>/</v>
          </cell>
          <cell r="D198" t="e">
            <v>#N/A</v>
          </cell>
          <cell r="F198" t="e">
            <v>#N/A</v>
          </cell>
          <cell r="H198" t="str">
            <v xml:space="preserve">Aeroporto de </v>
          </cell>
          <cell r="K198" t="str">
            <v xml:space="preserve">Aeroporto de </v>
          </cell>
        </row>
        <row r="199">
          <cell r="A199" t="e">
            <v>#N/A</v>
          </cell>
          <cell r="B199" t="str">
            <v>/</v>
          </cell>
          <cell r="D199" t="e">
            <v>#N/A</v>
          </cell>
          <cell r="F199" t="e">
            <v>#N/A</v>
          </cell>
          <cell r="H199" t="str">
            <v xml:space="preserve">Aeroporto de </v>
          </cell>
          <cell r="K199" t="str">
            <v xml:space="preserve">Aeroporto de </v>
          </cell>
        </row>
        <row r="200">
          <cell r="A200" t="e">
            <v>#N/A</v>
          </cell>
          <cell r="B200" t="str">
            <v>/</v>
          </cell>
          <cell r="D200" t="e">
            <v>#N/A</v>
          </cell>
          <cell r="F200" t="e">
            <v>#N/A</v>
          </cell>
          <cell r="H200" t="str">
            <v xml:space="preserve">Aeroporto de </v>
          </cell>
          <cell r="K200" t="str">
            <v xml:space="preserve">Aeroporto de </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line"/>
      <sheetName val="Resultados Aplicação do Modelo"/>
      <sheetName val="Gráficos scores"/>
      <sheetName val="resultados emissões"/>
      <sheetName val="Planilha1"/>
      <sheetName val="Resultados DF"/>
      <sheetName val="Resultados IB"/>
      <sheetName val="baselines"/>
    </sheetNames>
    <sheetDataSet>
      <sheetData sheetId="0">
        <row r="46">
          <cell r="G46">
            <v>388010.50546221458</v>
          </cell>
        </row>
        <row r="75">
          <cell r="G75">
            <v>285440.32313309913</v>
          </cell>
        </row>
        <row r="76">
          <cell r="G76">
            <v>674.23901453608528</v>
          </cell>
        </row>
        <row r="77">
          <cell r="G77">
            <v>1738431.1628214018</v>
          </cell>
        </row>
        <row r="78">
          <cell r="G78">
            <v>3947.2024815641644</v>
          </cell>
        </row>
        <row r="79">
          <cell r="G79">
            <v>444</v>
          </cell>
        </row>
        <row r="80">
          <cell r="G80">
            <v>7.4944835035219435E-3</v>
          </cell>
        </row>
        <row r="81">
          <cell r="G81">
            <v>1</v>
          </cell>
        </row>
        <row r="82">
          <cell r="G82">
            <v>1196933.5299197398</v>
          </cell>
        </row>
        <row r="83">
          <cell r="G83">
            <v>521235.34831655817</v>
          </cell>
        </row>
        <row r="84">
          <cell r="G84">
            <v>3454.7583234811427</v>
          </cell>
        </row>
        <row r="85">
          <cell r="G85">
            <v>3.4715825884130386E-2</v>
          </cell>
        </row>
        <row r="86">
          <cell r="G86">
            <v>0</v>
          </cell>
        </row>
      </sheetData>
      <sheetData sheetId="1"/>
      <sheetData sheetId="2"/>
      <sheetData sheetId="3"/>
      <sheetData sheetId="4"/>
      <sheetData sheetId="5"/>
      <sheetData sheetId="6"/>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Walleci Lira" id="{BDB145EB-D25C-4BD9-BD89-FF650C7C7A05}" userId="37112d6aebbe4f1e"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alleci Lira" refreshedDate="45856.588420717591" createdVersion="8" refreshedVersion="8" minRefreshableVersion="3" recordCount="414" xr:uid="{C6BFB888-B606-48F4-979A-65ACCBCBB0AB}">
  <cacheSource type="worksheet">
    <worksheetSource ref="A1:AF415" sheet="Entrada Lvl 5-4 qt"/>
  </cacheSource>
  <cacheFields count="33">
    <cacheField name="aux" numFmtId="0">
      <sharedItems containsSemiMixedTypes="0" containsString="0" containsNumber="1" containsInteger="1" minValue="1" maxValue="3"/>
    </cacheField>
    <cacheField name="Identificador do processo de viagem " numFmtId="0">
      <sharedItems containsSemiMixedTypes="0" containsString="0" containsNumber="1" containsInteger="1" minValue="18835196" maxValue="19608735"/>
    </cacheField>
    <cacheField name="Número da Proposta (PCDP)" numFmtId="0">
      <sharedItems/>
    </cacheField>
    <cacheField name="CPF viajante" numFmtId="0">
      <sharedItems/>
    </cacheField>
    <cacheField name="Nome" numFmtId="0">
      <sharedItems/>
    </cacheField>
    <cacheField name="Cargo" numFmtId="0">
      <sharedItems/>
    </cacheField>
    <cacheField name="Função" numFmtId="0">
      <sharedItems/>
    </cacheField>
    <cacheField name="Descrição Função" numFmtId="0">
      <sharedItems/>
    </cacheField>
    <cacheField name="Período - Data de início" numFmtId="14">
      <sharedItems containsSemiMixedTypes="0" containsNonDate="0" containsDate="1" containsString="0" minDate="2023-07-02T00:00:00" maxDate="2023-12-18T00:00:00"/>
    </cacheField>
    <cacheField name="Período - Data de fim" numFmtId="14">
      <sharedItems containsSemiMixedTypes="0" containsNonDate="0" containsDate="1" containsString="0" minDate="2023-07-06T00:00:00" maxDate="2023-12-24T00:00:00"/>
    </cacheField>
    <cacheField name="Motivo" numFmtId="0">
      <sharedItems longText="1"/>
    </cacheField>
    <cacheField name="Distância (km)" numFmtId="0">
      <sharedItems containsSemiMixedTypes="0" containsString="0" containsNumber="1" minValue="361.9596952" maxValue="13338.205480000001" count="73">
        <n v="1331.4793172"/>
        <n v="3426.839982"/>
        <n v="1092.4728600000001"/>
        <n v="1482.2388261999999"/>
        <n v="4379.9484839999996"/>
        <n v="3262.9122579999998"/>
        <n v="9403.3228820000004"/>
        <n v="2294.693906"/>
        <n v="5177.7978640000001"/>
        <n v="5083.2952619999996"/>
        <n v="4398.3350620000001"/>
        <n v="4992.8231340000002"/>
        <n v="5401.4639273999992"/>
        <n v="3923.0015720000001"/>
        <n v="2100.4987289999999"/>
        <n v="3882.7346040000002"/>
        <n v="558.13892280000005"/>
        <n v="6109.5910640000002"/>
        <n v="5391.1646700000001"/>
        <n v="361.9596952"/>
        <n v="2826.9310740000001"/>
        <n v="2163.0732859999998"/>
        <n v="5206.5206019999996"/>
        <n v="3429.6730739999998"/>
        <n v="4387.7299999999996"/>
        <n v="3750.5964819999999"/>
        <n v="5146.5065180000001"/>
        <n v="3308.422912"/>
        <n v="2931.0936550999995"/>
        <n v="3727.6272439999998"/>
        <n v="5834.0911219999998"/>
        <n v="4200.9974579999998"/>
        <n v="3918.1772780000001"/>
        <n v="3310.0043420000002"/>
        <n v="1802.4813251999999"/>
        <n v="3911.011"/>
        <n v="2454.5394041"/>
        <n v="3030.0198380000002"/>
        <n v="13338.205480000001"/>
        <n v="4164.6737540000004"/>
        <n v="5634.1966119999997"/>
        <n v="6131.9118760000001"/>
        <n v="4757.7500029000003"/>
        <n v="2917.0455609999999"/>
        <n v="5809.1740980000004"/>
        <n v="5969.5297280000004"/>
        <n v="4159.2084379999997"/>
        <n v="4038.1193274999996"/>
        <n v="3367.6314469999998"/>
        <n v="5750.3778670000002"/>
        <n v="3357.0964260000001"/>
        <n v="5159.6698159999996"/>
        <n v="5965.5834000000004"/>
        <n v="11523.22853"/>
        <n v="791.19715919999999"/>
        <n v="3136.7788519999999"/>
        <n v="1255.2527250000001"/>
        <n v="1635.811322"/>
        <n v="5673.0520900000001"/>
        <n v="1713.419991"/>
        <n v="3342.027568"/>
        <n v="2254.532154"/>
        <n v="973.46932400000003"/>
        <n v="3334.686674"/>
        <n v="4043.8376630000002"/>
        <n v="4486.6228709999996"/>
        <n v="1924.7683431999999"/>
        <n v="2461.7073220000002"/>
        <n v="12563.866672"/>
        <n v="1365.113145"/>
        <n v="3676.3373229999997"/>
        <n v="2588.8989320000001"/>
        <n v="2695.5823350000001"/>
      </sharedItems>
    </cacheField>
    <cacheField name="Meio de transporte" numFmtId="0">
      <sharedItems/>
    </cacheField>
    <cacheField name="Missao?" numFmtId="0">
      <sharedItems/>
    </cacheField>
    <cacheField name="Situação" numFmtId="0">
      <sharedItems/>
    </cacheField>
    <cacheField name="Viagem Urgente" numFmtId="0">
      <sharedItems/>
    </cacheField>
    <cacheField name="Justificativa Urgência Viagem" numFmtId="0">
      <sharedItems longText="1"/>
    </cacheField>
    <cacheField name="Valor diárias" numFmtId="168">
      <sharedItems containsSemiMixedTypes="0" containsString="0" containsNumber="1" minValue="0" maxValue="5380.81"/>
    </cacheField>
    <cacheField name="Valor outros gastos" numFmtId="168">
      <sharedItems containsSemiMixedTypes="0" containsString="0" containsNumber="1" minValue="0" maxValue="1791.96"/>
    </cacheField>
    <cacheField name="Valor da passagem" numFmtId="168">
      <sharedItems containsSemiMixedTypes="0" containsString="0" containsNumber="1" minValue="0" maxValue="9215.41"/>
    </cacheField>
    <cacheField name="Taxa de serviço" numFmtId="168">
      <sharedItems containsSemiMixedTypes="0" containsString="0" containsNumber="1" minValue="0" maxValue="4275.3999999999996"/>
    </cacheField>
    <cacheField name="Data da emissão/compra" numFmtId="14">
      <sharedItems containsSemiMixedTypes="0" containsNonDate="0" containsDate="1" containsString="0" minDate="1899-12-30T00:00:00" maxDate="2023-12-05T00:00:00"/>
    </cacheField>
    <cacheField name="Dias de viagem" numFmtId="0">
      <sharedItems containsSemiMixedTypes="0" containsString="0" containsNumber="1" containsInteger="1" minValue="0" maxValue="47" count="20">
        <n v="12"/>
        <n v="13"/>
        <n v="3"/>
        <n v="2"/>
        <n v="5"/>
        <n v="8"/>
        <n v="6"/>
        <n v="4"/>
        <n v="1"/>
        <n v="15"/>
        <n v="9"/>
        <n v="7"/>
        <n v="11"/>
        <n v="14"/>
        <n v="10"/>
        <n v="47"/>
        <n v="21"/>
        <n v="0"/>
        <n v="18" u="1"/>
        <n v="17" u="1"/>
      </sharedItems>
      <fieldGroup par="32"/>
    </cacheField>
    <cacheField name="Classe" numFmtId="43">
      <sharedItems count="1">
        <s v="Econômica"/>
      </sharedItems>
    </cacheField>
    <cacheField name="Voo com Escala" numFmtId="1">
      <sharedItems containsSemiMixedTypes="0" containsString="0" containsNumber="1" containsInteger="1" minValue="0" maxValue="1" count="2">
        <n v="0"/>
        <n v="1"/>
      </sharedItems>
    </cacheField>
    <cacheField name="Custo da passagem" numFmtId="166">
      <sharedItems containsSemiMixedTypes="0" containsString="0" containsNumber="1" minValue="0" maxValue="9215.41"/>
    </cacheField>
    <cacheField name="Outros custos" numFmtId="44">
      <sharedItems containsSemiMixedTypes="0" containsString="0" containsNumber="1" minValue="0" maxValue="5380.81"/>
    </cacheField>
    <cacheField name="Motivo da Viagem" numFmtId="43">
      <sharedItems count="9">
        <s v="Participação em Banca Avaliadora"/>
        <s v="Representação em Evento Institucional"/>
        <s v="Participação em Evento Acadêmico"/>
        <s v="Representação em Reunião Institucional"/>
        <s v="Capacitação, Treinamento ou Auditorias"/>
        <s v="Outros"/>
        <s v="Trabalho de Campo"/>
        <s v="Intercâmbio"/>
        <s v="ND" u="1"/>
      </sharedItems>
    </cacheField>
    <cacheField name="Vínculo Institucional " numFmtId="43">
      <sharedItems count="5">
        <s v="Acadêmico"/>
        <s v="Servidor"/>
        <s v="Externo"/>
        <s v="Discente"/>
        <s v="Professor" u="1"/>
      </sharedItems>
    </cacheField>
    <cacheField name="dsh, dmh ou dlh" numFmtId="43">
      <sharedItems count="4">
        <s v="Curta Distância"/>
        <s v="Longa Distância"/>
        <s v="Muito Curta (evitável)"/>
        <s v="Média Distância" u="1"/>
      </sharedItems>
    </cacheField>
    <cacheField name="Viagem Urgente sem justificativa" numFmtId="43">
      <sharedItems count="2">
        <s v="NÃO"/>
        <s v="SIM" u="1"/>
      </sharedItems>
    </cacheField>
    <cacheField name="Emissões" numFmtId="43">
      <sharedItems containsSemiMixedTypes="0" containsString="0" containsNumber="1" minValue="98.661810102220016" maxValue="2669.0853640508271"/>
    </cacheField>
    <cacheField name="Dias de viagem2" numFmtId="0" databaseField="0">
      <fieldGroup base="22">
        <discretePr count="20">
          <x v="2"/>
          <x v="2"/>
          <x v="1"/>
          <x v="1"/>
          <x v="1"/>
          <x v="2"/>
          <x v="2"/>
          <x v="1"/>
          <x v="0"/>
          <x v="2"/>
          <x v="2"/>
          <x v="2"/>
          <x v="2"/>
          <x v="2"/>
          <x v="2"/>
          <x v="2"/>
          <x v="2"/>
          <x v="0"/>
          <x v="2"/>
          <x v="2"/>
        </discretePr>
        <groupItems count="3">
          <s v="Agrupar1"/>
          <s v="Agrupar2"/>
          <s v="Agrupar3"/>
        </groupItems>
      </fieldGroup>
    </cacheField>
  </cacheFields>
  <extLst>
    <ext xmlns:x14="http://schemas.microsoft.com/office/spreadsheetml/2009/9/main" uri="{725AE2AE-9491-48be-B2B4-4EB974FC3084}">
      <x14:pivotCacheDefinition pivotCacheId="127776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n v="2"/>
    <n v="19001658"/>
    <s v="000450/23"/>
    <s v="***.518.375-**"/>
    <s v="ANGELA DE OLIVEIRA CARNEIRO"/>
    <s v="PROFESSOR DO MAGISTERIO SUPERIOR"/>
    <s v="-1"/>
    <s v="Sem informação"/>
    <d v="2023-07-02T00:00:00"/>
    <d v="2023-07-14T00:00:00"/>
    <s v="O PROPOSTO IRÁ PARTICIPAR COMO MEMBRO DE BANCA DE CONCURSO PÚBLICO DO DEPARTAMENTO DE ENFERMAGEM CLÍNICA"/>
    <x v="0"/>
    <s v="Aéreo"/>
    <s v="Sim"/>
    <s v="Realizada"/>
    <s v="SIM"/>
    <s v="justificativa em anexo."/>
    <n v="4058.65"/>
    <n v="0"/>
    <n v="4880.9799999999996"/>
    <n v="0"/>
    <d v="2023-06-20T00:00:00"/>
    <x v="0"/>
    <x v="0"/>
    <x v="0"/>
    <n v="4880.9799999999996"/>
    <n v="4058.65"/>
    <x v="0"/>
    <x v="0"/>
    <x v="0"/>
    <x v="0"/>
    <n v="243.48676308327464"/>
  </r>
  <r>
    <n v="2"/>
    <n v="19016293"/>
    <s v="000452/23"/>
    <s v="***.187.354-**"/>
    <s v="MARIA FATIMA DE SOUSA"/>
    <s v="PROFESSOR DO MAGISTERIO SUPERIOR"/>
    <s v="-1"/>
    <s v="Sem informação"/>
    <d v="2023-07-02T00:00:00"/>
    <d v="2023-07-15T00:00:00"/>
    <s v="O PROPOSTO IRÁ PARTICIPAR COMO MEMBRO DE BANCA DE CONCURSO PÚBLICO DO DEPARTAMENTO DE ENFERMAGEM CLÍNICA"/>
    <x v="1"/>
    <s v="Aéreo"/>
    <s v="Não"/>
    <s v="Realizada"/>
    <s v="SIM"/>
    <s v="justificativa em anexo."/>
    <n v="4399.67"/>
    <n v="0"/>
    <n v="2590.96"/>
    <n v="0"/>
    <d v="2023-06-20T00:00:00"/>
    <x v="1"/>
    <x v="0"/>
    <x v="0"/>
    <n v="2590.96"/>
    <n v="4399.67"/>
    <x v="0"/>
    <x v="0"/>
    <x v="0"/>
    <x v="0"/>
    <n v="626.66401501165365"/>
  </r>
  <r>
    <n v="2"/>
    <n v="19019910"/>
    <s v="000457/23"/>
    <s v="***.105.073-**"/>
    <s v="ROBERTA MENESES OLIVEIRA"/>
    <s v="PROFESSOR DO MAGISTERIO SUPERIOR"/>
    <s v="-1"/>
    <s v="Sem informação"/>
    <d v="2023-07-02T00:00:00"/>
    <d v="2023-07-15T00:00:00"/>
    <s v="O PROPOSTO IRÁ PARTICIPAR COMO MEMBRO DE BANCA DE CONCURSO PÚBLICO DO DEPARTAMENTO DE ENFERMAGEM CLÍNICA"/>
    <x v="2"/>
    <s v="Aéreo"/>
    <s v="Sim"/>
    <s v="Realizada"/>
    <s v="SIM"/>
    <s v="justificativa em anexo."/>
    <n v="4399.67"/>
    <n v="0"/>
    <n v="1709.6999999999998"/>
    <n v="0"/>
    <d v="2023-06-21T00:00:00"/>
    <x v="1"/>
    <x v="0"/>
    <x v="0"/>
    <n v="1709.6999999999998"/>
    <n v="4399.67"/>
    <x v="0"/>
    <x v="0"/>
    <x v="0"/>
    <x v="0"/>
    <n v="297.78274013517625"/>
  </r>
  <r>
    <n v="2"/>
    <n v="19041737"/>
    <s v="000481/23-3C"/>
    <s v="***.567.773-**"/>
    <s v="BERLA MOREIRA DE MORAES"/>
    <s v="PROFESSOR DO MAGISTERIO SUPERIOR"/>
    <s v="CD-0002"/>
    <s v="Cargo Comissionado de Direção"/>
    <d v="2023-07-03T00:00:00"/>
    <d v="2023-07-06T00:00:00"/>
    <s v="Participar do I ENCONTRO NACIONAL DE CULTURA &amp; ARTE NAS UNIVERSIDADES FEDERAIS BRASILEIRAS, em Salvador/BA, no período de 03 a 05/07/2023"/>
    <x v="3"/>
    <s v="Aéreo"/>
    <s v="Sim"/>
    <s v="Realizada"/>
    <s v="SIM"/>
    <s v="0 convite para participar do evento chegou fora do prazo, conforme justificativa no formulário de solicitação"/>
    <n v="1720.73"/>
    <n v="0"/>
    <n v="3694.45"/>
    <n v="0"/>
    <d v="2023-06-27T00:00:00"/>
    <x v="2"/>
    <x v="0"/>
    <x v="0"/>
    <n v="3694.45"/>
    <n v="1720.73"/>
    <x v="1"/>
    <x v="1"/>
    <x v="0"/>
    <x v="0"/>
    <n v="271.05605715809952"/>
  </r>
  <r>
    <n v="2"/>
    <n v="19041166"/>
    <s v="000484/23"/>
    <s v="***.028.207-**"/>
    <s v="MARCELO FERNANDES"/>
    <s v=""/>
    <s v="-1"/>
    <s v="Sem informação"/>
    <d v="2023-07-05T00:00:00"/>
    <d v="2023-07-07T00:00:00"/>
    <s v="Ministrar um mini-curso e seminário acadêmico no PPGE/CCSA, nos dias 06 e 07 de julho de 2023."/>
    <x v="4"/>
    <s v="Aéreo"/>
    <s v="Não"/>
    <s v="Realizada"/>
    <s v="SIM"/>
    <s v="Aguardava-se a liberação dos recurso do PROAP, por essa razão, não foi solicitado antes."/>
    <n v="947.55"/>
    <n v="0"/>
    <n v="3147.8199999999997"/>
    <n v="0"/>
    <d v="2023-06-28T00:00:00"/>
    <x v="3"/>
    <x v="0"/>
    <x v="0"/>
    <n v="3147.8199999999997"/>
    <n v="947.55"/>
    <x v="2"/>
    <x v="2"/>
    <x v="1"/>
    <x v="0"/>
    <n v="800.95835140972315"/>
  </r>
  <r>
    <n v="2"/>
    <n v="19062585"/>
    <s v="000508/23"/>
    <s v="***.731.370-**"/>
    <s v="SERGIO BOTTON BARCELLOS"/>
    <s v="PROFESSOR DO MAGISTERIO SUPERIOR"/>
    <s v="FUC-0001"/>
    <s v="FUC-0001"/>
    <d v="2023-07-10T00:00:00"/>
    <d v="2023-07-15T00:00:00"/>
    <s v="Participação no 21º Congresso Brasileiro de Sociologia para mediação de um Comitê de Pesquisa e apresentação de um trabalho em GT. Ao mesmo tempo irei representando o PPGS-UFOB como coordenador na Plenária de Programas da área de Sociologia."/>
    <x v="5"/>
    <s v="Aéreo"/>
    <s v="Sim"/>
    <s v="Realizada"/>
    <s v="SIM"/>
    <s v="Recurso PROAP não foi disponibilizado com antecedência."/>
    <n v="1821.06"/>
    <n v="0"/>
    <n v="5292.78"/>
    <n v="0"/>
    <d v="2023-07-06T00:00:00"/>
    <x v="4"/>
    <x v="0"/>
    <x v="0"/>
    <n v="5292.78"/>
    <n v="1821.06"/>
    <x v="2"/>
    <x v="0"/>
    <x v="0"/>
    <x v="0"/>
    <n v="596.68665796167329"/>
  </r>
  <r>
    <n v="2"/>
    <n v="19065213"/>
    <s v="000509/23"/>
    <s v="***.585.343-**"/>
    <s v="TERESA CRISTINA FURTADO MATOS"/>
    <s v="PROFESSOR DO MAGISTERIO SUPERIOR"/>
    <s v="-1"/>
    <s v="Sem informação"/>
    <d v="2023-07-10T00:00:00"/>
    <d v="2023-07-15T00:00:00"/>
    <s v="Participação no 21º Congresso Brasileiro de Sociologia, com apresentação de trabalho no GT 10 do evento."/>
    <x v="5"/>
    <s v="Aéreo"/>
    <s v="Sim"/>
    <s v="Realizada"/>
    <s v="SIM"/>
    <s v="PROAP não foi liberado anteriormente."/>
    <n v="1821.06"/>
    <n v="0"/>
    <n v="5292.78"/>
    <n v="0"/>
    <d v="2023-07-07T00:00:00"/>
    <x v="4"/>
    <x v="0"/>
    <x v="0"/>
    <n v="5292.78"/>
    <n v="1821.06"/>
    <x v="2"/>
    <x v="0"/>
    <x v="0"/>
    <x v="0"/>
    <n v="596.68665796167329"/>
  </r>
  <r>
    <n v="2"/>
    <n v="19012122"/>
    <s v="000532/23"/>
    <s v="***.103.474-**"/>
    <s v="HIDELBRANDO JOSE FARKAT DIOGENES"/>
    <s v="PROFESSOR DO MAGISTERIO SUPERIOR"/>
    <s v="FUC-0001"/>
    <s v="FUC-0001"/>
    <d v="2023-07-11T00:00:00"/>
    <d v="2023-07-16T00:00:00"/>
    <s v="Trata-se da participação em evento científico internacional, a fim de divulgar resultados parciais do doutoramento de Lays Costa, aluna do PPGECAM sob orientação do Prof. Hidelbrando José Farkat Diógenes."/>
    <x v="6"/>
    <s v="Aéreo"/>
    <s v="Não"/>
    <s v="Realizada"/>
    <s v="SIM"/>
    <s v="A viagem só pode ser cadastrada nesta data devido ao recurso do PROAP destinado ao pagamento da despesa só foi liberado dia 05/07 e estávamos aguardando, também, a realização do empenho específico."/>
    <n v="4252.24"/>
    <n v="0"/>
    <n v="6690.84"/>
    <n v="0"/>
    <d v="2023-07-06T00:00:00"/>
    <x v="4"/>
    <x v="0"/>
    <x v="0"/>
    <n v="6690.84"/>
    <n v="4252.24"/>
    <x v="2"/>
    <x v="0"/>
    <x v="1"/>
    <x v="0"/>
    <n v="1881.6827732504271"/>
  </r>
  <r>
    <n v="2"/>
    <n v="18932951"/>
    <s v="000393/23"/>
    <s v="***.778.616-**"/>
    <s v="PRISCILLA GONTIJO LEITE"/>
    <s v="PROFESSOR DO MAGISTERIO SUPERIOR"/>
    <s v="-1"/>
    <s v="Sem informação"/>
    <d v="2023-07-13T00:00:00"/>
    <d v="2023-07-21T00:00:00"/>
    <s v="Participação da Plenária de Coordenadores do ProfHistória que reúne duas vezes por ano. Esta será a primeira plenária que tem como finalidade de debater e deliberar sobre temas e questões pertinentes ao ProfHistória, propostos pela Comissão Acadêmica Nacional e ou pelas Comissões Acadêmicas Locais. Participação do 32º Simpósio Nacional de História da ANPUH com a comunicação 'Ensino de História Antiga e gamificação para a aprendizagem das formas de governo'."/>
    <x v="7"/>
    <s v="Aéreo"/>
    <s v="Não"/>
    <s v="Realizada"/>
    <s v="NÃO"/>
    <s v="Sem informação"/>
    <n v="2784.3"/>
    <n v="0"/>
    <n v="3284.38"/>
    <n v="0"/>
    <d v="2023-06-06T00:00:00"/>
    <x v="5"/>
    <x v="0"/>
    <x v="0"/>
    <n v="3284.38"/>
    <n v="2784.3"/>
    <x v="3"/>
    <x v="0"/>
    <x v="0"/>
    <x v="0"/>
    <n v="419.62919304959075"/>
  </r>
  <r>
    <n v="2"/>
    <n v="19032444"/>
    <s v="000472/23"/>
    <s v="***.888.244-**"/>
    <s v="CARLOS ALBERTO OLIVEIRA BONIFACIO JUNIOR"/>
    <s v=""/>
    <s v="-1"/>
    <s v="Sem informação"/>
    <d v="2023-07-13T00:00:00"/>
    <d v="2023-07-18T00:00:00"/>
    <s v="PROPOSTO APRESENTARÁ TRABALHO NO 25º FONEPE, QUE OCORRERÁ EM DOURADOS (MS), ENTRE OS DIAS 14,15 E 16 DE JULHO."/>
    <x v="8"/>
    <s v="Aéreo"/>
    <s v="Não"/>
    <s v="Realizada"/>
    <s v="SIM"/>
    <s v="Tendo em vista problemas na emissão da passagem terrestre, a viagem entrou em período de urgência."/>
    <n v="0"/>
    <n v="0"/>
    <n v="2012.46"/>
    <n v="0"/>
    <d v="2023-06-26T00:00:00"/>
    <x v="4"/>
    <x v="0"/>
    <x v="0"/>
    <n v="2012.46"/>
    <n v="0"/>
    <x v="2"/>
    <x v="3"/>
    <x v="1"/>
    <x v="0"/>
    <n v="946.86055240877727"/>
  </r>
  <r>
    <n v="2"/>
    <n v="19098667"/>
    <s v="000601/23"/>
    <s v="***.096.714-**"/>
    <s v="FRANCISCO HUMBERTO XAVIER JUNIOR"/>
    <s v="PROFESSOR DO MAGISTERIO SUPERIOR"/>
    <s v="-1"/>
    <s v="Sem informação"/>
    <d v="2023-07-22T00:00:00"/>
    <d v="2023-07-27T00:00:00"/>
    <s v="Recebimento do prêmio da 20ª edição do Destaque na Iniciação Científica e Tecnológica entregue pelo presidente do Conselho Nacional de Desenvolvimento Científico e Tecnológico (CNPq), o qual foi concedido a premiação na categoria Iniciação Tecnológica na área das Ciências da Vida para a aluna Ana Flávia Chaves Uchôa, sob minha orientação (anexo I), e será entregue na 75ª Reunião Anual da Sociedade Brasileira para o Progresso da Ciência (SBPC) entre os dias 23 a 29 de julho na Universidade Federal do Paraná (UFPR), em Curitiba"/>
    <x v="9"/>
    <s v="Aéreo"/>
    <s v="Não"/>
    <s v="Realizada"/>
    <s v="SIM"/>
    <s v="Formulário em anexo"/>
    <n v="1850.97"/>
    <n v="0"/>
    <n v="2660.48"/>
    <n v="0"/>
    <d v="2023-07-18T00:00:00"/>
    <x v="4"/>
    <x v="0"/>
    <x v="0"/>
    <n v="2660.48"/>
    <n v="1850.97"/>
    <x v="2"/>
    <x v="0"/>
    <x v="1"/>
    <x v="0"/>
    <n v="929.57892259546873"/>
  </r>
  <r>
    <n v="2"/>
    <n v="18973156"/>
    <s v="000407/23"/>
    <s v="***.961.302-**"/>
    <s v="MARCIA CRISTINA SILVA PAIXAO"/>
    <s v="PROFESSOR DO MAGISTERIO SUPERIOR"/>
    <s v="-1"/>
    <s v="Sem informação"/>
    <d v="2023-07-23T00:00:00"/>
    <d v="2023-07-28T00:00:00"/>
    <s v="Participação do Congresso Nacional da SOBER - Sociedade Brasileira de Economia, Administração e Sociologia Rural como apresentadora de trabalhos, caso o primeiro autor não possa comparecer ao evento. ? Participação do evento como um todo na condição de congressista. Participação da Assembleia Geral da SOBER como componente do seu Conselho Fiscal."/>
    <x v="10"/>
    <s v="Aéreo"/>
    <s v="Sim"/>
    <s v="Realizada"/>
    <s v="NÃO"/>
    <s v="Sem informação"/>
    <n v="1600.4"/>
    <n v="0"/>
    <n v="2831.6099999999997"/>
    <n v="0"/>
    <d v="2023-06-06T00:00:00"/>
    <x v="4"/>
    <x v="0"/>
    <x v="0"/>
    <n v="2831.6099999999997"/>
    <n v="1600.4"/>
    <x v="2"/>
    <x v="0"/>
    <x v="1"/>
    <x v="0"/>
    <n v="804.32069305751747"/>
  </r>
  <r>
    <n v="2"/>
    <n v="19040494"/>
    <s v="000477/23"/>
    <s v="***.840.844-**"/>
    <s v="HEMILIO FERNANDES CAMPOS COELHO"/>
    <s v="PROFESSOR DO MAGISTERIO SUPERIOR"/>
    <s v="FG-0001"/>
    <s v="FG-0001"/>
    <d v="2023-07-23T00:00:00"/>
    <d v="2023-07-29T00:00:00"/>
    <s v="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
    <x v="11"/>
    <s v="Aéreo"/>
    <s v="Sim"/>
    <s v="Realizada"/>
    <s v="NÃO"/>
    <s v="Sem informação"/>
    <n v="1901.3"/>
    <n v="0"/>
    <n v="3020.87"/>
    <n v="0"/>
    <d v="2023-06-29T00:00:00"/>
    <x v="6"/>
    <x v="0"/>
    <x v="0"/>
    <n v="3020.87"/>
    <n v="1901.3"/>
    <x v="2"/>
    <x v="0"/>
    <x v="1"/>
    <x v="0"/>
    <n v="913.03434296031503"/>
  </r>
  <r>
    <n v="2"/>
    <n v="19040802"/>
    <s v="000480/23"/>
    <s v="***.447.734-**"/>
    <s v="ANA HERMINIA ANDRADE E SILVA"/>
    <s v="PROFESSOR DO MAGISTERIO SUPERIOR"/>
    <s v="-1"/>
    <s v="Sem informação"/>
    <d v="2023-07-23T00:00:00"/>
    <d v="2023-07-29T00:00:00"/>
    <s v="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
    <x v="11"/>
    <s v="Aéreo"/>
    <s v="Sim"/>
    <s v="Realizada"/>
    <s v="NÃO"/>
    <s v="Sem informação"/>
    <n v="1901.3"/>
    <n v="0"/>
    <n v="3742.9700000000003"/>
    <n v="0"/>
    <d v="2023-06-27T00:00:00"/>
    <x v="6"/>
    <x v="0"/>
    <x v="0"/>
    <n v="3742.9700000000003"/>
    <n v="1901.3"/>
    <x v="2"/>
    <x v="0"/>
    <x v="1"/>
    <x v="0"/>
    <n v="913.03434296031503"/>
  </r>
  <r>
    <n v="2"/>
    <n v="19045645"/>
    <s v="000488/23"/>
    <s v="***.260.334-**"/>
    <s v="EVERLANE SUANE DE ARAUJO DA SILVA"/>
    <s v="PROFESSOR DO MAGISTERIO SUPERIOR"/>
    <s v="-1"/>
    <s v="Sem informação"/>
    <d v="2023-07-23T00:00:00"/>
    <d v="2023-07-29T00:00:00"/>
    <s v="Participação e apresentação em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
    <x v="11"/>
    <s v="Aéreo"/>
    <s v="Não"/>
    <s v="Realizada"/>
    <s v="NÃO"/>
    <s v="Sem informação"/>
    <n v="1901.3"/>
    <n v="0"/>
    <n v="3020.87"/>
    <n v="0"/>
    <d v="2023-06-29T00:00:00"/>
    <x v="6"/>
    <x v="0"/>
    <x v="0"/>
    <n v="3020.87"/>
    <n v="1901.3"/>
    <x v="2"/>
    <x v="0"/>
    <x v="1"/>
    <x v="0"/>
    <n v="913.03434296031503"/>
  </r>
  <r>
    <n v="2"/>
    <n v="19104129"/>
    <s v="000627/23"/>
    <s v="***.919.154-**"/>
    <s v="SANDRA CRISTINA MORAES DE SOUZA"/>
    <s v="PROFESSOR ENS BASICO TECN TECNOLOGICO"/>
    <s v="-1"/>
    <s v="Sem informação"/>
    <d v="2023-07-23T00:00:00"/>
    <d v="2023-07-28T00:00:00"/>
    <s v="Participar de Oficina na formação na Metodologia Acesso, Permanência e Êxito no Programa Mulheres Mil no período de 24 a 28 de julho de 2023 em Brasília-DF."/>
    <x v="1"/>
    <s v="Aéreo"/>
    <s v="Sim"/>
    <s v="Realizada"/>
    <s v="SIM"/>
    <s v="De acordo com a justificativa anexa."/>
    <n v="2041.72"/>
    <n v="0"/>
    <n v="4683.0599999999995"/>
    <n v="0"/>
    <d v="2023-07-19T00:00:00"/>
    <x v="4"/>
    <x v="0"/>
    <x v="0"/>
    <n v="4683.0599999999995"/>
    <n v="2041.72"/>
    <x v="4"/>
    <x v="0"/>
    <x v="0"/>
    <x v="0"/>
    <n v="626.66401501165365"/>
  </r>
  <r>
    <n v="2"/>
    <n v="19024524"/>
    <s v="000466/23"/>
    <s v="***.051.554-**"/>
    <s v="VALDINEY VELOSO GOUVEIA"/>
    <s v="PROFESSOR DO MAGISTERIO SUPERIOR"/>
    <s v="CD-0001"/>
    <s v="Cargo Comissionado de Direção"/>
    <d v="2023-07-24T00:00:00"/>
    <d v="2023-07-29T00:00:00"/>
    <s v="Participar do 20º Prêmio Destaque na Iniciação Científica e Tecnológica - PICT, em Curitiba/PR, no dia 24/07/2023 e da CXCIV Reunião Ordinária do Conselho Pleno da Andifes, a ser realizada na UFPR, em Curitiba/PR, nos dias 27 e 28 de julho de 2023."/>
    <x v="9"/>
    <s v="Aéreo"/>
    <s v="Não"/>
    <s v="Realizada"/>
    <s v="SIM"/>
    <s v="Em função da alteração da data de reunião pelo MEC no dia 13/07/2023, conforme justificativa anexa."/>
    <n v="2078.6799999999998"/>
    <n v="0"/>
    <n v="1561.56"/>
    <n v="0"/>
    <d v="2023-06-27T00:00:00"/>
    <x v="4"/>
    <x v="0"/>
    <x v="0"/>
    <n v="1561.56"/>
    <n v="2078.6799999999998"/>
    <x v="2"/>
    <x v="0"/>
    <x v="1"/>
    <x v="0"/>
    <n v="929.57892259546873"/>
  </r>
  <r>
    <n v="2"/>
    <n v="19100577"/>
    <s v="000629/23"/>
    <s v="***.334.884-**"/>
    <s v="CONCEICAO CRISTINA PEREIRA DA SILVA"/>
    <s v="PEDAGOGO-AREA"/>
    <s v="-1"/>
    <s v="Sem informação"/>
    <d v="2023-07-24T00:00:00"/>
    <d v="2023-07-29T00:00:00"/>
    <s v="Convite para as Oficinas de Formação na Metodologia Acesso, Permanência e Êxito do Programa Mulheres Mil."/>
    <x v="1"/>
    <s v="Aéreo"/>
    <s v="Não"/>
    <s v="Realizada"/>
    <s v="SIM"/>
    <s v="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
    <n v="1814.09"/>
    <n v="0"/>
    <n v="3300.26"/>
    <n v="0"/>
    <d v="2023-07-20T00:00:00"/>
    <x v="4"/>
    <x v="0"/>
    <x v="0"/>
    <n v="3300.26"/>
    <n v="1814.09"/>
    <x v="4"/>
    <x v="1"/>
    <x v="0"/>
    <x v="0"/>
    <n v="626.66401501165365"/>
  </r>
  <r>
    <n v="2"/>
    <n v="19104392"/>
    <s v="000630/23"/>
    <s v="***.744.854-**"/>
    <s v="IRIS BRAZ DA SILVA ARAUJO"/>
    <s v="PROFESSOR ENS BASICO TECN TECNOLOGICO"/>
    <s v="-1"/>
    <s v="Sem informação"/>
    <d v="2023-07-24T00:00:00"/>
    <d v="2023-07-29T00:00:00"/>
    <s v="Convite para as Oficinas de Formação na Metodologia Acesso, Permanência e Êxito do Programa Mulheres Mil."/>
    <x v="1"/>
    <s v="Aéreo"/>
    <s v="Não"/>
    <s v="Realizada"/>
    <s v="SIM"/>
    <s v="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
    <n v="1981.54"/>
    <n v="0"/>
    <n v="3300.26"/>
    <n v="0"/>
    <d v="2023-07-20T00:00:00"/>
    <x v="4"/>
    <x v="0"/>
    <x v="0"/>
    <n v="3300.26"/>
    <n v="1981.54"/>
    <x v="4"/>
    <x v="1"/>
    <x v="0"/>
    <x v="0"/>
    <n v="626.66401501165365"/>
  </r>
  <r>
    <n v="2"/>
    <n v="18924776"/>
    <s v="000329/23"/>
    <s v="***.687.994-**"/>
    <s v="KARLA KATIUSCIA NOBREGA DE ALMEIDA"/>
    <s v="PROFESSOR DO MAGISTERIO SUPERIOR"/>
    <s v="-1"/>
    <s v="Sem informação"/>
    <d v="2023-07-25T00:00:00"/>
    <d v="2023-07-28T00:00:00"/>
    <s v="Apresentação de 02 artigos científicos de minha co-autoria no 23° USP INTERNATIONAL CONFERENCE ON ACCOUNTING E 20° CONGRESSO USP DE INICIAÇÃO CIENTÍFICA EM CONTABILIDADE - PRESENCIAL"/>
    <x v="4"/>
    <s v="Aéreo"/>
    <s v="Sim"/>
    <s v="Realizada"/>
    <s v="NÃO"/>
    <s v="Sem informação"/>
    <n v="1309.3499999999999"/>
    <n v="0"/>
    <n v="1553.2199999999998"/>
    <n v="0"/>
    <d v="2023-05-19T00:00:00"/>
    <x v="2"/>
    <x v="0"/>
    <x v="0"/>
    <n v="1553.2199999999998"/>
    <n v="1309.3499999999999"/>
    <x v="2"/>
    <x v="1"/>
    <x v="1"/>
    <x v="0"/>
    <n v="800.95835140972315"/>
  </r>
  <r>
    <n v="2"/>
    <n v="18940972"/>
    <s v="000348/23"/>
    <s v="***.834.974-**"/>
    <s v="EDSON FERREIRA DE ARAUJO"/>
    <s v=""/>
    <s v="-1"/>
    <s v="Sem informação"/>
    <d v="2023-07-25T00:00:00"/>
    <d v="2023-07-29T00:00:00"/>
    <s v="PROPOSTO APRESENTARÁ TRABALHO NO 20º CONGRESSO USP DE INICIAÇÃO CIENTÍFICA EM CONTABILIDADE, QUE OCORRERÁ EM SÃO PAULO, ENTRE 26 E 28 DE JULHO DE 2023."/>
    <x v="4"/>
    <s v="Aéreo"/>
    <s v="Não"/>
    <s v="Realizada"/>
    <s v="NÃO"/>
    <s v="Sem informação"/>
    <n v="0"/>
    <n v="0"/>
    <n v="1479.32"/>
    <n v="0"/>
    <d v="2023-05-25T00:00:00"/>
    <x v="7"/>
    <x v="0"/>
    <x v="0"/>
    <n v="1479.32"/>
    <n v="0"/>
    <x v="2"/>
    <x v="3"/>
    <x v="1"/>
    <x v="0"/>
    <n v="800.95835140972315"/>
  </r>
  <r>
    <n v="2"/>
    <n v="19006789"/>
    <s v="000546/23"/>
    <s v="***.219.784-**"/>
    <s v="WENNER GLAUCIO LOPES LUCENA"/>
    <s v="PROFESSOR DO MAGISTERIO SUPERIOR"/>
    <s v="FUC-0001"/>
    <s v="FUC-0001"/>
    <d v="2023-07-25T00:00:00"/>
    <d v="2023-07-29T00:00:00"/>
    <s v="Participação com aprovação de artigo científico no USP Internacional Conference in Accounting da Universidade de São Paulo - USP que será realizado nos dias 26 a 28 de julho de 2023."/>
    <x v="4"/>
    <s v="Aéreo"/>
    <s v="Sim"/>
    <s v="Realizada"/>
    <s v="NÃO"/>
    <s v="Sem informação"/>
    <n v="1690.49"/>
    <n v="0"/>
    <n v="2103.92"/>
    <n v="0"/>
    <d v="2023-07-10T00:00:00"/>
    <x v="7"/>
    <x v="0"/>
    <x v="0"/>
    <n v="2103.92"/>
    <n v="1690.49"/>
    <x v="2"/>
    <x v="0"/>
    <x v="1"/>
    <x v="0"/>
    <n v="800.95835140972315"/>
  </r>
  <r>
    <n v="2"/>
    <n v="19052755"/>
    <s v="000545/23"/>
    <s v="***.591.764-**"/>
    <s v="ROBERIO DANTAS DE FRANCA"/>
    <s v="PROFESSOR DO MAGISTERIO SUPERIOR"/>
    <s v="FUC-0001"/>
    <s v="FUC-0001"/>
    <d v="2023-07-25T00:00:00"/>
    <d v="2023-07-29T00:00:00"/>
    <s v="Participação no evento USP Internacional Conference in Accounting da Universidade de São Paulo - USP que será realizado nos dias 26 a 28 de julho de 2023, em São Paulo-SP."/>
    <x v="4"/>
    <s v="Aéreo"/>
    <s v="Sim"/>
    <s v="Realizada"/>
    <s v="NÃO"/>
    <s v="Sem informação"/>
    <n v="1690.49"/>
    <n v="0"/>
    <n v="2103.92"/>
    <n v="0"/>
    <d v="2023-07-10T00:00:00"/>
    <x v="7"/>
    <x v="0"/>
    <x v="0"/>
    <n v="2103.92"/>
    <n v="1690.49"/>
    <x v="2"/>
    <x v="0"/>
    <x v="1"/>
    <x v="0"/>
    <n v="800.95835140972315"/>
  </r>
  <r>
    <n v="2"/>
    <n v="19052806"/>
    <s v="000544/23"/>
    <s v="***.079.524-**"/>
    <s v="DIMAS BARRETO DE QUEIROZ"/>
    <s v="PROFESSOR DO MAGISTERIO SUPERIOR"/>
    <s v="-1"/>
    <s v="Sem informação"/>
    <d v="2023-07-25T00:00:00"/>
    <d v="2023-07-29T00:00:00"/>
    <s v="Participação com aprovação de artigo científico no USP Internacional Conference in Accounting da Universidade de São Paulo - USP que será realizado nos dias 26 a 28 de julho de 2023."/>
    <x v="4"/>
    <s v="Aéreo"/>
    <s v="Não"/>
    <s v="Realizada"/>
    <s v="NÃO"/>
    <s v="Sem informação"/>
    <n v="1690.49"/>
    <n v="0"/>
    <n v="2103.92"/>
    <n v="0"/>
    <d v="2023-07-10T00:00:00"/>
    <x v="7"/>
    <x v="0"/>
    <x v="0"/>
    <n v="2103.92"/>
    <n v="1690.49"/>
    <x v="2"/>
    <x v="0"/>
    <x v="1"/>
    <x v="0"/>
    <n v="800.95835140972315"/>
  </r>
  <r>
    <n v="3"/>
    <n v="19073413"/>
    <s v="000547/23"/>
    <s v="***.265.564-**"/>
    <s v="CASSIO NUNES DOS ANJOS"/>
    <s v=""/>
    <s v="-1"/>
    <s v="Sem informação"/>
    <d v="2023-07-26T00:00:00"/>
    <d v="2023-08-03T00:00:00"/>
    <s v="O proposto apresentará o artigo 'Oil proce forecast: a comparison between ARIMA, LSTM and ARI-MA-LSTM models' no XXIII Encontro Brasileiro de Finanças(EBFIN), que ocorrerá na cidade de São Paulo e também apresentará artigo na XX Escola de Séries Temporais e Econometria (ESTE), na cidade de Florianópolis-SC."/>
    <x v="12"/>
    <s v="Aéreo"/>
    <s v="Não"/>
    <s v="Realizada"/>
    <s v="SIM"/>
    <s v="O pedido de viagem se deu no prazo correto, mas as intercorrências que têm atrasado o processamento da PCDP."/>
    <n v="0"/>
    <n v="0"/>
    <n v="2592.4899999999998"/>
    <n v="0"/>
    <d v="2023-07-12T00:00:00"/>
    <x v="5"/>
    <x v="0"/>
    <x v="1"/>
    <n v="2592.4899999999998"/>
    <n v="0"/>
    <x v="2"/>
    <x v="3"/>
    <x v="1"/>
    <x v="0"/>
    <n v="1034.0429439881323"/>
  </r>
  <r>
    <n v="2"/>
    <n v="19119044"/>
    <s v="000677/23"/>
    <s v="***.134.274-**"/>
    <s v="FABRINA TAYANE GUEDES FARIAS"/>
    <s v=""/>
    <s v="-1"/>
    <s v="Sem informação"/>
    <d v="2023-08-03T00:00:00"/>
    <d v="2023-08-07T00:00:00"/>
    <s v="PROPOSTO IRÁ PARTICIPAR DA II CONFERÊNCIA INTERNACIONAL DA CANNABIS MEDICINAL, NO CENTRO DE CONVENÇÕES FREI CANECA, NA CIDADE DE SÃO PAULO, NO PERÍODO DE 4 A 5 DE AGOSTO DO CORRENTE ANO, ONDE IRÁ APRESENTAR TRABALHO COMO ATIVIDADE ACADÊMICA DO SEU CURSO NA UFPB."/>
    <x v="4"/>
    <s v="Aéreo"/>
    <s v="Não"/>
    <s v="Realizada"/>
    <s v="SIM"/>
    <s v="O PROPOSTO APENAS CONSEGUIU A CARTA DE ACEITE DO EVENTO JÁ DENTRO DO PERÍODO DE VIAGEM URGENTE."/>
    <n v="0"/>
    <n v="0"/>
    <n v="2009.2199999999998"/>
    <n v="0"/>
    <d v="2023-07-27T00:00:00"/>
    <x v="7"/>
    <x v="0"/>
    <x v="0"/>
    <n v="2009.2199999999998"/>
    <n v="0"/>
    <x v="2"/>
    <x v="3"/>
    <x v="1"/>
    <x v="0"/>
    <n v="800.95835140972315"/>
  </r>
  <r>
    <n v="2"/>
    <n v="19119322"/>
    <s v="000676/23"/>
    <s v="***.349.934-**"/>
    <s v="JOAO AURILIO CARDOSO DE MORAES"/>
    <s v=""/>
    <s v="-1"/>
    <s v="Sem informação"/>
    <d v="2023-08-03T00:00:00"/>
    <d v="2023-08-06T00:00:00"/>
    <s v="PROPOSTO IRÁ PARTICIPAR DA II CONFERÊNCIA INTERNACIONAL DA CANNABIS MEDICINAL, NO CENTRO DE CONVENÇÕES FREI CANECA, NA CIDADE DE SÃO PAULO, NO PERÍODO DE 4 A 5 DE AGOSTO DO CORRENTE ANO, ONDE IRÁ APRESENTAR TRABALHO COMO ATIVIDADE ACADÊMICA DO SEU CURSO NA UFPB."/>
    <x v="4"/>
    <s v="Aéreo"/>
    <s v="Sim"/>
    <s v="Realizada"/>
    <s v="SIM"/>
    <s v="O PROPOSTO APENAS CONSEGUIU A CARTA DE ACEITE DO EVENTO JÁ DENTRO DO PERÍODO DE VIAGEM URGENTE."/>
    <n v="0"/>
    <n v="0"/>
    <n v="2009.2199999999998"/>
    <n v="0"/>
    <d v="2023-07-27T00:00:00"/>
    <x v="2"/>
    <x v="0"/>
    <x v="0"/>
    <n v="2009.2199999999998"/>
    <n v="0"/>
    <x v="2"/>
    <x v="3"/>
    <x v="1"/>
    <x v="0"/>
    <n v="800.95835140972315"/>
  </r>
  <r>
    <n v="2"/>
    <n v="19109815"/>
    <s v="000660/23"/>
    <s v="***.051.554-**"/>
    <s v="VALDINEY VELOSO GOUVEIA"/>
    <s v="PROFESSOR DO MAGISTERIO SUPERIOR"/>
    <s v="CD-0001"/>
    <s v="Cargo Comissionado de Direção"/>
    <d v="2023-08-04T00:00:00"/>
    <d v="2023-08-05T00:00:00"/>
    <s v="Participar da Cerimônia de Transmissão de Cargos de Reitor e Vice-Reitora da Universidade Federal do Rio de Janeiro, no Rio de Janeiro/RJ, no dia 04/08/2023."/>
    <x v="13"/>
    <s v="Aéreo"/>
    <s v="Não"/>
    <s v="Realizada"/>
    <s v="SIM"/>
    <s v="Em razão da agenda da Reitoria, somente na data de 20/07/2023, proposto confirmou a ida, conforme justificativa no item 7 do Formulário de Solicitação."/>
    <n v="715.32"/>
    <n v="0"/>
    <n v="1470.0900000000001"/>
    <n v="0"/>
    <d v="2023-07-21T00:00:00"/>
    <x v="8"/>
    <x v="0"/>
    <x v="0"/>
    <n v="1470.0900000000001"/>
    <n v="715.32"/>
    <x v="1"/>
    <x v="1"/>
    <x v="1"/>
    <x v="0"/>
    <n v="717.39676463438343"/>
  </r>
  <r>
    <n v="2"/>
    <n v="19076735"/>
    <s v="000561/23"/>
    <s v="***.427.978-**"/>
    <s v="MARCELO DE SOUZA BISPO"/>
    <s v="PROFESSOR DO MAGISTERIO SUPERIOR"/>
    <s v="FUC-0001"/>
    <s v="FUC-0001"/>
    <d v="2023-08-05T00:00:00"/>
    <d v="2023-08-08T00:00:00"/>
    <s v="O Coordenador irá participar de uma reunião convidado pela Capes juntamente com todos os coordenadores de pós-graduação das Regiões Norte, Nordeste e Centro-Oeste da área de Administração Pública e de Empresas, Ciências Contábeis e Turismo (área 27)."/>
    <x v="3"/>
    <s v="Aéreo"/>
    <s v="Sim"/>
    <s v="Realizada"/>
    <s v="NÃO"/>
    <s v="Sem informação"/>
    <n v="1228.75"/>
    <n v="0"/>
    <n v="1302.3499999999999"/>
    <n v="0"/>
    <d v="2023-07-10T00:00:00"/>
    <x v="2"/>
    <x v="0"/>
    <x v="0"/>
    <n v="1302.3499999999999"/>
    <n v="1228.75"/>
    <x v="3"/>
    <x v="1"/>
    <x v="0"/>
    <x v="0"/>
    <n v="271.05605715809952"/>
  </r>
  <r>
    <n v="2"/>
    <n v="19041175"/>
    <s v="000491/23"/>
    <s v="***.514.605-**"/>
    <s v="ILKA DIAS BICHARA"/>
    <s v=""/>
    <s v="-1"/>
    <s v="Sem informação"/>
    <d v="2023-08-06T00:00:00"/>
    <d v="2023-08-21T00:00:00"/>
    <s v="Participar como membro efetivo em banca examinadora de Concurso Público na área de Psicologia do Desenvolvimento Infantil, Edital nº 57/2022/UFPB."/>
    <x v="3"/>
    <s v="Aéreo"/>
    <s v="Sim"/>
    <s v="Realizada"/>
    <s v="NÃO"/>
    <s v="Sem informação"/>
    <n v="0"/>
    <n v="0"/>
    <n v="1178.1500000000001"/>
    <n v="0"/>
    <d v="2023-07-04T00:00:00"/>
    <x v="9"/>
    <x v="0"/>
    <x v="0"/>
    <n v="1178.1500000000001"/>
    <n v="0"/>
    <x v="0"/>
    <x v="2"/>
    <x v="0"/>
    <x v="0"/>
    <n v="271.05605715809952"/>
  </r>
  <r>
    <n v="2"/>
    <n v="19044799"/>
    <s v="000507/23"/>
    <s v="***.042.567-**"/>
    <s v="VERA MARIA RAMOS DE VASCONCELLOS"/>
    <s v=""/>
    <s v="-1"/>
    <s v="Sem informação"/>
    <d v="2023-08-06T00:00:00"/>
    <d v="2023-08-21T00:00:00"/>
    <s v="Participar como membro efetivo em banca examinadora de Concurso Público na área de Psicologia do Desenvolvimento Infantil, Edital nº 57/2022/UFPB."/>
    <x v="13"/>
    <s v="Aéreo"/>
    <s v="Não"/>
    <s v="Realizada"/>
    <s v="NÃO"/>
    <s v="Sem informação"/>
    <n v="5380.81"/>
    <n v="0"/>
    <n v="1716.49"/>
    <n v="0"/>
    <d v="2023-07-05T00:00:00"/>
    <x v="9"/>
    <x v="0"/>
    <x v="0"/>
    <n v="1716.49"/>
    <n v="5380.81"/>
    <x v="0"/>
    <x v="2"/>
    <x v="1"/>
    <x v="0"/>
    <n v="717.39676463438343"/>
  </r>
  <r>
    <n v="2"/>
    <n v="19052875"/>
    <s v="000565/23"/>
    <s v="***.219.784-**"/>
    <s v="WENNER GLAUCIO LOPES LUCENA"/>
    <s v="PROFESSOR DO MAGISTERIO SUPERIOR"/>
    <s v="FUC-0001"/>
    <s v="FUC-0001"/>
    <d v="2023-08-06T00:00:00"/>
    <d v="2023-08-08T00:00:00"/>
    <s v="Participação da reunião de coordenadores de programas de pós-graduação das Regiões Norte, Nordeste e Centro-Oeste da área de Administração Pública e de Empresas, Ciências Contábeis e Turismo (área 27)."/>
    <x v="3"/>
    <s v="Aéreo"/>
    <s v="Não"/>
    <s v="Realizada"/>
    <s v="NÃO"/>
    <s v="Sem informação"/>
    <n v="887.73"/>
    <n v="0"/>
    <n v="954.75"/>
    <n v="0"/>
    <d v="2023-07-11T00:00:00"/>
    <x v="3"/>
    <x v="0"/>
    <x v="0"/>
    <n v="954.75"/>
    <n v="887.73"/>
    <x v="3"/>
    <x v="1"/>
    <x v="0"/>
    <x v="0"/>
    <n v="271.05605715809952"/>
  </r>
  <r>
    <n v="2"/>
    <n v="19086266"/>
    <s v="000588/23"/>
    <s v="***.932.194-**"/>
    <s v="ANA CAROLINA KRUTA DE ARAUJO BISPO"/>
    <s v="PROFESSOR DO MAGISTERIO SUPERIOR"/>
    <s v="-1"/>
    <s v="Sem informação"/>
    <d v="2023-08-06T00:00:00"/>
    <d v="2023-08-08T00:00:00"/>
    <s v="Trata-se de participação para a reunião de coordenadores de programas de pós-graduação das Regiões Norte, Nordeste e Centro-Oeste da área de Administração Pública e de Empresas, Ciências Contábeis e Turismo (área 27), que acontecerá no dia 07 de agosto de 2023, das 9h00 às 18h00, em Salvador/BA, na Escola de Administração da Universidade Federal da Bahia (EAUFBA)."/>
    <x v="3"/>
    <s v="Aéreo"/>
    <s v="Sim"/>
    <s v="Realizada"/>
    <s v="NÃO"/>
    <s v="Sem informação"/>
    <n v="887.73"/>
    <n v="0"/>
    <n v="1533.9499999999998"/>
    <n v="0"/>
    <d v="2023-07-12T00:00:00"/>
    <x v="3"/>
    <x v="0"/>
    <x v="0"/>
    <n v="1533.9499999999998"/>
    <n v="887.73"/>
    <x v="3"/>
    <x v="0"/>
    <x v="0"/>
    <x v="0"/>
    <n v="271.05605715809952"/>
  </r>
  <r>
    <n v="2"/>
    <n v="19105380"/>
    <s v="000667/23"/>
    <s v="***.720.987-**"/>
    <s v="NELSON MACULAN FILHO"/>
    <s v=""/>
    <s v="-1"/>
    <s v="Sem informação"/>
    <d v="2023-08-06T00:00:00"/>
    <d v="2023-08-09T00:00:00"/>
    <s v="Reunião de pesquisa com o grupo de pesquisa em Otimização do PPGI, no período de 7 a 8 de agosto, dando continuidades às pesquisas em Programação Geométrica na sua parceria com o Professor Roberto Quirino"/>
    <x v="13"/>
    <s v="Aéreo"/>
    <s v="Não"/>
    <s v="Realizada"/>
    <s v="SIM"/>
    <s v="Foi necessário solicitar o empenho de diárias, o que se deu na data de 24/07/2023."/>
    <n v="1288.57"/>
    <n v="0"/>
    <n v="1713.78"/>
    <n v="0"/>
    <d v="2023-07-25T00:00:00"/>
    <x v="2"/>
    <x v="0"/>
    <x v="0"/>
    <n v="1713.78"/>
    <n v="1288.57"/>
    <x v="3"/>
    <x v="3"/>
    <x v="1"/>
    <x v="0"/>
    <n v="717.39676463438343"/>
  </r>
  <r>
    <n v="1"/>
    <n v="19109127"/>
    <s v="000696/23"/>
    <s v="***.374.698-**"/>
    <s v="REGINA STELA CORREA VIEIRA"/>
    <s v="PROFESSOR DO MAGISTERIO SUPERIOR"/>
    <s v="-1"/>
    <s v="Sem informação"/>
    <d v="2023-08-06T00:00:00"/>
    <d v="2023-08-10T00:00:00"/>
    <s v="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
    <x v="14"/>
    <s v="Aéreo"/>
    <s v="Não"/>
    <s v="Realizada"/>
    <s v="SIM"/>
    <s v="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
    <n v="1449.05"/>
    <n v="0"/>
    <n v="0"/>
    <n v="0"/>
    <d v="1899-12-30T00:00:00"/>
    <x v="7"/>
    <x v="0"/>
    <x v="0"/>
    <n v="0"/>
    <n v="1449.05"/>
    <x v="0"/>
    <x v="0"/>
    <x v="0"/>
    <x v="0"/>
    <n v="384.11684641130563"/>
  </r>
  <r>
    <n v="2"/>
    <n v="19132757"/>
    <s v="000719/23"/>
    <s v="***.680.354-**"/>
    <s v="SUELY AMORIM DE ARAUJO"/>
    <s v="PROFESSOR DO MAGISTERIO SUPERIOR"/>
    <s v="-1"/>
    <s v="Sem informação"/>
    <d v="2023-08-06T00:00:00"/>
    <d v="2023-08-18T00:00:00"/>
    <s v="O proposto vira participar como membro de banca do concurso do departamento de enfermagem clínicas."/>
    <x v="15"/>
    <s v="Aéreo"/>
    <s v="Não"/>
    <s v="Realizada"/>
    <s v="SIM"/>
    <s v="Conforme justificativa em anexo."/>
    <n v="4058.65"/>
    <n v="0"/>
    <n v="4318.01"/>
    <n v="0"/>
    <d v="2023-08-03T00:00:00"/>
    <x v="0"/>
    <x v="0"/>
    <x v="0"/>
    <n v="4318.01"/>
    <n v="4058.65"/>
    <x v="0"/>
    <x v="0"/>
    <x v="1"/>
    <x v="0"/>
    <n v="710.03317019409144"/>
  </r>
  <r>
    <n v="2"/>
    <n v="18937420"/>
    <s v="000422/23"/>
    <s v="***.795.756-**"/>
    <s v="LUIZ GUSTAVO AZEVEDO CARVALHO PIMENTEL"/>
    <s v=""/>
    <s v="-1"/>
    <s v="Sem informação"/>
    <d v="2023-08-08T00:00:00"/>
    <d v="2023-08-20T00:00:00"/>
    <s v="Participar como um dos convidados especiais do PPGM/UFPB para participar do 6º Festival Internacional de Música de Câmara PPGM/UFPB, no período de 09 a 19/08/2023, em João Pessoa/PB"/>
    <x v="13"/>
    <s v="Aéreo"/>
    <s v="Sim"/>
    <s v="Realizada"/>
    <s v="NÃO"/>
    <s v="Sem informação"/>
    <n v="0"/>
    <n v="0"/>
    <n v="1749.28"/>
    <n v="0"/>
    <d v="2023-06-12T00:00:00"/>
    <x v="0"/>
    <x v="0"/>
    <x v="0"/>
    <n v="1749.28"/>
    <n v="0"/>
    <x v="2"/>
    <x v="2"/>
    <x v="1"/>
    <x v="0"/>
    <n v="717.39676463438343"/>
  </r>
  <r>
    <n v="2"/>
    <n v="19092693"/>
    <s v="000625/23"/>
    <s v="***.837.834-**"/>
    <s v="RENATA DA SILVA LEITE"/>
    <s v="FARMACEUTICO"/>
    <s v="FG-0003"/>
    <s v="FG-0003"/>
    <d v="2023-08-08T00:00:00"/>
    <d v="2023-08-11T00:00:00"/>
    <s v="O Congresso está relacionado com área de tecnologia e produção de medicamentos, sendo importante a participação da Diretoria de Pesquisas Tecnológicas do IPeFarM no referido evento, além disso, o IPeFarM faz parte da Associação dos Laboratórios Farmacêuticos Oficiais do Brasil (ALFOB) que está promovendo o I Congresso dos Laboratórios Farmacêuticos Oficiais do Brasil."/>
    <x v="1"/>
    <s v="Aéreo"/>
    <s v="Sim"/>
    <s v="Realizada"/>
    <s v="NÃO"/>
    <s v="Sem informação"/>
    <n v="1214.3499999999999"/>
    <n v="0"/>
    <n v="2376.2600000000002"/>
    <n v="0"/>
    <d v="2023-07-24T00:00:00"/>
    <x v="2"/>
    <x v="0"/>
    <x v="0"/>
    <n v="2376.2600000000002"/>
    <n v="1214.3499999999999"/>
    <x v="2"/>
    <x v="1"/>
    <x v="0"/>
    <x v="0"/>
    <n v="626.66401501165365"/>
  </r>
  <r>
    <n v="2"/>
    <n v="19127610"/>
    <s v="000690/23"/>
    <s v="***.270.137-**"/>
    <s v="PALOMA RODRIGUES DUARTE DA NOBREGA"/>
    <s v="AUDITOR"/>
    <s v="CD-0004"/>
    <s v="Cargo Comissionado de Direção"/>
    <d v="2023-08-08T00:00:00"/>
    <d v="2023-08-12T00:00:00"/>
    <s v="Participar do Congresso Brasileiro de Auditoria e Controle Interno COBACI/2023, que será realizado em Maceió/AL, no período de 09 a 11/08/2023"/>
    <x v="16"/>
    <s v="Aéreo"/>
    <s v="Sim"/>
    <s v="Realizada"/>
    <s v="SIM"/>
    <s v="Viagem Urgente para participação de evento de capacitação. Por questões administrativas o Processo teve seu trâmite prejudicado, mas o pedido foi realizado com 20 dias, conforme justificativa no formulário de solicitação"/>
    <n v="1509.95"/>
    <n v="0"/>
    <n v="1366.48"/>
    <n v="0"/>
    <d v="2023-07-27T00:00:00"/>
    <x v="7"/>
    <x v="0"/>
    <x v="0"/>
    <n v="1366.48"/>
    <n v="1509.95"/>
    <x v="1"/>
    <x v="1"/>
    <x v="2"/>
    <x v="0"/>
    <n v="152.13571329129365"/>
  </r>
  <r>
    <n v="2"/>
    <n v="18942342"/>
    <s v="000435/23"/>
    <s v="***.000.000-**"/>
    <s v="NEIL DAVID WITTEN"/>
    <s v=""/>
    <s v="-1"/>
    <s v="Sem informação"/>
    <d v="2023-08-11T00:00:00"/>
    <d v="2023-08-20T00:00:00"/>
    <s v="Participação no 6º Festival Internacional de Música de Câmara PPGM-UFPB, em João Pessoa/PB, de 11 a 19/08/2023."/>
    <x v="17"/>
    <s v="Aéreo"/>
    <s v="Sim"/>
    <s v="Realizada"/>
    <s v="NÃO"/>
    <s v="Sem informação"/>
    <n v="0"/>
    <n v="0"/>
    <n v="2075.92"/>
    <n v="0"/>
    <d v="2023-06-16T00:00:00"/>
    <x v="10"/>
    <x v="0"/>
    <x v="0"/>
    <n v="2075.92"/>
    <n v="0"/>
    <x v="2"/>
    <x v="3"/>
    <x v="1"/>
    <x v="0"/>
    <n v="1117.256973292067"/>
  </r>
  <r>
    <n v="2"/>
    <n v="19070440"/>
    <s v="000592/23"/>
    <s v="***.508.956-**"/>
    <s v="VITOR SOMMAVILLA DE SOUZA BARROS"/>
    <s v="PROFESSOR DO MAGISTERIO SUPERIOR"/>
    <s v="-1"/>
    <s v="Sem informação"/>
    <d v="2023-08-13T00:00:00"/>
    <d v="2023-08-18T00:00:00"/>
    <s v="Participar como palestrante do evento 13th Principia International Symposium, em Florianópolis/SC."/>
    <x v="18"/>
    <s v="Aéreo"/>
    <s v="Não"/>
    <s v="Realizada"/>
    <s v="NÃO"/>
    <s v="Sem informação"/>
    <n v="1821.06"/>
    <n v="0"/>
    <n v="1689.46"/>
    <n v="0"/>
    <d v="2023-07-13T00:00:00"/>
    <x v="4"/>
    <x v="0"/>
    <x v="0"/>
    <n v="1689.46"/>
    <n v="1821.06"/>
    <x v="2"/>
    <x v="0"/>
    <x v="1"/>
    <x v="0"/>
    <n v="985.87880246436816"/>
  </r>
  <r>
    <n v="2"/>
    <n v="19164813"/>
    <s v="000779/23"/>
    <s v="***.676.784-**"/>
    <s v="LETICIA MELO MOREIRA"/>
    <s v="PROFESSOR ENS BASICO TECN TECNOLOGICO"/>
    <s v="-1"/>
    <s v="Sem informação"/>
    <d v="2023-08-14T00:00:00"/>
    <d v="2023-08-20T00:00:00"/>
    <s v="Participação em banca do concurso público Edital nº 30 de 03 de Maio de 2023 do Centro Profissional e Tecnológico da Universidade Federal da Paraíba."/>
    <x v="19"/>
    <s v="Aéreo"/>
    <s v="Não"/>
    <s v="Realizada"/>
    <s v="SIM"/>
    <s v="Conforme justificativa anexa."/>
    <n v="2162.08"/>
    <n v="0"/>
    <n v="2045.9299999999998"/>
    <n v="0"/>
    <d v="2023-08-11T00:00:00"/>
    <x v="6"/>
    <x v="0"/>
    <x v="0"/>
    <n v="2045.9299999999998"/>
    <n v="2162.08"/>
    <x v="0"/>
    <x v="0"/>
    <x v="2"/>
    <x v="0"/>
    <n v="98.661810102220016"/>
  </r>
  <r>
    <n v="2"/>
    <n v="19165091"/>
    <s v="000778/23"/>
    <s v="***.119.154-**"/>
    <s v="MARCELA DE OLIVEIRA FEITOSA"/>
    <s v="PROFESSOR DO MAGISTERIO SUPERIOR"/>
    <s v="-1"/>
    <s v="Sem informação"/>
    <d v="2023-08-14T00:00:00"/>
    <d v="2023-08-21T00:00:00"/>
    <s v="Participação em banca do concurso público do Edital nº 30 de 03 de Maio de 2023 do Centro Profissional e Tecnológico da Universidade Federal da Paraíba."/>
    <x v="20"/>
    <s v="Aéreo"/>
    <s v="Não"/>
    <s v="Realizada"/>
    <s v="SIM"/>
    <s v="Conforme justificativa anexa."/>
    <n v="2454.23"/>
    <n v="0"/>
    <n v="4723.03"/>
    <n v="0"/>
    <d v="2023-08-11T00:00:00"/>
    <x v="11"/>
    <x v="0"/>
    <x v="0"/>
    <n v="4723.03"/>
    <n v="2454.23"/>
    <x v="0"/>
    <x v="0"/>
    <x v="0"/>
    <x v="0"/>
    <n v="516.95906032943162"/>
  </r>
  <r>
    <n v="2"/>
    <n v="19165330"/>
    <s v="000780/23"/>
    <s v="***.396.743-**"/>
    <s v="FRANCISCO RICARDO MIRANDA PINTO"/>
    <s v="PROFESSOR DO MAGISTERIO SUPERIOR"/>
    <s v="FG-0001"/>
    <s v="FG-0001"/>
    <d v="2023-08-14T00:00:00"/>
    <d v="2023-08-20T00:00:00"/>
    <s v="Compor Banca de Concurso EDITAL Nº 30, 03 DE MAIO DE 2023 CONCURSO PÚBLICO DE PROVAS E TÍTULOS PARA PROFESSOR DO ENSINO BÁSICO, TÉCNICO E TECNOLÓGICO - EBTCPT-ETS-UFPB."/>
    <x v="1"/>
    <s v="Aéreo"/>
    <s v="Sim"/>
    <s v="Realizada"/>
    <s v="SIM"/>
    <s v="Conforme justificativa anexa."/>
    <n v="2162.08"/>
    <n v="0"/>
    <n v="4992.26"/>
    <n v="0"/>
    <d v="2023-08-11T00:00:00"/>
    <x v="6"/>
    <x v="0"/>
    <x v="0"/>
    <n v="4992.26"/>
    <n v="2162.08"/>
    <x v="0"/>
    <x v="0"/>
    <x v="0"/>
    <x v="0"/>
    <n v="626.66401501165365"/>
  </r>
  <r>
    <n v="2"/>
    <n v="19145555"/>
    <s v="000730/23"/>
    <s v="***.474.766-**"/>
    <s v="EDNA GUSMAO DE GOES BRENNAND"/>
    <s v="PROFESSOR DO MAGISTERIO SUPERIOR"/>
    <s v="-1"/>
    <s v="Sem informação"/>
    <d v="2023-08-15T00:00:00"/>
    <d v="2023-08-19T00:00:00"/>
    <s v="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
    <x v="21"/>
    <s v="Aéreo"/>
    <s v="Sim"/>
    <s v="Realizada"/>
    <s v="SIM"/>
    <s v="Não há solicitação de urgência."/>
    <n v="1329.41"/>
    <n v="0"/>
    <n v="3769.1"/>
    <n v="0"/>
    <d v="2023-08-09T00:00:00"/>
    <x v="7"/>
    <x v="0"/>
    <x v="0"/>
    <n v="3769.1"/>
    <n v="1329.41"/>
    <x v="3"/>
    <x v="0"/>
    <x v="0"/>
    <x v="0"/>
    <n v="395.55981524940984"/>
  </r>
  <r>
    <n v="2"/>
    <n v="19146238"/>
    <s v="000731/23"/>
    <s v="***.080.908-**"/>
    <s v="JORGE FERNANDO HERMIDA AVEIRO"/>
    <s v="PROFESSOR DO MAGISTERIO SUPERIOR"/>
    <s v="FUC-0001"/>
    <s v="FUC-0001"/>
    <d v="2023-08-15T00:00:00"/>
    <d v="2023-08-19T00:00:00"/>
    <s v="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
    <x v="21"/>
    <s v="Aéreo"/>
    <s v="Não"/>
    <s v="Realizada"/>
    <s v="SIM"/>
    <s v="Não há urgência."/>
    <n v="1329.41"/>
    <n v="0"/>
    <n v="3769.1"/>
    <n v="0"/>
    <d v="2023-08-09T00:00:00"/>
    <x v="7"/>
    <x v="0"/>
    <x v="0"/>
    <n v="3769.1"/>
    <n v="1329.41"/>
    <x v="3"/>
    <x v="0"/>
    <x v="0"/>
    <x v="0"/>
    <n v="395.55981524940984"/>
  </r>
  <r>
    <n v="2"/>
    <n v="19147252"/>
    <s v="000742/23"/>
    <s v="***.108.354-**"/>
    <s v="EMILIA CRISTINA FERREIRA DE BARROS"/>
    <s v="PROFESSOR ENS BASICO TECN TECNOLOGICO"/>
    <s v="-1"/>
    <s v="Sem informação"/>
    <d v="2023-08-15T00:00:00"/>
    <d v="2023-08-19T00:00:00"/>
    <s v="Participação na 2ª Reunião Ordinária Presencial do Conselho Nacional dos Dirigentes das Escolas de Educação Básica das Instituições Federais de Ensino Superior (CONDICAp), no Rio de Janeiro/RJ, nos dias 16, 17 e 18 de agosto de 2023."/>
    <x v="13"/>
    <s v="Aéreo"/>
    <s v="Não"/>
    <s v="Realizada"/>
    <s v="SIM"/>
    <s v="A confirmação do orçamento para viagem foi confirmada pela Superintendência do Ensino Básico, Técnico e Tecnológico no dia 01 de agosto de 2023, após negativa do Centro de Educação e da Reitoria (conforme contra no processo), em virtude da falta de orçamento dos referidos setores, conforme justificativa no item 7 do formulário de solicitação."/>
    <n v="1690.49"/>
    <n v="0"/>
    <n v="1847.88"/>
    <n v="0"/>
    <d v="2023-08-07T00:00:00"/>
    <x v="7"/>
    <x v="0"/>
    <x v="0"/>
    <n v="1847.88"/>
    <n v="1690.49"/>
    <x v="3"/>
    <x v="0"/>
    <x v="1"/>
    <x v="0"/>
    <n v="717.39676463438343"/>
  </r>
  <r>
    <n v="2"/>
    <n v="19167695"/>
    <s v="000768/23"/>
    <s v="***.051.554-**"/>
    <s v="VALDINEY VELOSO GOUVEIA"/>
    <s v="PROFESSOR DO MAGISTERIO SUPERIOR"/>
    <s v="CD-0001"/>
    <s v="Cargo Comissionado de Direção"/>
    <d v="2023-08-15T00:00:00"/>
    <d v="2023-08-18T00:00:00"/>
    <s v="Participar de reunião na DIFES/SESU/MEC, no dia 17/08/2023, para tratar de assuntos referentes ao Centro de Convenções da UFPB, aquisição da linha de transmissão da subestação 69 e código de vaga e funções gratificadas, como também participar do Encontro de Coordenadores de Instituições Federais de Ensino Superior Parceiras da Secretaria Nacional de Paradesporto - SNPAR, nos dias 16 e 17/08/2023, em Brasília/DF"/>
    <x v="1"/>
    <s v="Aéreo"/>
    <s v="Sim"/>
    <s v="Realizada"/>
    <s v="SIM"/>
    <s v="Estava com pendência de prestação contas no SCDP, que foi resolvida nesta data, conforme justificativa no formulário de solicitação"/>
    <n v="1492.57"/>
    <n v="0"/>
    <n v="4747.9599999999991"/>
    <n v="0"/>
    <d v="2023-08-09T00:00:00"/>
    <x v="2"/>
    <x v="0"/>
    <x v="0"/>
    <n v="4747.9599999999991"/>
    <n v="1492.57"/>
    <x v="3"/>
    <x v="1"/>
    <x v="0"/>
    <x v="0"/>
    <n v="626.66401501165365"/>
  </r>
  <r>
    <n v="2"/>
    <n v="19165790"/>
    <s v="000809/23"/>
    <s v="***.539.044-**"/>
    <s v="JOSE BEZERRA HONORIO"/>
    <s v="ADMINISTRADOR"/>
    <s v="-1"/>
    <s v="Sem informação"/>
    <d v="2023-08-20T00:00:00"/>
    <d v="2023-08-26T00:00:00"/>
    <s v="Participação de Missão Empresarial e do Evento Startup Summit em Florianópolis SC. Na oportunidade será realizada visita técnica em ambientes de inovação e empreendedorismo de SC, além de participação no evento, que contará com mais de 200 palestrantes e são esperadas 10.000 pessoas para um encontro entre startups, investidores e grandes nomes do ecossistema."/>
    <x v="22"/>
    <s v="Aéreo"/>
    <s v="Não"/>
    <s v="Realizada"/>
    <s v="SIM"/>
    <s v="Agência Inova UFPB atua na área de proteção intelectual, transferência tecnológica e incubação de empresas de base tecnológica. Neste sentido, é relevante ao setor estar presente nos eventos da área de inovação e empreendedorismo, visando a formação de conexão e sinergia com o setor produtivo, para obter parcerias, apoios ao processo de incubação etc. Além disto, justifica-se que serão realizadas visitas técnicas em parques e instituições de inovação de Santa Catarina, o que trará informações relevantes para estruturação do futuro Centro de Inovação da INOVA UFPB com verba aprovada junto a FINEP, bem como se fez necessário se adequar as datas e agendas do órgão promotor da ação, qual seja, o SebraePB."/>
    <n v="1139.02"/>
    <n v="0"/>
    <n v="2546.71"/>
    <n v="0"/>
    <d v="2023-08-16T00:00:00"/>
    <x v="6"/>
    <x v="0"/>
    <x v="0"/>
    <n v="2546.71"/>
    <n v="1139.02"/>
    <x v="1"/>
    <x v="1"/>
    <x v="1"/>
    <x v="0"/>
    <n v="952.11306096235796"/>
  </r>
  <r>
    <n v="2"/>
    <n v="19188134"/>
    <s v="000810/23"/>
    <s v="***.171.884-**"/>
    <s v="KELLY CRISTIANE GOMES DA SILVA"/>
    <s v="PROFESSOR DO MAGISTERIO SUPERIOR"/>
    <s v="CD-0003"/>
    <s v="Cargo Comissionado de Direção"/>
    <d v="2023-08-20T00:00:00"/>
    <d v="2023-08-25T00:00:00"/>
    <s v="Participação da Diretora Presidente da INOVA/UFPB em Missão Empresarial para visitas técnicas ao Ecossistema de Inovação e ambientes de empreendedorismo em Florianópolis em função implantação do Conglomerado de Empreendimentos Inovadores e Tecnologias Aplicadas (CEITec) da UFPB, bem como participação no Evento Startup Summit a ser realizado em Santa Catarina no Centro de Convenções da cidade de Florianópolis, que contará com mais de 200 palestrantes atuantes com startups, além de investidores e grandes nomes do ecossistema. Tal participação se faz necessária para viabilizar o planejamento de atuação da INOVA/UFPB para os anos de 2024-2028 do PDI da UFPB, em especial no tocante a Incubação, operacionalização do CEITec e prospecção de projetos para a universidade."/>
    <x v="22"/>
    <s v="Aéreo"/>
    <s v="Não"/>
    <s v="Realizada"/>
    <s v="SIM"/>
    <s v="Em função da adequação da agenda a missão empresarial proporcionada pelo Sebrae PB que proporcionará acesso aos ambientes de inovação do município."/>
    <n v="1109.03"/>
    <n v="0"/>
    <n v="2200.11"/>
    <n v="0"/>
    <d v="2023-08-18T00:00:00"/>
    <x v="4"/>
    <x v="0"/>
    <x v="0"/>
    <n v="2200.11"/>
    <n v="1109.03"/>
    <x v="1"/>
    <x v="1"/>
    <x v="1"/>
    <x v="0"/>
    <n v="952.11306096235796"/>
  </r>
  <r>
    <n v="2"/>
    <n v="19128220"/>
    <s v="000698/23"/>
    <s v="***.014.904-**"/>
    <s v="FRANCISCO DE ASSIS DA COSTA"/>
    <s v="PROFESSOR DO MAGISTERIO SUPERIOR"/>
    <s v="-1"/>
    <s v="Sem informação"/>
    <d v="2023-08-21T00:00:00"/>
    <d v="2023-08-23T00:00:00"/>
    <s v="Trata-se de Afastamento de Curtíssima Duração no período de 21 a 23 de agosto de 2023, para estância acadêmica no Laboratório Urbano da Faculdade de Arquitetura e Urbanismo da Universidade Federal da Bahia - UFBA. O objetivo da estância é o fortalecimento da presença do PPGAU UFPB na rede nacional de programas de pós-graduação mais bem qualificados e disseminar a produção interna do programa. Será feito o lançamento do livro autoral do proponente, titulado Distanciamento como forma de aproximação. Realização de reuniões de trabalho para a troca de informações e experiências visando recolher subsídios para uma proposta de atividade comum de pesquisa. Participação na Mesa Redonda Ensaios de epistemologia urbana em Walter Benjamin. Participação em Banca de Avaliação de Mestrado."/>
    <x v="3"/>
    <s v="Aéreo"/>
    <s v="Sim"/>
    <s v="Realizada"/>
    <s v="NÃO"/>
    <s v="Sem informação"/>
    <n v="857.82"/>
    <n v="0"/>
    <n v="1225.75"/>
    <n v="0"/>
    <d v="2023-07-28T00:00:00"/>
    <x v="3"/>
    <x v="0"/>
    <x v="0"/>
    <n v="1225.75"/>
    <n v="857.82"/>
    <x v="2"/>
    <x v="0"/>
    <x v="0"/>
    <x v="0"/>
    <n v="271.05605715809952"/>
  </r>
  <r>
    <n v="2"/>
    <n v="19157213"/>
    <s v="000744/23"/>
    <s v="***.147.624-**"/>
    <s v="EDVALDO MESQUITA BELTRAO FILHO"/>
    <s v="PROFESSOR ENS BASICO TECN TECNOLOGICO"/>
    <s v="CD-0003"/>
    <s v="Cargo Comissionado de Direção"/>
    <d v="2023-08-21T00:00:00"/>
    <d v="2023-08-25T00:00:00"/>
    <s v="Participação na reunião extraordinária do Conselho Nacional de Dirigentes das Escolas Técnicas Vinculadas às Universidades Federais CONDETUF em Brasília DF. O proposto é o Diretor do Colégio Agrícola Vidal de Negreiros que é uma escola vinculada e faz parte da Comissão Gestora do Condetuf, conselho que rege as escolas vinculadas às universidades federais."/>
    <x v="1"/>
    <s v="Aéreo"/>
    <s v="Sim"/>
    <s v="Realizada"/>
    <s v="SIM"/>
    <s v="A convocação do CONDETUF para a participação do proposto para o evento só foi emitida no dia 03/08/2023, menos de 20 dias para o acontecimento do evento. Por isso a necessidade de fazer a solicitação de diárias e passagens fora do prazo legal."/>
    <n v="1896.15"/>
    <n v="0"/>
    <n v="2604"/>
    <n v="0"/>
    <d v="2023-08-08T00:00:00"/>
    <x v="7"/>
    <x v="0"/>
    <x v="0"/>
    <n v="2604"/>
    <n v="1896.15"/>
    <x v="3"/>
    <x v="1"/>
    <x v="0"/>
    <x v="0"/>
    <n v="626.66401501165365"/>
  </r>
  <r>
    <n v="2"/>
    <n v="19181725"/>
    <s v="000854/23"/>
    <s v="***.854.654-**"/>
    <s v="MARIA SORAYA PEREIRA FRANCO ADRIANO"/>
    <s v="PROFESSOR ENS BASICO TECN TECNOLOGICO"/>
    <s v="CD-0003"/>
    <s v="Cargo Comissionado de Direção"/>
    <d v="2023-08-21T00:00:00"/>
    <d v="2023-08-26T00:00:00"/>
    <s v="Reunião extraordinária de articulação e fortalecimento das Escolas Técnicas Vinculadas às Universidades Federais (ETVs) junto à Secretaria de Educação Profissional e Tecnológica (Setec) e Secretaria de Educação Superior (Sesu)."/>
    <x v="1"/>
    <s v="Aéreo"/>
    <s v="Sim"/>
    <s v="Realizada"/>
    <s v="SIM"/>
    <s v="Conforme justificativa anexa."/>
    <n v="2329.64"/>
    <n v="0"/>
    <n v="5490"/>
    <n v="0"/>
    <d v="2023-08-18T00:00:00"/>
    <x v="4"/>
    <x v="0"/>
    <x v="0"/>
    <n v="5490"/>
    <n v="2329.64"/>
    <x v="3"/>
    <x v="1"/>
    <x v="0"/>
    <x v="0"/>
    <n v="626.66401501165365"/>
  </r>
  <r>
    <n v="2"/>
    <n v="19140654"/>
    <s v="000717/23"/>
    <s v="***.153.860-**"/>
    <s v="ISMAEL IVAN ROCKENBACH"/>
    <s v="PROFESSOR DO MAGISTERIO SUPERIOR"/>
    <s v="-1"/>
    <s v="Sem informação"/>
    <d v="2023-08-22T00:00:00"/>
    <d v="2023-08-26T00:00:00"/>
    <s v="Participar do Seminário Nacional de Educação a Distância - UNIREDE 2023 à convite da Capes que terá evento realizado em conjunto: O Forum Nacional da UAB, conforme convites e cronograma em anexo."/>
    <x v="1"/>
    <s v="Aéreo"/>
    <s v="Sim"/>
    <s v="Realizada"/>
    <s v="NÃO"/>
    <s v="Sem informação"/>
    <n v="1690.49"/>
    <n v="0"/>
    <n v="1792.8"/>
    <n v="0"/>
    <d v="2023-08-03T00:00:00"/>
    <x v="7"/>
    <x v="0"/>
    <x v="0"/>
    <n v="1792.8"/>
    <n v="1690.49"/>
    <x v="2"/>
    <x v="0"/>
    <x v="0"/>
    <x v="0"/>
    <n v="626.66401501165365"/>
  </r>
  <r>
    <n v="2"/>
    <n v="19167301"/>
    <s v="000770/23"/>
    <s v="***.051.554-**"/>
    <s v="VALDINEY VELOSO GOUVEIA"/>
    <s v="PROFESSOR DO MAGISTERIO SUPERIOR"/>
    <s v="CD-0001"/>
    <s v="Cargo Comissionado de Direção"/>
    <d v="2023-08-22T00:00:00"/>
    <d v="2023-08-25T00:00:00"/>
    <s v="Participação em Audiência Pública, na Câmara dos Deputados, no dia 23/08/2023, e na 162ª Reunião Extraordinária do Conselho Pleno da Andifes, no dia 24/08/2023, em Brasília/DF."/>
    <x v="1"/>
    <s v="Aéreo"/>
    <s v="Sim"/>
    <s v="Realizada"/>
    <s v="SIM"/>
    <s v="Proposto estava com pendência de prestação contas no SCDP, que foi resolvida nesta data (09/08/2023), conforme item 7 do Formulário de Solicitação."/>
    <n v="1492.57"/>
    <n v="0"/>
    <n v="2825"/>
    <n v="0"/>
    <d v="2023-08-09T00:00:00"/>
    <x v="2"/>
    <x v="0"/>
    <x v="0"/>
    <n v="2825"/>
    <n v="1492.57"/>
    <x v="5"/>
    <x v="1"/>
    <x v="0"/>
    <x v="0"/>
    <n v="626.66401501165365"/>
  </r>
  <r>
    <n v="2"/>
    <n v="18997079"/>
    <s v="000432/23"/>
    <s v="***.464.914-**"/>
    <s v="PRISCILA OLIVEIRA COSTA SILVA"/>
    <s v="PROFESSOR DO MAGISTERIO SUPERIOR"/>
    <s v="-1"/>
    <s v="Sem informação"/>
    <d v="2023-08-23T00:00:00"/>
    <d v="2023-08-27T00:00:00"/>
    <s v="O PROPOSTO IRÁ PARTICIPAR DO 22° CONGRESSO DA FUNDAÇÃO OTORRINOLARINGOLOGIA, QUE OCORRERÁ NO CENTRO DE CONVENÇÕES FREI CANECA (SÃO PAULO/SP), NOS DIAS 24 A 26 DE AGOSTO DE 2023."/>
    <x v="4"/>
    <s v="Aéreo"/>
    <s v="Não"/>
    <s v="Realizada"/>
    <s v="NÃO"/>
    <s v="Sem informação"/>
    <n v="95"/>
    <n v="0"/>
    <n v="1219.52"/>
    <n v="0"/>
    <d v="2023-06-14T00:00:00"/>
    <x v="7"/>
    <x v="0"/>
    <x v="0"/>
    <n v="1219.52"/>
    <n v="95"/>
    <x v="2"/>
    <x v="0"/>
    <x v="1"/>
    <x v="0"/>
    <n v="800.95835140972315"/>
  </r>
  <r>
    <n v="2"/>
    <n v="19203431"/>
    <s v="000866/23"/>
    <s v="***.847.738-**"/>
    <s v="CATERINE SOFFIATI CABRAL"/>
    <s v=""/>
    <s v="-1"/>
    <s v="Sem informação"/>
    <d v="2023-08-26T00:00:00"/>
    <d v="2023-09-01T00:00:00"/>
    <s v="Viagem para o 10° Encontro das Redes Rurais, que será realizado em São Carlos, no interior de São Paulo."/>
    <x v="4"/>
    <s v="Aéreo"/>
    <s v="Sim"/>
    <s v="Realizada"/>
    <s v="SIM"/>
    <s v="Gestão dos recursos do PROAP no PPGS. Não foi possível encaminhar o pedido anteriormente. Tambpem foi necessário corrigir a PCDP, cancelando a anterior."/>
    <n v="0"/>
    <n v="0"/>
    <n v="3734.24"/>
    <n v="0"/>
    <d v="2023-08-21T00:00:00"/>
    <x v="6"/>
    <x v="0"/>
    <x v="0"/>
    <n v="3734.24"/>
    <n v="0"/>
    <x v="2"/>
    <x v="3"/>
    <x v="1"/>
    <x v="0"/>
    <n v="800.95835140972315"/>
  </r>
  <r>
    <n v="2"/>
    <n v="19165342"/>
    <s v="000830/23"/>
    <s v="***.460.996-**"/>
    <s v="MATEUS DE SOUSA VAN STRALEN"/>
    <s v="PROFESSOR DO MAGISTERIO SUPERIOR"/>
    <s v="FG-0001"/>
    <s v="FG-0001"/>
    <d v="2023-08-27T00:00:00"/>
    <d v="2023-09-01T00:00:00"/>
    <s v="Participar em Banca Examinadora referente ao Concurso Público de Provas e Títulos para provimento de cargos de Professor do Magistério Superior para o Departamento de Arquitetura e Urbanismo - DAU/CT, regido pelo EDITAL Nº 61 de 06 de julho de 2023, publicado no DOU em 07/07/2023 - Edição: 128 | Seção: 3, Página: 77, regime de trabalho Dedicação Exclusiva, na Área de Projeto e Representação Gráfica."/>
    <x v="23"/>
    <s v="Aéreo"/>
    <s v="Sim"/>
    <s v="Realizada"/>
    <s v="SIM"/>
    <s v="Devido a necessidade de aguardar o período de inscrição determinado no cronograma do concurso para que a Banca Examinadora seja confirmada sem que não tenha membros com impedimentos de acordo com a Resolução 74/2013 - CONSEPE."/>
    <n v="1821.06"/>
    <n v="0"/>
    <n v="2966.79"/>
    <n v="0"/>
    <d v="2023-08-17T00:00:00"/>
    <x v="4"/>
    <x v="0"/>
    <x v="0"/>
    <n v="2966.79"/>
    <n v="1821.06"/>
    <x v="0"/>
    <x v="0"/>
    <x v="0"/>
    <x v="0"/>
    <n v="627.18210071654289"/>
  </r>
  <r>
    <n v="2"/>
    <n v="19180265"/>
    <s v="000820/23"/>
    <s v="***.734.353-**"/>
    <s v="FELIX ALVES DA SILVA JUNIOR"/>
    <s v="PROFESSOR DO MAGISTERIO SUPERIOR"/>
    <s v="-1"/>
    <s v="Sem informação"/>
    <d v="2023-08-27T00:00:00"/>
    <d v="2023-09-01T00:00:00"/>
    <s v="Participar da banca examinadora de concurso público, regido pelo EDITAL No 61, DE 6 DE JULHO DE 2023 CONCURSO PÚBLICO DE PROVAS E TÍTULOS - PARA PROFESSOR DO MAGISTÉRIO SUPERIOR, do Departamento de Arquitetura e Urbanismo - DAU/CT/UFPB, publicado no DOU em 07/07/2023 - Edição: 128 | Seção: 3, Página: 77, regime de trabalho Dedicação Exclusiva, na Área de Projeto e Representação Gráfica."/>
    <x v="1"/>
    <s v="Aéreo"/>
    <s v="Não"/>
    <s v="Realizada"/>
    <s v="SIM"/>
    <s v="Devido a necessidade de aguardar o período de inscrição determinado no cronograma do concurso para que a Banca Examinadora seja confirmada sem que não tenha membros com impedimentos de acordo com a Resolução 74/2013 - CONSEPE."/>
    <n v="1821.06"/>
    <n v="0"/>
    <n v="3573.3"/>
    <n v="0"/>
    <d v="2023-08-17T00:00:00"/>
    <x v="4"/>
    <x v="0"/>
    <x v="0"/>
    <n v="3573.3"/>
    <n v="1821.06"/>
    <x v="0"/>
    <x v="0"/>
    <x v="0"/>
    <x v="0"/>
    <n v="626.66401501165365"/>
  </r>
  <r>
    <n v="2"/>
    <n v="19205181"/>
    <s v="000870/23"/>
    <s v="***.567.773-**"/>
    <s v="BERLA MOREIRA DE MORAES"/>
    <s v="PROFESSOR DO MAGISTERIO SUPERIOR"/>
    <s v="CD-0002"/>
    <s v="Cargo Comissionado de Direção"/>
    <d v="2023-08-28T00:00:00"/>
    <d v="2023-09-02T00:00:00"/>
    <s v="Representar a UFPB no VII Fórum Permanente de Museus Universitário, em formato presencial, nos dias 28 de agosto a 01 de setembro de 2023, na cidade de Rio de Janeiro - RJ, no Instituto Benjamim Constant, tema: 30 anos depois... para que(m) ainda serve(m) os museus e coleções universitárias?"/>
    <x v="13"/>
    <s v="Aéreo"/>
    <s v="Sim"/>
    <s v="Realizada"/>
    <s v="SIM"/>
    <s v="Embora o convite tenha sido enviado, no ato da inscrição as vagas estavam esgotadas, houve hoje, dia 18/08/2023 nova abertura de vagas e com a inscrição aprovada, estamos submetendo para pedido de emissão de passagem e diárias."/>
    <n v="2329.64"/>
    <n v="0"/>
    <n v="2569.59"/>
    <n v="0"/>
    <d v="2023-08-23T00:00:00"/>
    <x v="4"/>
    <x v="0"/>
    <x v="0"/>
    <n v="2569.59"/>
    <n v="2329.64"/>
    <x v="1"/>
    <x v="1"/>
    <x v="1"/>
    <x v="0"/>
    <n v="717.39676463438343"/>
  </r>
  <r>
    <n v="2"/>
    <n v="19066792"/>
    <s v="000529/23"/>
    <s v="***.374.464-**"/>
    <s v="YURI WANDERLEY CAVALCANTI"/>
    <s v="PROFESSOR DO MAGISTERIO SUPERIOR"/>
    <s v="FUC-0001"/>
    <s v="FUC-0001"/>
    <d v="2023-09-02T00:00:00"/>
    <d v="2023-09-06T00:00:00"/>
    <s v="Apresentar trabalho na 40ª Reunião Anual da SBPqO e participar da Reunião de Coordenadores de Programas de Pós-Graduação em Odontologia"/>
    <x v="24"/>
    <s v="Aéreo"/>
    <s v="Não"/>
    <s v="Realizada"/>
    <s v="NÃO"/>
    <s v="Sem informação"/>
    <n v="1359.32"/>
    <n v="0"/>
    <n v="2561.5100000000002"/>
    <n v="0"/>
    <d v="2023-07-06T00:00:00"/>
    <x v="7"/>
    <x v="0"/>
    <x v="0"/>
    <n v="2561.5100000000002"/>
    <n v="1359.32"/>
    <x v="2"/>
    <x v="0"/>
    <x v="1"/>
    <x v="0"/>
    <n v="802.381352216604"/>
  </r>
  <r>
    <n v="2"/>
    <n v="19067746"/>
    <s v="000530/23"/>
    <s v="***.221.594-**"/>
    <s v="LEOPOLDINA DE FATIMA DANTAS DE ALMEIDA CAVALCANTI"/>
    <s v="PROFESSOR DO MAGISTERIO SUPERIOR"/>
    <s v="-1"/>
    <s v="Sem informação"/>
    <d v="2023-09-02T00:00:00"/>
    <d v="2023-09-06T00:00:00"/>
    <s v="Participar da 40ª reunião anual da Sociedade Brasileira de Pesquisa Odontológica, na qual apresentará trabalhos e dará suporte aos alunos de pós-graduação que também tiveram seus resumos aprovados."/>
    <x v="24"/>
    <s v="Aéreo"/>
    <s v="Não"/>
    <s v="Realizada"/>
    <s v="NÃO"/>
    <s v="Sem informação"/>
    <n v="1359.32"/>
    <n v="0"/>
    <n v="2561.5100000000002"/>
    <n v="0"/>
    <d v="2023-07-06T00:00:00"/>
    <x v="7"/>
    <x v="0"/>
    <x v="0"/>
    <n v="2561.5100000000002"/>
    <n v="1359.32"/>
    <x v="2"/>
    <x v="0"/>
    <x v="1"/>
    <x v="0"/>
    <n v="802.381352216604"/>
  </r>
  <r>
    <n v="2"/>
    <n v="19203473"/>
    <s v="000868/23"/>
    <s v=""/>
    <s v="THAYNNARA PEREIRA MELO"/>
    <s v=""/>
    <s v="-1"/>
    <s v="Sem informação"/>
    <d v="2023-09-03T00:00:00"/>
    <d v="2023-09-08T00:00:00"/>
    <s v="Proposto irá participar do Encontro Nacional de Ensino e Pesquisa do Campo de Públicas (ENEPCP 2023), realizando apresentação de trabalho oriundo do projeto de extensão Laboratório de Inovação em Contratos Públicos, vinculado ao Departamento de Gestão Pública."/>
    <x v="23"/>
    <s v="Aéreo"/>
    <s v="Sim"/>
    <s v="Realizada"/>
    <s v="SIM"/>
    <s v="DEVIDO AO VOLUME DE DEMANDAS DO SETOR, NÃO FOI POSSÍVEL REALIZAR O CADASTRAMENTO DESSA VIAGEM NO PRAZO HABITUAL."/>
    <n v="0"/>
    <n v="0"/>
    <n v="2624.29"/>
    <n v="0"/>
    <d v="2023-08-22T00:00:00"/>
    <x v="4"/>
    <x v="0"/>
    <x v="0"/>
    <n v="2624.29"/>
    <n v="0"/>
    <x v="2"/>
    <x v="3"/>
    <x v="0"/>
    <x v="0"/>
    <n v="627.18210071654289"/>
  </r>
  <r>
    <n v="2"/>
    <n v="19195283"/>
    <s v="000851/23"/>
    <s v="***.368.264-**"/>
    <s v="LUCIANA ELEONORA DE FREITAS CALADO DEPLAGNE"/>
    <s v="PROFESSOR DO MAGISTERIO SUPERIOR"/>
    <s v="-1"/>
    <s v="Sem informação"/>
    <d v="2023-09-04T00:00:00"/>
    <d v="2023-09-07T00:00:00"/>
    <s v="Participar do XV ENCONTRO INTERNACIONAL DE ESTUDOS MEDIEVAIS com apresentação de trabalho e como coordenadora de sessão."/>
    <x v="25"/>
    <s v="Aéreo"/>
    <s v="Sim"/>
    <s v="Realizada"/>
    <s v="NÃO"/>
    <s v="Sem informação"/>
    <n v="0"/>
    <n v="0"/>
    <n v="3199.92"/>
    <n v="0"/>
    <d v="2023-08-18T00:00:00"/>
    <x v="2"/>
    <x v="0"/>
    <x v="0"/>
    <n v="3199.92"/>
    <n v="0"/>
    <x v="2"/>
    <x v="0"/>
    <x v="1"/>
    <x v="0"/>
    <n v="685.86915713728922"/>
  </r>
  <r>
    <n v="2"/>
    <n v="19168558"/>
    <s v="000783/23"/>
    <s v="***.231.629-**"/>
    <s v="PATRICIA VALDERRAMA"/>
    <s v="PROFESSOR DO MAGISTERIO SUPERIOR"/>
    <s v="-1"/>
    <s v="Sem informação"/>
    <d v="2023-09-10T00:00:00"/>
    <d v="2023-09-13T00:00:00"/>
    <s v="Ministrar curso e palestra no Workshop de Quimiometria"/>
    <x v="26"/>
    <s v="Aéreo"/>
    <s v="Não"/>
    <s v="Realizada"/>
    <s v="NÃO"/>
    <s v="Sem informação"/>
    <n v="1288.57"/>
    <n v="0"/>
    <n v="2857.5"/>
    <n v="0"/>
    <d v="2023-08-17T00:00:00"/>
    <x v="2"/>
    <x v="0"/>
    <x v="0"/>
    <n v="2857.5"/>
    <n v="1288.57"/>
    <x v="2"/>
    <x v="0"/>
    <x v="1"/>
    <x v="0"/>
    <n v="941.13832416862624"/>
  </r>
  <r>
    <n v="2"/>
    <n v="19216702"/>
    <s v="000970/23"/>
    <s v="***.396.743-**"/>
    <s v="FRANCISCO RICARDO MIRANDA PINTO"/>
    <s v="PROFESSOR DO MAGISTERIO SUPERIOR"/>
    <s v="FG-0001"/>
    <s v="FG-0001"/>
    <d v="2023-09-10T00:00:00"/>
    <d v="2023-09-16T00:00:00"/>
    <s v="Participação em Banca do concurso público edital nº 30 de 03/05/2023 do Centro Profissional e Tecnológico-Escola Técnica de Saúde da Universidade Federal da UFPB."/>
    <x v="1"/>
    <s v="Aéreo"/>
    <s v="Sim"/>
    <s v="Realizada"/>
    <s v="SIM"/>
    <s v="Conforme justificativa anexa."/>
    <n v="2162.08"/>
    <n v="0"/>
    <n v="3665.2"/>
    <n v="0"/>
    <d v="2023-09-01T00:00:00"/>
    <x v="6"/>
    <x v="0"/>
    <x v="0"/>
    <n v="3665.2"/>
    <n v="2162.08"/>
    <x v="0"/>
    <x v="0"/>
    <x v="0"/>
    <x v="0"/>
    <n v="626.66401501165365"/>
  </r>
  <r>
    <n v="2"/>
    <n v="19220954"/>
    <s v="000910/23"/>
    <s v=""/>
    <s v="MARIA BETANIA DA ROCHA DE OLIVEIRA"/>
    <s v=""/>
    <s v="-1"/>
    <s v="Sem informação"/>
    <d v="2023-09-10T00:00:00"/>
    <d v="2023-09-21T00:00:00"/>
    <s v="PARTICIPAR COMO MEMBRA TITULAR DE BANCA EXAMINADORA DE CONCURSO PÚBLICO DE PROVAS E TÍTULOS PARA PROFESSOR DO MAGISTÉRIO SUPERIOR NA ÁREA DE LITERATURAS COMPARADAS DE LÍNGUA PORTUGUESA E ENSINO - EDITAL 61/2023"/>
    <x v="16"/>
    <s v="Aéreo"/>
    <s v="Não"/>
    <s v="Realizada"/>
    <s v="SIM"/>
    <s v="Houve dificuldade na montagem da banca do concurso, gerando atraso na montagem do processo dentro do prazo legal. Segue anexo autorização superior."/>
    <n v="4016.73"/>
    <n v="0"/>
    <n v="2270.98"/>
    <n v="0"/>
    <d v="2023-08-28T00:00:00"/>
    <x v="12"/>
    <x v="0"/>
    <x v="0"/>
    <n v="2270.98"/>
    <n v="4016.73"/>
    <x v="0"/>
    <x v="2"/>
    <x v="2"/>
    <x v="0"/>
    <n v="152.13571329129365"/>
  </r>
  <r>
    <n v="2"/>
    <n v="19231480"/>
    <s v="000921/23"/>
    <s v="***.375.463-**"/>
    <s v="CRISTIANA BRASIL DE ALMEIDA REBOUCAS"/>
    <s v="PROFESSOR DO MAGISTERIO SUPERIOR"/>
    <s v="-1"/>
    <s v="Sem informação"/>
    <d v="2023-09-10T00:00:00"/>
    <d v="2023-09-21T00:00:00"/>
    <s v="O proposto virá participar como membro de banca de concurso público do departamento de enfermagem clínicas, no período de 10/09/2023 a 21/09/2023."/>
    <x v="2"/>
    <s v="Aéreo"/>
    <s v="Sim"/>
    <s v="Realizada"/>
    <s v="SIM"/>
    <s v="Em anexo."/>
    <n v="3747.54"/>
    <n v="0"/>
    <n v="1940"/>
    <n v="0"/>
    <d v="2023-08-29T00:00:00"/>
    <x v="12"/>
    <x v="0"/>
    <x v="0"/>
    <n v="1940"/>
    <n v="3747.54"/>
    <x v="0"/>
    <x v="0"/>
    <x v="0"/>
    <x v="0"/>
    <n v="297.78274013517625"/>
  </r>
  <r>
    <n v="2"/>
    <n v="19246583"/>
    <s v="000982/23"/>
    <s v="***.119.154-**"/>
    <s v="MARCELA DE OLIVEIRA FEITOSA"/>
    <s v="PROFESSOR DO MAGISTERIO SUPERIOR"/>
    <s v="-1"/>
    <s v="Sem informação"/>
    <d v="2023-09-10T00:00:00"/>
    <d v="2023-09-17T00:00:00"/>
    <s v="Participação em Banca do concurso público edital nº 30 de 03/05/2023 do Centro Profissional e Tecnológico-Escola Técnica de Saúde da Universidade Federal da UFPB."/>
    <x v="20"/>
    <s v="Aéreo"/>
    <s v="Não"/>
    <s v="Realizada"/>
    <s v="SIM"/>
    <s v="Conforme justificativa anexa."/>
    <n v="2487.3000000000002"/>
    <n v="0"/>
    <n v="4924.42"/>
    <n v="0"/>
    <d v="2023-09-04T00:00:00"/>
    <x v="11"/>
    <x v="0"/>
    <x v="0"/>
    <n v="4924.42"/>
    <n v="2487.3000000000002"/>
    <x v="0"/>
    <x v="0"/>
    <x v="0"/>
    <x v="0"/>
    <n v="516.95906032943162"/>
  </r>
  <r>
    <n v="2"/>
    <n v="19247437"/>
    <s v="000978/23"/>
    <s v="***.676.784-**"/>
    <s v="LETICIA MELO MOREIRA"/>
    <s v="PROFESSOR ENS BASICO TECN TECNOLOGICO"/>
    <s v="-1"/>
    <s v="Sem informação"/>
    <d v="2023-09-10T00:00:00"/>
    <d v="2023-09-17T00:00:00"/>
    <s v="Participação em Banca do concurso público edital nº 30 de 03/05/2023 do Centro Profissional e Tecnológico-Escola Técnica de Saúde da Universidade Federal da UFPB."/>
    <x v="19"/>
    <s v="Aéreo"/>
    <s v="Não"/>
    <s v="Realizada"/>
    <s v="SIM"/>
    <s v="Conforme justificativa anexa."/>
    <n v="2408.1"/>
    <n v="0"/>
    <n v="1889.63"/>
    <n v="0"/>
    <d v="2023-09-04T00:00:00"/>
    <x v="11"/>
    <x v="0"/>
    <x v="0"/>
    <n v="1889.63"/>
    <n v="2408.1"/>
    <x v="0"/>
    <x v="0"/>
    <x v="2"/>
    <x v="0"/>
    <n v="98.661810102220016"/>
  </r>
  <r>
    <n v="2"/>
    <n v="19249250"/>
    <s v="000974/23"/>
    <s v=""/>
    <s v="FELIPE KAEZER DOS SANTOS"/>
    <s v=""/>
    <s v="-1"/>
    <s v="Sem informação"/>
    <d v="2023-09-10T00:00:00"/>
    <d v="2023-09-24T00:00:00"/>
    <s v="O proposto irá participar como membro da banca examinadora para o concurso para docente área fundamentos de enfermagem (UFPB/CCS/DENC)"/>
    <x v="13"/>
    <s v="Aéreo"/>
    <s v="Sim"/>
    <s v="Realizada"/>
    <s v="SIM"/>
    <s v="Em anexo."/>
    <n v="3484.82"/>
    <n v="0"/>
    <n v="2748.59"/>
    <n v="0"/>
    <d v="2023-09-04T00:00:00"/>
    <x v="13"/>
    <x v="0"/>
    <x v="0"/>
    <n v="2748.59"/>
    <n v="3484.82"/>
    <x v="0"/>
    <x v="2"/>
    <x v="1"/>
    <x v="0"/>
    <n v="717.39676463438343"/>
  </r>
  <r>
    <n v="2"/>
    <n v="19254506"/>
    <s v="000998/23"/>
    <s v="***.051.554-**"/>
    <s v="VALDINEY VELOSO GOUVEIA"/>
    <s v="PROFESSOR DO MAGISTERIO SUPERIOR"/>
    <s v="CD-0001"/>
    <s v="Cargo Comissionado de Direção"/>
    <d v="2023-09-11T00:00:00"/>
    <d v="2023-09-15T00:00:00"/>
    <s v="Participar no dia 11/09/2023 de Conferência Educacional Huawei ICT Academy Brasil, no dia 12/09/2023 agenda com Deputado, nos dias 13 e 14/09/2023 participar da CXCV reunião ordinária do Conselho Pleno da ANDIFES, em Brasília/DF"/>
    <x v="27"/>
    <s v="Aéreo"/>
    <s v="Sim"/>
    <s v="Realizada"/>
    <s v="SIM"/>
    <s v="Confirmação da reunião da ANDIFES, apenas nesta data (05/09/2023), conforme justificativa no formulário de solicitação"/>
    <n v="1896.15"/>
    <n v="0"/>
    <n v="2471.4499999999998"/>
    <n v="0"/>
    <d v="2023-09-05T00:00:00"/>
    <x v="7"/>
    <x v="0"/>
    <x v="0"/>
    <n v="2471.4499999999998"/>
    <n v="1896.15"/>
    <x v="1"/>
    <x v="1"/>
    <x v="0"/>
    <x v="0"/>
    <n v="605.00916187526457"/>
  </r>
  <r>
    <n v="2"/>
    <n v="19238106"/>
    <s v="000952/23"/>
    <s v="***.247.744-**"/>
    <s v="CARLOS OCTAVIANO DE MEDEIROS MANGUEIRA"/>
    <s v="PROCURADOR FEDERAL"/>
    <s v="CD-0003"/>
    <s v="Cargo Comissionado de Direção"/>
    <d v="2023-09-13T00:00:00"/>
    <d v="2023-09-16T00:00:00"/>
    <s v="Participação no evento: Seminário de Combate à Desinformação e Defesa da Democracia, a se realizar nos dias 14/09/2023 e 15/09/2023, em Brasília/DF."/>
    <x v="1"/>
    <s v="Aéreo"/>
    <s v="Sim"/>
    <s v="Realizada"/>
    <s v="SIM"/>
    <s v="Conforme a data de encaminhamento do e-mail (29/08/2023), anexo ao formulário de solicitação de diárias e passagens, apenas neste dia a Procuradoria Geral Federal informou da data de realização do evento, razão pela qual a solicitação foi feita em prazo inferior a 20 (vinte) dias, conforme justificativa no item 7 do Formulário de Solicitação."/>
    <n v="1522.48"/>
    <n v="0"/>
    <n v="3474.9"/>
    <n v="0"/>
    <d v="2023-08-31T00:00:00"/>
    <x v="2"/>
    <x v="0"/>
    <x v="0"/>
    <n v="3474.9"/>
    <n v="1522.48"/>
    <x v="1"/>
    <x v="1"/>
    <x v="0"/>
    <x v="0"/>
    <n v="626.66401501165365"/>
  </r>
  <r>
    <n v="2"/>
    <n v="19249701"/>
    <s v="000980/23"/>
    <s v="***.145.044-**"/>
    <s v="HUGO BELARMINO DE MORAIS"/>
    <s v="PROFESSOR DO MAGISTERIO SUPERIOR"/>
    <s v="-1"/>
    <s v="Sem informação"/>
    <d v="2023-09-13T00:00:00"/>
    <d v="2023-09-17T00:00:00"/>
    <s v="Participação no III Encontro do Observatório de Protocolos Autônomos e VII Seminário de Pesquisa: 'Protocolos Autônomos e Jusdiversidade', que será realizado no Centro de Formação Vicente Canãs (Chácara do Cimi), localizado em Luziânia, região metropolitana de Brasília-DF, entre os dias 14 a 17 de setembro de 2023. O evento é organizado pelo Projeto 'Observatório de Protocolos Comunitários de Consulta e Consentimento Livre, Prévio e Informado: direitos territoriais, autodeterminação e jusdiversidade' (coordenado pela UFGD e PUCPR e com apoio do CNPq. O convite pessoal para participação do docente no referido Encontro e Seminário se deu no último dia 25 de agosto, quando da participação do docente num encontro em Belo Horizonte, promovido pelo Instituto de Pesquisa em Direitos e Movimentos Sociais (IPDMS). A respectiva carta-convite foi encaminhada para o e-mail do docente no dia 31 de agosto, motivo pelo qual justificamos previamente o caráter de urgência."/>
    <x v="1"/>
    <s v="Aéreo"/>
    <s v="Não"/>
    <s v="Realizada"/>
    <s v="SIM"/>
    <s v="O docente foi convidado presencialmente para participar do evento no último dia 25 de agosto mas somente no dia 31 de agosto recebeu, por e-mail (com cópia para o e-mail do Programa, também em anexo), a sua carta-convite para o evento. Por tais motivos justificamos a solicitação no presente momento, em caráter de urgência."/>
    <n v="1715.12"/>
    <n v="0"/>
    <n v="2964.7"/>
    <n v="0"/>
    <d v="2023-09-04T00:00:00"/>
    <x v="7"/>
    <x v="0"/>
    <x v="0"/>
    <n v="2964.7"/>
    <n v="1715.12"/>
    <x v="2"/>
    <x v="0"/>
    <x v="0"/>
    <x v="0"/>
    <n v="626.66401501165365"/>
  </r>
  <r>
    <n v="2"/>
    <n v="19112399"/>
    <s v="000763/23"/>
    <s v="***.054.968-**"/>
    <s v="HELOISA BRITO DE ALBUQUERQUE COSTA"/>
    <s v=""/>
    <s v="-1"/>
    <s v="Sem informação"/>
    <d v="2023-09-16T00:00:00"/>
    <d v="2023-09-19T00:00:00"/>
    <s v="Participar de reunião em 16/09, da APFPB (Associação do Professores de Francês da Paraíba) e como palestrante convidada da II Jornada de Estudos LEA a se realizar nos dias 18 e 19 de setembro de 2023."/>
    <x v="28"/>
    <s v="Aéreo"/>
    <s v="Sim"/>
    <s v="Realizada"/>
    <s v="NÃO"/>
    <s v="Sem informação"/>
    <n v="0"/>
    <n v="0"/>
    <n v="1795.0500000000002"/>
    <n v="0"/>
    <d v="2023-08-09T00:00:00"/>
    <x v="2"/>
    <x v="0"/>
    <x v="0"/>
    <n v="1795.0500000000002"/>
    <n v="0"/>
    <x v="2"/>
    <x v="2"/>
    <x v="0"/>
    <x v="0"/>
    <n v="536.00720428391128"/>
  </r>
  <r>
    <n v="2"/>
    <n v="19161758"/>
    <s v="000772/23-1C"/>
    <s v=""/>
    <s v="ANA PAULA RODRIGUES CAVALCANTI"/>
    <s v="PROFESSOR DO MAGISTERIO SUPERIOR"/>
    <s v="-1"/>
    <s v="Sem informação"/>
    <d v="2023-09-17T00:00:00"/>
    <d v="2023-09-23T00:00:00"/>
    <s v="Participação na organização do congresso, evento internacional promovido pela associação representante da área 44 na Capes, à qual está vinculado o PPGCR-UFPB"/>
    <x v="24"/>
    <s v="Aéreo"/>
    <s v="Não"/>
    <s v="Realizada"/>
    <s v="SIM"/>
    <s v="A própria Cia. aérea Gol cancelou o voo bilhetado para retorno da Missão, acomodando-me no voo mais próximo possível - o 424 da Azul, que partiu às 23:05 do dia 22, chegando às 03:00 hs do dia 23 de setembro, conforme cartões de embarque anexos. Nota: O sistema só aceitou o data-hora do dia 23 de setembro para processar esta remarcação, então está constando 00:01 do dia 23 como horário de partida Campinas - João Pessoa."/>
    <n v="1901.3"/>
    <n v="0"/>
    <n v="3263.9399999999996"/>
    <n v="0"/>
    <d v="2023-08-23T00:00:00"/>
    <x v="6"/>
    <x v="0"/>
    <x v="0"/>
    <n v="3263.9399999999996"/>
    <n v="1901.3"/>
    <x v="2"/>
    <x v="0"/>
    <x v="1"/>
    <x v="0"/>
    <n v="802.381352216604"/>
  </r>
  <r>
    <n v="2"/>
    <n v="19161852"/>
    <s v="000845/23-1C"/>
    <s v="***.043.069-**"/>
    <s v="LUSIVAL ANTONIO BARCELLOS"/>
    <s v="PROFESSOR DO MAGISTERIO SUPERIOR"/>
    <s v="-1"/>
    <s v="Sem informação"/>
    <d v="2023-09-17T00:00:00"/>
    <d v="2023-09-23T00:00:00"/>
    <s v="Coordenar o Grupo de Trabalho (GT) intitulado 'Religião e Educação', durante o IX Congresso da ANPTECRE (Associação Nacional de Pós-Graduação e Pesquisa em Teologia e Ciências da Religião), bem como participar das demais atividades deste importante Congresso de nossa área"/>
    <x v="24"/>
    <s v="Aéreo"/>
    <s v="Não"/>
    <s v="Realizada"/>
    <s v="SIM"/>
    <s v="A própria cia aérea Gol teve o voo cancelado após o check-in - conforme pode ser comprovado nos anexos - e fez acomodação no voo mais próximo possível para retornar a João Pessoa, cumprida a Missão - no caso o voo 424 da Azul, que chegou às 03:00 hs do dia 23 de setembro. O sistema só aceitou o data-hora a partir do dia 23 de setembro (por isto consta 00:01 como horário de partida), e a chegada em João Pessoa deu-se efetivamente no próprio dia 23."/>
    <n v="1824.4"/>
    <n v="0"/>
    <n v="3263.9399999999996"/>
    <n v="0"/>
    <d v="2023-08-23T00:00:00"/>
    <x v="6"/>
    <x v="0"/>
    <x v="0"/>
    <n v="3263.9399999999996"/>
    <n v="1824.4"/>
    <x v="2"/>
    <x v="0"/>
    <x v="1"/>
    <x v="0"/>
    <n v="802.381352216604"/>
  </r>
  <r>
    <n v="2"/>
    <n v="19181658"/>
    <s v="000801/23"/>
    <s v="***.634.079-**"/>
    <s v="VIVIANE DA COSTA FREITAG"/>
    <s v="PROFESSOR DO MAGISTERIO SUPERIOR"/>
    <s v="-1"/>
    <s v="Sem informação"/>
    <d v="2023-09-17T00:00:00"/>
    <d v="2023-09-21T00:00:00"/>
    <s v="Participação no 13º Congresso UFSC de Controladoria e Finanças para apresentação de artigo 'Influência dos Fatores Institucionais na Escolha das Técnicas de Depreciação: um estudo em Escritórios de Serviços Contábeis'"/>
    <x v="18"/>
    <s v="Aéreo"/>
    <s v="Não"/>
    <s v="Realizada"/>
    <s v="NÃO"/>
    <s v="Sem informação"/>
    <n v="1509.95"/>
    <n v="0"/>
    <n v="2443.8599999999997"/>
    <n v="0"/>
    <d v="2023-08-16T00:00:00"/>
    <x v="7"/>
    <x v="0"/>
    <x v="0"/>
    <n v="2443.8599999999997"/>
    <n v="1509.95"/>
    <x v="2"/>
    <x v="0"/>
    <x v="1"/>
    <x v="0"/>
    <n v="985.87880246436816"/>
  </r>
  <r>
    <n v="2"/>
    <n v="19190182"/>
    <s v="000847/23"/>
    <s v="***.111.658-**"/>
    <s v="MARINILSON BARBOSA DA SILVA"/>
    <s v="PROFESSOR DO MAGISTERIO SUPERIOR"/>
    <s v="FUC-0001"/>
    <s v="FUC-0001"/>
    <d v="2023-09-17T00:00:00"/>
    <d v="2023-09-22T00:00:00"/>
    <s v="Participação/convocação da reunião da assembleia ordinária da associação como coordenador do PPGCR/UFPB e participação/atuação como membro da Comissão Organizadora do IX Congresso da ANPTECRE (Associação Nacional de Programas de Pós-Graduação em Teologia e Ciências das Religiões), a ser realizado na Pontifícia Universidade Católica de Campinas, no período de 18 a 21 de setembro de 2023."/>
    <x v="24"/>
    <s v="Aéreo"/>
    <s v="Não"/>
    <s v="Realizada"/>
    <s v="NÃO"/>
    <s v="Sem informação"/>
    <n v="1600.4"/>
    <n v="0"/>
    <n v="1961.6399999999999"/>
    <n v="0"/>
    <d v="2023-08-22T00:00:00"/>
    <x v="4"/>
    <x v="0"/>
    <x v="0"/>
    <n v="1961.6399999999999"/>
    <n v="1600.4"/>
    <x v="1"/>
    <x v="1"/>
    <x v="1"/>
    <x v="0"/>
    <n v="802.381352216604"/>
  </r>
  <r>
    <n v="2"/>
    <n v="19190388"/>
    <s v="000822/23"/>
    <s v="***.955.884-**"/>
    <s v="IGUATEMI EDUARDO DA FONSECA"/>
    <s v="PROFESSOR DO MAGISTERIO SUPERIOR"/>
    <s v="-1"/>
    <s v="Sem informação"/>
    <d v="2023-09-17T00:00:00"/>
    <d v="2023-09-21T00:00:00"/>
    <s v="Apresentação de trabalho em evento científico (XXIII Simpósio Brasileiro de Segurança da Informação e de Sistemas Computacionais 2023 - https://sbseg2023.ufjf.br/)"/>
    <x v="29"/>
    <s v="Aéreo"/>
    <s v="Não"/>
    <s v="Realizada"/>
    <s v="NÃO"/>
    <s v="Sem informação"/>
    <n v="1329.41"/>
    <n v="0"/>
    <n v="2246.8000000000002"/>
    <n v="0"/>
    <d v="2023-08-22T00:00:00"/>
    <x v="7"/>
    <x v="0"/>
    <x v="0"/>
    <n v="2246.8000000000002"/>
    <n v="1329.41"/>
    <x v="2"/>
    <x v="0"/>
    <x v="1"/>
    <x v="0"/>
    <n v="681.66878741403252"/>
  </r>
  <r>
    <n v="2"/>
    <n v="19251876"/>
    <s v="000983/23"/>
    <s v="***.567.773-**"/>
    <s v="BERLA MOREIRA DE MORAES"/>
    <s v="PROFESSOR DO MAGISTERIO SUPERIOR"/>
    <s v="CD-0002"/>
    <s v="Cargo Comissionado de Direção"/>
    <d v="2023-09-17T00:00:00"/>
    <d v="2023-09-20T00:00:00"/>
    <s v="Representar a UFPB no Seminário COEX/ANDIFES, em formato presencial, nos dias 18 e 19 de abril de 2023, na cidade do Brasília, na sede da Andifes."/>
    <x v="1"/>
    <s v="Aéreo"/>
    <s v="Sim"/>
    <s v="Realizada"/>
    <s v="SIM"/>
    <s v="Só foi possível confirmar a participação do proposto no evento nesta data, tendo em vista que como ocupa o cargo de pró-reitor possui compromissos e outros convites com datas conflitantes, o que poderia ser um empecilho para participação no evento."/>
    <n v="1522.48"/>
    <n v="0"/>
    <n v="2622.1"/>
    <n v="1418.9"/>
    <d v="2023-09-05T00:00:00"/>
    <x v="2"/>
    <x v="0"/>
    <x v="0"/>
    <n v="4041"/>
    <n v="1522.48"/>
    <x v="1"/>
    <x v="1"/>
    <x v="0"/>
    <x v="0"/>
    <n v="626.66401501165365"/>
  </r>
  <r>
    <n v="2"/>
    <n v="19253523"/>
    <s v="000985/23"/>
    <s v="***.309.989-**"/>
    <s v="ANGELITA MARIA VANDER BROOCK SCHULTZ"/>
    <s v="PROFESSOR DO MAGISTERIO SUPERIOR"/>
    <s v="-1"/>
    <s v="Sem informação"/>
    <d v="2023-09-17T00:00:00"/>
    <d v="2023-09-23T00:00:00"/>
    <s v="Participar de Banca examinadora do concurso público aberto pelo edital 61/2023 UFPB, na área de Educação Musical Infantil do Departamento de Educação Musical."/>
    <x v="23"/>
    <s v="Aéreo"/>
    <s v="Não"/>
    <s v="Realizada"/>
    <s v="SIM"/>
    <s v="justificativa no formulário de solicitação."/>
    <n v="95"/>
    <n v="0"/>
    <n v="2680.59"/>
    <n v="0"/>
    <d v="2023-09-06T00:00:00"/>
    <x v="6"/>
    <x v="0"/>
    <x v="0"/>
    <n v="2680.59"/>
    <n v="95"/>
    <x v="0"/>
    <x v="0"/>
    <x v="0"/>
    <x v="0"/>
    <n v="627.18210071654289"/>
  </r>
  <r>
    <n v="2"/>
    <n v="19190127"/>
    <s v="000848/23"/>
    <s v="***.510.704-**"/>
    <s v="MARINALVA DE SOUSA CONSERVA"/>
    <s v="PROFESSOR DO MAGISTERIO SUPERIOR"/>
    <s v="-1"/>
    <s v="Sem informação"/>
    <d v="2023-09-18T00:00:00"/>
    <d v="2023-09-23T00:00:00"/>
    <s v="PARTICIPAÇÃO NA XI JORNADA INTERNACIONAL DE POLÍTICAS PÚBLICAS (XI JOINPP) 'REIFICAÇÃO CAPITALISTA E EMANCIPAÇÃO HUMANA COMO NECESSIDADEHISTÓRICA:formação da consciência de classe na luta de hegemonias' - Cem anos de História e consciência de classe de Lukács. COM TRES 3 TRABALHOS APROVADOS: 1.APRESENTARTRABALHO: 'CONTIRBUIÇÕES DA GEOTECNOLOGIA DE INOVAÇÃO PARA AGESTÃODA PROTEÇÃO SOCIAL AMPLIADA', NA MESA TEMÁTICA: '(DES)PROTEÇÃO SOCIAL NO BRASIL RECENTE: configurações e desafiosimpostos para a Política de Assistência Social'. 2. Lançamento do Livro:TÍTULO DO LIVRO: OBSERVATÓRIO DE INDICADORES DE PROTEÇÃO SOCIALAMPLIADA: INTERFACES COM A GESTÃO DO SUAS E DO SUAS. E-book: http://plone.ufpb.br/editoraccta/contents/titulos/saude/observatorio-de-indicadoresdeprotecao- social-ampliada-interfaces-com-a-gestao-do-sus-e-do-suas. 3. DESIGUALDADE REGIONAL E SAÚDE: algumas considerações sobre a questão regional no Brasil e sua relação com o acesso a saúde."/>
    <x v="7"/>
    <s v="Aéreo"/>
    <s v="Sim"/>
    <s v="Realizada"/>
    <s v="NÃO"/>
    <s v="Sem informação"/>
    <n v="1821.06"/>
    <n v="0"/>
    <n v="2662.08"/>
    <n v="0"/>
    <d v="2023-08-17T00:00:00"/>
    <x v="4"/>
    <x v="0"/>
    <x v="0"/>
    <n v="2662.08"/>
    <n v="1821.06"/>
    <x v="2"/>
    <x v="0"/>
    <x v="0"/>
    <x v="0"/>
    <n v="419.62919304959075"/>
  </r>
  <r>
    <n v="2"/>
    <n v="19199992"/>
    <s v="000869/23"/>
    <s v=""/>
    <s v="VICENTE CARNEIRO DE SOUSA"/>
    <s v=""/>
    <s v="-1"/>
    <s v="Sem informação"/>
    <d v="2023-09-18T00:00:00"/>
    <d v="2023-09-23T00:00:00"/>
    <s v="PROPOSTO VAI PARTICIPAR DE APRESENTAÇÃO DE ARTIGO NO EVENTO V ENCONTRO BRASILEIRO DE ESTUDOS PARA A PAZ (EBEP) NA CIDADE DE FOZ DO IGUAÇU-PR."/>
    <x v="30"/>
    <s v="Aéreo"/>
    <s v="Não"/>
    <s v="Realizada"/>
    <s v="NÃO"/>
    <s v="Sem informação"/>
    <n v="0"/>
    <n v="0"/>
    <n v="2820.34"/>
    <n v="0"/>
    <d v="2023-08-22T00:00:00"/>
    <x v="4"/>
    <x v="0"/>
    <x v="0"/>
    <n v="2820.34"/>
    <n v="0"/>
    <x v="2"/>
    <x v="3"/>
    <x v="1"/>
    <x v="0"/>
    <n v="1066.8764767716439"/>
  </r>
  <r>
    <n v="2"/>
    <n v="19252820"/>
    <s v="000984/23"/>
    <s v="***.959.784-**"/>
    <s v="RICARDO ALMEIDA DE MELO"/>
    <s v="PROFESSOR DO MAGISTERIO SUPERIOR"/>
    <s v="-1"/>
    <s v="Sem informação"/>
    <d v="2023-09-18T00:00:00"/>
    <d v="2023-09-20T00:00:00"/>
    <s v="Participação e apresentação de trabalhos no 51º Congresso Brasileiro de Educação em Engenharia (COBENGE 2023)"/>
    <x v="13"/>
    <s v="Aéreo"/>
    <s v="Sim"/>
    <s v="Realizada"/>
    <s v="SIM"/>
    <s v="O professor solicitou as diárias e passagens no prazo correto, entretanto, a coordenação estava aguardando a execução na ordem em que os pedidos de uso do PROAP chegaram até nós para poder realizar este pedido. Por este motivo, solicitamos o atendimento a esta demanda."/>
    <n v="958.12"/>
    <n v="0"/>
    <n v="1778.8899999999999"/>
    <n v="0"/>
    <d v="2023-09-05T00:00:00"/>
    <x v="3"/>
    <x v="0"/>
    <x v="0"/>
    <n v="1778.8899999999999"/>
    <n v="958.12"/>
    <x v="2"/>
    <x v="0"/>
    <x v="1"/>
    <x v="0"/>
    <n v="717.39676463438343"/>
  </r>
  <r>
    <n v="2"/>
    <n v="19122653"/>
    <s v="000683/23"/>
    <s v="***.597.068-**"/>
    <s v="SERGIO ROBERTO SILVEIRA"/>
    <s v=""/>
    <s v="-1"/>
    <s v="Sem informação"/>
    <d v="2023-09-19T00:00:00"/>
    <d v="2023-09-23T00:00:00"/>
    <s v="Participar como Palestrante no II CONGRESSO DE INCLUSÃO E ACESSBILIDADE DA UFPB a ser realizado nos dias 20, 21 e 22 de setembro de 2023, em João Pessoa/PB."/>
    <x v="4"/>
    <s v="Aéreo"/>
    <s v="Sim"/>
    <s v="Realizada"/>
    <s v="NÃO"/>
    <s v="Sem informação"/>
    <n v="0"/>
    <n v="0"/>
    <n v="1598.24"/>
    <n v="0"/>
    <d v="2023-07-26T00:00:00"/>
    <x v="7"/>
    <x v="0"/>
    <x v="0"/>
    <n v="1598.24"/>
    <n v="0"/>
    <x v="2"/>
    <x v="3"/>
    <x v="1"/>
    <x v="0"/>
    <n v="800.95835140972315"/>
  </r>
  <r>
    <n v="2"/>
    <n v="19198027"/>
    <s v="000857/23"/>
    <s v="***.426.884-**"/>
    <s v="ANA CRISTINA DE OLIVEIRA E SILVA"/>
    <s v="PROFESSOR DO MAGISTERIO SUPERIOR"/>
    <s v="-1"/>
    <s v="Sem informação"/>
    <d v="2023-09-19T00:00:00"/>
    <d v="2023-09-23T00:00:00"/>
    <s v="participação do congresso: INFECTO 2023 COM APRESENTAÇÃO DE TRABALHOS"/>
    <x v="3"/>
    <s v="Aéreo"/>
    <s v="Não"/>
    <s v="Realizada"/>
    <s v="NÃO"/>
    <s v="Sem informação"/>
    <n v="1509.95"/>
    <n v="0"/>
    <n v="1064.5500000000002"/>
    <n v="0"/>
    <d v="2023-08-18T00:00:00"/>
    <x v="7"/>
    <x v="0"/>
    <x v="0"/>
    <n v="1064.5500000000002"/>
    <n v="1509.95"/>
    <x v="2"/>
    <x v="0"/>
    <x v="0"/>
    <x v="0"/>
    <n v="271.05605715809952"/>
  </r>
  <r>
    <n v="2"/>
    <n v="19245207"/>
    <s v="001044/23"/>
    <s v="***.366.309-**"/>
    <s v="ANTONIO MANOEL ELIBIO JUNIOR"/>
    <s v="PROFESSOR DO MAGISTERIO SUPERIOR"/>
    <s v="FUC-0001"/>
    <s v="FUC-0001"/>
    <d v="2023-09-19T00:00:00"/>
    <d v="2023-09-23T00:00:00"/>
    <s v="Participação no evento 'IV Simpósio Internacional de Inovação em Educação Superior e IX Seminário Inovações Curriculares' (IV SIIES e IX Inovações), organizado pela Câmara de Tecnologias Educacionais e Educação à Distância (CEaD) da Associação Brasileira de Reitoras e Reitores das Universidades Estaduais e Municipais (ABRUEM) e pela Universidade Estadual de Campinas (Unicamp), entre os dias 20 a 23 de setembro de 2023, na cidade de Campinas, São Paulo"/>
    <x v="31"/>
    <s v="Aéreo"/>
    <s v="Não"/>
    <s v="Realizada"/>
    <s v="SIM"/>
    <s v="Solicitação aguardando reforço de empenho em razão da alta nos valores de passagens aéreas e que só foi finalizada em 15/09/2023. Processo 23074.070494/2020-66"/>
    <n v="1298.25"/>
    <n v="0"/>
    <n v="2973.9700000000003"/>
    <n v="0"/>
    <d v="2023-09-18T00:00:00"/>
    <x v="7"/>
    <x v="0"/>
    <x v="0"/>
    <n v="2973.9700000000003"/>
    <n v="1298.25"/>
    <x v="2"/>
    <x v="1"/>
    <x v="1"/>
    <x v="0"/>
    <n v="768.23369282261126"/>
  </r>
  <r>
    <n v="2"/>
    <n v="19278767"/>
    <s v="001050/23"/>
    <s v="***.605.754-**"/>
    <s v="EDSON HILAN GOMES DE LUCENA"/>
    <s v="PROFESSOR DO MAGISTERIO SUPERIOR"/>
    <s v="-1"/>
    <s v="Sem informação"/>
    <d v="2023-09-19T00:00:00"/>
    <d v="2023-09-22T00:00:00"/>
    <s v="Participar do Lançamento do Aplicativo TeleEstomato-Amapá e capacitação de profissionais da odontologia hospitalar"/>
    <x v="32"/>
    <s v="Aéreo"/>
    <s v="Não"/>
    <s v="Realizada"/>
    <s v="SIM"/>
    <s v="Recebimento de carta convite em prazo inferior ao recomendado para cadastro de viagem no sistema SCDP. Carta convite assinada em 08/09 e recebida em 11/09."/>
    <n v="1168.93"/>
    <n v="0"/>
    <n v="4308.21"/>
    <n v="0"/>
    <d v="2023-09-14T00:00:00"/>
    <x v="2"/>
    <x v="0"/>
    <x v="0"/>
    <n v="4308.21"/>
    <n v="1168.93"/>
    <x v="4"/>
    <x v="0"/>
    <x v="1"/>
    <x v="0"/>
    <n v="716.51454910534903"/>
  </r>
  <r>
    <n v="2"/>
    <n v="19283813"/>
    <s v="001072/23"/>
    <s v=""/>
    <s v="LIVIAN ISABEL DE MEDEIROS CARVALHO"/>
    <s v=""/>
    <s v="-1"/>
    <s v="Sem informação"/>
    <d v="2023-09-19T00:00:00"/>
    <d v="2023-09-23T00:00:00"/>
    <s v="Participar do lançamento do aplicativo TeleEstomato Amapá e realizar treinamento de dentistas da odontologia hospitalar"/>
    <x v="32"/>
    <s v="Aéreo"/>
    <s v="Sim"/>
    <s v="Realizada"/>
    <s v="SIM"/>
    <s v="Carta convite enviada apenas em 11/09/23"/>
    <n v="0"/>
    <n v="0"/>
    <n v="5742.91"/>
    <n v="0"/>
    <d v="2023-09-15T00:00:00"/>
    <x v="7"/>
    <x v="0"/>
    <x v="0"/>
    <n v="5742.91"/>
    <n v="0"/>
    <x v="4"/>
    <x v="3"/>
    <x v="1"/>
    <x v="0"/>
    <n v="716.51454910534903"/>
  </r>
  <r>
    <n v="2"/>
    <n v="19284018"/>
    <s v="001073/23"/>
    <s v=""/>
    <s v="HELDER DOMICIANO DANTAS MARTINS"/>
    <s v=""/>
    <s v="-1"/>
    <s v="Sem informação"/>
    <d v="2023-09-19T00:00:00"/>
    <d v="2023-09-23T00:00:00"/>
    <s v="Lançamento do aplicativo TeleEstomato Amapá e treinamento de dentistas da odontologia hospitalar"/>
    <x v="32"/>
    <s v="Aéreo"/>
    <s v="Não"/>
    <s v="Realizada"/>
    <s v="SIM"/>
    <s v="carta convite enviada apenas dia 11/09/2023"/>
    <n v="0"/>
    <n v="0"/>
    <n v="5742.91"/>
    <n v="0"/>
    <d v="2023-09-15T00:00:00"/>
    <x v="7"/>
    <x v="0"/>
    <x v="0"/>
    <n v="5742.91"/>
    <n v="0"/>
    <x v="4"/>
    <x v="3"/>
    <x v="1"/>
    <x v="0"/>
    <n v="716.51454910534903"/>
  </r>
  <r>
    <n v="2"/>
    <n v="19270158"/>
    <s v="001039/23"/>
    <s v=""/>
    <s v="ANA PAULA DASSIE LEITE"/>
    <s v=""/>
    <s v="-1"/>
    <s v="Sem informação"/>
    <d v="2023-09-20T00:00:00"/>
    <d v="2023-09-29T00:00:00"/>
    <s v="O proposto participará na Banca Examinadora do Concurso Público de Provas e Títulos para o cargo de Professor do Magistério Superior, Área de 'Voz', do Departamento de Fonoaudiologia/CCS/UFPB."/>
    <x v="9"/>
    <s v="Aéreo"/>
    <s v="Não"/>
    <s v="Realizada"/>
    <s v="SIM"/>
    <s v="Devido as questões orçamentárias do Centro de Ciências da saúde onde os empenhos de hospedagem e passagem tiveram que ser reforçados, a solicitação da passagem só pode ser realizada na presente data."/>
    <n v="95"/>
    <n v="0"/>
    <n v="3132.98"/>
    <n v="0"/>
    <d v="2023-09-12T00:00:00"/>
    <x v="10"/>
    <x v="0"/>
    <x v="0"/>
    <n v="3132.98"/>
    <n v="95"/>
    <x v="0"/>
    <x v="2"/>
    <x v="1"/>
    <x v="0"/>
    <n v="929.57892259546873"/>
  </r>
  <r>
    <n v="2"/>
    <n v="19203299"/>
    <s v="000875/23"/>
    <s v="***.066.504-**"/>
    <s v="JULIANA KESSIA BARBOSA SOARES MOREIRA"/>
    <s v="PROFESSOR DO MAGISTERIO SUPERIOR"/>
    <s v="-1"/>
    <s v="Sem informação"/>
    <d v="2023-09-21T00:00:00"/>
    <d v="2023-09-24T00:00:00"/>
    <s v="A docente do quadro permanente do PPGCTA - UFPB irá apresentar trabalhos realizados com mestrandos e doutorandos do Programa"/>
    <x v="4"/>
    <s v="Aéreo"/>
    <s v="Não"/>
    <s v="Realizada"/>
    <s v="NÃO"/>
    <s v="Sem informação"/>
    <n v="1369.17"/>
    <n v="0"/>
    <n v="1999.54"/>
    <n v="0"/>
    <d v="2023-08-25T00:00:00"/>
    <x v="2"/>
    <x v="0"/>
    <x v="0"/>
    <n v="1999.54"/>
    <n v="1369.17"/>
    <x v="2"/>
    <x v="0"/>
    <x v="1"/>
    <x v="0"/>
    <n v="800.95835140972315"/>
  </r>
  <r>
    <n v="2"/>
    <n v="19218897"/>
    <s v="000894/23"/>
    <s v="***.263.774-**"/>
    <s v="CARLA ALEXANDRA DA SILVA MOITA MINERVINO"/>
    <s v="PROFESSOR DO MAGISTERIO SUPERIOR"/>
    <s v="-1"/>
    <s v="Sem informação"/>
    <d v="2023-09-24T00:00:00"/>
    <d v="2023-09-27T00:00:00"/>
    <s v="Participação da vice-coordenadora do Programa de Pós-graduação em Neurociência Cognitiva e Comportamento, Dra. Carla Alexandra da Silva Moita Minervino, no VIII Seminário Novos Horizontes: Políticas científicas e ações afirmativas: fundamentos e diretrizes para o futuro da pós-graduação em Psicologia."/>
    <x v="1"/>
    <s v="Aéreo"/>
    <s v="Sim"/>
    <s v="Realizada"/>
    <s v="NÃO"/>
    <s v="Sem informação"/>
    <n v="1339.26"/>
    <n v="0"/>
    <n v="4010.7"/>
    <n v="0"/>
    <d v="2023-08-25T00:00:00"/>
    <x v="2"/>
    <x v="0"/>
    <x v="0"/>
    <n v="4010.7"/>
    <n v="1339.26"/>
    <x v="2"/>
    <x v="1"/>
    <x v="0"/>
    <x v="0"/>
    <n v="626.66401501165365"/>
  </r>
  <r>
    <n v="2"/>
    <n v="19229574"/>
    <s v="000916/23"/>
    <s v="***.442.364-**"/>
    <s v="ANA RAQUEL ROSAS TORRES"/>
    <s v="PROFESSOR DO MAGISTERIO SUPERIOR"/>
    <s v="-1"/>
    <s v="Sem informação"/>
    <d v="2023-09-24T00:00:00"/>
    <d v="2023-09-27T00:00:00"/>
    <s v="Participar no VII Seminário Novos Horizontes, conforme carta em anexo."/>
    <x v="1"/>
    <s v="Aéreo"/>
    <s v="Sim"/>
    <s v="Realizada"/>
    <s v="NÃO"/>
    <s v="Sem informação"/>
    <n v="1339.26"/>
    <n v="0"/>
    <n v="4352.3999999999996"/>
    <n v="0"/>
    <d v="2023-08-29T00:00:00"/>
    <x v="2"/>
    <x v="0"/>
    <x v="0"/>
    <n v="4352.3999999999996"/>
    <n v="1339.26"/>
    <x v="2"/>
    <x v="0"/>
    <x v="0"/>
    <x v="0"/>
    <n v="626.66401501165365"/>
  </r>
  <r>
    <n v="2"/>
    <n v="19312461"/>
    <s v="001152/23"/>
    <s v="***.250.004-**"/>
    <s v="REJANE MARIA OLIVEIRA DIAS SANTANA DE VASCONCELOS"/>
    <s v="VIGILANTE"/>
    <s v="-1"/>
    <s v="Sem informação"/>
    <d v="2023-09-24T00:00:00"/>
    <d v="2023-09-30T00:00:00"/>
    <s v="Participar do XXIX Seminário Nacional de Segurança, que acontecerá em Florianópolis, no período de 25 a 29/09/2023"/>
    <x v="18"/>
    <s v="Aéreo"/>
    <s v="Sim"/>
    <s v="Realizada"/>
    <s v="SIM"/>
    <s v="Por força de acidentes climáticos que atingiram a Região Sul do país, realização do evento só foi confirmada recentemente, conforme justificativa no formulário de solicitação e autorizada pelo dirigente máximo da instituição (Autorização anexa)."/>
    <n v="2162.08"/>
    <n v="0"/>
    <n v="4874.6900000000005"/>
    <n v="0"/>
    <d v="2023-09-20T00:00:00"/>
    <x v="6"/>
    <x v="0"/>
    <x v="0"/>
    <n v="4874.6900000000005"/>
    <n v="2162.08"/>
    <x v="2"/>
    <x v="1"/>
    <x v="1"/>
    <x v="0"/>
    <n v="985.87880246436816"/>
  </r>
  <r>
    <n v="2"/>
    <n v="19313347"/>
    <s v="001153/23"/>
    <s v="***.983.164-**"/>
    <s v="CEZARIO EDUARDO DOS SANTOS"/>
    <s v="VIGILANTE"/>
    <s v="-1"/>
    <s v="Sem informação"/>
    <d v="2023-09-24T00:00:00"/>
    <d v="2023-09-30T00:00:00"/>
    <s v="Participar do XXIX Seminário Nacional de Segurança, que acontecerá em Florianópolis, no período de 25 a 29/09/2023"/>
    <x v="18"/>
    <s v="Aéreo"/>
    <s v="Sim"/>
    <s v="Realizada"/>
    <s v="SIM"/>
    <s v="Por força de acidentes climáticos que atingiram a Região Sul do país, realização do evento só foi confirmada recentemente, conforme justificativa no formulário de solicitação e autorizada pelo dirigente máximo da instituição (Autorização anexa)."/>
    <n v="2162.08"/>
    <n v="0"/>
    <n v="4874.6900000000005"/>
    <n v="0"/>
    <d v="2023-09-20T00:00:00"/>
    <x v="6"/>
    <x v="0"/>
    <x v="0"/>
    <n v="4874.6900000000005"/>
    <n v="2162.08"/>
    <x v="2"/>
    <x v="1"/>
    <x v="1"/>
    <x v="0"/>
    <n v="985.87880246436816"/>
  </r>
  <r>
    <n v="2"/>
    <n v="19052847"/>
    <s v="000599/23"/>
    <s v="***.219.784-**"/>
    <s v="WENNER GLAUCIO LOPES LUCENA"/>
    <s v="PROFESSOR DO MAGISTERIO SUPERIOR"/>
    <s v="FUC-0001"/>
    <s v="FUC-0001"/>
    <d v="2023-09-25T00:00:00"/>
    <d v="2023-09-29T00:00:00"/>
    <s v="Participação com aprovação de artigo científico no XLVII Encontro da ANPAD - EnANPAD 2023 que será realizado nos dias 26 a 28 de setembro de 2023"/>
    <x v="4"/>
    <s v="Aéreo"/>
    <s v="Sim"/>
    <s v="Realizada"/>
    <s v="NÃO"/>
    <s v="Sem informação"/>
    <n v="1660.58"/>
    <n v="0"/>
    <n v="1326.1399999999999"/>
    <n v="0"/>
    <d v="2023-07-17T00:00:00"/>
    <x v="7"/>
    <x v="0"/>
    <x v="0"/>
    <n v="1326.1399999999999"/>
    <n v="1660.58"/>
    <x v="2"/>
    <x v="0"/>
    <x v="1"/>
    <x v="0"/>
    <n v="800.95835140972315"/>
  </r>
  <r>
    <n v="2"/>
    <n v="19071863"/>
    <s v="000542/23"/>
    <s v="***.363.465-**"/>
    <s v="ANDRE GUSTAVO CARVALHO MACHADO"/>
    <s v="PROFESSOR DO MAGISTERIO SUPERIOR"/>
    <s v="-1"/>
    <s v="Sem informação"/>
    <d v="2023-09-25T00:00:00"/>
    <d v="2023-09-29T00:00:00"/>
    <s v="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
    <x v="4"/>
    <s v="Aéreo"/>
    <s v="Sim"/>
    <s v="Realizada"/>
    <s v="NÃO"/>
    <s v="Sem informação"/>
    <n v="1660.58"/>
    <n v="0"/>
    <n v="1588.22"/>
    <n v="0"/>
    <d v="2023-07-07T00:00:00"/>
    <x v="7"/>
    <x v="0"/>
    <x v="0"/>
    <n v="1588.22"/>
    <n v="1660.58"/>
    <x v="2"/>
    <x v="0"/>
    <x v="1"/>
    <x v="0"/>
    <n v="800.95835140972315"/>
  </r>
  <r>
    <n v="2"/>
    <n v="19071945"/>
    <s v="000541/23"/>
    <s v="***.932.194-**"/>
    <s v="ANA CAROLINA KRUTA DE ARAUJO BISPO"/>
    <s v="PROFESSOR DO MAGISTERIO SUPERIOR"/>
    <s v="-1"/>
    <s v="Sem informação"/>
    <d v="2023-09-25T00:00:00"/>
    <d v="2023-09-29T00:00:00"/>
    <s v="A PROFESSORA SUBMETEMEU ARTIGOS QUE FORAM APROVADOS PARA APRESENTAÇÃO NO EVENTO ENANPAD 2023. ESTE É UM EVENTO CIENTÍFICO NACIONAL, RELEVANTE PARA A ÁREA DE AVALIAÇÃO DO PROGRAMA, NA QUAL A PARTICIPAÇÃO REPRESENTA OPORTUNIDADE RELEVANTE DE INTERAÇÃO ACADÊMICA PARA DISCENTES E DOCENTES."/>
    <x v="4"/>
    <s v="Aéreo"/>
    <s v="Sim"/>
    <s v="Realizada"/>
    <s v="NÃO"/>
    <s v="Sem informação"/>
    <n v="1660.58"/>
    <n v="0"/>
    <n v="1352.32"/>
    <n v="0"/>
    <d v="2023-07-10T00:00:00"/>
    <x v="7"/>
    <x v="0"/>
    <x v="0"/>
    <n v="1352.32"/>
    <n v="1660.58"/>
    <x v="2"/>
    <x v="0"/>
    <x v="1"/>
    <x v="0"/>
    <n v="800.95835140972315"/>
  </r>
  <r>
    <n v="2"/>
    <n v="19072379"/>
    <s v="000563/23"/>
    <s v="***.842.844-**"/>
    <s v="ANIELSON BARBOSA DA SILVA"/>
    <s v="PROFESSOR DO MAGISTERIO SUPERIOR"/>
    <s v="-1"/>
    <s v="Sem informação"/>
    <d v="2023-09-25T00:00:00"/>
    <d v="2023-09-29T00:00:00"/>
    <s v="O PROFESSOR SUBMETEU ARTIGOS QUE FORAM APROVADOS PARA APRESENTAÇÃO NO EVENTO ENANPAD 2023. ESTE É UM EVENTO CIENTÍFICO NACIONAL, RELEVANTE PARA A ÁREA DE AVALIAÇÃO DO PROGRAMA, NA QUAL A PARTICIPAÇÃO REPRESENTA OPORTUNIDADE RELEVANTE DE INTERAÇÃO ACADÊMICA PARA DISCENTES E DOCENTES."/>
    <x v="4"/>
    <s v="Aéreo"/>
    <s v="Sim"/>
    <s v="Realizada"/>
    <s v="NÃO"/>
    <s v="Sem informação"/>
    <n v="1660.58"/>
    <n v="0"/>
    <n v="1794.92"/>
    <n v="0"/>
    <d v="2023-07-11T00:00:00"/>
    <x v="7"/>
    <x v="0"/>
    <x v="0"/>
    <n v="1794.92"/>
    <n v="1660.58"/>
    <x v="2"/>
    <x v="0"/>
    <x v="1"/>
    <x v="0"/>
    <n v="800.95835140972315"/>
  </r>
  <r>
    <n v="2"/>
    <n v="19076783"/>
    <s v="000562/23"/>
    <s v="***.493.144-**"/>
    <s v="DIANA LUCIA TEIXEIRA DE CARVALHO"/>
    <s v="PROFESSOR DO MAGISTERIO SUPERIOR"/>
    <s v="-1"/>
    <s v="Sem informação"/>
    <d v="2023-09-25T00:00:00"/>
    <d v="2023-09-29T00:00:00"/>
    <s v="Trata-se de evento científico nacional, importante para a área de avaliação do Programa, na qual a participação representa oportunidade relevante de interação acadêmica. Por essa razão solicito passagens/diárias para que a Professora participe e apresente os resultados de suas pesquisas."/>
    <x v="4"/>
    <s v="Aéreo"/>
    <s v="Sim"/>
    <s v="Realizada"/>
    <s v="NÃO"/>
    <s v="Sem informação"/>
    <n v="1660.58"/>
    <n v="0"/>
    <n v="1156.72"/>
    <n v="0"/>
    <d v="2023-07-10T00:00:00"/>
    <x v="7"/>
    <x v="0"/>
    <x v="0"/>
    <n v="1156.72"/>
    <n v="1660.58"/>
    <x v="2"/>
    <x v="0"/>
    <x v="1"/>
    <x v="0"/>
    <n v="800.95835140972315"/>
  </r>
  <r>
    <n v="2"/>
    <n v="19078236"/>
    <s v="000564/23"/>
    <s v="***.066.024-**"/>
    <s v="JOSE JORGE LIMA DIAS JUNIOR"/>
    <s v="PROFESSOR DO MAGISTERIO SUPERIOR"/>
    <s v="-1"/>
    <s v="Sem informação"/>
    <d v="2023-09-25T00:00:00"/>
    <d v="2023-09-29T00:00:00"/>
    <s v="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
    <x v="4"/>
    <s v="Aéreo"/>
    <s v="Sim"/>
    <s v="Realizada"/>
    <s v="NÃO"/>
    <s v="Sem informação"/>
    <n v="1660.58"/>
    <n v="0"/>
    <n v="1794.92"/>
    <n v="0"/>
    <d v="2023-07-11T00:00:00"/>
    <x v="7"/>
    <x v="0"/>
    <x v="0"/>
    <n v="1794.92"/>
    <n v="1660.58"/>
    <x v="2"/>
    <x v="0"/>
    <x v="1"/>
    <x v="0"/>
    <n v="800.95835140972315"/>
  </r>
  <r>
    <n v="2"/>
    <n v="19083928"/>
    <s v="000583/23"/>
    <s v="***.953.498-**"/>
    <s v="THIAGO LIMA DA SILVA"/>
    <s v="PROFESSOR DO MAGISTERIO SUPERIOR"/>
    <s v="-1"/>
    <s v="Sem informação"/>
    <d v="2023-09-25T00:00:00"/>
    <d v="2023-09-28T00:00:00"/>
    <s v="O servidor irá participar do evento com Líder de Tema e apresentador de artigo. Trata-se de evento científico nacional, importante para a área de avaliação do Programa, na qual a participação representa oportunidade relevante de interação acadêmica. Por essa razão solicito passagens para que o Professor participe e apresente os resultados de suas pesquisas."/>
    <x v="4"/>
    <s v="Aéreo"/>
    <s v="Não"/>
    <s v="Realizada"/>
    <s v="NÃO"/>
    <s v="Sem informação"/>
    <n v="0"/>
    <n v="0"/>
    <n v="1133.22"/>
    <n v="0"/>
    <d v="2023-07-12T00:00:00"/>
    <x v="2"/>
    <x v="0"/>
    <x v="0"/>
    <n v="1133.22"/>
    <n v="0"/>
    <x v="2"/>
    <x v="0"/>
    <x v="1"/>
    <x v="0"/>
    <n v="800.95835140972315"/>
  </r>
  <r>
    <n v="2"/>
    <n v="19097605"/>
    <s v="000600/23"/>
    <s v="***.215.814-**"/>
    <s v="HELEN SILVA GONCALVES"/>
    <s v="PROFESSOR DO MAGISTERIO SUPERIOR"/>
    <s v="FUC-0001"/>
    <s v="FUC-0001"/>
    <d v="2023-09-25T00:00:00"/>
    <d v="2023-09-29T00:00:00"/>
    <s v="EnANPAD 2023 - Apresentação de um artigo científico e participação em evento científico."/>
    <x v="4"/>
    <s v="Aéreo"/>
    <s v="Sim"/>
    <s v="Realizada"/>
    <s v="NÃO"/>
    <s v="Sem informação"/>
    <n v="1660.58"/>
    <n v="0"/>
    <n v="1326.1399999999999"/>
    <n v="0"/>
    <d v="2023-07-18T00:00:00"/>
    <x v="7"/>
    <x v="0"/>
    <x v="0"/>
    <n v="1326.1399999999999"/>
    <n v="1660.58"/>
    <x v="2"/>
    <x v="0"/>
    <x v="1"/>
    <x v="0"/>
    <n v="800.95835140972315"/>
  </r>
  <r>
    <n v="2"/>
    <n v="19159709"/>
    <s v="000743/23"/>
    <s v="***.292.904-**"/>
    <s v="ANDREIA GRAZIELA LACERDA DE ANDRADE GADELHA"/>
    <s v="PROCURADOR FEDERAL"/>
    <s v="FG-0002"/>
    <s v="FG-0002"/>
    <d v="2023-09-25T00:00:00"/>
    <d v="2023-09-29T00:00:00"/>
    <s v="Participar de Reunião Técnica da Procuradoria Geral Federal, nos dias 26 a 28 de setembro de 2023, em Foz do Iguaçu"/>
    <x v="30"/>
    <s v="Aéreo"/>
    <s v="Sim"/>
    <s v="Realizada"/>
    <s v="NÃO"/>
    <s v="Sem informação"/>
    <n v="1299.5"/>
    <n v="0"/>
    <n v="2260.7399999999998"/>
    <n v="0"/>
    <d v="2023-08-07T00:00:00"/>
    <x v="7"/>
    <x v="0"/>
    <x v="0"/>
    <n v="2260.7399999999998"/>
    <n v="1299.5"/>
    <x v="3"/>
    <x v="1"/>
    <x v="1"/>
    <x v="0"/>
    <n v="1066.8764767716439"/>
  </r>
  <r>
    <n v="2"/>
    <n v="19212209"/>
    <s v="000880/23"/>
    <s v=""/>
    <s v="ANDERSON CARLOS DE OLIVEIRA"/>
    <s v="PROF ENS BAS TEC TECNOLOGICO-SUBSTITUTO"/>
    <s v="-1"/>
    <s v="Sem informação"/>
    <d v="2023-09-25T00:00:00"/>
    <d v="2023-09-29T00:00:00"/>
    <s v="Participação e apresentação de trabalho acadêmico-científico no 38º Congresso Brasileiro de Manutenção e Gestão de Ativos, que ocorrerá em Curitiba-PR, no período de 26 a 28 de setembro de 2023."/>
    <x v="9"/>
    <s v="Aéreo"/>
    <s v="Sim"/>
    <s v="Realizada"/>
    <s v="NÃO"/>
    <s v="Sem informação"/>
    <n v="0"/>
    <n v="0"/>
    <n v="1964.91"/>
    <n v="0"/>
    <d v="2023-08-25T00:00:00"/>
    <x v="7"/>
    <x v="0"/>
    <x v="0"/>
    <n v="1964.91"/>
    <n v="0"/>
    <x v="2"/>
    <x v="0"/>
    <x v="1"/>
    <x v="0"/>
    <n v="929.57892259546873"/>
  </r>
  <r>
    <n v="2"/>
    <n v="19236544"/>
    <s v="000957/23-1C"/>
    <s v="***.171.798-**"/>
    <s v="MARCO VALERIO CLASSE COLONNELLI"/>
    <s v="PROFESSOR DO MAGISTERIO SUPERIOR"/>
    <s v="FUC-0001"/>
    <s v="FUC-0001"/>
    <d v="2023-09-25T00:00:00"/>
    <d v="2023-09-30T00:00:00"/>
    <s v="Apresentação de comunicação oral em evento nacional de Estudos Clássicos. Produção para a área de Letras Clássicas do PPGL."/>
    <x v="33"/>
    <s v="Aéreo"/>
    <s v="Não"/>
    <s v="Realizada"/>
    <s v="NÃO"/>
    <s v="Sem informação"/>
    <n v="0"/>
    <n v="0"/>
    <n v="2699.58"/>
    <n v="0"/>
    <d v="2023-09-01T00:00:00"/>
    <x v="4"/>
    <x v="0"/>
    <x v="0"/>
    <n v="2699.58"/>
    <n v="0"/>
    <x v="2"/>
    <x v="0"/>
    <x v="0"/>
    <x v="0"/>
    <n v="605.2983569583339"/>
  </r>
  <r>
    <n v="2"/>
    <n v="19253229"/>
    <s v="000999/23"/>
    <s v="***.094.332-**"/>
    <s v="SONIA MARIA DA SILVA ARAUJO"/>
    <s v="PROFESSOR MAGISTERIO SUPERIOR-VISITANTE"/>
    <s v="-1"/>
    <s v="Sem informação"/>
    <d v="2023-09-26T00:00:00"/>
    <d v="2023-09-28T00:00:00"/>
    <s v="Participação na banca de doutorado de Arthur Rodrigues de Lima."/>
    <x v="5"/>
    <s v="Aéreo"/>
    <s v="Não"/>
    <s v="Realizada"/>
    <s v="SIM"/>
    <s v="Tramitação da PCDP efetuada em atraso por razão de pendências no cadastro da proposta."/>
    <n v="857.82"/>
    <n v="0"/>
    <n v="4382.58"/>
    <n v="0"/>
    <d v="2023-09-15T00:00:00"/>
    <x v="3"/>
    <x v="0"/>
    <x v="0"/>
    <n v="4382.58"/>
    <n v="857.82"/>
    <x v="0"/>
    <x v="0"/>
    <x v="0"/>
    <x v="0"/>
    <n v="596.68665796167329"/>
  </r>
  <r>
    <n v="2"/>
    <n v="19163841"/>
    <s v="000992/23"/>
    <s v="***.509.093-**"/>
    <s v="JULIO SANTOS REBOUCAS"/>
    <s v="PROFESSOR DO MAGISTERIO SUPERIOR"/>
    <s v="-1"/>
    <s v="Sem informação"/>
    <d v="2023-09-27T00:00:00"/>
    <d v="2023-09-30T00:00:00"/>
    <s v="Participação no Seminário de Acompanhamento do Programa Capes-PrInt - 2023, nas dependências da CAPES em Brasília-DF, nos dias 18 e 19 de setembro de 2023, das 09h00 às 18h00, como um dos representantes da UFPB, com o objetivo de acompanhar a execução do Projeto Institucional Capes-PrInt-UFPB nos anos de 2022 e 2023 e planejar as ações para o último ano do Programa."/>
    <x v="1"/>
    <s v="Aéreo"/>
    <s v="Não"/>
    <s v="Realizada"/>
    <s v="NÃO"/>
    <s v="Sem informação"/>
    <n v="1339.26"/>
    <n v="0"/>
    <n v="1888.5"/>
    <n v="0"/>
    <d v="2023-09-05T00:00:00"/>
    <x v="2"/>
    <x v="0"/>
    <x v="0"/>
    <n v="1888.5"/>
    <n v="1339.26"/>
    <x v="1"/>
    <x v="0"/>
    <x v="0"/>
    <x v="0"/>
    <n v="626.66401501165365"/>
  </r>
  <r>
    <n v="2"/>
    <n v="19249490"/>
    <s v="000991/23"/>
    <s v=""/>
    <s v="ANDERSON QUEIROZ DE CASTRO GOMES"/>
    <s v="ASSISTENTE EM ADMINISTRAçãO"/>
    <s v="FG-0002"/>
    <s v="FG-0002"/>
    <d v="2023-09-27T00:00:00"/>
    <d v="2023-09-30T00:00:00"/>
    <s v="Participação em Seminário do Capes PRINT"/>
    <x v="1"/>
    <s v="Aéreo"/>
    <s v="Não"/>
    <s v="Realizada"/>
    <s v="NÃO"/>
    <s v="Sem informação"/>
    <n v="1339.26"/>
    <n v="0"/>
    <n v="1888.5"/>
    <n v="0"/>
    <d v="2023-09-05T00:00:00"/>
    <x v="2"/>
    <x v="0"/>
    <x v="0"/>
    <n v="1888.5"/>
    <n v="1339.26"/>
    <x v="1"/>
    <x v="1"/>
    <x v="0"/>
    <x v="0"/>
    <n v="626.66401501165365"/>
  </r>
  <r>
    <n v="2"/>
    <n v="19225071"/>
    <s v="000905/23"/>
    <s v=""/>
    <s v="FRANCIELLE CRISTINE PEREIRA GONCALVES"/>
    <s v=""/>
    <s v="-1"/>
    <s v="Sem informação"/>
    <d v="2023-09-30T00:00:00"/>
    <d v="2023-10-05T00:00:00"/>
    <s v="Participação e apresentação de trabalho acadêmico-científico no XXI Encontro da SPBmat, que ocorrerá em Maceió-AL, no período de 01 a 05 de outubro de 2023."/>
    <x v="16"/>
    <s v="Aéreo"/>
    <s v="Não"/>
    <s v="Realizada"/>
    <s v="NÃO"/>
    <s v="Sem informação"/>
    <n v="0"/>
    <n v="0"/>
    <n v="1400.6799999999998"/>
    <n v="0"/>
    <d v="2023-08-28T00:00:00"/>
    <x v="4"/>
    <x v="0"/>
    <x v="0"/>
    <n v="1400.6799999999998"/>
    <n v="0"/>
    <x v="2"/>
    <x v="3"/>
    <x v="2"/>
    <x v="0"/>
    <n v="152.13571329129365"/>
  </r>
  <r>
    <n v="2"/>
    <n v="19185446"/>
    <s v="000821/23"/>
    <s v="***.574.646-**"/>
    <s v="HENRIQUE ZEFERINO DE MENEZES"/>
    <s v="PROFESSOR DO MAGISTERIO SUPERIOR"/>
    <s v="FUC-0001"/>
    <s v="FUC-0001"/>
    <d v="2023-10-01T00:00:00"/>
    <d v="2023-10-04T00:00:00"/>
    <s v="Participação no Seminário de meio termo de avaliação quadrienal da CAPES, no qual são apresentados os resultados preliminares da avaliação quadrienal dos PPGs (presença obrigatória)"/>
    <x v="1"/>
    <s v="Aéreo"/>
    <s v="Sim"/>
    <s v="Realizada"/>
    <s v="NÃO"/>
    <s v="Sem informação"/>
    <n v="1339.26"/>
    <n v="0"/>
    <n v="2316.1999999999998"/>
    <n v="0"/>
    <d v="2023-08-16T00:00:00"/>
    <x v="2"/>
    <x v="0"/>
    <x v="0"/>
    <n v="2316.1999999999998"/>
    <n v="1339.26"/>
    <x v="1"/>
    <x v="0"/>
    <x v="0"/>
    <x v="0"/>
    <n v="626.66401501165365"/>
  </r>
  <r>
    <n v="2"/>
    <n v="19190345"/>
    <s v="000850/23"/>
    <s v="***.111.658-**"/>
    <s v="MARINILSON BARBOSA DA SILVA"/>
    <s v="PROFESSOR DO MAGISTERIO SUPERIOR"/>
    <s v="FUC-0001"/>
    <s v="FUC-0001"/>
    <d v="2023-10-01T00:00:00"/>
    <d v="2023-10-04T00:00:00"/>
    <s v="Participação no Seminário de Meio Termo dos programas de pós-graduação da área de CIÊNCIAS DA RELIGIÃO E TEOLOGIA. O Seminário consiste em uma reunião dos coordenadores de área com coordenadores ou representantes dos programas de pós-graduação em funcionamento para fins de discutir e planejar, em conjunto, as metas e diretrizes da área para fins de avaliação. Além disso, esta será uma oportunidade para compartilhamento de experiências e análise do desempenho dos programas nos dois primeiros anos do quadriênio."/>
    <x v="1"/>
    <s v="Aéreo"/>
    <s v="Não"/>
    <s v="Realizada"/>
    <s v="NÃO"/>
    <s v="Sem informação"/>
    <n v="1339.26"/>
    <n v="0"/>
    <n v="2310.6999999999998"/>
    <n v="0"/>
    <d v="2023-08-22T00:00:00"/>
    <x v="2"/>
    <x v="0"/>
    <x v="0"/>
    <n v="2310.6999999999998"/>
    <n v="1339.26"/>
    <x v="1"/>
    <x v="0"/>
    <x v="0"/>
    <x v="0"/>
    <n v="626.66401501165365"/>
  </r>
  <r>
    <n v="2"/>
    <n v="19222691"/>
    <s v="000901/23"/>
    <s v="***.933.514-**"/>
    <s v="JORGE GABRIEL GOMES DE SOUZA RAMOS"/>
    <s v="PROFESSOR DO MAGISTERIO SUPERIOR"/>
    <s v="FUC-0001"/>
    <s v="FUC-0001"/>
    <d v="2023-10-01T00:00:00"/>
    <d v="2023-10-04T00:00:00"/>
    <s v="Apresentação dos números do Programa de Pós-Graduação em Física/CCEN/UFPB no Seminário de Meio Termo da CAPES da área de Astronomia/ Física. Evento obrigatório para coordenadores de PPGs."/>
    <x v="1"/>
    <s v="Aéreo"/>
    <s v="Sim"/>
    <s v="Realizada"/>
    <s v="NÃO"/>
    <s v="Sem informação"/>
    <n v="1339.26"/>
    <n v="0"/>
    <n v="3429.2"/>
    <n v="0"/>
    <d v="2023-08-25T00:00:00"/>
    <x v="2"/>
    <x v="0"/>
    <x v="0"/>
    <n v="3429.2"/>
    <n v="1339.26"/>
    <x v="1"/>
    <x v="0"/>
    <x v="0"/>
    <x v="0"/>
    <n v="626.66401501165365"/>
  </r>
  <r>
    <n v="2"/>
    <n v="19253786"/>
    <s v="001171/23"/>
    <s v="***.365.204-**"/>
    <s v="MARSILVIO GONCALVES PEREIRA"/>
    <s v="PROFESSOR DO MAGISTERIO SUPERIOR"/>
    <s v="-1"/>
    <s v="Sem informação"/>
    <d v="2023-10-01T00:00:00"/>
    <d v="2023-10-06T00:00:00"/>
    <s v="Participação no XIV Encontro Nacional de Pesquisa em Educação em Ciências (ENPEC) com apresentação de dois trabalhos/artigos de pesquisa."/>
    <x v="25"/>
    <s v="Aéreo"/>
    <s v="Não"/>
    <s v="Realizada"/>
    <s v="SIM"/>
    <s v="Tramitação da portaria de afastamento durou mais do que o planejado."/>
    <n v="1821.06"/>
    <n v="0"/>
    <n v="3268.32"/>
    <n v="0"/>
    <d v="2023-09-22T00:00:00"/>
    <x v="4"/>
    <x v="0"/>
    <x v="0"/>
    <n v="3268.32"/>
    <n v="1821.06"/>
    <x v="2"/>
    <x v="0"/>
    <x v="1"/>
    <x v="0"/>
    <n v="685.86915713728922"/>
  </r>
  <r>
    <n v="2"/>
    <n v="19297861"/>
    <s v="001114/23"/>
    <s v="***.856.554-**"/>
    <s v="ROSEMBERG FERNANDES DE MENEZES"/>
    <s v="PROFESSOR DO MAGISTERIO SUPERIOR"/>
    <s v="-1"/>
    <s v="Sem informação"/>
    <d v="2023-10-01T00:00:00"/>
    <d v="2023-10-04T00:00:00"/>
    <s v="Participação como vice-coordenador do Programa de Pós-Graduação em Biodiversidade (PPGBIO) do Centro Ciências Agrárias (CCA-Campus, II) no Seminário de Meio Termo da CAPES da área de Biodiversidade, a ser realizado em Brasília - DF entre os dia 02 e 03 de outubro de 2023."/>
    <x v="27"/>
    <s v="Aéreo"/>
    <s v="Não"/>
    <s v="Realizada"/>
    <s v="SIM"/>
    <s v="Conforme Justificativa apresentada pelo proposto: 'A coordenação do programa de pós-graduação em Biodiversidade (PPGBIO) estava aguardando a liberação do recurso para a abertura do processo de solicitação de compra de passagens aéreas e DESPACHO. Nº 613/2023 - CCA-DC, anexados a este processo."/>
    <n v="1339.26"/>
    <n v="0"/>
    <n v="1775.85"/>
    <n v="0"/>
    <d v="2023-09-18T00:00:00"/>
    <x v="2"/>
    <x v="0"/>
    <x v="0"/>
    <n v="1775.85"/>
    <n v="1339.26"/>
    <x v="1"/>
    <x v="0"/>
    <x v="0"/>
    <x v="0"/>
    <n v="605.00916187526457"/>
  </r>
  <r>
    <n v="2"/>
    <n v="19322431"/>
    <s v="001197/23"/>
    <s v="***.238.643-**"/>
    <s v="FATIMA REGINA NUNES DE SOUSA"/>
    <s v="PROFESSOR DO MAGISTERIO SUPERIOR"/>
    <s v="-1"/>
    <s v="Sem informação"/>
    <d v="2023-10-01T00:00:00"/>
    <d v="2023-10-07T00:00:00"/>
    <s v="O PROPOSTO VIRÁ PARTICIPAR DE BANCA DE CONCURSO PÚBLICO DE DEPARTAMENTO DE CLÍNICA ODONTOLOGIA SOCIAL."/>
    <x v="34"/>
    <s v="Aéreo"/>
    <s v="Não"/>
    <s v="Realizada"/>
    <s v="SIM"/>
    <s v="EM ANEXO."/>
    <n v="2162.08"/>
    <n v="0"/>
    <n v="5910.63"/>
    <n v="0"/>
    <d v="2023-09-25T00:00:00"/>
    <x v="6"/>
    <x v="0"/>
    <x v="0"/>
    <n v="5910.63"/>
    <n v="2162.08"/>
    <x v="0"/>
    <x v="0"/>
    <x v="0"/>
    <x v="0"/>
    <n v="329.61859618963615"/>
  </r>
  <r>
    <n v="2"/>
    <n v="19158173"/>
    <s v="000764/23"/>
    <s v="***.373.000-**"/>
    <s v="LIANE SCHNEIDER"/>
    <s v="PROFESSOR DO MAGISTERIO SUPERIOR"/>
    <s v="-1"/>
    <s v="Sem informação"/>
    <d v="2023-10-02T00:00:00"/>
    <d v="2023-10-06T00:00:00"/>
    <s v="Participar do 37º ENANPOLL, com o trabalho aceite 'Colonialidade e resistência em narrativas contemporâneas das Américas: retas de chegada'."/>
    <x v="13"/>
    <s v="Aéreo"/>
    <s v="Não"/>
    <s v="Realizada"/>
    <s v="NÃO"/>
    <s v="Sem informação"/>
    <n v="0"/>
    <n v="0"/>
    <n v="1338.29"/>
    <n v="0"/>
    <d v="2023-08-09T00:00:00"/>
    <x v="7"/>
    <x v="0"/>
    <x v="0"/>
    <n v="1338.29"/>
    <n v="0"/>
    <x v="2"/>
    <x v="0"/>
    <x v="1"/>
    <x v="0"/>
    <n v="717.39676463438343"/>
  </r>
  <r>
    <n v="2"/>
    <n v="19162401"/>
    <s v="000766/23"/>
    <s v="***.853.306-**"/>
    <s v="ROBERTO CARLOS DE ASSIS"/>
    <s v="PROFESSOR DO MAGISTERIO SUPERIOR"/>
    <s v="-1"/>
    <s v="Sem informação"/>
    <d v="2023-10-02T00:00:00"/>
    <d v="2023-10-06T00:00:00"/>
    <s v="Participar do 37º ENANPOLL - Encontro Nacional da Associação Nacional de Pós-Graduação e Pesquisa em Letras e Linguística."/>
    <x v="35"/>
    <s v="Aéreo"/>
    <s v="Não"/>
    <s v="Realizada"/>
    <s v="NÃO"/>
    <s v="Sem informação"/>
    <n v="0"/>
    <n v="0"/>
    <n v="1564.99"/>
    <n v="0"/>
    <d v="2023-08-14T00:00:00"/>
    <x v="7"/>
    <x v="0"/>
    <x v="0"/>
    <n v="1564.99"/>
    <n v="0"/>
    <x v="2"/>
    <x v="0"/>
    <x v="1"/>
    <x v="0"/>
    <n v="715.20405647430744"/>
  </r>
  <r>
    <n v="2"/>
    <n v="19171863"/>
    <s v="000812/23"/>
    <s v="***.729.954-**"/>
    <s v="ANA CRISTINA MARINHO LUCIO"/>
    <s v="PROFESSOR DO MAGISTERIO SUPERIOR"/>
    <s v="-1"/>
    <s v="Sem informação"/>
    <d v="2023-10-02T00:00:00"/>
    <d v="2023-10-08T00:00:00"/>
    <s v="Participar do ENAMPOLL e reuniões Nos dias 06 e 07 de outubro terei reuniões com professores do Grupo de Estudos Feministas e Interseccionais (GEFIS - UERJ/CNPq), Maximiliano Torres e Viviane da Silva Vasconcelos."/>
    <x v="13"/>
    <s v="Aéreo"/>
    <s v="Não"/>
    <s v="Realizada"/>
    <s v="NÃO"/>
    <s v="Sem informação"/>
    <n v="0"/>
    <n v="0"/>
    <n v="1430.0900000000001"/>
    <n v="0"/>
    <d v="2023-08-16T00:00:00"/>
    <x v="6"/>
    <x v="0"/>
    <x v="0"/>
    <n v="1430.0900000000001"/>
    <n v="0"/>
    <x v="2"/>
    <x v="0"/>
    <x v="1"/>
    <x v="0"/>
    <n v="717.39676463438343"/>
  </r>
  <r>
    <n v="2"/>
    <n v="19291123"/>
    <s v="001109/23"/>
    <s v="***.851.521-**"/>
    <s v="CLAUDIO VAZ TORRES"/>
    <s v="PROFESSOR DO MAGISTERIO SUPERIOR"/>
    <s v="-1"/>
    <s v="Sem informação"/>
    <d v="2023-10-02T00:00:00"/>
    <d v="2023-10-05T00:00:00"/>
    <s v="Participação da Jornada de Doutorado 2023 na área de Psicologia Social, como leitor externo dos trabalhos inscritos."/>
    <x v="1"/>
    <s v="Aéreo"/>
    <s v="Não"/>
    <s v="Realizada"/>
    <s v="SIM"/>
    <s v="A solicitação hoje deve-se a problemas pessoais de outro convidado."/>
    <n v="1168.93"/>
    <n v="0"/>
    <n v="1928.6"/>
    <n v="0"/>
    <d v="2023-09-18T00:00:00"/>
    <x v="2"/>
    <x v="0"/>
    <x v="0"/>
    <n v="1928.6"/>
    <n v="1168.93"/>
    <x v="2"/>
    <x v="0"/>
    <x v="0"/>
    <x v="0"/>
    <n v="626.66401501165365"/>
  </r>
  <r>
    <n v="2"/>
    <n v="19305842"/>
    <s v="001132/23"/>
    <s v="***.672.645-**"/>
    <s v="ANTONIO VIRGILIO BITTENCOURT BASTOS"/>
    <s v=""/>
    <s v="CD-0004"/>
    <s v="Cargo Comissionado de Direção"/>
    <d v="2023-10-02T00:00:00"/>
    <d v="2023-10-04T00:00:00"/>
    <s v="Participar da Jornada do Doutorado em Psicologia - 2023 como palestrante de abertura do evento."/>
    <x v="36"/>
    <s v="Aéreo"/>
    <s v="Sim"/>
    <s v="Realizada"/>
    <s v="SIM"/>
    <s v="O proposto necessitou de tempo para ajuste na agenda e confirmação de sua participação na Jornada."/>
    <n v="947.55"/>
    <n v="0"/>
    <n v="1538.79"/>
    <n v="0"/>
    <d v="2023-09-20T00:00:00"/>
    <x v="3"/>
    <x v="0"/>
    <x v="0"/>
    <n v="1538.79"/>
    <n v="947.55"/>
    <x v="2"/>
    <x v="1"/>
    <x v="0"/>
    <x v="0"/>
    <n v="448.86003608487658"/>
  </r>
  <r>
    <n v="2"/>
    <n v="19340849"/>
    <s v="001225/23"/>
    <s v="***.673.604-**"/>
    <s v="LEANDRO FIRMINO FERNANDES"/>
    <s v="TECNICO DE LABORATORIO AREA"/>
    <s v="FG-0002"/>
    <s v="FG-0002"/>
    <d v="2023-10-02T00:00:00"/>
    <d v="2023-10-07T00:00:00"/>
    <s v="Vista técnica ao Colégio Politécnico e o CETISM da Universidade Federal de Santa Maria - UFSM, à convite para conhecer os projetos ações da área de Agricultura de Precisão, Escritório de Projetos, Estágios, Ação de ensino, pesquisa e extensão para o Ensino Profissional."/>
    <x v="17"/>
    <s v="Aéreo"/>
    <s v="Não"/>
    <s v="Realizada"/>
    <s v="SIM"/>
    <s v="Conforme DESPACHO. Nº 680 / 2023 - CCA-DC,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
    <n v="1313.05"/>
    <n v="0"/>
    <n v="4612.1299999999992"/>
    <n v="0"/>
    <d v="2023-09-28T00:00:00"/>
    <x v="4"/>
    <x v="0"/>
    <x v="0"/>
    <n v="4612.1299999999992"/>
    <n v="1313.05"/>
    <x v="4"/>
    <x v="1"/>
    <x v="1"/>
    <x v="0"/>
    <n v="1117.256973292067"/>
  </r>
  <r>
    <n v="2"/>
    <n v="19340895"/>
    <s v="001227/23"/>
    <s v="***.448.864-**"/>
    <s v="CLEBER BRITO DE SOUZA"/>
    <s v="PROFESSOR ENS BASICO TECN TECNOLOGICO"/>
    <s v="-1"/>
    <s v="Sem informação"/>
    <d v="2023-10-02T00:00:00"/>
    <d v="2023-10-07T00:00:00"/>
    <s v="Vista técnica ao Colégio Politécnico e o CETISM da Universidade Federal de Santa Maria - UFSM, à convite para conhecer os projetos ações da área de Agricultura de Precisão, Escritório de Projetos, Estágios, Ação de ensino, pesquisa e extensão para o Ensino Profissional."/>
    <x v="17"/>
    <s v="Aéreo"/>
    <s v="Não"/>
    <s v="Realizada"/>
    <s v="SIM"/>
    <s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
    <n v="1505.4"/>
    <n v="0"/>
    <n v="4612.1299999999992"/>
    <n v="0"/>
    <d v="2023-09-28T00:00:00"/>
    <x v="4"/>
    <x v="0"/>
    <x v="0"/>
    <n v="4612.1299999999992"/>
    <n v="1505.4"/>
    <x v="4"/>
    <x v="0"/>
    <x v="1"/>
    <x v="0"/>
    <n v="1117.256973292067"/>
  </r>
  <r>
    <n v="2"/>
    <n v="19342070"/>
    <s v="001230/23"/>
    <s v="***.138.224-**"/>
    <s v="FELIPE ROQUE VICENTE"/>
    <s v="ASSISTENTE EM ADMINISTRAçãO"/>
    <s v="-1"/>
    <s v="Sem informação"/>
    <d v="2023-10-02T00:00:00"/>
    <d v="2023-10-07T00:00:00"/>
    <s v="Vista técnica ao Colégio Politécnico e o CETISM da Universidade Federal de Santa Maria - UFSM, à convite para conhecer os projetos ações da área de Agricultura de Precisão, Escritório de Projetos, Estágios, Ação de ensino, pesquisa e extensão para o Ensino Profissional."/>
    <x v="17"/>
    <s v="Aéreo"/>
    <s v="Não"/>
    <s v="Realizada"/>
    <s v="SIM"/>
    <s v="Conforme DESPACHO. Nº 681/2023,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
    <n v="1096.2"/>
    <n v="0"/>
    <n v="4612.1299999999992"/>
    <n v="0"/>
    <d v="2023-09-28T00:00:00"/>
    <x v="4"/>
    <x v="0"/>
    <x v="0"/>
    <n v="4612.1299999999992"/>
    <n v="1096.2"/>
    <x v="4"/>
    <x v="1"/>
    <x v="1"/>
    <x v="0"/>
    <n v="1117.256973292067"/>
  </r>
  <r>
    <n v="2"/>
    <n v="19342110"/>
    <s v="001231/23"/>
    <s v="***.463.654-**"/>
    <s v="BRUNO FERREIRA MATOS"/>
    <s v="TECNICO EM AGROPECUARIA"/>
    <s v="FG-0001"/>
    <s v="FG-0001"/>
    <d v="2023-10-02T00:00:00"/>
    <d v="2023-10-07T00:00:00"/>
    <s v="Vista técnica ao Colégio Politécnico e o CETISM da Universidade Federal de Santa Maria - UFSM, à convite para conhecer os projetos ações da área de Agricultura de Precisão, Escritório de Projetos, Estágios, Ação de ensino, pesquisa e extensão para o Ensino Profissional."/>
    <x v="17"/>
    <s v="Aéreo"/>
    <s v="Não"/>
    <s v="Realizada"/>
    <s v="SIM"/>
    <s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
    <n v="1505.4"/>
    <n v="0"/>
    <n v="4612.1299999999992"/>
    <n v="0"/>
    <d v="2023-09-28T00:00:00"/>
    <x v="4"/>
    <x v="0"/>
    <x v="0"/>
    <n v="4612.1299999999992"/>
    <n v="1505.4"/>
    <x v="4"/>
    <x v="1"/>
    <x v="1"/>
    <x v="0"/>
    <n v="1117.256973292067"/>
  </r>
  <r>
    <n v="2"/>
    <n v="19342162"/>
    <s v="001236/23"/>
    <s v="***.147.624-**"/>
    <s v="EDVALDO MESQUITA BELTRAO FILHO"/>
    <s v="PROFESSOR ENS BASICO TECN TECNOLOGICO"/>
    <s v="CD-0003"/>
    <s v="Cargo Comissionado de Direção"/>
    <d v="2023-10-02T00:00:00"/>
    <d v="2023-10-07T00:00:00"/>
    <s v="Vista técnica ao Colégio Politécnico e o CETISM da Universidade Federal de Santa Maria - UFSM, à convite para conhecer os projetos ações da área de Agricultura de Precisão, Escritório de Projetos, Estágios, Ação de ensino, pesquisa e extensão para o Ensino Profissional."/>
    <x v="17"/>
    <s v="Aéreo"/>
    <s v="Não"/>
    <s v="Realizada"/>
    <s v="SIM"/>
    <s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
    <n v="1732.72"/>
    <n v="0"/>
    <n v="4612.1299999999992"/>
    <n v="0"/>
    <d v="2023-09-28T00:00:00"/>
    <x v="4"/>
    <x v="0"/>
    <x v="0"/>
    <n v="4612.1299999999992"/>
    <n v="1732.72"/>
    <x v="4"/>
    <x v="0"/>
    <x v="1"/>
    <x v="0"/>
    <n v="1117.256973292067"/>
  </r>
  <r>
    <n v="2"/>
    <n v="19312470"/>
    <s v="001145/23"/>
    <s v=""/>
    <s v="LARISSA DA COSTA BANDEIRA HONORIO"/>
    <s v=""/>
    <s v="-1"/>
    <s v="Sem informação"/>
    <d v="2023-10-03T00:00:00"/>
    <d v="2023-10-07T00:00:00"/>
    <s v="PROPOSTO IRÁ APRESENTAR TRABALHOS EM EVENTO NACIONAL NA CIDADE DE BELO HORIZONTE, COMO COMPLEMENTO AO SEU CURSO DE GRADUAÇÃO NA UFPB."/>
    <x v="23"/>
    <s v="Aéreo"/>
    <s v="Sim"/>
    <s v="Realizada"/>
    <s v="SIM"/>
    <s v="DEVIDO A ALTA DEMANDA DE SOLICITAÇÕES DE PASSAGENS NO SETOR, SÓ CONSEGUIMOS SOLICITAR ESSA EMISSÃO NESSE PERÍODO."/>
    <n v="0"/>
    <n v="0"/>
    <n v="3179.49"/>
    <n v="0"/>
    <d v="2023-09-20T00:00:00"/>
    <x v="7"/>
    <x v="0"/>
    <x v="0"/>
    <n v="3179.49"/>
    <n v="0"/>
    <x v="2"/>
    <x v="3"/>
    <x v="0"/>
    <x v="0"/>
    <n v="627.18210071654289"/>
  </r>
  <r>
    <n v="2"/>
    <n v="19318863"/>
    <s v="001178/23"/>
    <s v=""/>
    <s v="MELISSA KATHLEEN DE OLIVEIRA LIMA"/>
    <s v=""/>
    <s v="-1"/>
    <s v="Sem informação"/>
    <d v="2023-10-03T00:00:00"/>
    <d v="2023-10-07T00:00:00"/>
    <s v="PROPOSTO IRÁ PARTICIPAR DE EVENTO ACADÊMICO APRESENTANDO TRABALHOS INERENTES AO SEU CURSO NA UFPB."/>
    <x v="23"/>
    <s v="Aéreo"/>
    <s v="Sim"/>
    <s v="Realizada"/>
    <s v="SIM"/>
    <s v="DEVIDO O AUMENTO DE DEMANDA DO SETOR E A NECESSIDADE DE SOLICITAÇÃO DAS PASSAGENS, FOI REALIZADA SOLICITAÇÃO DENTRO DOS 20 DIAS."/>
    <n v="0"/>
    <n v="0"/>
    <n v="3394.49"/>
    <n v="0"/>
    <d v="2023-09-22T00:00:00"/>
    <x v="7"/>
    <x v="0"/>
    <x v="0"/>
    <n v="3394.49"/>
    <n v="0"/>
    <x v="2"/>
    <x v="3"/>
    <x v="0"/>
    <x v="0"/>
    <n v="627.18210071654289"/>
  </r>
  <r>
    <n v="2"/>
    <n v="19076874"/>
    <s v="000569/23"/>
    <s v="***.530.354-**"/>
    <s v="LUCIANA CORDEIRO DO NASCIMENTO"/>
    <s v="PROFESSOR DO MAGISTERIO SUPERIOR"/>
    <s v="FUC-0001"/>
    <s v="FUC-0001"/>
    <d v="2023-10-04T00:00:00"/>
    <d v="2023-10-07T00:00:00"/>
    <s v="REUNIÃO DE MEIO TERMO DE COORDENADORES DE PÓS-GRADUAÇÃO DA GRANDE ÁREA DE CIÊNCIAS AGRARIAS I NA CAPES - BRASÍLIA-DF."/>
    <x v="1"/>
    <s v="Aéreo"/>
    <s v="Não"/>
    <s v="Realizada"/>
    <s v="NÃO"/>
    <s v="Sem informação"/>
    <n v="1339.26"/>
    <n v="0"/>
    <n v="1529.4"/>
    <n v="0"/>
    <d v="2023-07-27T00:00:00"/>
    <x v="2"/>
    <x v="0"/>
    <x v="0"/>
    <n v="1529.4"/>
    <n v="1339.26"/>
    <x v="1"/>
    <x v="1"/>
    <x v="0"/>
    <x v="0"/>
    <n v="626.66401501165365"/>
  </r>
  <r>
    <n v="2"/>
    <n v="19099989"/>
    <s v="000603/23"/>
    <s v="***.417.494-**"/>
    <s v="FLAVIO PEREIRA DE OLIVEIRA"/>
    <s v="PROFESSOR DO MAGISTERIO SUPERIOR"/>
    <s v="FUC-0001"/>
    <s v="FUC-0001"/>
    <d v="2023-10-04T00:00:00"/>
    <d v="2023-10-07T00:00:00"/>
    <s v="Seminário de Meio Termo, organizado pela Coordenação de Aperfeiçoamento de Pessoal de Nível Superior - CAPES, para Coordenadores de Pós-Graduação de Ciências Agrárias I"/>
    <x v="1"/>
    <s v="Aéreo"/>
    <s v="Sim"/>
    <s v="Realizada"/>
    <s v="NÃO"/>
    <s v="Sem informação"/>
    <n v="1127.46"/>
    <n v="0"/>
    <n v="1529.4"/>
    <n v="0"/>
    <d v="2023-07-27T00:00:00"/>
    <x v="2"/>
    <x v="0"/>
    <x v="0"/>
    <n v="1529.4"/>
    <n v="1127.46"/>
    <x v="1"/>
    <x v="1"/>
    <x v="0"/>
    <x v="0"/>
    <n v="626.66401501165365"/>
  </r>
  <r>
    <n v="2"/>
    <n v="19276393"/>
    <s v="001108/23"/>
    <s v="***.645.134-**"/>
    <s v="BELISIA LUCIA MOREIRA TOSCANO DINIZ"/>
    <s v="PROFESSOR DO MAGISTERIO SUPERIOR"/>
    <s v="FUC-0001"/>
    <s v="FUC-0001"/>
    <d v="2023-10-04T00:00:00"/>
    <d v="2023-10-07T00:00:00"/>
    <s v="Seminário de Meio Termo da Capes da Área de Ciências Agrárias I, ofertado aos Programas de PósGraduação no País."/>
    <x v="1"/>
    <s v="Aéreo"/>
    <s v="Não"/>
    <s v="Realizada"/>
    <s v="SIM"/>
    <s v="Evento marcado para essa data."/>
    <n v="95"/>
    <n v="0"/>
    <n v="4226.5"/>
    <n v="0"/>
    <d v="2023-09-21T00:00:00"/>
    <x v="2"/>
    <x v="0"/>
    <x v="0"/>
    <n v="4226.5"/>
    <n v="95"/>
    <x v="1"/>
    <x v="1"/>
    <x v="0"/>
    <x v="0"/>
    <n v="626.66401501165365"/>
  </r>
  <r>
    <n v="2"/>
    <n v="19295355"/>
    <s v="001102/23"/>
    <s v=""/>
    <s v="DANIELE DE FATIMA DE PAIVA ABREU"/>
    <s v=""/>
    <s v="-1"/>
    <s v="Sem informação"/>
    <d v="2023-10-04T00:00:00"/>
    <d v="2023-10-09T00:00:00"/>
    <s v="Proposto irá participar de Evento 'Congresso Internacional e Brasileiro de Neuropsicologia' o qual se vincula diretamente com a sua pesquisa de iniciação científica e com o seu Trabalho de Conclusão de Curso da UFPB."/>
    <x v="23"/>
    <s v="Aéreo"/>
    <s v="Sim"/>
    <s v="Realizada"/>
    <s v="NÃO"/>
    <s v="Sem informação"/>
    <n v="0"/>
    <n v="0"/>
    <n v="2446.29"/>
    <n v="0"/>
    <d v="2023-09-15T00:00:00"/>
    <x v="4"/>
    <x v="0"/>
    <x v="0"/>
    <n v="2446.29"/>
    <n v="0"/>
    <x v="2"/>
    <x v="3"/>
    <x v="0"/>
    <x v="0"/>
    <n v="627.18210071654289"/>
  </r>
  <r>
    <n v="2"/>
    <n v="19103008"/>
    <s v="000654/23"/>
    <s v="***.978.257-**"/>
    <s v="LUIZ MOREIRA COELHO JUNIOR"/>
    <s v="PROFESSOR DO MAGISTERIO SUPERIOR"/>
    <s v="-1"/>
    <s v="Sem informação"/>
    <d v="2023-10-08T00:00:00"/>
    <d v="2023-10-11T00:00:00"/>
    <s v="Participação no Seminário de Meio Termo dos programas de Pós-graduação da área de ENGENHARIAS III da CAPES, no período de 09 e 10 de outubro de 2022, na cidade de Brasília."/>
    <x v="1"/>
    <s v="Aéreo"/>
    <s v="Não"/>
    <s v="Realizada"/>
    <s v="NÃO"/>
    <s v="Sem informação"/>
    <n v="1339.26"/>
    <n v="0"/>
    <n v="2243.2600000000002"/>
    <n v="0"/>
    <d v="2023-07-21T00:00:00"/>
    <x v="2"/>
    <x v="0"/>
    <x v="0"/>
    <n v="2243.2600000000002"/>
    <n v="1339.26"/>
    <x v="1"/>
    <x v="0"/>
    <x v="0"/>
    <x v="0"/>
    <n v="626.66401501165365"/>
  </r>
  <r>
    <n v="2"/>
    <n v="19203567"/>
    <s v="000874/23"/>
    <s v=""/>
    <s v="ANNIELY RODRIGUES SOARES"/>
    <s v=""/>
    <s v="-1"/>
    <s v="Sem informação"/>
    <d v="2023-10-08T00:00:00"/>
    <d v="2023-10-12T00:00:00"/>
    <s v="Participação em Congresso Nacional e apresentação de trabalho em área relacionada a tese de doutorado."/>
    <x v="23"/>
    <s v="Aéreo"/>
    <s v="Sim"/>
    <s v="Realizada"/>
    <s v="NÃO"/>
    <s v="Sem informação"/>
    <n v="0"/>
    <n v="0"/>
    <n v="1934.09"/>
    <n v="0"/>
    <d v="2023-08-22T00:00:00"/>
    <x v="7"/>
    <x v="0"/>
    <x v="0"/>
    <n v="1934.09"/>
    <n v="0"/>
    <x v="2"/>
    <x v="3"/>
    <x v="0"/>
    <x v="0"/>
    <n v="627.18210071654289"/>
  </r>
  <r>
    <n v="2"/>
    <n v="19231794"/>
    <s v="000925/23"/>
    <s v="***.493.284-**"/>
    <s v="ALISSON VASCONCELOS DE BRITO"/>
    <s v="PROFESSOR DO MAGISTERIO SUPERIOR"/>
    <s v="-1"/>
    <s v="Sem informação"/>
    <d v="2023-10-08T00:00:00"/>
    <d v="2023-10-11T00:00:00"/>
    <s v="Participação do professor Alisson Vasconcelos de Brito, representante do PPGI, no seminário de meio termo da CAPES."/>
    <x v="1"/>
    <s v="Aéreo"/>
    <s v="Sim"/>
    <s v="Realizada"/>
    <s v="NÃO"/>
    <s v="Sem informação"/>
    <n v="1339.26"/>
    <n v="0"/>
    <n v="3463.4"/>
    <n v="0"/>
    <d v="2023-08-30T00:00:00"/>
    <x v="2"/>
    <x v="0"/>
    <x v="0"/>
    <n v="3463.4"/>
    <n v="1339.26"/>
    <x v="1"/>
    <x v="0"/>
    <x v="0"/>
    <x v="0"/>
    <n v="626.66401501165365"/>
  </r>
  <r>
    <n v="2"/>
    <n v="19240270"/>
    <s v="000961/23"/>
    <s v="***.789.374-**"/>
    <s v="ANIERES BARBOSA DA SILVA"/>
    <s v="PROFESSOR DO MAGISTERIO SUPERIOR"/>
    <s v="FUC-0001"/>
    <s v="FUC-0001"/>
    <d v="2023-10-08T00:00:00"/>
    <d v="2023-10-15T00:00:00"/>
    <s v="Participar das atividades do Encontro Nacional de Pós-Graduação e Pesquisa em Geografia - ENANPEGE e dos fóruns de coordenadores de PPGGs (Capes e Anpege)."/>
    <x v="37"/>
    <s v="Aéreo"/>
    <s v="Não"/>
    <s v="Realizada"/>
    <s v="NÃO"/>
    <s v="Sem informação"/>
    <n v="2533.0100000000002"/>
    <n v="0"/>
    <n v="3287.48"/>
    <n v="0"/>
    <d v="2023-09-01T00:00:00"/>
    <x v="11"/>
    <x v="0"/>
    <x v="0"/>
    <n v="3287.48"/>
    <n v="2533.0100000000002"/>
    <x v="2"/>
    <x v="0"/>
    <x v="0"/>
    <x v="0"/>
    <n v="554.09777148037267"/>
  </r>
  <r>
    <n v="2"/>
    <n v="19269792"/>
    <s v="001118/23"/>
    <s v="***.955.884-**"/>
    <s v="IGUATEMI EDUARDO DA FONSECA"/>
    <s v="PROFESSOR DO MAGISTERIO SUPERIOR"/>
    <s v="-1"/>
    <s v="Sem informação"/>
    <d v="2023-10-08T00:00:00"/>
    <d v="2023-10-11T00:00:00"/>
    <s v="Apresentação de trabalhos no XLI Simpósio Brasileiro de Telecomunicações e Processamento de Sinais - 2023"/>
    <x v="4"/>
    <s v="Aéreo"/>
    <s v="Não"/>
    <s v="Realizada"/>
    <s v="NÃO"/>
    <s v="Sem informação"/>
    <n v="1248.42"/>
    <n v="0"/>
    <n v="2388.14"/>
    <n v="0"/>
    <d v="2023-09-19T00:00:00"/>
    <x v="2"/>
    <x v="0"/>
    <x v="0"/>
    <n v="2388.14"/>
    <n v="1248.42"/>
    <x v="2"/>
    <x v="0"/>
    <x v="1"/>
    <x v="0"/>
    <n v="800.95835140972315"/>
  </r>
  <r>
    <n v="2"/>
    <n v="19280102"/>
    <s v="001056/23"/>
    <s v=""/>
    <s v="LYRIEL KATLEY ALVES COSTA"/>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Não"/>
    <s v="Realizada"/>
    <s v="NÃO"/>
    <s v="Sem informação"/>
    <n v="0"/>
    <n v="444.6"/>
    <n v="8706.33"/>
    <n v="0"/>
    <d v="2023-09-22T00:00:00"/>
    <x v="10"/>
    <x v="0"/>
    <x v="0"/>
    <n v="8706.33"/>
    <n v="444.6"/>
    <x v="2"/>
    <x v="3"/>
    <x v="1"/>
    <x v="0"/>
    <n v="2669.0853640508271"/>
  </r>
  <r>
    <n v="2"/>
    <n v="19281212"/>
    <s v="001085/23"/>
    <s v=""/>
    <s v="MURILLO AUGUSTO CIPRIANO AZEVEDO"/>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Não"/>
    <s v="Realizada"/>
    <s v="NÃO"/>
    <s v="Sem informação"/>
    <n v="0"/>
    <n v="444.6"/>
    <n v="8706.33"/>
    <n v="0"/>
    <d v="2023-09-22T00:00:00"/>
    <x v="10"/>
    <x v="0"/>
    <x v="0"/>
    <n v="8706.33"/>
    <n v="444.6"/>
    <x v="2"/>
    <x v="3"/>
    <x v="1"/>
    <x v="0"/>
    <n v="2669.0853640508271"/>
  </r>
  <r>
    <n v="2"/>
    <n v="19281441"/>
    <s v="001059/23"/>
    <s v=""/>
    <s v="CAROLINE RIBEIRO ALVES"/>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Sim"/>
    <s v="Realizada"/>
    <s v="NÃO"/>
    <s v="Sem informação"/>
    <n v="0"/>
    <n v="444.6"/>
    <n v="8706.33"/>
    <n v="0"/>
    <d v="2023-09-22T00:00:00"/>
    <x v="10"/>
    <x v="0"/>
    <x v="0"/>
    <n v="8706.33"/>
    <n v="444.6"/>
    <x v="2"/>
    <x v="3"/>
    <x v="1"/>
    <x v="0"/>
    <n v="2669.0853640508271"/>
  </r>
  <r>
    <n v="2"/>
    <n v="19281615"/>
    <s v="001060/23"/>
    <s v=""/>
    <s v="MATEUS ALVES LEITE"/>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Não"/>
    <s v="Realizada"/>
    <s v="NÃO"/>
    <s v="Sem informação"/>
    <n v="0"/>
    <n v="444.6"/>
    <n v="8706.33"/>
    <n v="0"/>
    <d v="2023-09-22T00:00:00"/>
    <x v="10"/>
    <x v="0"/>
    <x v="0"/>
    <n v="8706.33"/>
    <n v="444.6"/>
    <x v="2"/>
    <x v="3"/>
    <x v="1"/>
    <x v="0"/>
    <n v="2669.0853640508271"/>
  </r>
  <r>
    <n v="2"/>
    <n v="19281740"/>
    <s v="001061/23"/>
    <s v=""/>
    <s v="CAIO ARAUJO LIMA"/>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Não"/>
    <s v="Realizada"/>
    <s v="NÃO"/>
    <s v="Sem informação"/>
    <n v="0"/>
    <n v="444.6"/>
    <n v="8706.33"/>
    <n v="0"/>
    <d v="2023-09-22T00:00:00"/>
    <x v="10"/>
    <x v="0"/>
    <x v="0"/>
    <n v="8706.33"/>
    <n v="444.6"/>
    <x v="2"/>
    <x v="3"/>
    <x v="1"/>
    <x v="0"/>
    <n v="2669.0853640508271"/>
  </r>
  <r>
    <n v="2"/>
    <n v="19282859"/>
    <s v="001084/23"/>
    <s v=""/>
    <s v="GABRIEL MAURICIO DE MOURA E SOUZA"/>
    <s v=""/>
    <s v="-1"/>
    <s v="Sem informação"/>
    <d v="2023-10-08T00:00:00"/>
    <d v="2023-10-17T00:00:00"/>
    <s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
    <x v="38"/>
    <s v="Aéreo"/>
    <s v="Não"/>
    <s v="Realizada"/>
    <s v="NÃO"/>
    <s v="Sem informação"/>
    <n v="0"/>
    <n v="444.6"/>
    <n v="8706.33"/>
    <n v="0"/>
    <d v="2023-09-22T00:00:00"/>
    <x v="10"/>
    <x v="0"/>
    <x v="0"/>
    <n v="8706.33"/>
    <n v="444.6"/>
    <x v="2"/>
    <x v="3"/>
    <x v="1"/>
    <x v="0"/>
    <n v="2669.0853640508271"/>
  </r>
  <r>
    <n v="2"/>
    <n v="19296208"/>
    <s v="001105/23"/>
    <s v="***.865.394-**"/>
    <s v="MAURO BARBOSA DA SILVA"/>
    <s v="ASSISTENTE EM ADMINISTRAçãO"/>
    <s v="-1"/>
    <s v="Sem informação"/>
    <d v="2023-10-08T00:00:00"/>
    <d v="2023-10-12T00:00:00"/>
    <s v="PARTICIPAR DO X FÓRUM DAS CIS, EM PORTO ALEGRE, NO PERÍODO DE 09 A 11/010/2023"/>
    <x v="17"/>
    <s v="Aéreo"/>
    <s v="Não"/>
    <s v="Realizada"/>
    <s v="NÃO"/>
    <s v="Sem informação"/>
    <n v="1539.86"/>
    <n v="0"/>
    <n v="2409.4300000000003"/>
    <n v="0"/>
    <d v="2023-09-18T00:00:00"/>
    <x v="7"/>
    <x v="0"/>
    <x v="0"/>
    <n v="2409.4300000000003"/>
    <n v="1539.86"/>
    <x v="1"/>
    <x v="1"/>
    <x v="1"/>
    <x v="0"/>
    <n v="1117.256973292067"/>
  </r>
  <r>
    <n v="2"/>
    <n v="19298105"/>
    <s v="001106/23"/>
    <s v="***.429.254-**"/>
    <s v="PEDRO JOSE DE SOUZA BIAS"/>
    <s v="MEDICO VETERINARIO"/>
    <s v="-1"/>
    <s v="Sem informação"/>
    <d v="2023-10-08T00:00:00"/>
    <d v="2023-10-12T00:00:00"/>
    <s v="PARTICIPAR DO X FÓRUM DAS CIS, EM PORTO ALEGRE/RS, NO PERÍODO DE 09 A 11 DE OUTUBRO/2023"/>
    <x v="17"/>
    <s v="Aéreo"/>
    <s v="Não"/>
    <s v="Realizada"/>
    <s v="NÃO"/>
    <s v="Sem informação"/>
    <n v="1539.86"/>
    <n v="0"/>
    <n v="2409.4300000000003"/>
    <n v="0"/>
    <d v="2023-09-18T00:00:00"/>
    <x v="7"/>
    <x v="0"/>
    <x v="0"/>
    <n v="2409.4300000000003"/>
    <n v="1539.86"/>
    <x v="1"/>
    <x v="1"/>
    <x v="1"/>
    <x v="0"/>
    <n v="1117.256973292067"/>
  </r>
  <r>
    <n v="2"/>
    <n v="19318681"/>
    <s v="001174/23"/>
    <s v="***.335.734-**"/>
    <s v="MOISES DANTAS DOS SANTOS"/>
    <s v="PROFESSOR DO MAGISTERIO SUPERIOR"/>
    <s v="FUC-0001"/>
    <s v="FUC-0001"/>
    <d v="2023-10-08T00:00:00"/>
    <d v="2023-10-11T00:00:00"/>
    <s v="Participação do proposto no Seminário Meio Termo da CAPES, na qualidade de Coordenador do PPGEM/UFPB, que ocorrerá nos dias 09 e 10 de outubro de 2023, em Brasília/DF, conforme convite nos termos do Ofício Circular nº 18/2023-DAV/CAPES."/>
    <x v="1"/>
    <s v="Aéreo"/>
    <s v="Não"/>
    <s v="Realizada"/>
    <s v="NÃO"/>
    <s v="Sem informação"/>
    <n v="1339.26"/>
    <n v="0"/>
    <n v="2297"/>
    <n v="0"/>
    <d v="2023-09-21T00:00:00"/>
    <x v="2"/>
    <x v="0"/>
    <x v="0"/>
    <n v="2297"/>
    <n v="1339.26"/>
    <x v="1"/>
    <x v="0"/>
    <x v="0"/>
    <x v="0"/>
    <n v="626.66401501165365"/>
  </r>
  <r>
    <n v="2"/>
    <n v="19144173"/>
    <s v="000859/23"/>
    <s v="***.551.204-**"/>
    <s v="MARIA JOSE NUNES GADELHA"/>
    <s v="PROFESSOR DO MAGISTERIO SUPERIOR"/>
    <s v="-1"/>
    <s v="Sem informação"/>
    <d v="2023-10-11T00:00:00"/>
    <d v="2023-10-15T00:00:00"/>
    <s v="A solicitação das diárias e passagens refere-se à participação da docente colaboradora do programa na XIII Reunião Anual do Instituto Brasileiro de Neuropsicologia (IBNeC), principal evento brasileiro para divulgação do conhecimento científico, reunindo diversos cientistas da área de Neurociências e Neuropsicologia do país. Possui relação direta com as atividades de ensino e pesquisa que a requerente vem desenvolvendo como colaboradora no Programa de Pós-graduação em Neurociência Cognitiva e Comportamento (PPGNeC/UFPB)."/>
    <x v="39"/>
    <s v="Aéreo"/>
    <s v="Sim"/>
    <s v="Realizada"/>
    <s v="NÃO"/>
    <s v="Sem informação"/>
    <n v="1750.31"/>
    <n v="0"/>
    <n v="1998.27"/>
    <n v="0"/>
    <d v="2023-08-18T00:00:00"/>
    <x v="7"/>
    <x v="0"/>
    <x v="0"/>
    <n v="1998.27"/>
    <n v="1750.31"/>
    <x v="2"/>
    <x v="0"/>
    <x v="1"/>
    <x v="0"/>
    <n v="761.5912005240798"/>
  </r>
  <r>
    <n v="2"/>
    <n v="19286033"/>
    <s v="001126/23"/>
    <s v="***.409.554-**"/>
    <s v="TANIELSON RODRIGUES DA SILVA"/>
    <s v=""/>
    <s v="-1"/>
    <s v="Sem informação"/>
    <d v="2023-10-12T00:00:00"/>
    <d v="2023-10-22T00:00:00"/>
    <s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
    <x v="5"/>
    <s v="Aéreo"/>
    <s v="Não"/>
    <s v="Realizada"/>
    <s v="SIM"/>
    <s v="Em detrimento do trâmite do empenho de diárias a colaboradores eventuais (1530652023NE003417), o qual foi apenas liberado no dia 02 de outubro de 2023, justifico a viagem emergencial."/>
    <n v="3294.57"/>
    <n v="0"/>
    <n v="4298.68"/>
    <n v="0"/>
    <d v="2023-10-03T00:00:00"/>
    <x v="14"/>
    <x v="0"/>
    <x v="0"/>
    <n v="4298.68"/>
    <n v="3294.57"/>
    <x v="2"/>
    <x v="2"/>
    <x v="0"/>
    <x v="0"/>
    <n v="596.68665796167329"/>
  </r>
  <r>
    <n v="2"/>
    <n v="19295088"/>
    <s v="001294/23"/>
    <s v=""/>
    <s v="FERNANDA SORAGGI SILVA"/>
    <s v=""/>
    <s v="-1"/>
    <s v="Sem informação"/>
    <d v="2023-10-12T00:00:00"/>
    <d v="2023-10-22T00:00:00"/>
    <s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
    <x v="5"/>
    <s v="Aéreo"/>
    <s v="Não"/>
    <s v="Realizada"/>
    <s v="SIM"/>
    <s v="Em detrimento do trâmite do empenho de diárias a colaboradores eventuais, o qual foi apenas liberado no dia 02 de outubro de 2023, justifico a viagem emergencial."/>
    <n v="3294.57"/>
    <n v="0"/>
    <n v="4298.68"/>
    <n v="0"/>
    <d v="2023-10-03T00:00:00"/>
    <x v="14"/>
    <x v="0"/>
    <x v="0"/>
    <n v="4298.68"/>
    <n v="3294.57"/>
    <x v="2"/>
    <x v="2"/>
    <x v="0"/>
    <x v="0"/>
    <n v="596.68665796167329"/>
  </r>
  <r>
    <n v="2"/>
    <n v="19259579"/>
    <s v="001032/23"/>
    <s v=""/>
    <s v="JULIO CESAR DA SILVA"/>
    <s v=""/>
    <s v="-1"/>
    <s v="Sem informação"/>
    <d v="2023-10-14T00:00:00"/>
    <d v="2023-10-19T00:00:00"/>
    <s v="Participação e apresentação de trabalho acadêmico-científico no Simpósio Brasileiro de Automação Inteligente, SBAI 2023, que ocorrerá em Manaus/AM, no período de 15 a 18 de outubro de 2023."/>
    <x v="40"/>
    <s v="Aéreo"/>
    <s v="Não"/>
    <s v="Realizada"/>
    <s v="NÃO"/>
    <s v="Sem informação"/>
    <n v="0"/>
    <n v="0"/>
    <n v="3556.1099999999997"/>
    <n v="0"/>
    <d v="2023-09-13T00:00:00"/>
    <x v="4"/>
    <x v="0"/>
    <x v="0"/>
    <n v="3556.1099999999997"/>
    <n v="0"/>
    <x v="2"/>
    <x v="3"/>
    <x v="1"/>
    <x v="0"/>
    <n v="1030.3218967873522"/>
  </r>
  <r>
    <n v="2"/>
    <n v="19293802"/>
    <s v="001299/23"/>
    <s v=""/>
    <s v="MARILIA POKWYJ RIBEIRO DE SOUSA KRAHO"/>
    <s v=""/>
    <s v="-1"/>
    <s v="Sem informação"/>
    <d v="2023-10-14T00:00:00"/>
    <d v="2023-10-22T00:00:00"/>
    <s v="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
    <x v="37"/>
    <s v="Aéreo"/>
    <s v="Não"/>
    <s v="Realizada"/>
    <s v="SIM"/>
    <s v="Em detrimento do trâmite do empenho de diárias a colaboradores eventuais (1530652023NE003417), o qual foi apenas liberado no dia 02 de outubro de 2023, justifico a viagem emergencial."/>
    <n v="2652.65"/>
    <n v="0"/>
    <n v="2389.6800000000003"/>
    <n v="0"/>
    <d v="2023-10-04T00:00:00"/>
    <x v="5"/>
    <x v="0"/>
    <x v="0"/>
    <n v="2389.6800000000003"/>
    <n v="2652.65"/>
    <x v="2"/>
    <x v="2"/>
    <x v="0"/>
    <x v="0"/>
    <n v="554.09777148037267"/>
  </r>
  <r>
    <n v="2"/>
    <n v="19119278"/>
    <s v="000665/23"/>
    <s v="***.103.474-**"/>
    <s v="HIDELBRANDO JOSE FARKAT DIOGENES"/>
    <s v="PROFESSOR DO MAGISTERIO SUPERIOR"/>
    <s v="FUC-0001"/>
    <s v="FUC-0001"/>
    <d v="2023-10-15T00:00:00"/>
    <d v="2023-10-18T00:00:00"/>
    <s v="Trata-se da participação no Seminário de Meio Termo da CAPES, representando o PPGECAM."/>
    <x v="1"/>
    <s v="Aéreo"/>
    <s v="Sim"/>
    <s v="Realizada"/>
    <s v="NÃO"/>
    <s v="Sem informação"/>
    <n v="1339.26"/>
    <n v="0"/>
    <n v="2832"/>
    <n v="0"/>
    <d v="2023-07-26T00:00:00"/>
    <x v="2"/>
    <x v="0"/>
    <x v="0"/>
    <n v="2832"/>
    <n v="1339.26"/>
    <x v="1"/>
    <x v="1"/>
    <x v="0"/>
    <x v="0"/>
    <n v="626.66401501165365"/>
  </r>
  <r>
    <n v="2"/>
    <n v="19123862"/>
    <s v="000679/23"/>
    <s v="***.434.124-**"/>
    <s v="ANDREA FARIAS DE ALMEIDA"/>
    <s v="PROFESSOR DO MAGISTERIO SUPERIOR"/>
    <s v="FUC-0001"/>
    <s v="FUC-0001"/>
    <d v="2023-10-15T00:00:00"/>
    <d v="2023-10-18T00:00:00"/>
    <s v="Participação no Seminário de Meio Termo da CAPES da área de Engenharias II como coordenadora do Programa de Pós-Graduação em Engenharia Química da UFPB."/>
    <x v="1"/>
    <s v="Aéreo"/>
    <s v="Sim"/>
    <s v="Realizada"/>
    <s v="NÃO"/>
    <s v="Sem informação"/>
    <n v="1339.26"/>
    <n v="0"/>
    <n v="2453.1"/>
    <n v="0"/>
    <d v="2023-08-01T00:00:00"/>
    <x v="2"/>
    <x v="0"/>
    <x v="0"/>
    <n v="2453.1"/>
    <n v="1339.26"/>
    <x v="1"/>
    <x v="1"/>
    <x v="0"/>
    <x v="0"/>
    <n v="626.66401501165365"/>
  </r>
  <r>
    <n v="2"/>
    <n v="19274544"/>
    <s v="001066/23"/>
    <s v="***.520.944-**"/>
    <s v="DANIEL ARAUJO DE MACEDO"/>
    <s v="PROFESSOR DO MAGISTERIO SUPERIOR"/>
    <s v="FUC-0001"/>
    <s v="FUC-0001"/>
    <d v="2023-10-15T00:00:00"/>
    <d v="2023-10-18T00:00:00"/>
    <s v="O Coordenador do PPCEM participará do Seminário de Meio Termo da CAPES"/>
    <x v="1"/>
    <s v="Aéreo"/>
    <s v="Não"/>
    <s v="Realizada"/>
    <s v="NÃO"/>
    <s v="Sem informação"/>
    <n v="1339.26"/>
    <n v="0"/>
    <n v="3446.5"/>
    <n v="0"/>
    <d v="2023-09-13T00:00:00"/>
    <x v="2"/>
    <x v="0"/>
    <x v="0"/>
    <n v="3446.5"/>
    <n v="1339.26"/>
    <x v="1"/>
    <x v="1"/>
    <x v="0"/>
    <x v="0"/>
    <n v="626.66401501165365"/>
  </r>
  <r>
    <n v="2"/>
    <n v="19309933"/>
    <s v="001298/23"/>
    <s v="***.170.872-**"/>
    <s v="ARLINDO ALEMAO GREGORIO"/>
    <s v=""/>
    <s v="-1"/>
    <s v="Sem informação"/>
    <d v="2023-10-15T00:00:00"/>
    <d v="2023-10-20T00:00:00"/>
    <s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
    <x v="24"/>
    <s v="Aéreo"/>
    <s v="Não"/>
    <s v="Realizada"/>
    <s v="SIM"/>
    <s v="Em detrimento do trâmite do empenho de diárias a colaboradores eventuais (1530652023NE003417), o qual foi apenas liberado no dia 02 de outubro de 2023, justifico a viagem emergencial."/>
    <n v="1749.95"/>
    <n v="0"/>
    <n v="4076.6400000000003"/>
    <n v="0"/>
    <d v="2023-10-06T00:00:00"/>
    <x v="4"/>
    <x v="0"/>
    <x v="0"/>
    <n v="4076.6400000000003"/>
    <n v="1749.95"/>
    <x v="2"/>
    <x v="2"/>
    <x v="1"/>
    <x v="0"/>
    <n v="802.381352216604"/>
  </r>
  <r>
    <n v="2"/>
    <n v="19311024"/>
    <s v="001309/23"/>
    <s v="***.086.902-**"/>
    <s v="LUANA DA SILVA CARDOSO"/>
    <s v=""/>
    <s v="-1"/>
    <s v="Sem informação"/>
    <d v="2023-10-15T00:00:00"/>
    <d v="2023-10-21T00:00:00"/>
    <s v="Proposto convidado para participar do X ENEI POTIGUARA, em Rio Tinto - PB. Foi uma das organizadoras do IV ENEI/2016 realizado na UFOPA (Universidade Federal do Oeste do Pará), foi a primeira mulher indígena a forma no curso de Antropologia, por isso o Centro Acadêmico de Antropologia em homenagem carrega o nome Luana Kumaruara. Foi Co-fundadora do DAIN (Diretório Acadêmico Indígena/UFOPA) e Co-fundaddora da ABIA (Articulação Brasileira de Indígenas Antropólogos)."/>
    <x v="5"/>
    <s v="Aéreo"/>
    <s v="Não"/>
    <s v="Realizada"/>
    <s v="SIM"/>
    <s v="Em detrimento do trâmite do empenho de solicitação de diárias aos colaboradores eventuais, justifico viagem urgente."/>
    <n v="2090.9699999999998"/>
    <n v="0"/>
    <n v="4405.08"/>
    <n v="0"/>
    <d v="2023-10-04T00:00:00"/>
    <x v="6"/>
    <x v="0"/>
    <x v="0"/>
    <n v="4405.08"/>
    <n v="2090.9699999999998"/>
    <x v="2"/>
    <x v="2"/>
    <x v="0"/>
    <x v="0"/>
    <n v="596.68665796167329"/>
  </r>
  <r>
    <n v="2"/>
    <n v="19314758"/>
    <s v="001312/23"/>
    <s v="***.195.512-**"/>
    <s v="BRAULINA AURORA"/>
    <s v=""/>
    <s v="-1"/>
    <s v="Sem informação"/>
    <d v="2023-10-15T00:00:00"/>
    <d v="2023-10-18T00:00:00"/>
    <s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x v="1"/>
    <s v="Aéreo"/>
    <s v="Não"/>
    <s v="Realizada"/>
    <s v="SIM"/>
    <s v="Em detrimento do trâmite do empenho de solicitação de diárias aos colaboradores eventuais, justifico viagem urgente."/>
    <n v="1148.1500000000001"/>
    <n v="0"/>
    <n v="2761.1"/>
    <n v="0"/>
    <d v="2023-10-04T00:00:00"/>
    <x v="2"/>
    <x v="0"/>
    <x v="0"/>
    <n v="2761.1"/>
    <n v="1148.1500000000001"/>
    <x v="2"/>
    <x v="2"/>
    <x v="0"/>
    <x v="0"/>
    <n v="626.66401501165365"/>
  </r>
  <r>
    <n v="2"/>
    <n v="19328310"/>
    <s v="001245/23"/>
    <s v="***.836.253-**"/>
    <s v="HELDER BUENOS AIRES DE CARVALHO"/>
    <s v="PROFESSOR DO MAGISTERIO SUPERIOR"/>
    <s v="-1"/>
    <s v="Sem informação"/>
    <d v="2023-10-15T00:00:00"/>
    <d v="2023-10-21T00:00:00"/>
    <s v="Participar como avaliador do XXXI ENCONTRO DE INICIAÇÃO CIENTIFICA/ENIC - 2023"/>
    <x v="34"/>
    <s v="Aéreo"/>
    <s v="Não"/>
    <s v="Realizada"/>
    <s v="SIM"/>
    <s v="A entrada da requisição foi no prazo e devido a ajustes entrou no prazo de urgência"/>
    <n v="2162.08"/>
    <n v="0"/>
    <n v="4033.63"/>
    <n v="0"/>
    <d v="2023-10-03T00:00:00"/>
    <x v="6"/>
    <x v="0"/>
    <x v="0"/>
    <n v="4033.63"/>
    <n v="2162.08"/>
    <x v="2"/>
    <x v="0"/>
    <x v="0"/>
    <x v="0"/>
    <n v="329.61859618963615"/>
  </r>
  <r>
    <n v="2"/>
    <n v="19328610"/>
    <s v="001246/23"/>
    <s v="***.894.819-**"/>
    <s v="JORGE MAURICIO DAVID"/>
    <s v="PROFESSOR DO MAGISTERIO SUPERIOR"/>
    <s v="-1"/>
    <s v="Sem informação"/>
    <d v="2023-10-15T00:00:00"/>
    <d v="2023-10-20T00:00:00"/>
    <s v="Participação como avaliador externo do ENIC - Encontro de Iniciação Científica da UFPB."/>
    <x v="3"/>
    <s v="Aéreo"/>
    <s v="Não"/>
    <s v="Realizada"/>
    <s v="SIM"/>
    <s v="O servidor esta tentado"/>
    <n v="1821.06"/>
    <n v="0"/>
    <n v="2050.58"/>
    <n v="0"/>
    <d v="2023-10-03T00:00:00"/>
    <x v="4"/>
    <x v="0"/>
    <x v="0"/>
    <n v="2050.58"/>
    <n v="1821.06"/>
    <x v="2"/>
    <x v="0"/>
    <x v="0"/>
    <x v="0"/>
    <n v="271.05605715809952"/>
  </r>
  <r>
    <n v="2"/>
    <n v="19373861"/>
    <s v="001395/23"/>
    <s v="***.523.899-**"/>
    <s v="ANDRE CARLOS LEHUM"/>
    <s v="PROFESSOR DO MAGISTERIO SUPERIOR"/>
    <s v="-1"/>
    <s v="Sem informação"/>
    <d v="2023-10-15T00:00:00"/>
    <d v="2023-10-22T00:00:00"/>
    <s v="Fazer colaboração científica no grupo Teoria Quântica de Campos"/>
    <x v="5"/>
    <s v="Aéreo"/>
    <s v="Sim"/>
    <s v="Realizada"/>
    <s v="SIM"/>
    <s v="Conforme justificativa em anexo 'O atraso para o pedido de diárias e passagem se deu em virtude de verificar a disponibilidade da agenda do diretor do Centro para fazer o convite ao proposto'"/>
    <n v="2503.1"/>
    <n v="0"/>
    <n v="5307.3799999999992"/>
    <n v="0"/>
    <d v="2023-10-10T00:00:00"/>
    <x v="11"/>
    <x v="0"/>
    <x v="0"/>
    <n v="5307.3799999999992"/>
    <n v="2503.1"/>
    <x v="2"/>
    <x v="0"/>
    <x v="0"/>
    <x v="0"/>
    <n v="596.68665796167329"/>
  </r>
  <r>
    <n v="2"/>
    <n v="19394869"/>
    <s v="001438/23"/>
    <s v="***.822.414-**"/>
    <s v="ANNE AUGUSTA ALENCAR LEITE REINALDO"/>
    <s v="PROFESSOR DO MAGISTERIO SUPERIOR"/>
    <s v="CD-0003"/>
    <s v="Cargo Comissionado de Direção"/>
    <d v="2023-10-15T00:00:00"/>
    <d v="2023-10-18T00:00:00"/>
    <s v="Participação no COLÉGIO BRASILEIRO DE FACULDADES DE DIREITO PÚBLICAS E GRATUITAS."/>
    <x v="4"/>
    <s v="Aéreo"/>
    <s v="Sim"/>
    <s v="Realizada"/>
    <s v="SIM"/>
    <s v="Convite recebido no dia 10/10/2023"/>
    <n v="1522.48"/>
    <n v="0"/>
    <n v="5102.84"/>
    <n v="0"/>
    <d v="2023-10-11T00:00:00"/>
    <x v="2"/>
    <x v="0"/>
    <x v="0"/>
    <n v="5102.84"/>
    <n v="1522.48"/>
    <x v="1"/>
    <x v="1"/>
    <x v="1"/>
    <x v="0"/>
    <n v="800.95835140972315"/>
  </r>
  <r>
    <n v="2"/>
    <n v="19395066"/>
    <s v="001445/23"/>
    <s v="***.240.820-**"/>
    <s v="ANA PAULA BASSO"/>
    <s v="PROFESSOR DO MAGISTERIO SUPERIOR"/>
    <s v="-1"/>
    <s v="Sem informação"/>
    <d v="2023-10-15T00:00:00"/>
    <d v="2023-10-18T00:00:00"/>
    <s v="Participação no Colégio Brasileiro de Faculdades de Direito Públicas e Gratuitas."/>
    <x v="4"/>
    <s v="Aéreo"/>
    <s v="Sim"/>
    <s v="Realizada"/>
    <s v="SIM"/>
    <s v="O convite do evento foi enviado somente, em 10/10/2023, o que impossibilitou a solicitação em momento anterior."/>
    <n v="1339.26"/>
    <n v="0"/>
    <n v="5102.84"/>
    <n v="0"/>
    <d v="2023-10-11T00:00:00"/>
    <x v="2"/>
    <x v="0"/>
    <x v="0"/>
    <n v="5102.84"/>
    <n v="1339.26"/>
    <x v="1"/>
    <x v="0"/>
    <x v="1"/>
    <x v="0"/>
    <n v="800.95835140972315"/>
  </r>
  <r>
    <n v="2"/>
    <n v="19291959"/>
    <s v="001104/23"/>
    <s v="***.284.471-**"/>
    <s v="CLAUDIA REGINA NUNES DOS SANTOS RENAULT"/>
    <s v="ASSISTENTE SOCIAL"/>
    <s v="FG-0001"/>
    <s v="FG-0001"/>
    <d v="2023-10-16T00:00:00"/>
    <d v="2023-10-20T00:00:00"/>
    <s v="O proposto participará do X ENEI entre os dias 16 a 20/10/2023 - Cidade de Rio Tinto, como coordenadora de Mesa e palestrante"/>
    <x v="1"/>
    <s v="Aéreo"/>
    <s v="Não"/>
    <s v="Realizada"/>
    <s v="NÃO"/>
    <s v="Sem informação"/>
    <n v="1299.5"/>
    <n v="0"/>
    <n v="2184.8999999999996"/>
    <n v="0"/>
    <d v="2023-09-27T00:00:00"/>
    <x v="7"/>
    <x v="0"/>
    <x v="0"/>
    <n v="2184.8999999999996"/>
    <n v="1299.5"/>
    <x v="2"/>
    <x v="1"/>
    <x v="0"/>
    <x v="0"/>
    <n v="626.66401501165365"/>
  </r>
  <r>
    <n v="2"/>
    <n v="19310853"/>
    <s v="001304/23"/>
    <s v=""/>
    <s v="INDIANARA RAMIRES MACHADO"/>
    <s v=""/>
    <s v="-1"/>
    <s v="Sem informação"/>
    <d v="2023-10-16T00:00:00"/>
    <d v="2023-10-20T00:00:00"/>
    <s v="Proposto convidado para participar do X ENEI POTIGUARA, em Rio Tinto - PB"/>
    <x v="8"/>
    <s v="Aéreo"/>
    <s v="Não"/>
    <s v="Realizada"/>
    <s v="SIM"/>
    <s v="Em detrimento do trâmite de solicitação de empenho para colaboradores eventuais, justifico."/>
    <n v="1449.05"/>
    <n v="0"/>
    <n v="2775.92"/>
    <n v="0"/>
    <d v="2023-10-04T00:00:00"/>
    <x v="7"/>
    <x v="0"/>
    <x v="0"/>
    <n v="2775.92"/>
    <n v="1449.05"/>
    <x v="2"/>
    <x v="2"/>
    <x v="1"/>
    <x v="0"/>
    <n v="946.86055240877727"/>
  </r>
  <r>
    <n v="2"/>
    <n v="19311228"/>
    <s v="001202/23"/>
    <s v="***.831.622-**"/>
    <s v="PIERLANGELA NASCIMENTO DA CUNHA"/>
    <s v="PROFESSOR ENS BASICO TECN TECNOLOGICO"/>
    <s v="CD-0002"/>
    <s v="Cargo Comissionado de Direção"/>
    <d v="2023-10-16T00:00:00"/>
    <d v="2023-10-21T00:00:00"/>
    <s v="Participação como palestrante no X Encontro Nacional dos Estudantes Indígenas - ENEI e no Fórum sobre Ensino Superior Indígena."/>
    <x v="41"/>
    <s v="Aéreo"/>
    <s v="Não"/>
    <s v="Realizada"/>
    <s v="NÃO"/>
    <s v="Sem informação"/>
    <n v="1417.7"/>
    <n v="0"/>
    <n v="5034.3"/>
    <n v="0"/>
    <d v="2023-09-28T00:00:00"/>
    <x v="4"/>
    <x v="0"/>
    <x v="0"/>
    <n v="5034.3"/>
    <n v="1417.7"/>
    <x v="2"/>
    <x v="1"/>
    <x v="1"/>
    <x v="0"/>
    <n v="1121.3387657713517"/>
  </r>
  <r>
    <n v="2"/>
    <n v="19313568"/>
    <s v="001306/23"/>
    <s v=""/>
    <s v="THAIRA ANTONIA PRIPRA"/>
    <s v=""/>
    <s v="-1"/>
    <s v="Sem informação"/>
    <d v="2023-10-16T00:00:00"/>
    <d v="2023-10-20T00:00:00"/>
    <s v="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x v="18"/>
    <s v="Aéreo"/>
    <s v="Não"/>
    <s v="Realizada"/>
    <s v="SIM"/>
    <s v="Em detrimento do trâmite de solicitação de empenho para colaboradores eventuais, justifico a viagem."/>
    <n v="1489.17"/>
    <n v="0"/>
    <n v="4686.3900000000003"/>
    <n v="0"/>
    <d v="2023-10-04T00:00:00"/>
    <x v="7"/>
    <x v="0"/>
    <x v="0"/>
    <n v="4686.3900000000003"/>
    <n v="1489.17"/>
    <x v="2"/>
    <x v="2"/>
    <x v="1"/>
    <x v="0"/>
    <n v="985.87880246436816"/>
  </r>
  <r>
    <n v="3"/>
    <n v="19358004"/>
    <s v="001292/23"/>
    <s v="***.051.554-**"/>
    <s v="VALDINEY VELOSO GOUVEIA"/>
    <s v="PROFESSOR DO MAGISTERIO SUPERIOR"/>
    <s v="CD-0001"/>
    <s v="Cargo Comissionado de Direção"/>
    <d v="2023-10-16T00:00:00"/>
    <d v="2023-10-20T00:00:00"/>
    <s v="Participar nos dias 17 e 18/10/2023 do I Congresso Internacional de Universidades Empreendedoras , no Campus da UFABC, em São Bernardo do Campo/SP, e nos dias 18 e 19/10/2023, participar da 163ª Reunião Extraordinária do Conselho Pleno da ANDIFES, em Brasília/DF"/>
    <x v="42"/>
    <s v="Aéreo"/>
    <s v="Sim"/>
    <s v="Realizada"/>
    <s v="SIM"/>
    <s v="Estava aguardando confirmação da data da reunião da ANDIFES, conforme justificativa no formulário de solicitação"/>
    <n v="1713.63"/>
    <n v="0"/>
    <n v="4516.1499999999996"/>
    <n v="0"/>
    <d v="2023-10-03T00:00:00"/>
    <x v="7"/>
    <x v="0"/>
    <x v="1"/>
    <n v="4516.1499999999996"/>
    <n v="1713.63"/>
    <x v="1"/>
    <x v="1"/>
    <x v="1"/>
    <x v="0"/>
    <n v="870.04667124810635"/>
  </r>
  <r>
    <n v="2"/>
    <n v="19379967"/>
    <s v="001406/23"/>
    <s v="***.054.512-**"/>
    <s v="ALVA ROSA LANA VIEIRA"/>
    <s v=""/>
    <s v="-1"/>
    <s v="Sem informação"/>
    <d v="2023-10-16T00:00:00"/>
    <d v="2023-10-19T00:00:00"/>
    <s v="Fórum 2: Universidade Indígena no Brasil, que será no dia 17 de outubro (terça-feira), das 16 às 18h."/>
    <x v="40"/>
    <s v="Aéreo"/>
    <s v="Não"/>
    <s v="Realizada"/>
    <s v="SIM"/>
    <s v="Em detrimento do encaminhamento das solicitações de diárias ao CCAE, justifico viagem urgente."/>
    <n v="1057.23"/>
    <n v="0"/>
    <n v="4719.41"/>
    <n v="0"/>
    <d v="2023-10-10T00:00:00"/>
    <x v="2"/>
    <x v="0"/>
    <x v="0"/>
    <n v="4719.41"/>
    <n v="1057.23"/>
    <x v="2"/>
    <x v="2"/>
    <x v="1"/>
    <x v="0"/>
    <n v="1030.3218967873522"/>
  </r>
  <r>
    <n v="2"/>
    <n v="19393248"/>
    <s v="001432/23"/>
    <s v="***.705.284-**"/>
    <s v="PAULO DE TARSO COSTA HENRIQUES"/>
    <s v=""/>
    <s v="CD-0002"/>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Sim"/>
    <s v="Realizada"/>
    <s v="SIM"/>
    <s v="A definição da viagem estava condicionada à agenda dos parlamentares da bancada da paraíba em Brasília, fato que ocorreu nesta semana que antecede a viagem, conforme justificativa no item 7 do Formulário de Solicitação."/>
    <n v="2045.7"/>
    <n v="0"/>
    <n v="4529.2"/>
    <n v="0"/>
    <d v="2023-10-11T00:00:00"/>
    <x v="7"/>
    <x v="0"/>
    <x v="0"/>
    <n v="4529.2"/>
    <n v="2045.7"/>
    <x v="3"/>
    <x v="1"/>
    <x v="0"/>
    <x v="0"/>
    <n v="626.66401501165365"/>
  </r>
  <r>
    <n v="2"/>
    <n v="19394240"/>
    <s v="001433/23"/>
    <s v="***.235.814-**"/>
    <s v="LIANA FILGUEIRA ALBUQUERQUE"/>
    <s v="PROFESSOR DO MAGISTERIO SUPERIOR"/>
    <s v="CD-0002"/>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Sim"/>
    <s v="Realizada"/>
    <s v="SIM"/>
    <s v="A definição da viagem estava condicionada à agenda dos parlamentares da bancada da paraíba em Brasília, fato que ocorreu nesta semana que antecede a viagem, conforme justificativa no item 7 do Formulário de Solicitação."/>
    <n v="1896.15"/>
    <n v="0"/>
    <n v="4685.1000000000004"/>
    <n v="0"/>
    <d v="2023-10-11T00:00:00"/>
    <x v="7"/>
    <x v="0"/>
    <x v="0"/>
    <n v="4685.1000000000004"/>
    <n v="1896.15"/>
    <x v="3"/>
    <x v="1"/>
    <x v="0"/>
    <x v="0"/>
    <n v="626.66401501165365"/>
  </r>
  <r>
    <n v="2"/>
    <n v="19394313"/>
    <s v="001434/23"/>
    <s v="***.652.824-**"/>
    <s v="MARCAL ROSAS FLORENTINO LIMA FILHO"/>
    <s v="PROFESSOR DO MAGISTERIO SUPERIOR"/>
    <s v="CD-0004"/>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Sim"/>
    <s v="Realizada"/>
    <s v="SIM"/>
    <s v="A definição da viagem estava condicionada à agenda dos parlamentares da bancada da paraíba em Brasília, fato que ocorreu nesta semana que antecede a viagem, conforme justificativa no item 7 do Formulário de Solicitação."/>
    <n v="1660.58"/>
    <n v="0"/>
    <n v="4857.8"/>
    <n v="0"/>
    <d v="2023-10-11T00:00:00"/>
    <x v="7"/>
    <x v="0"/>
    <x v="0"/>
    <n v="4857.8"/>
    <n v="1660.58"/>
    <x v="3"/>
    <x v="1"/>
    <x v="0"/>
    <x v="0"/>
    <n v="626.66401501165365"/>
  </r>
  <r>
    <n v="2"/>
    <n v="19394708"/>
    <s v="001442/23"/>
    <s v="***.833.883-**"/>
    <s v="LUCIDIO DOS ANJOS FORMIGA CABRAL"/>
    <s v="PROFESSOR DO MAGISTERIO SUPERIOR"/>
    <s v="CD-0003"/>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Sim"/>
    <s v="Realizada"/>
    <s v="SIM"/>
    <s v="A definição da viagem estava condicionada à agenda dos parlamentares da bancada da paraíba em Brasília, fato que ocorreu nesta semana que antecede a viagem, conforme justificativa no item 7 do Formulário de Solicitação."/>
    <n v="1896.15"/>
    <n v="0"/>
    <n v="4857.8"/>
    <n v="0"/>
    <d v="2023-10-11T00:00:00"/>
    <x v="7"/>
    <x v="0"/>
    <x v="0"/>
    <n v="4857.8"/>
    <n v="1896.15"/>
    <x v="3"/>
    <x v="1"/>
    <x v="0"/>
    <x v="0"/>
    <n v="626.66401501165365"/>
  </r>
  <r>
    <n v="2"/>
    <n v="19394737"/>
    <s v="001443/23"/>
    <s v="***.285.068-**"/>
    <s v="RICARDO ROMAO GUERRA"/>
    <s v="PROFESSOR DO MAGISTERIO SUPERIOR"/>
    <s v="CD-0004"/>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Não"/>
    <s v="Realizada"/>
    <s v="SIM"/>
    <s v="A definição da viagem estava condicionada à agenda dos parlamentares da bancada da paraíba em Brasília, fato que ocorreu nesta semana que antecede a viagem, conforme justificativa no item 7 do Formulário de Solicitação."/>
    <n v="1660.58"/>
    <n v="0"/>
    <n v="4857.8"/>
    <n v="0"/>
    <d v="2023-10-11T00:00:00"/>
    <x v="7"/>
    <x v="0"/>
    <x v="0"/>
    <n v="4857.8"/>
    <n v="1660.58"/>
    <x v="3"/>
    <x v="1"/>
    <x v="0"/>
    <x v="0"/>
    <n v="626.66401501165365"/>
  </r>
  <r>
    <n v="2"/>
    <n v="19394895"/>
    <s v="001444/23"/>
    <s v="***.878.164-**"/>
    <s v="JOSEILME FERNANDES GOUVEIA"/>
    <s v="PROFESSOR DO MAGISTERIO SUPERIOR"/>
    <s v="CD-0003"/>
    <s v="Cargo Comissionado de Direção"/>
    <d v="2023-10-16T00:00:00"/>
    <d v="2023-10-20T00:00:00"/>
    <s v="Viagem à Brasília/DF para visitar todos os deputados federais e senadores representantes do estado da Paraíba para tratar de apoio à concessão de Emenda Parlamentar de Bancada e Emenda Individual para o ano de 2024, de 16 a 20 de outubro de 2023."/>
    <x v="1"/>
    <s v="Aéreo"/>
    <s v="Não"/>
    <s v="Realizada"/>
    <s v="SIM"/>
    <s v="A definição da viagem estava condicionada à agenda dos parlamentares da bancada da paraíba em Brasília, fato que ocorreu nesta semana que antecede a viagem, conforme justificativa no item 7 do Formulário de Solicitação."/>
    <n v="1751.25"/>
    <n v="0"/>
    <n v="4867.3999999999996"/>
    <n v="0"/>
    <d v="2023-10-11T00:00:00"/>
    <x v="7"/>
    <x v="0"/>
    <x v="0"/>
    <n v="4867.3999999999996"/>
    <n v="1751.25"/>
    <x v="3"/>
    <x v="1"/>
    <x v="0"/>
    <x v="0"/>
    <n v="626.66401501165365"/>
  </r>
  <r>
    <n v="2"/>
    <n v="19231762"/>
    <s v="000967/23"/>
    <s v="***.472.494-**"/>
    <s v="THIERRY MARCELINO PASSERAT DE SILANS"/>
    <s v="PROFESSOR DO MAGISTERIO SUPERIOR"/>
    <s v="-1"/>
    <s v="Sem informação"/>
    <d v="2023-10-17T00:00:00"/>
    <d v="2023-10-20T00:00:00"/>
    <s v="Apresentação como palestrante convidado no XV Workshop em Física Molecular e Espectroscopia, a ser realizado entre os dias 17 e 20 de outubro no Instituto de Física, USP, São Paulo. Nesta palestra serão apresentados resultados de pesquisas realizadas no âmbito da UFPB em projetos vinculados no Programa de Pós-Graduação em Física, com participação de estudantes do programa. Participação em evento tradicional das áreas de Física Atômica e Molecular e de Ótica com vinte anos de história, com participação de palestrantes de renome tanto nacionais quanto internacionais. Divulgação de resultados de pesquisa realizadas no âmbito da UFPB em projetos vinculados no Programa de Pós-Graduação em Física, com participação de estudantes do programa. A apresentação da pesquisa realizada na UFPB no âmbito deste Workshop tradicional da área abre possibilidade de estabelecimento de novas colaborações."/>
    <x v="4"/>
    <s v="Aéreo"/>
    <s v="Sim"/>
    <s v="Realizada"/>
    <s v="NÃO"/>
    <s v="Sem informação"/>
    <n v="1309.3499999999999"/>
    <n v="0"/>
    <n v="2672.7200000000003"/>
    <n v="0"/>
    <d v="2023-09-01T00:00:00"/>
    <x v="2"/>
    <x v="0"/>
    <x v="0"/>
    <n v="2672.7200000000003"/>
    <n v="1309.3499999999999"/>
    <x v="2"/>
    <x v="0"/>
    <x v="1"/>
    <x v="0"/>
    <n v="800.95835140972315"/>
  </r>
  <r>
    <n v="2"/>
    <n v="19321680"/>
    <s v="001326/23"/>
    <s v=""/>
    <s v="ZULEICA DA SILVA TIAGO"/>
    <s v=""/>
    <s v="-1"/>
    <s v="Sem informação"/>
    <d v="2023-10-17T00:00:00"/>
    <d v="2023-10-21T00:00:00"/>
    <s v="Proposto participará no X ENEI com participação na comissão organizadora científica do ENEI, e na análise dos trabalhos apresentados pelos acadêmicos Indígenas."/>
    <x v="8"/>
    <s v="Aéreo"/>
    <s v="Não"/>
    <s v="Realizada"/>
    <s v="SIM"/>
    <s v="Em detrimento do trâmite para a criação do empenho para colaboradores eventuais, justifico."/>
    <n v="1489.17"/>
    <n v="0"/>
    <n v="1990.12"/>
    <n v="0"/>
    <d v="2023-10-11T00:00:00"/>
    <x v="7"/>
    <x v="0"/>
    <x v="0"/>
    <n v="1990.12"/>
    <n v="1489.17"/>
    <x v="2"/>
    <x v="3"/>
    <x v="1"/>
    <x v="0"/>
    <n v="946.86055240877727"/>
  </r>
  <r>
    <n v="1"/>
    <n v="19101393"/>
    <s v="000647/23"/>
    <s v="***.472.784-**"/>
    <s v="EVANDRO LEITE DE SOUZA"/>
    <s v="PROFESSOR DO MAGISTERIO SUPERIOR"/>
    <s v="FG-0001"/>
    <s v="FG-0001"/>
    <d v="2023-10-18T00:00:00"/>
    <d v="2023-10-22T00:00:00"/>
    <s v="Participação no 32º Congresso Brasileiro de Microbiologia a ser realizado na cidade Foz do Iguaçu (Paraná) no período de 18 a 22/10/2023 na qualidade de palestrante."/>
    <x v="43"/>
    <s v="Aéreo"/>
    <s v="Sim"/>
    <s v="Realizada"/>
    <s v="NÃO"/>
    <s v="Sem informação"/>
    <n v="1359.32"/>
    <n v="0"/>
    <n v="2202.09"/>
    <n v="0"/>
    <d v="2023-09-12T00:00:00"/>
    <x v="7"/>
    <x v="0"/>
    <x v="0"/>
    <n v="2202.09"/>
    <n v="1359.32"/>
    <x v="2"/>
    <x v="0"/>
    <x v="0"/>
    <x v="0"/>
    <n v="533.43823838582193"/>
  </r>
  <r>
    <n v="2"/>
    <n v="19124091"/>
    <s v="000769/23"/>
    <s v="***.959.914-**"/>
    <s v="FABIO ANDERSON PEREIRA DA SILVA"/>
    <s v="PROFESSOR DO MAGISTERIO SUPERIOR"/>
    <s v="FUC-0001"/>
    <s v="FUC-0001"/>
    <d v="2023-10-18T00:00:00"/>
    <d v="2023-10-21T00:00:00"/>
    <s v="Participação como representante do PPGTA na reunião de meio termo da Coordenação de Aperfeiçoamento de Pessoal de Nível Superior (CAPES)."/>
    <x v="1"/>
    <s v="Aéreo"/>
    <s v="Não"/>
    <s v="Realizada"/>
    <s v="NÃO"/>
    <s v="Sem informação"/>
    <n v="1339.26"/>
    <n v="0"/>
    <n v="1810.2"/>
    <n v="0"/>
    <d v="2023-08-16T00:00:00"/>
    <x v="2"/>
    <x v="0"/>
    <x v="0"/>
    <n v="1810.2"/>
    <n v="1339.26"/>
    <x v="1"/>
    <x v="1"/>
    <x v="0"/>
    <x v="0"/>
    <n v="626.66401501165365"/>
  </r>
  <r>
    <n v="2"/>
    <n v="19185075"/>
    <s v="000800/23"/>
    <s v="***.106.974-**"/>
    <s v="TALIANA KENIA ALENCAR BEZERRA"/>
    <s v="PROFESSOR DO MAGISTERIO SUPERIOR"/>
    <s v="FUC-0001"/>
    <s v="FUC-0001"/>
    <d v="2023-10-18T00:00:00"/>
    <d v="2023-10-21T00:00:00"/>
    <s v="Participação da Reunião de Meio termo na Capes é exigência devido ao cargo ocupado de Coordenadora do Programa de Pós-graduação em Ciência e Tecnologia de Alimentos"/>
    <x v="1"/>
    <s v="Aéreo"/>
    <s v="Sim"/>
    <s v="Realizada"/>
    <s v="NÃO"/>
    <s v="Sem informação"/>
    <n v="1339.26"/>
    <n v="0"/>
    <n v="2122.1"/>
    <n v="0"/>
    <d v="2023-08-18T00:00:00"/>
    <x v="2"/>
    <x v="0"/>
    <x v="0"/>
    <n v="2122.1"/>
    <n v="1339.26"/>
    <x v="1"/>
    <x v="1"/>
    <x v="0"/>
    <x v="0"/>
    <n v="626.66401501165365"/>
  </r>
  <r>
    <n v="2"/>
    <n v="19236125"/>
    <s v="000942/23"/>
    <s v="***.652.838-**"/>
    <s v="SURYA AARONOVICH POMBO DE BARROS"/>
    <s v="PROFESSOR DO MAGISTERIO SUPERIOR"/>
    <s v="FUC-0001"/>
    <s v="FUC-0001"/>
    <d v="2023-10-18T00:00:00"/>
    <d v="2023-10-21T00:00:00"/>
    <s v="Participar do Seminário de Meio Termo dos programas de pós-graduação da área de HISTÓRIA - CAPES."/>
    <x v="1"/>
    <s v="Aéreo"/>
    <s v="Sim"/>
    <s v="Realizada"/>
    <s v="NÃO"/>
    <s v="Sem informação"/>
    <n v="1339.26"/>
    <n v="0"/>
    <n v="2090.5"/>
    <n v="0"/>
    <d v="2023-08-30T00:00:00"/>
    <x v="2"/>
    <x v="0"/>
    <x v="0"/>
    <n v="2090.5"/>
    <n v="1339.26"/>
    <x v="1"/>
    <x v="1"/>
    <x v="0"/>
    <x v="0"/>
    <n v="626.66401501165365"/>
  </r>
  <r>
    <n v="2"/>
    <n v="19288360"/>
    <s v="001163/23"/>
    <s v="***.106.064-**"/>
    <s v="LINCOLN DAVID NERY E SILVA"/>
    <s v="PROFESSOR DO MAGISTERIO SUPERIOR"/>
    <s v="-1"/>
    <s v="Sem informação"/>
    <d v="2023-10-19T00:00:00"/>
    <d v="2023-10-23T00:00:00"/>
    <s v="Participação na final brasileira da Maratona de Programação da SBC, após classificação na etapa regional."/>
    <x v="44"/>
    <s v="Aéreo"/>
    <s v="Sim"/>
    <s v="Realizada"/>
    <s v="NÃO"/>
    <s v="Sem informação"/>
    <n v="0"/>
    <n v="0"/>
    <n v="2243.2399999999998"/>
    <n v="0"/>
    <d v="2023-09-26T00:00:00"/>
    <x v="7"/>
    <x v="0"/>
    <x v="0"/>
    <n v="2243.2399999999998"/>
    <n v="0"/>
    <x v="2"/>
    <x v="0"/>
    <x v="1"/>
    <x v="0"/>
    <n v="1062.319916680131"/>
  </r>
  <r>
    <n v="2"/>
    <n v="19313222"/>
    <s v="001166/23"/>
    <s v=""/>
    <s v="TAYLOR KLAUS CANTALICE NOBREGA"/>
    <s v=""/>
    <s v="-1"/>
    <s v="Sem informação"/>
    <d v="2023-10-19T00:00:00"/>
    <d v="2023-10-23T00:00:00"/>
    <s v="Participação do time 'Luerson e os Meros Mortais', composto por 3 alunos da graduação e um Professor como Coach na final brasileira da Maratona de Programação da SBC, após classificação na etapa regional."/>
    <x v="44"/>
    <s v="Aéreo"/>
    <s v="Não"/>
    <s v="Realizada"/>
    <s v="NÃO"/>
    <s v="Sem informação"/>
    <n v="0"/>
    <n v="0"/>
    <n v="4008.9399999999996"/>
    <n v="0"/>
    <d v="2023-09-22T00:00:00"/>
    <x v="7"/>
    <x v="0"/>
    <x v="0"/>
    <n v="4008.9399999999996"/>
    <n v="0"/>
    <x v="2"/>
    <x v="1"/>
    <x v="1"/>
    <x v="0"/>
    <n v="1062.319916680131"/>
  </r>
  <r>
    <n v="2"/>
    <n v="19314122"/>
    <s v="001295/23"/>
    <s v="***.809.068-**"/>
    <s v="ALVARO LUIZ TRAVASSOS DE AZEVEDO GONZAGA"/>
    <s v=""/>
    <s v="-1"/>
    <s v="Sem informação"/>
    <d v="2023-10-19T00:00:00"/>
    <d v="2023-10-20T00:00:00"/>
    <s v="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x v="4"/>
    <s v="Aéreo"/>
    <s v="Não"/>
    <s v="Realizada"/>
    <s v="NÃO"/>
    <s v="Sem informação"/>
    <n v="546.35"/>
    <n v="0"/>
    <n v="2829.34"/>
    <n v="0"/>
    <d v="2023-10-03T00:00:00"/>
    <x v="8"/>
    <x v="0"/>
    <x v="0"/>
    <n v="2829.34"/>
    <n v="546.35"/>
    <x v="2"/>
    <x v="2"/>
    <x v="1"/>
    <x v="0"/>
    <n v="800.95835140972315"/>
  </r>
  <r>
    <n v="2"/>
    <n v="19314332"/>
    <s v="001164/23"/>
    <s v=""/>
    <s v="LUERSON DE ALBUQUERQUE SILVA FILHO"/>
    <s v=""/>
    <s v="-1"/>
    <s v="Sem informação"/>
    <d v="2023-10-19T00:00:00"/>
    <d v="2023-10-23T00:00:00"/>
    <s v="Participação do time 'Luerson e os Meros Mortais', composto por 3 alunos da graduação e um Professor como Coach na final brasileira da Maratona de Programação da SBC, após classificação na etapa regional."/>
    <x v="44"/>
    <s v="Aéreo"/>
    <s v="Não"/>
    <s v="Realizada"/>
    <s v="NÃO"/>
    <s v="Sem informação"/>
    <n v="0"/>
    <n v="0"/>
    <n v="4008.9399999999996"/>
    <n v="0"/>
    <d v="2023-09-22T00:00:00"/>
    <x v="7"/>
    <x v="0"/>
    <x v="0"/>
    <n v="4008.9399999999996"/>
    <n v="0"/>
    <x v="2"/>
    <x v="1"/>
    <x v="1"/>
    <x v="0"/>
    <n v="1062.319916680131"/>
  </r>
  <r>
    <n v="2"/>
    <n v="19314417"/>
    <s v="001165/23"/>
    <s v=""/>
    <s v="LUIZ HENRIQUE QUEIROZ DE ALBUQUERQUE SILVA"/>
    <s v=""/>
    <s v="-1"/>
    <s v="Sem informação"/>
    <d v="2023-10-19T00:00:00"/>
    <d v="2023-10-23T00:00:00"/>
    <s v="Participação do time 'Luerson e os Meros Mortais', composto por 3 alunos da graduação e um Professor como Coach na final brasileira da Maratona de Programação da SBC, após classificação na etapa regional."/>
    <x v="44"/>
    <s v="Aéreo"/>
    <s v="Sim"/>
    <s v="Realizada"/>
    <s v="NÃO"/>
    <s v="Sem informação"/>
    <n v="0"/>
    <n v="0"/>
    <n v="4008.9399999999996"/>
    <n v="0"/>
    <d v="2023-09-21T00:00:00"/>
    <x v="7"/>
    <x v="0"/>
    <x v="0"/>
    <n v="4008.9399999999996"/>
    <n v="0"/>
    <x v="2"/>
    <x v="1"/>
    <x v="1"/>
    <x v="0"/>
    <n v="1062.319916680131"/>
  </r>
  <r>
    <n v="2"/>
    <n v="19359809"/>
    <s v="001332/23"/>
    <s v="***.136.458-**"/>
    <s v="RAFAEL FALEIROS DE PADUA"/>
    <s v="PROFESSOR DO MAGISTERIO SUPERIOR"/>
    <s v="-1"/>
    <s v="Sem informação"/>
    <d v="2023-10-19T00:00:00"/>
    <d v="2023-10-22T00:00:00"/>
    <s v="Para a realização de trabalho de campo visando coleta de dados para a redação do relatório de qualificação do orientando, referente a pesquisa URBANIZAÇÃO E PRODUÇÃO DO ESPAÇO CAPITALISTA: REPRODUÇÃO SOCIAL NA PERIFERIA DA CIDADE DE SANTO ANTÔNIO DE JESUS, BA."/>
    <x v="3"/>
    <s v="Aéreo"/>
    <s v="Não"/>
    <s v="Realizada"/>
    <s v="SIM"/>
    <s v="Conforme documento em anexo, O Professor Rafael Faleiros de Padua, SIAPE 1971043, Professor do Departamento de Geociências e do Programa de Pós-Graduação em Geografia/CCEN/UFPB, está solicitando passagens para a realização de trabalho de campo na cidade de Santo Antônio de Jesus-BA entre os dias 19/10/23 e 22/10/23, portanto o pedido está com menos de 20 dias. Justifica-se a solicitação fora do prazo o acúmulo de atividades na graduação e na pós-graduação que fizeram com que professor tivesse que adiantar a programação do trabalho de campo da pesquisa para os dias discriminados acima, de modo que a viagem prejudicasse o mínimo possível outras atividades acadêmicas do semestre (aulas na pós-graduação e graduação, comissão de seleção do mestrado, orientações de alunos da graduação e pós-graduação, coordenação de projeto de extensão, coordenação de grupo de estudos)."/>
    <n v="0"/>
    <n v="0"/>
    <n v="2503.98"/>
    <n v="0"/>
    <d v="2023-10-06T00:00:00"/>
    <x v="2"/>
    <x v="0"/>
    <x v="0"/>
    <n v="2503.98"/>
    <n v="0"/>
    <x v="6"/>
    <x v="0"/>
    <x v="0"/>
    <x v="0"/>
    <n v="271.05605715809952"/>
  </r>
  <r>
    <n v="2"/>
    <n v="19166671"/>
    <s v="000767/23"/>
    <s v="***.097.458-**"/>
    <s v="MIQUELI MICHETTI"/>
    <s v="PROFESSOR DO MAGISTERIO SUPERIOR"/>
    <s v="-1"/>
    <s v="Sem informação"/>
    <d v="2023-10-20T00:00:00"/>
    <d v="2023-10-28T00:00:00"/>
    <s v="Apresentação de trabalho em mesa-redonda no 47º Encontro Anual da Anpocs; Representação do PPGS- UFPB como coordenadora; Reunião de pesquisa do Projeto Temático FAPESP 2018/20074-2, sediado na Unicamp."/>
    <x v="4"/>
    <s v="Aéreo"/>
    <s v="Não"/>
    <s v="Realizada"/>
    <s v="NÃO"/>
    <s v="Sem informação"/>
    <n v="1329.41"/>
    <n v="0"/>
    <n v="1699.1399999999999"/>
    <n v="0"/>
    <d v="2023-08-10T00:00:00"/>
    <x v="5"/>
    <x v="0"/>
    <x v="0"/>
    <n v="1699.1399999999999"/>
    <n v="1329.41"/>
    <x v="2"/>
    <x v="0"/>
    <x v="1"/>
    <x v="0"/>
    <n v="800.95835140972315"/>
  </r>
  <r>
    <n v="2"/>
    <n v="19346753"/>
    <s v="001258/23"/>
    <s v="***.884.159-**"/>
    <s v="MARIANO CASTRO NETO"/>
    <s v="PROFESSOR DO MAGISTERIO SUPERIOR"/>
    <s v="-1"/>
    <s v="Sem informação"/>
    <d v="2023-10-20T00:00:00"/>
    <d v="2023-10-23T00:00:00"/>
    <s v="Participar do Fórum Nacional dos Coordenadores dos Programas de Pós-Graduação em Educação (Forpred), a se realizar nos dias 21 e 22 de outubro de 2023, na cidade de Manaus-AM."/>
    <x v="40"/>
    <s v="Aéreo"/>
    <s v="Não"/>
    <s v="Realizada"/>
    <s v="NÃO"/>
    <s v="Sem informação"/>
    <n v="1339.17"/>
    <n v="0"/>
    <n v="3471.8100000000004"/>
    <n v="0"/>
    <d v="2023-09-29T00:00:00"/>
    <x v="2"/>
    <x v="0"/>
    <x v="0"/>
    <n v="3471.8100000000004"/>
    <n v="1339.17"/>
    <x v="1"/>
    <x v="0"/>
    <x v="1"/>
    <x v="0"/>
    <n v="1030.3218967873522"/>
  </r>
  <r>
    <n v="2"/>
    <n v="19236386"/>
    <s v="001087/23"/>
    <s v="***.744.234-**"/>
    <s v="CHARLITON JOSE DOS SANTOS MACHADO"/>
    <s v="PROFESSOR DO MAGISTERIO SUPERIOR"/>
    <s v="-1"/>
    <s v="Sem informação"/>
    <d v="2023-10-21T00:00:00"/>
    <d v="2023-10-28T00:00:00"/>
    <s v="Participar e apresentar trabalho na 41ª Reunião Nacional da ANPEd. Trata-se do evento científico mais relevante na área da pesquisa em educação no Brasil e visa a socialização de conhecimentos multidisciplinares com estudiosos nacionais e internacionais. O citado evento será fundamental para impulsionar o desenvolvimento da pós-graduação, em particular no Norte/Nordeste. Portanto, faz-se necessário o apoio do programa na participação dos seus pesquisadores."/>
    <x v="40"/>
    <s v="Aéreo"/>
    <s v="Não"/>
    <s v="Realizada"/>
    <s v="NÃO"/>
    <s v="Sem informação"/>
    <n v="2804"/>
    <n v="0"/>
    <n v="3628.41"/>
    <n v="0"/>
    <d v="2023-09-25T00:00:00"/>
    <x v="11"/>
    <x v="0"/>
    <x v="0"/>
    <n v="3628.41"/>
    <n v="2804"/>
    <x v="2"/>
    <x v="0"/>
    <x v="1"/>
    <x v="0"/>
    <n v="1030.3218967873522"/>
  </r>
  <r>
    <n v="2"/>
    <n v="19237284"/>
    <s v="001188/23"/>
    <s v="***.296.864-**"/>
    <s v="JOSE LEONARDO ROLIM DE LIMA SEVERO"/>
    <s v="PROFESSOR DO MAGISTERIO SUPERIOR"/>
    <s v="FG-0001"/>
    <s v="FG-0001"/>
    <d v="2023-10-21T00:00:00"/>
    <d v="2023-10-28T00:00:00"/>
    <s v="Participação, na condição de vice-coordenador do GT 4 (Didática), da 41º Reunião Anual da ANPED, a ocorrer em Manaus-AM, dos dias 22 a 27 de outubro de 2023. A participação é estratégica para construção e fortalecimento de redes interinstitucionais que promovem articulações para fortalecer e visibilizar a agenda acadêmica do PPGE-UFPB."/>
    <x v="40"/>
    <s v="Aéreo"/>
    <s v="Sim"/>
    <s v="Realizada"/>
    <s v="NÃO"/>
    <s v="Sem informação"/>
    <n v="2804"/>
    <n v="0"/>
    <n v="3498.41"/>
    <n v="0"/>
    <d v="2023-09-25T00:00:00"/>
    <x v="11"/>
    <x v="0"/>
    <x v="0"/>
    <n v="3498.41"/>
    <n v="2804"/>
    <x v="1"/>
    <x v="1"/>
    <x v="1"/>
    <x v="0"/>
    <n v="1030.3218967873522"/>
  </r>
  <r>
    <n v="2"/>
    <n v="19105898"/>
    <s v="000646/23"/>
    <s v="***.732.124-**"/>
    <s v="JOSE LUIZ DE BRITO ALVES"/>
    <s v="PROFESSOR DO MAGISTERIO SUPERIOR"/>
    <s v="FUC-0001"/>
    <s v="FUC-0001"/>
    <d v="2023-10-22T00:00:00"/>
    <d v="2023-10-25T00:00:00"/>
    <s v="Participar do Seminário de Meio Termo na CAPES é de fundamental importância para que possa acompanhar o andamento do programa que coordena e traçar planejamento estratégico alinhado com o desempenho que será apresentado pela coordenação de área."/>
    <x v="1"/>
    <s v="Aéreo"/>
    <s v="Sim"/>
    <s v="Realizada"/>
    <s v="NÃO"/>
    <s v="Sem informação"/>
    <n v="1339.26"/>
    <n v="0"/>
    <n v="2498"/>
    <n v="0"/>
    <d v="2023-08-17T00:00:00"/>
    <x v="2"/>
    <x v="0"/>
    <x v="0"/>
    <n v="2498"/>
    <n v="1339.26"/>
    <x v="1"/>
    <x v="1"/>
    <x v="0"/>
    <x v="0"/>
    <n v="626.66401501165365"/>
  </r>
  <r>
    <n v="2"/>
    <n v="19159155"/>
    <s v="000741/23"/>
    <s v=""/>
    <s v="JUAN MOISES MAURICIO VILLANUEVA"/>
    <s v="PROFESSOR DO MAGISTERIO SUPERIOR"/>
    <s v="-1"/>
    <s v="Sem informação"/>
    <d v="2023-10-22T00:00:00"/>
    <d v="2023-10-25T00:00:00"/>
    <s v="Participar do Seminário de Avaliação de Meio Termo dos Programas de Pós-Graduação da área de Engenharias IV, que ocorrerá nos dias 23 e 24 de outubro de 2023, na cidade de Brasília-DF."/>
    <x v="1"/>
    <s v="Aéreo"/>
    <s v="Não"/>
    <s v="Realizada"/>
    <s v="NÃO"/>
    <s v="Sem informação"/>
    <n v="1339.26"/>
    <n v="0"/>
    <n v="1268.5"/>
    <n v="0"/>
    <d v="2023-08-07T00:00:00"/>
    <x v="2"/>
    <x v="0"/>
    <x v="0"/>
    <n v="1268.5"/>
    <n v="1339.26"/>
    <x v="1"/>
    <x v="1"/>
    <x v="0"/>
    <x v="0"/>
    <n v="626.66401501165365"/>
  </r>
  <r>
    <n v="2"/>
    <n v="19224616"/>
    <s v="000960/23"/>
    <s v="***.919.094-**"/>
    <s v="VALBER SOARES DE FRANCA"/>
    <s v="AUX EM ADMINISTRACAO"/>
    <s v="-1"/>
    <s v="Sem informação"/>
    <d v="2023-10-22T00:00:00"/>
    <d v="2023-10-29T00:00:00"/>
    <s v="O proposto é servidor da Coordenação de Orçamento da UFPB e participará da 4ª Semana Nacional sobre a Nova Lei de Licitações e Contratos, onde receberá conhecimentos de atualização diretamente relacionados a sua atuação, pois a coordenação é responsável por atestar a disponibilidade orçamentária e seu alinhamento com o arcabouço legal, além de acompanhar a execução dos recursos da instituição."/>
    <x v="45"/>
    <s v="Aéreo"/>
    <s v="Não"/>
    <s v="Realizada"/>
    <s v="NÃO"/>
    <s v="Sem informação"/>
    <n v="2202.1999999999998"/>
    <n v="0"/>
    <n v="2769.92"/>
    <n v="0"/>
    <d v="2023-09-04T00:00:00"/>
    <x v="11"/>
    <x v="0"/>
    <x v="0"/>
    <n v="2769.92"/>
    <n v="2202.1999999999998"/>
    <x v="1"/>
    <x v="1"/>
    <x v="1"/>
    <x v="0"/>
    <n v="1091.6440472066095"/>
  </r>
  <r>
    <n v="2"/>
    <n v="19231868"/>
    <s v="000927/23"/>
    <s v="***.240.794-**"/>
    <s v="NICOLLE SALES DA COSTA"/>
    <s v="ADMINISTRADOR"/>
    <s v="CD-0003"/>
    <s v="Cargo Comissionado de Direção"/>
    <d v="2023-10-22T00:00:00"/>
    <d v="2023-10-29T00:00:00"/>
    <s v="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
    <x v="45"/>
    <s v="Aéreo"/>
    <s v="Não"/>
    <s v="Realizada"/>
    <s v="NÃO"/>
    <s v="Sem informação"/>
    <n v="2512.1799999999998"/>
    <n v="0"/>
    <n v="2167.7200000000003"/>
    <n v="0"/>
    <d v="2023-08-31T00:00:00"/>
    <x v="11"/>
    <x v="0"/>
    <x v="0"/>
    <n v="2167.7200000000003"/>
    <n v="2512.1799999999998"/>
    <x v="4"/>
    <x v="1"/>
    <x v="1"/>
    <x v="0"/>
    <n v="1091.6440472066095"/>
  </r>
  <r>
    <n v="2"/>
    <n v="19232693"/>
    <s v="000928/23"/>
    <s v="***.107.174-**"/>
    <s v="NATUCIA SANTOS DA SILVA"/>
    <s v="ASSISTENTE EM ADMINISTRAçãO"/>
    <s v="CD-0004"/>
    <s v="Cargo Comissionado de Direção"/>
    <d v="2023-10-22T00:00:00"/>
    <d v="2023-10-29T00:00:00"/>
    <s v="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
    <x v="45"/>
    <s v="Aéreo"/>
    <s v="Não"/>
    <s v="Realizada"/>
    <s v="NÃO"/>
    <s v="Sem informação"/>
    <n v="2202.1999999999998"/>
    <n v="0"/>
    <n v="2167.7200000000003"/>
    <n v="0"/>
    <d v="2023-08-31T00:00:00"/>
    <x v="11"/>
    <x v="0"/>
    <x v="0"/>
    <n v="2167.7200000000003"/>
    <n v="2202.1999999999998"/>
    <x v="4"/>
    <x v="1"/>
    <x v="1"/>
    <x v="0"/>
    <n v="1091.6440472066095"/>
  </r>
  <r>
    <n v="2"/>
    <n v="19292173"/>
    <s v="001094/23"/>
    <s v="***.671.067-**"/>
    <s v="JEVUKS MATHEUS DE ARAUJO"/>
    <s v="PROFESSOR DO MAGISTERIO SUPERIOR"/>
    <s v="FUC-0001"/>
    <s v="FUC-0001"/>
    <d v="2023-10-22T00:00:00"/>
    <d v="2023-10-25T00:00:00"/>
    <s v="PARTICIPAÇÃO NA REUNIÃO DE MEIO TERMO DA AVALIAÇÃO QUADRIENAL PROMOVIDA PELA CAPES."/>
    <x v="1"/>
    <s v="Aéreo"/>
    <s v="Não"/>
    <s v="Realizada"/>
    <s v="NÃO"/>
    <s v="Sem informação"/>
    <n v="1339.26"/>
    <n v="0"/>
    <n v="1706.1"/>
    <n v="0"/>
    <d v="2023-09-22T00:00:00"/>
    <x v="2"/>
    <x v="0"/>
    <x v="0"/>
    <n v="1706.1"/>
    <n v="1339.26"/>
    <x v="1"/>
    <x v="1"/>
    <x v="0"/>
    <x v="0"/>
    <n v="626.66401501165365"/>
  </r>
  <r>
    <n v="2"/>
    <n v="19301303"/>
    <s v="001269/23"/>
    <s v="***.153.860-**"/>
    <s v="ISMAEL IVAN ROCKENBACH"/>
    <s v="PROFESSOR DO MAGISTERIO SUPERIOR"/>
    <s v="-1"/>
    <s v="Sem informação"/>
    <d v="2023-10-22T00:00:00"/>
    <d v="2023-10-28T00:00:00"/>
    <s v="Participação nas reuniões do ForUAB a ser realizado em conjunto com 20º Congresso Brasileiro de Ensino Superior a Distância 9º Congresso Internacional de Educação Superior a Distância - ESUD|CIESUD em Campo Grande de 23 a 27/10/2023."/>
    <x v="8"/>
    <s v="Aéreo"/>
    <s v="Não"/>
    <s v="Realizada"/>
    <s v="NÃO"/>
    <s v="Sem informação"/>
    <n v="2162.08"/>
    <n v="0"/>
    <n v="2167.12"/>
    <n v="0"/>
    <d v="2023-10-04T00:00:00"/>
    <x v="6"/>
    <x v="0"/>
    <x v="0"/>
    <n v="2167.12"/>
    <n v="2162.08"/>
    <x v="3"/>
    <x v="0"/>
    <x v="1"/>
    <x v="0"/>
    <n v="946.86055240877727"/>
  </r>
  <r>
    <n v="2"/>
    <n v="19316534"/>
    <s v="001284/23"/>
    <s v=""/>
    <s v="RICHELIEU RAMOS DE ANDRADE COSTA"/>
    <s v="ENGENHEIRO-AREA"/>
    <s v="-1"/>
    <s v="Sem informação"/>
    <d v="2023-10-22T00:00:00"/>
    <d v="2023-10-28T00:00:00"/>
    <s v="Apresentação de artigo no O XXIX Simpósio Brasileiro de Sistemas Multimídia e Web (WebMedia) relacionado ao mestrado em desenvolvimento e a projeto coordenado pelo Forum Brasileiro de TV Digital, em execução na UFPB via RNP"/>
    <x v="46"/>
    <s v="Aéreo"/>
    <s v="Não"/>
    <s v="Realizada"/>
    <s v="NÃO"/>
    <s v="Sem informação"/>
    <n v="0"/>
    <n v="0"/>
    <n v="3744.7599999999998"/>
    <n v="0"/>
    <d v="2023-10-02T00:00:00"/>
    <x v="6"/>
    <x v="0"/>
    <x v="0"/>
    <n v="3744.7599999999998"/>
    <n v="0"/>
    <x v="2"/>
    <x v="3"/>
    <x v="1"/>
    <x v="0"/>
    <n v="760.59176171577315"/>
  </r>
  <r>
    <n v="3"/>
    <n v="19355134"/>
    <s v="001297/23"/>
    <s v="***.531.822-**"/>
    <s v="VALERIO FIEL DA COSTA"/>
    <s v="PROFESSOR DO MAGISTERIO SUPERIOR"/>
    <s v="FUC-0001"/>
    <s v="FUC-0001"/>
    <d v="2023-10-22T00:00:00"/>
    <d v="2023-10-29T00:00:00"/>
    <s v="1 - A participação como coordenador do PPGM/UFPB no Seminário de Meio-Termo da CAPES (Brasília-DF) faz parte de um esforço geral da UFPB de adesão e incremento da pós graduação na nossa universidade. Nosso curso de música, nota 4, é candidato a ampliação da nota e pretendemos realizar todos os esforços para atingir tal objetivo. Assim, é muito importante participar ativamente do Seminário de Meio Termo da CAPES. 2 - A ANPPOM é a principal associação da área de música e o projeto de pesquisa do professor Valério Fiel da Costa teve 5 projetos selecionados, incluindo um projeto individual; do mesmo modo, este docente deve participar, durante o evento, na categoria de Coordenador de pós, do Fórum de coordenadores da área."/>
    <x v="47"/>
    <s v="Aéreo"/>
    <s v="Sim"/>
    <s v="Realizada"/>
    <s v="NÃO"/>
    <s v="Sem informação"/>
    <n v="2497.8000000000002"/>
    <n v="0"/>
    <n v="3716.2"/>
    <n v="0"/>
    <d v="2023-10-04T00:00:00"/>
    <x v="11"/>
    <x v="0"/>
    <x v="1"/>
    <n v="3716.2"/>
    <n v="2497.8000000000002"/>
    <x v="1"/>
    <x v="1"/>
    <x v="1"/>
    <x v="0"/>
    <n v="738.44827425831886"/>
  </r>
  <r>
    <n v="2"/>
    <n v="19368089"/>
    <s v="001327/23"/>
    <s v="***.605.854-**"/>
    <s v="ADELAIDE ALVES DIAS"/>
    <s v=""/>
    <s v="-1"/>
    <s v="Sem informação"/>
    <d v="2023-10-22T00:00:00"/>
    <d v="2023-10-28T00:00:00"/>
    <s v="Participar da 41a Reunião Anual da Associação Nacional de Pós-Graduação em Educação - ANPEd Foram incluídas cotações de três companhias aéreas com bagagem despachada; todavia, para tal foi necessário escolher um único voo, tanto na ida quanto na volta. A cotação da ECOS inclui todas as opções, para todos os voos, o que não é possível emitindo a cotação na página de cada empresa."/>
    <x v="40"/>
    <s v="Aéreo"/>
    <s v="Sim"/>
    <s v="Realizada"/>
    <s v="SIM"/>
    <s v="A solicitação desta demanda teve que esperar a resoluçõ de demandas anteriores (teve que obedecer a lista de espera)"/>
    <n v="2572.41"/>
    <n v="0"/>
    <n v="5237.21"/>
    <n v="0"/>
    <d v="2023-10-19T00:00:00"/>
    <x v="6"/>
    <x v="0"/>
    <x v="0"/>
    <n v="5237.21"/>
    <n v="2572.41"/>
    <x v="3"/>
    <x v="3"/>
    <x v="1"/>
    <x v="0"/>
    <n v="1030.3218967873522"/>
  </r>
  <r>
    <n v="2"/>
    <n v="19411089"/>
    <s v="001499/23"/>
    <s v="***.024.696-**"/>
    <s v="BRUNO FERREIRA FRASCAROLI"/>
    <s v="PROFESSOR DO MAGISTERIO SUPERIOR"/>
    <s v="-1"/>
    <s v="Sem informação"/>
    <d v="2023-10-22T00:00:00"/>
    <d v="2023-10-25T00:00:00"/>
    <s v="Seminário de Meio Termo dos programas de pós-graduação da área de ECONOMIA, será realizado na CAPES, Brasília-DF, nos dias 23 e 24 de outubro de 2023, das 09:00 às 18:00 horas. O proposto é coordenador do Programa de Pós Graduação em Economia do Setor Público."/>
    <x v="48"/>
    <s v="Aéreo"/>
    <s v="Não"/>
    <s v="Realizada"/>
    <s v="SIM"/>
    <s v="O valor da passagem aumentou durante a tramitação de pedido antes de gerar a PCDP e o saldo do empenho ficou insuficiente para atender a demanda, de modo que foi necessário haver uma complementação do crédito via processo, o que gerou atraso nesta solicitação."/>
    <n v="1339.26"/>
    <n v="0"/>
    <n v="3891.05"/>
    <n v="0"/>
    <d v="2023-10-19T00:00:00"/>
    <x v="2"/>
    <x v="0"/>
    <x v="0"/>
    <n v="3891.05"/>
    <n v="1339.26"/>
    <x v="1"/>
    <x v="0"/>
    <x v="0"/>
    <x v="0"/>
    <n v="615.83658844345905"/>
  </r>
  <r>
    <n v="2"/>
    <n v="19185588"/>
    <s v="000807/23"/>
    <s v=""/>
    <s v="CARLOS VITAL DOS SANTOS JUNIOR"/>
    <s v=""/>
    <s v="-1"/>
    <s v="Sem informação"/>
    <d v="2023-10-23T00:00:00"/>
    <d v="2023-10-27T00:00:00"/>
    <s v="Participação no XXII Simpósio Brasileiro de Química Teórica"/>
    <x v="13"/>
    <s v="Aéreo"/>
    <s v="Não"/>
    <s v="Realizada"/>
    <s v="NÃO"/>
    <s v="Sem informação"/>
    <n v="0"/>
    <n v="0"/>
    <n v="1416.69"/>
    <n v="0"/>
    <d v="2023-08-16T00:00:00"/>
    <x v="7"/>
    <x v="0"/>
    <x v="0"/>
    <n v="1416.69"/>
    <n v="0"/>
    <x v="2"/>
    <x v="3"/>
    <x v="1"/>
    <x v="0"/>
    <n v="717.39676463438343"/>
  </r>
  <r>
    <n v="2"/>
    <n v="19194811"/>
    <s v="000849/23"/>
    <s v=""/>
    <s v="LUIZ EDUARDO GOMES DA CRUZ"/>
    <s v=""/>
    <s v="-1"/>
    <s v="Sem informação"/>
    <d v="2023-10-23T00:00:00"/>
    <d v="2023-10-27T00:00:00"/>
    <s v="O referido discente participará do XXII Sipósio Brasileiro de Químic Teórica"/>
    <x v="13"/>
    <s v="Aéreo"/>
    <s v="Sim"/>
    <s v="Realizada"/>
    <s v="NÃO"/>
    <s v="Sem informação"/>
    <n v="0"/>
    <n v="0"/>
    <n v="1455.0900000000001"/>
    <n v="86.89"/>
    <d v="2023-08-22T00:00:00"/>
    <x v="7"/>
    <x v="0"/>
    <x v="0"/>
    <n v="1541.9800000000002"/>
    <n v="0"/>
    <x v="2"/>
    <x v="3"/>
    <x v="1"/>
    <x v="0"/>
    <n v="717.39676463438343"/>
  </r>
  <r>
    <n v="2"/>
    <n v="19246644"/>
    <s v="001000/23"/>
    <s v="***.453.194-**"/>
    <s v="THAIS AUGUSTA CUNHA DE OLIVEIRA MAXIMO"/>
    <s v="PROFESSOR DO MAGISTERIO SUPERIOR"/>
    <s v="-1"/>
    <s v="Sem informação"/>
    <d v="2023-10-23T00:00:00"/>
    <d v="2023-10-27T00:00:00"/>
    <s v="- Participação em reunião do grupo de trabalho da ANPEPP (24/10) - Apresentação de trabalhos (mesa redonda e apresentação oral) no VII Congresso Brasileiro de Psicodinâmica e Clínica do Trabalho (Evento 25 a 27/10)"/>
    <x v="13"/>
    <s v="Aéreo"/>
    <s v="Não"/>
    <s v="Realizada"/>
    <s v="NÃO"/>
    <s v="Sem informação"/>
    <n v="1299.5"/>
    <n v="0"/>
    <n v="2512.19"/>
    <n v="0"/>
    <d v="2023-09-06T00:00:00"/>
    <x v="7"/>
    <x v="0"/>
    <x v="0"/>
    <n v="2512.19"/>
    <n v="1299.5"/>
    <x v="2"/>
    <x v="0"/>
    <x v="1"/>
    <x v="0"/>
    <n v="717.39676463438343"/>
  </r>
  <r>
    <n v="2"/>
    <n v="19256805"/>
    <s v="001144/23"/>
    <s v="***.953.714-**"/>
    <s v="GERMANA COSTA ROCHA"/>
    <s v="PROFESSOR DO MAGISTERIO SUPERIOR"/>
    <s v="FUC-0001"/>
    <s v="FUC-0001"/>
    <d v="2023-10-23T00:00:00"/>
    <d v="2023-10-29T00:00:00"/>
    <s v="Participação como coordenadora do Curso de Pós-graduação em Arquitetura e Urbanismo do Centro de Tecnologia (PPGAU/UFPB) no Seminário de Meio de Termo, evento importante para avaliação do programa. Além disso, atendendo à convites (em anexo), realizar visitas técnicas importantes às pesquisas em desenvolvimento, e à consolidação de parcerias em outras instituições, ampliando as atividades já realizadas e possibilitando a formação de novas cooperações técnicas e científicas."/>
    <x v="1"/>
    <s v="Aéreo"/>
    <s v="Não"/>
    <s v="Realizada"/>
    <s v="NÃO"/>
    <s v="Sem informação"/>
    <n v="2422.86"/>
    <n v="0"/>
    <n v="2100.1999999999998"/>
    <n v="0"/>
    <d v="2023-09-22T00:00:00"/>
    <x v="6"/>
    <x v="0"/>
    <x v="0"/>
    <n v="2100.1999999999998"/>
    <n v="2422.86"/>
    <x v="1"/>
    <x v="1"/>
    <x v="0"/>
    <x v="0"/>
    <n v="626.66401501165365"/>
  </r>
  <r>
    <n v="2"/>
    <n v="19167013"/>
    <s v="000945/23"/>
    <s v="***.836.117-**"/>
    <s v="PAULO CESAR ZAMBRONI DE SOUZA"/>
    <s v="PROFESSOR DO MAGISTERIO SUPERIOR"/>
    <s v="-1"/>
    <s v="Sem informação"/>
    <d v="2023-10-24T00:00:00"/>
    <d v="2023-10-28T00:00:00"/>
    <s v="Participar e apresentar trabalhos no VII Congresso Brasileiro de Psicodinâmica do Trabalho e I Congresso Brasileiro de Trabalho, Subjetividade e Práticas Clínicas."/>
    <x v="13"/>
    <s v="Aéreo"/>
    <s v="Não"/>
    <s v="Realizada"/>
    <s v="NÃO"/>
    <s v="Sem informação"/>
    <n v="1690.49"/>
    <n v="0"/>
    <n v="1932.8899999999999"/>
    <n v="0"/>
    <d v="2023-09-15T00:00:00"/>
    <x v="7"/>
    <x v="0"/>
    <x v="0"/>
    <n v="1932.8899999999999"/>
    <n v="1690.49"/>
    <x v="2"/>
    <x v="0"/>
    <x v="1"/>
    <x v="0"/>
    <n v="717.39676463438343"/>
  </r>
  <r>
    <n v="2"/>
    <n v="19243698"/>
    <s v="000969/23"/>
    <s v="***.428.444-**"/>
    <s v="FABIOLA DE SOUSA BRAZ AQUINO"/>
    <s v="PROFESSOR DO MAGISTERIO SUPERIOR"/>
    <s v="-1"/>
    <s v="Sem informação"/>
    <d v="2023-10-24T00:00:00"/>
    <d v="2023-10-28T00:00:00"/>
    <s v="Participação e exposição de trabalho (Sessão coordenada e painéis) na 53ª. Reunião Anual da Sociedade Brasileira de Psicologia (25-27/10/2023)"/>
    <x v="1"/>
    <s v="Aéreo"/>
    <s v="Não"/>
    <s v="Realizada"/>
    <s v="NÃO"/>
    <s v="Sem informação"/>
    <n v="1690.49"/>
    <n v="0"/>
    <n v="2526.5"/>
    <n v="0"/>
    <d v="2023-09-04T00:00:00"/>
    <x v="7"/>
    <x v="0"/>
    <x v="0"/>
    <n v="2526.5"/>
    <n v="1690.49"/>
    <x v="2"/>
    <x v="0"/>
    <x v="0"/>
    <x v="0"/>
    <n v="626.66401501165365"/>
  </r>
  <r>
    <n v="2"/>
    <n v="19285853"/>
    <s v="001076/23"/>
    <s v="***.061.844-**"/>
    <s v="HENRY IURE DE PAIVA SILVA"/>
    <s v="PROFESSOR DO MAGISTERIO SUPERIOR"/>
    <s v="-1"/>
    <s v="Sem informação"/>
    <d v="2023-10-24T00:00:00"/>
    <d v="2023-10-28T00:00:00"/>
    <s v="Participação no 47º Encontro Anual da Associação Nacional de Pós-Graduação e Pesquisa em Ciências Sociais (ANPOCS), entre os dias 25 e 27 de outubro de 2023, a ser realizado na Universidade Estadual de Campinas (UNICAMP), no Campus I, localizado na cidade de Campinas-SP. Além de participar da programação geral do evento, apresentarei trabalho em que figuro como coautor intitulado 'Data Diplomacy e Redes de Cooperação Científica e Tecnológica' aprovado no 'GT47. Política Internacional e Redes de Cooperação Científica e Tecnológica' (vide carta de aceite em anexo), compartilhando resultados parciais de projeto da UFPB e UFPE em parceria com o United Nations Institute for Training and Research - UNITAR-NY, no qual atuo a partir da coordenação do Grupo de Estudos em Segurança Energética - Gesene (vide datadiplomacyproject.com)."/>
    <x v="24"/>
    <s v="Aéreo"/>
    <s v="Não"/>
    <s v="Realizada"/>
    <s v="NÃO"/>
    <s v="Sem informação"/>
    <n v="1329.41"/>
    <n v="0"/>
    <n v="2046.04"/>
    <n v="0"/>
    <d v="2023-09-14T00:00:00"/>
    <x v="7"/>
    <x v="0"/>
    <x v="0"/>
    <n v="2046.04"/>
    <n v="1329.41"/>
    <x v="2"/>
    <x v="0"/>
    <x v="1"/>
    <x v="0"/>
    <n v="802.381352216604"/>
  </r>
  <r>
    <n v="2"/>
    <n v="19354127"/>
    <s v="001287/23"/>
    <s v="***.506.604-**"/>
    <s v="GEORGE EMMANUEL CAVALCANTI DE MIRANDA"/>
    <s v="PROFESSOR DO MAGISTERIO SUPERIOR"/>
    <s v="FUC-0001"/>
    <s v="FUC-0001"/>
    <d v="2023-10-24T00:00:00"/>
    <d v="2023-10-27T00:00:00"/>
    <s v="Participação no Seminário de Meio Termo da Área de Ciências Ambientais, que acontecerá nos dias 25 e 26 de outubro de 2023, das 09h00 às 18h00, em Brasília/DF, na Capes (Setor Bancário Norte, Quadra 2, Bloco L, Lote 06, Edifício CAPES)"/>
    <x v="1"/>
    <s v="Aéreo"/>
    <s v="Sim"/>
    <s v="Realizada"/>
    <s v="NÃO"/>
    <s v="Sem informação"/>
    <n v="1309.3499999999999"/>
    <n v="0"/>
    <n v="2483.1000000000004"/>
    <n v="0"/>
    <d v="2023-10-06T00:00:00"/>
    <x v="2"/>
    <x v="0"/>
    <x v="0"/>
    <n v="2483.1000000000004"/>
    <n v="1309.3499999999999"/>
    <x v="1"/>
    <x v="1"/>
    <x v="0"/>
    <x v="0"/>
    <n v="626.66401501165365"/>
  </r>
  <r>
    <n v="2"/>
    <n v="19377573"/>
    <s v="001374/23"/>
    <s v=""/>
    <s v="CAMILA GABRIEL LIMA CARNEIRO"/>
    <s v=""/>
    <s v="-1"/>
    <s v="Sem informação"/>
    <d v="2023-10-24T00:00:00"/>
    <d v="2023-10-28T00:00:00"/>
    <s v="PROPOSTO IRÁ APRESENTAR PROJETO DE PESQUISA BASEADO NOS ESTUDOS PARA EXTENSÃO DO CURSO DE PSICOLOGIA NA UFPB."/>
    <x v="1"/>
    <s v="Aéreo"/>
    <s v="Não"/>
    <s v="Realizada"/>
    <s v="NÃO"/>
    <s v="Sem informação"/>
    <n v="0"/>
    <n v="0"/>
    <n v="2334"/>
    <n v="0"/>
    <d v="2023-10-06T00:00:00"/>
    <x v="7"/>
    <x v="0"/>
    <x v="0"/>
    <n v="2334"/>
    <n v="0"/>
    <x v="2"/>
    <x v="3"/>
    <x v="0"/>
    <x v="0"/>
    <n v="626.66401501165365"/>
  </r>
  <r>
    <n v="2"/>
    <n v="19067802"/>
    <s v="000531/23"/>
    <s v="***.374.464-**"/>
    <s v="YURI WANDERLEY CAVALCANTI"/>
    <s v="PROFESSOR DO MAGISTERIO SUPERIOR"/>
    <s v="FUC-0001"/>
    <s v="FUC-0001"/>
    <d v="2023-10-25T00:00:00"/>
    <d v="2023-10-28T00:00:00"/>
    <s v="Participar de seminário de meio termo da área de Odontologia da CAPES"/>
    <x v="1"/>
    <s v="Aéreo"/>
    <s v="Não"/>
    <s v="Realizada"/>
    <s v="NÃO"/>
    <s v="Sem informação"/>
    <n v="1339.26"/>
    <n v="0"/>
    <n v="1537.96"/>
    <n v="0"/>
    <d v="2023-07-07T00:00:00"/>
    <x v="2"/>
    <x v="0"/>
    <x v="0"/>
    <n v="1537.96"/>
    <n v="1339.26"/>
    <x v="1"/>
    <x v="1"/>
    <x v="0"/>
    <x v="0"/>
    <n v="626.66401501165365"/>
  </r>
  <r>
    <n v="2"/>
    <n v="19300853"/>
    <s v="001113/23"/>
    <s v="***.663.536-**"/>
    <s v="FLAVIA AFFONSO MAYER"/>
    <s v="PROFESSOR DO MAGISTERIO SUPERIOR"/>
    <s v="FUC-0001"/>
    <s v="FUC-0001"/>
    <d v="2023-10-25T00:00:00"/>
    <d v="2023-10-28T00:00:00"/>
    <s v="Participação no Seminário de Meio Termo dos programas de pós-graduação da área de Comunicação e Informação. O Seminário consiste em uma reunião dos coordenadores de área com coordenadores ou representantes dos programas de pós-graduação em funcionamento para fins de discutir e planejar, em conjunto, as metas e diretrizes da área para fins de avaliação. Sendo um convite direcionado ao coordenador de Programa em funcionamento."/>
    <x v="1"/>
    <s v="Aéreo"/>
    <s v="Não"/>
    <s v="Realizada"/>
    <s v="NÃO"/>
    <s v="Sem informação"/>
    <n v="1339.26"/>
    <n v="0"/>
    <n v="2396.3999999999996"/>
    <n v="0"/>
    <d v="2023-09-26T00:00:00"/>
    <x v="2"/>
    <x v="0"/>
    <x v="0"/>
    <n v="2396.3999999999996"/>
    <n v="1339.26"/>
    <x v="1"/>
    <x v="1"/>
    <x v="0"/>
    <x v="0"/>
    <n v="626.66401501165365"/>
  </r>
  <r>
    <n v="2"/>
    <n v="19214722"/>
    <s v="000994/23"/>
    <s v="***.773.040-**"/>
    <s v="FABIANA DE CARVALHO FIM"/>
    <s v="PROFESSOR DO MAGISTERIO SUPERIOR"/>
    <s v="-1"/>
    <s v="Sem informação"/>
    <d v="2023-10-26T00:00:00"/>
    <d v="2023-11-03T00:00:00"/>
    <s v="Serão realizadas duas missões: a primeira será para uma visita técnica a um laboratório na Universidade Federal do Rio Grande do Sul, em Porto Alegre, pois a Professora solicitante foi contemplada com um projeto CNPq cujo objeto de estudo também está sendo desenvolvido na referida universidade e irá estabelecer um convênio de trabalho. A segunda missão será a participação e apresentação de dois trabalhos envolvendo alunos do PPCEM e da graduação em Eng. de Materiais em congresso nacional na Cidade de Joinville, em Santa Catariana."/>
    <x v="49"/>
    <s v="Aéreo"/>
    <s v="Não"/>
    <s v="Realizada"/>
    <s v="NÃO"/>
    <s v="Sem informação"/>
    <n v="2513.31"/>
    <n v="0"/>
    <n v="3367.99"/>
    <n v="0"/>
    <d v="2023-09-12T00:00:00"/>
    <x v="5"/>
    <x v="0"/>
    <x v="0"/>
    <n v="3367.99"/>
    <n v="2513.31"/>
    <x v="2"/>
    <x v="0"/>
    <x v="1"/>
    <x v="0"/>
    <n v="1051.5678878782176"/>
  </r>
  <r>
    <n v="2"/>
    <n v="19275566"/>
    <s v="001131/23"/>
    <s v="***.350.864-**"/>
    <s v="WASLON TERLLIZZIE ARAUJO LOPES"/>
    <s v="PROFESSOR DO MAGISTERIO SUPERIOR"/>
    <s v="-1"/>
    <s v="Sem informação"/>
    <d v="2023-10-26T00:00:00"/>
    <d v="2023-10-29T00:00:00"/>
    <s v="Apresentação de 3 artigos na XIII Conferência Nacional em Comunicações, Redes e Segurança da Informação (Encom 2023), a ser realizado de 27 a 29 de outubro de 2023 em Belém, PA."/>
    <x v="50"/>
    <s v="Aéreo"/>
    <s v="Não"/>
    <s v="Realizada"/>
    <s v="NÃO"/>
    <s v="Sem informação"/>
    <n v="1228.75"/>
    <n v="0"/>
    <n v="1459.03"/>
    <n v="0"/>
    <d v="2023-09-21T00:00:00"/>
    <x v="2"/>
    <x v="0"/>
    <x v="0"/>
    <n v="1459.03"/>
    <n v="1228.75"/>
    <x v="2"/>
    <x v="0"/>
    <x v="0"/>
    <x v="0"/>
    <n v="613.91005595499462"/>
  </r>
  <r>
    <n v="2"/>
    <n v="19299833"/>
    <s v="001213/23"/>
    <s v="***.955.884-**"/>
    <s v="IGUATEMI EDUARDO DA FONSECA"/>
    <s v="PROFESSOR DO MAGISTERIO SUPERIOR"/>
    <s v="-1"/>
    <s v="Sem informação"/>
    <d v="2023-10-26T00:00:00"/>
    <d v="2023-10-29T00:00:00"/>
    <s v="Apresentação de trabalho na XIII Conferência Nacional em Comunicações, Redes e Segurança da Informação - ENCOM 2023."/>
    <x v="5"/>
    <s v="Aéreo"/>
    <s v="Sim"/>
    <s v="Realizada"/>
    <s v="NÃO"/>
    <s v="Sem informação"/>
    <n v="1228.75"/>
    <n v="0"/>
    <n v="3758.9799999999996"/>
    <n v="0"/>
    <d v="2023-09-28T00:00:00"/>
    <x v="2"/>
    <x v="0"/>
    <x v="0"/>
    <n v="3758.9799999999996"/>
    <n v="1228.75"/>
    <x v="2"/>
    <x v="0"/>
    <x v="0"/>
    <x v="0"/>
    <n v="596.68665796167329"/>
  </r>
  <r>
    <n v="2"/>
    <n v="19300170"/>
    <s v="001110/23"/>
    <s v="***.616.214-**"/>
    <s v="FABRICIO BRAGA SOARES DE CARVALHO"/>
    <s v="PROFESSOR DO MAGISTERIO SUPERIOR"/>
    <s v="-1"/>
    <s v="Sem informação"/>
    <d v="2023-10-26T00:00:00"/>
    <d v="2023-10-29T00:00:00"/>
    <s v="Apresentação de artigos científicos aprovados na XIII Conferência Nacional em Comunicações, Redes e Segurança da Informação - ENCOM 2023, que ocorrerá no período de 27 a 29 de outubro/2023, em Belém-PA."/>
    <x v="50"/>
    <s v="Aéreo"/>
    <s v="Não"/>
    <s v="Realizada"/>
    <s v="NÃO"/>
    <s v="Sem informação"/>
    <n v="1228.75"/>
    <n v="0"/>
    <n v="1334.83"/>
    <n v="0"/>
    <d v="2023-09-18T00:00:00"/>
    <x v="2"/>
    <x v="0"/>
    <x v="0"/>
    <n v="1334.83"/>
    <n v="1228.75"/>
    <x v="2"/>
    <x v="0"/>
    <x v="0"/>
    <x v="0"/>
    <n v="613.91005595499462"/>
  </r>
  <r>
    <n v="2"/>
    <n v="19382512"/>
    <s v="001389/23"/>
    <s v="***.351.814-**"/>
    <s v="VANESSA DE AZEVEDO SOARES"/>
    <s v=""/>
    <s v="-1"/>
    <s v="Sem informação"/>
    <d v="2023-10-28T00:00:00"/>
    <d v="2023-11-06T00:00:00"/>
    <s v="Proposto irár participar no 73º Congresso Nacional de Botânica - CNBOT na função de apresentador de trabalhos acadêmicos do seu curso na UFPB"/>
    <x v="5"/>
    <s v="Aéreo"/>
    <s v="Sim"/>
    <s v="Realizada"/>
    <s v="NÃO"/>
    <s v="Sem informação"/>
    <n v="0"/>
    <n v="0"/>
    <n v="3078.98"/>
    <n v="0"/>
    <d v="2023-10-10T00:00:00"/>
    <x v="10"/>
    <x v="0"/>
    <x v="0"/>
    <n v="3078.98"/>
    <n v="0"/>
    <x v="2"/>
    <x v="3"/>
    <x v="0"/>
    <x v="0"/>
    <n v="596.68665796167329"/>
  </r>
  <r>
    <n v="2"/>
    <n v="19382645"/>
    <s v="001388/23"/>
    <s v=""/>
    <s v="PRISCILA SOARES DA SILVA"/>
    <s v=""/>
    <s v="-1"/>
    <s v="Sem informação"/>
    <d v="2023-10-28T00:00:00"/>
    <d v="2023-11-06T00:00:00"/>
    <s v="Proposto irár participar no 73º Congresso Nacional de Botânica - CNBOT na função de apresentador de trabalhos acadêmicos do seu curso na UFPB."/>
    <x v="5"/>
    <s v="Aéreo"/>
    <s v="Não"/>
    <s v="Realizada"/>
    <s v="NÃO"/>
    <s v="Sem informação"/>
    <n v="0"/>
    <n v="0"/>
    <n v="3078.98"/>
    <n v="0"/>
    <d v="2023-10-10T00:00:00"/>
    <x v="10"/>
    <x v="0"/>
    <x v="0"/>
    <n v="3078.98"/>
    <n v="0"/>
    <x v="2"/>
    <x v="3"/>
    <x v="0"/>
    <x v="0"/>
    <n v="596.68665796167329"/>
  </r>
  <r>
    <n v="2"/>
    <n v="19382694"/>
    <s v="001390/23"/>
    <s v="***.995.694-**"/>
    <s v="ESTEPHANNI FERNANDA OLIVEIRA DANTAS"/>
    <s v=""/>
    <s v="-1"/>
    <s v="Sem informação"/>
    <d v="2023-10-28T00:00:00"/>
    <d v="2023-11-06T00:00:00"/>
    <s v="Proposto irár participar no 73º Congresso Nacional de Botânica - CNBOT na função de apresentador de trabalhos acadêmicos do seu curso na UFPB."/>
    <x v="5"/>
    <s v="Aéreo"/>
    <s v="Sim"/>
    <s v="Realizada"/>
    <s v="NÃO"/>
    <s v="Sem informação"/>
    <n v="0"/>
    <n v="0"/>
    <n v="3078.98"/>
    <n v="0"/>
    <d v="2023-10-10T00:00:00"/>
    <x v="10"/>
    <x v="0"/>
    <x v="0"/>
    <n v="3078.98"/>
    <n v="0"/>
    <x v="2"/>
    <x v="3"/>
    <x v="0"/>
    <x v="0"/>
    <n v="596.68665796167329"/>
  </r>
  <r>
    <n v="2"/>
    <n v="19052928"/>
    <s v="000567/23"/>
    <s v="***.219.784-**"/>
    <s v="WENNER GLAUCIO LOPES LUCENA"/>
    <s v="PROFESSOR DO MAGISTERIO SUPERIOR"/>
    <s v="FUC-0001"/>
    <s v="FUC-0001"/>
    <d v="2023-10-29T00:00:00"/>
    <d v="2023-11-01T00:00:00"/>
    <s v="Participação da reunião de coordenadores de programas de pós-graduação da área de Administração Pública e de Empresas, Ciências Contábeis e Turismo (área 27). O Seminário consiste em reunião dos coordenadores de área para fins de discutir e planejar, em conjunto, as metas e diretrizes da área para fins de avaliação. Além disso, esta será uma oportunidade para compartilhamento de experiências e análise do desempenho dos programas nos dois primeiros anos do quadriênio."/>
    <x v="1"/>
    <s v="Aéreo"/>
    <s v="Sim"/>
    <s v="Realizada"/>
    <s v="NÃO"/>
    <s v="Sem informação"/>
    <n v="1339.26"/>
    <n v="0"/>
    <n v="1941.6599999999999"/>
    <n v="0"/>
    <d v="2023-07-11T00:00:00"/>
    <x v="2"/>
    <x v="0"/>
    <x v="0"/>
    <n v="1941.6599999999999"/>
    <n v="1339.26"/>
    <x v="3"/>
    <x v="1"/>
    <x v="0"/>
    <x v="0"/>
    <n v="626.66401501165365"/>
  </r>
  <r>
    <n v="2"/>
    <n v="19147264"/>
    <s v="000732/23"/>
    <s v="***.293.200-**"/>
    <s v="CRISTIANO BONNEAU"/>
    <s v="PROFESSOR DO MAGISTERIO SUPERIOR"/>
    <s v="FUC-0001"/>
    <s v="FUC-0001"/>
    <d v="2023-10-29T00:00:00"/>
    <d v="2023-11-01T00:00:00"/>
    <s v="Participar como representante do PPGF do Seminário de Meio Termo da CAPES na área de Filosofia."/>
    <x v="1"/>
    <s v="Aéreo"/>
    <s v="Não"/>
    <s v="Realizada"/>
    <s v="NÃO"/>
    <s v="Sem informação"/>
    <n v="1273.32"/>
    <n v="0"/>
    <n v="1856"/>
    <n v="0"/>
    <d v="2023-08-03T00:00:00"/>
    <x v="2"/>
    <x v="0"/>
    <x v="0"/>
    <n v="1856"/>
    <n v="1273.32"/>
    <x v="1"/>
    <x v="1"/>
    <x v="0"/>
    <x v="0"/>
    <n v="626.66401501165365"/>
  </r>
  <r>
    <n v="2"/>
    <n v="19260865"/>
    <s v="001107/23"/>
    <s v="***.066.024-**"/>
    <s v="JOSE JORGE LIMA DIAS JUNIOR"/>
    <s v="PROFESSOR DO MAGISTERIO SUPERIOR"/>
    <s v="-1"/>
    <s v="Sem informação"/>
    <d v="2023-10-29T00:00:00"/>
    <d v="2023-10-31T00:00:00"/>
    <s v="O professor irá representar o Programa de Pós-Graduação em Administração no Seminário de Meio Termo realizado pela CAPES. O Seminário consiste em uma reunião dos coordenadores de área com coordenadores(as) ou representantes dos programas de pós-graduação stricto sensu em funcionamento para fins de discutir e planejar, em conjunto, as metas e diretrizes da área para fins de avaliação. Além disso, esta será uma oportunidade para compartilhamento de experiências e análise do desempenho dos programas nos dois primeiros anos do quadriênio."/>
    <x v="1"/>
    <s v="Aéreo"/>
    <s v="Não"/>
    <s v="Realizada"/>
    <s v="NÃO"/>
    <s v="Sem informação"/>
    <n v="988.03"/>
    <n v="0"/>
    <n v="2121.6"/>
    <n v="0"/>
    <d v="2023-09-18T00:00:00"/>
    <x v="3"/>
    <x v="0"/>
    <x v="0"/>
    <n v="2121.6"/>
    <n v="988.03"/>
    <x v="1"/>
    <x v="1"/>
    <x v="0"/>
    <x v="0"/>
    <n v="626.66401501165365"/>
  </r>
  <r>
    <n v="2"/>
    <n v="19265849"/>
    <s v="001067/23"/>
    <s v="***.932.194-**"/>
    <s v="ANA CAROLINA KRUTA DE ARAUJO BISPO"/>
    <s v="PROFESSOR DO MAGISTERIO SUPERIOR"/>
    <s v="-1"/>
    <s v="Sem informação"/>
    <d v="2023-10-29T00:00:00"/>
    <d v="2023-10-31T00:00:00"/>
    <s v="A docente atua como vice-coordenadora do Programa de Pós-Graduação em Gestão Pública e Cooperação Internacional (PGPCI) e atuará como representante do Programa na reunião de meio termo da área de Administração Pública e de Empresas, Ciências Contábeis e Turismo, nos dias 30 e 31/10/2023."/>
    <x v="1"/>
    <s v="Aéreo"/>
    <s v="Não"/>
    <s v="Realizada"/>
    <s v="NÃO"/>
    <s v="Sem informação"/>
    <n v="988.03"/>
    <n v="0"/>
    <n v="1597.1"/>
    <n v="0"/>
    <d v="2023-09-13T00:00:00"/>
    <x v="3"/>
    <x v="0"/>
    <x v="0"/>
    <n v="1597.1"/>
    <n v="988.03"/>
    <x v="1"/>
    <x v="1"/>
    <x v="0"/>
    <x v="0"/>
    <n v="626.66401501165365"/>
  </r>
  <r>
    <n v="2"/>
    <n v="19290976"/>
    <s v="001091/23"/>
    <s v="***.023.839-**"/>
    <s v="SOLANGE MARIA LEDER"/>
    <s v="PROFESSOR DO MAGISTERIO SUPERIOR"/>
    <s v="-1"/>
    <s v="Sem informação"/>
    <d v="2023-10-29T00:00:00"/>
    <d v="2023-11-02T00:00:00"/>
    <s v="A interessada é docente permanente no Programa de Pós-Graduação em Arquitetura e Urbanismo, do Centro de Tecnologia da UFPB, tendo aprovado 9 artigos (3 sem correções, 6 com correções que estão em curso). Os artigos aprovados serão apresentados no evento e publicados nos respectivos anais."/>
    <x v="4"/>
    <s v="Aéreo"/>
    <s v="Não"/>
    <s v="Realizada"/>
    <s v="NÃO"/>
    <s v="Sem informação"/>
    <n v="1720.4"/>
    <n v="0"/>
    <n v="2142.34"/>
    <n v="0"/>
    <d v="2023-09-15T00:00:00"/>
    <x v="7"/>
    <x v="0"/>
    <x v="0"/>
    <n v="2142.34"/>
    <n v="1720.4"/>
    <x v="2"/>
    <x v="0"/>
    <x v="1"/>
    <x v="0"/>
    <n v="800.95835140972315"/>
  </r>
  <r>
    <n v="2"/>
    <n v="19293715"/>
    <s v="001097/23"/>
    <s v="***.344.524-**"/>
    <s v="RENATE MARIA RAMOS WELLEN"/>
    <s v="PROFESSOR DO MAGISTERIO SUPERIOR"/>
    <s v="CD-0004"/>
    <s v="Cargo Comissionado de Direção"/>
    <d v="2023-10-29T00:00:00"/>
    <d v="2023-11-02T00:00:00"/>
    <s v="A pesquisadora/docente irá participar/apresentar trabalhos no 17º CBPol, como também participará de reuniões técnicas visando discussão de metodologias e resultados de projetos aprovados em execução na UFPB, como também formação de novas parcerias. Indubitavelmente trará novos conhecimentos para docentes e discentes da UFPB. (https://cbpol.com.br/)"/>
    <x v="51"/>
    <s v="Aéreo"/>
    <s v="Sim"/>
    <s v="Realizada"/>
    <s v="NÃO"/>
    <s v="Sem informação"/>
    <n v="1359.32"/>
    <n v="0"/>
    <n v="4084.25"/>
    <n v="0"/>
    <d v="2023-09-18T00:00:00"/>
    <x v="7"/>
    <x v="0"/>
    <x v="0"/>
    <n v="4084.25"/>
    <n v="1359.32"/>
    <x v="2"/>
    <x v="0"/>
    <x v="1"/>
    <x v="0"/>
    <n v="943.54548797516622"/>
  </r>
  <r>
    <n v="2"/>
    <n v="19304242"/>
    <s v="001124/23"/>
    <s v="***.878.431-**"/>
    <s v="CAROLINA COELHO ARAGON"/>
    <s v="PROFESSOR DO MAGISTERIO SUPERIOR"/>
    <s v="-1"/>
    <s v="Sem informação"/>
    <d v="2023-10-29T00:00:00"/>
    <d v="2023-11-12T00:00:00"/>
    <s v="realização do trabalho na Terra Indígena (TI) Rio Branco, estado de Rondônia. Este trabalho está vinculado ao projeto de pesquisa aprovado pelo Departamento de Língua Portuguesa e Linguístico da UFPB intitulado 'Educação, Linguística, História e Comunidades Indígenas'. Refere-se ao trabalho interdisciplinar desenvolvido em parceria com professoras da Universidade Federal de Rondônia e da Universidade Federal de Santa Catarina voltado à pesquisa e à formação de professores indígenas."/>
    <x v="52"/>
    <s v="Aéreo"/>
    <s v="Não"/>
    <s v="Realizada"/>
    <s v="NÃO"/>
    <s v="Sem informação"/>
    <n v="0"/>
    <n v="0"/>
    <n v="2319.9899999999998"/>
    <n v="0"/>
    <d v="2023-10-03T00:00:00"/>
    <x v="13"/>
    <x v="0"/>
    <x v="0"/>
    <n v="2319.9899999999998"/>
    <n v="0"/>
    <x v="2"/>
    <x v="0"/>
    <x v="1"/>
    <x v="0"/>
    <n v="1090.9223847531473"/>
  </r>
  <r>
    <n v="2"/>
    <n v="19358601"/>
    <s v="001324/23"/>
    <s v="***.031.021-**"/>
    <s v="WAGNER JUNQUEIRA DE ARAUJO"/>
    <s v="PROFESSOR DO MAGISTERIO SUPERIOR"/>
    <s v="FUC-0001"/>
    <s v="FUC-0001"/>
    <d v="2023-10-29T00:00:00"/>
    <d v="2023-11-01T00:00:00"/>
    <s v="Participação no Seminário promovido pela CAPES de Meio Termo da CAPES da área de Administração Pública e de Empresas, Ciências Contábeis e Turismo."/>
    <x v="1"/>
    <s v="Aéreo"/>
    <s v="Não"/>
    <s v="Realizada"/>
    <s v="SIM"/>
    <s v="mudança de empenho por insuficiência de saldo."/>
    <n v="1339.26"/>
    <n v="0"/>
    <n v="2829.7"/>
    <n v="0"/>
    <d v="2023-10-11T00:00:00"/>
    <x v="2"/>
    <x v="0"/>
    <x v="0"/>
    <n v="2829.7"/>
    <n v="1339.26"/>
    <x v="1"/>
    <x v="1"/>
    <x v="0"/>
    <x v="0"/>
    <n v="626.66401501165365"/>
  </r>
  <r>
    <n v="2"/>
    <n v="19364058"/>
    <s v="001315/23"/>
    <s v="***.668.764-**"/>
    <s v="LUIZ MEDEIROS DE ARAUJO LIMA FILHO"/>
    <s v="PROFESSOR DO MAGISTERIO SUPERIOR"/>
    <s v="CD-0003"/>
    <s v="Cargo Comissionado de Direção"/>
    <d v="2023-10-29T00:00:00"/>
    <d v="2023-11-02T00:00:00"/>
    <s v="Participação na Reunião Nacional de Pró-Reitores de Pesquisa e Pós-Graduação. Discussões e ações estratégicas para os Programas de Pós-Graduação."/>
    <x v="9"/>
    <s v="Aéreo"/>
    <s v="Sim"/>
    <s v="Realizada"/>
    <s v="NÃO"/>
    <s v="Sem informação"/>
    <n v="1750.64"/>
    <n v="0"/>
    <n v="2218.58"/>
    <n v="0"/>
    <d v="2023-10-05T00:00:00"/>
    <x v="7"/>
    <x v="0"/>
    <x v="0"/>
    <n v="2218.58"/>
    <n v="1750.64"/>
    <x v="3"/>
    <x v="1"/>
    <x v="1"/>
    <x v="0"/>
    <n v="929.57892259546873"/>
  </r>
  <r>
    <n v="2"/>
    <n v="19385995"/>
    <s v="001447/23"/>
    <s v="***.115.774-**"/>
    <s v="SILVANA CARNEIRO MACIEL"/>
    <s v="PROFESSOR DO MAGISTERIO SUPERIOR"/>
    <s v="CD-0002"/>
    <s v="Cargo Comissionado de Direção"/>
    <d v="2023-10-29T00:00:00"/>
    <d v="2023-10-31T00:00:00"/>
    <s v="36º FOR GRAD - O 36º Fórum de Pró-Reitorias de Graduação (FORGRAD) ocorrerá no ano de 2023 no Instituto Federal de Brasília (IFB), em Brasília. O Fórum trata a respeita todas Políticas de Educação Superior voltadas para os cursos de graduação nas Instituições de Educação Superior (IES). Neste ano, o FORGRAD tem como tema a Política de Avaliação e Regulação da Educação Superior, que será discutida pelas Pró-Reitorias de Graduação."/>
    <x v="1"/>
    <s v="Aéreo"/>
    <s v="Sim"/>
    <s v="Realizada"/>
    <s v="SIM"/>
    <s v="Não se trata de viagem urgente."/>
    <n v="1118.9000000000001"/>
    <n v="0"/>
    <n v="2106.4"/>
    <n v="1388.99"/>
    <d v="2023-10-18T00:00:00"/>
    <x v="3"/>
    <x v="0"/>
    <x v="0"/>
    <n v="3495.3900000000003"/>
    <n v="1118.9000000000001"/>
    <x v="1"/>
    <x v="1"/>
    <x v="0"/>
    <x v="0"/>
    <n v="626.66401501165365"/>
  </r>
  <r>
    <n v="2"/>
    <n v="19396375"/>
    <s v="001448/23"/>
    <s v="***.705.344-**"/>
    <s v="JAILSON RIBEIRO DE OLIVEIRA"/>
    <s v="PROFESSOR DO MAGISTERIO SUPERIOR"/>
    <s v="CD-0004"/>
    <s v="Cargo Comissionado de Direção"/>
    <d v="2023-10-29T00:00:00"/>
    <d v="2023-10-31T00:00:00"/>
    <s v="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
    <x v="1"/>
    <s v="Aéreo"/>
    <s v="Sim"/>
    <s v="Realizada"/>
    <s v="SIM"/>
    <s v="Não há urgência na viagem"/>
    <n v="988.03"/>
    <n v="0"/>
    <n v="2106.4"/>
    <n v="0"/>
    <d v="2023-10-18T00:00:00"/>
    <x v="3"/>
    <x v="0"/>
    <x v="0"/>
    <n v="2106.4"/>
    <n v="988.03"/>
    <x v="1"/>
    <x v="1"/>
    <x v="0"/>
    <x v="0"/>
    <n v="626.66401501165365"/>
  </r>
  <r>
    <n v="2"/>
    <n v="19399734"/>
    <s v="001449/23"/>
    <s v=""/>
    <s v="ADRIANO DUARTE TAVARES"/>
    <s v="PROFESSOR DO MAGISTERIO SUPERIOR"/>
    <s v="CD-0004"/>
    <s v="Cargo Comissionado de Direção"/>
    <d v="2023-10-29T00:00:00"/>
    <d v="2023-11-01T00:00:00"/>
    <s v="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
    <x v="1"/>
    <s v="Aéreo"/>
    <s v="Não"/>
    <s v="Realizada"/>
    <s v="SIM"/>
    <s v="Não há urgência na viagem."/>
    <n v="1339.26"/>
    <n v="0"/>
    <n v="2017.4"/>
    <n v="0"/>
    <d v="2023-10-18T00:00:00"/>
    <x v="2"/>
    <x v="0"/>
    <x v="0"/>
    <n v="2017.4"/>
    <n v="1339.26"/>
    <x v="1"/>
    <x v="1"/>
    <x v="0"/>
    <x v="0"/>
    <n v="626.66401501165365"/>
  </r>
  <r>
    <n v="2"/>
    <n v="19317291"/>
    <s v="001179/23"/>
    <s v="***.050.813-**"/>
    <s v="ANTONIA LUCIA DE SOUZA"/>
    <s v="PROFESSOR DO MAGISTERIO SUPERIOR"/>
    <s v="FUC-0001"/>
    <s v="FUC-0001"/>
    <d v="2023-10-30T00:00:00"/>
    <d v="2023-11-01T00:00:00"/>
    <s v="Participação como Coordenadora do Programa de Pós-Graduação em Química da Universidade Federal da Paraíba no Seminário do Meio Termo da CAPES em Brasília"/>
    <x v="1"/>
    <s v="Aéreo"/>
    <s v="Não"/>
    <s v="Realizada"/>
    <s v="NÃO"/>
    <s v="Sem informação"/>
    <n v="958.12"/>
    <n v="0"/>
    <n v="2795.4"/>
    <n v="45.09"/>
    <d v="2023-09-22T00:00:00"/>
    <x v="3"/>
    <x v="0"/>
    <x v="0"/>
    <n v="2840.4900000000002"/>
    <n v="958.12"/>
    <x v="1"/>
    <x v="1"/>
    <x v="0"/>
    <x v="0"/>
    <n v="626.66401501165365"/>
  </r>
  <r>
    <n v="2"/>
    <n v="19345403"/>
    <s v="001401/23"/>
    <s v=""/>
    <s v="ISABEL DA SILVA MORAIS"/>
    <s v=""/>
    <s v="-1"/>
    <s v="Sem informação"/>
    <d v="2023-10-30T00:00:00"/>
    <d v="2023-12-16T00:00:00"/>
    <s v="O objetivo da missão é o intercâmbio de alunos do CAVN para a realização de estágio curricular por meio da Escola Profissional Agrícola Fernando Barros Leal em Portugal."/>
    <x v="53"/>
    <s v="Aéreo"/>
    <s v="Não"/>
    <s v="Realizada"/>
    <s v="SIM"/>
    <s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
    <n v="0"/>
    <n v="1791.96"/>
    <n v="9215.41"/>
    <n v="0"/>
    <d v="2023-10-20T00:00:00"/>
    <x v="15"/>
    <x v="0"/>
    <x v="0"/>
    <n v="9215.41"/>
    <n v="1791.96"/>
    <x v="7"/>
    <x v="3"/>
    <x v="1"/>
    <x v="0"/>
    <n v="2305.893447372197"/>
  </r>
  <r>
    <n v="2"/>
    <n v="19386044"/>
    <s v="001403/23"/>
    <s v=""/>
    <s v="MATIAS DA SILVA BRITO"/>
    <s v=""/>
    <s v="-1"/>
    <s v="Sem informação"/>
    <d v="2023-10-30T00:00:00"/>
    <d v="2023-12-16T00:00:00"/>
    <s v="O objetivo da missão é o intercâmbio de alunos do CAVN para a realização de estágio curricular por meio da Escola Profissional Agrícola Fernando Barros Leal em Portugal."/>
    <x v="53"/>
    <s v="Aéreo"/>
    <s v="Não"/>
    <s v="Realizada"/>
    <s v="SIM"/>
    <s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
    <n v="0"/>
    <n v="1791.96"/>
    <n v="9215.41"/>
    <n v="0"/>
    <d v="2023-10-20T00:00:00"/>
    <x v="15"/>
    <x v="0"/>
    <x v="0"/>
    <n v="9215.41"/>
    <n v="1791.96"/>
    <x v="7"/>
    <x v="3"/>
    <x v="1"/>
    <x v="0"/>
    <n v="2305.893447372197"/>
  </r>
  <r>
    <n v="2"/>
    <n v="19386587"/>
    <s v="001402/23"/>
    <s v=""/>
    <s v="NATALIA OLIVEIRA DA CRUZ"/>
    <s v=""/>
    <s v="-1"/>
    <s v="Sem informação"/>
    <d v="2023-10-30T00:00:00"/>
    <d v="2023-12-16T00:00:00"/>
    <s v="O objetivo da missão é o intercâmbio de alunos do CAVN para a realização de estágio curricular por meio da Escola Profissional Agrícola Fernando Barros Leal em Portugal."/>
    <x v="53"/>
    <s v="Aéreo"/>
    <s v="Não"/>
    <s v="Realizada"/>
    <s v="SIM"/>
    <s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
    <n v="0"/>
    <n v="1791.96"/>
    <n v="9215.36"/>
    <n v="0"/>
    <d v="2023-10-20T00:00:00"/>
    <x v="15"/>
    <x v="0"/>
    <x v="0"/>
    <n v="9215.36"/>
    <n v="1791.96"/>
    <x v="7"/>
    <x v="3"/>
    <x v="1"/>
    <x v="0"/>
    <n v="2305.893447372197"/>
  </r>
  <r>
    <n v="2"/>
    <n v="19386794"/>
    <s v="001400/23"/>
    <s v=""/>
    <s v="UAN ARAUJO FEITOSA"/>
    <s v=""/>
    <s v="-1"/>
    <s v="Sem informação"/>
    <d v="2023-10-30T00:00:00"/>
    <d v="2023-12-16T00:00:00"/>
    <s v="O objetivo da missão é o intercâmbio de alunos do CAVN para a realização de estágio curricular por meio da Escola Profissional Agrícola Fernando Barros Leal em Portugal."/>
    <x v="53"/>
    <s v="Aéreo"/>
    <s v="Sim"/>
    <s v="Realizada"/>
    <s v="SIM"/>
    <s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
    <n v="0"/>
    <n v="1791.96"/>
    <n v="9215.41"/>
    <n v="0"/>
    <d v="2023-10-20T00:00:00"/>
    <x v="15"/>
    <x v="0"/>
    <x v="0"/>
    <n v="9215.41"/>
    <n v="1791.96"/>
    <x v="7"/>
    <x v="3"/>
    <x v="1"/>
    <x v="0"/>
    <n v="2305.893447372197"/>
  </r>
  <r>
    <n v="2"/>
    <n v="19261081"/>
    <s v="001030/23"/>
    <s v="***.231.197-**"/>
    <s v="NELSON GOMES DE SANT ANA E SILVA JUNIOR"/>
    <s v="PROFESSOR DO MAGISTERIO SUPERIOR"/>
    <s v="-1"/>
    <s v="Sem informação"/>
    <d v="2023-10-31T00:00:00"/>
    <d v="2023-11-06T00:00:00"/>
    <s v="Participação no XXII Encontro Nacional da Associação Brasileira de Psicologia Social (ABRAPSO), associação a qual sou associado, para apresentação de comunicação oral  intitulado 'Psicologia, Sistema de Justiça Criminal e Direitos Humanos: Diálogos pela Democracia'. O trabalho a ser apresentado está vinculado a linha de pesquisa a qual sou vinculado no Programa de Pós-graduação em Direitos Humanos, Cidadania e Políticas Públicas, assim como ao projeto de pesquisa em andamento sobre Tráfico de Drogas e Homicídios de Mulheres na Paraíba, aprovado pela FAPESQ/PB, pelo Departamento de Ciências Jurídicas e junto ao Programa de Bolsas de Iniciação Científica (PIBIC?UFPB )"/>
    <x v="13"/>
    <s v="Aéreo"/>
    <s v="Sim"/>
    <s v="Realizada"/>
    <s v="NÃO"/>
    <s v="Sem informação"/>
    <n v="2452.77"/>
    <n v="0"/>
    <n v="2224.29"/>
    <n v="0"/>
    <d v="2023-09-11T00:00:00"/>
    <x v="6"/>
    <x v="0"/>
    <x v="0"/>
    <n v="2224.29"/>
    <n v="2452.77"/>
    <x v="2"/>
    <x v="0"/>
    <x v="1"/>
    <x v="0"/>
    <n v="717.39676463438343"/>
  </r>
  <r>
    <n v="2"/>
    <n v="19275186"/>
    <s v="001037/23"/>
    <s v="***.938.087-**"/>
    <s v="RENATA MONTEIRO GARCIA"/>
    <s v="PROFESSOR DO MAGISTERIO SUPERIOR"/>
    <s v="-1"/>
    <s v="Sem informação"/>
    <d v="2023-10-31T00:00:00"/>
    <d v="2023-11-06T00:00:00"/>
    <s v="Apresentação de trabalho acadêmico oriundo de projeto de pesquisa, desenvolvido no âmbito da UFPB, no 22º Encontro Nacional da Associação Brasileira de Psicologia Social (ENABRAPSO). O referido trabalho configura-se como comunicação oral em Grupo de Discussão e intitula-se como 'Mulheres no Tribunal: análises dos pedidos de prisão domiciliar na Justiça Paraibana'. A temática proposta inclui debates no campo das políticas públicas e dos direitos humanos e, mais especificamente, aos temas da Linha de Pesquisa a que pertence esta solicitante."/>
    <x v="13"/>
    <s v="Aéreo"/>
    <s v="Sim"/>
    <s v="Realizada"/>
    <s v="NÃO"/>
    <s v="Sem informação"/>
    <n v="95"/>
    <n v="0"/>
    <n v="2611.69"/>
    <n v="0"/>
    <d v="2023-09-13T00:00:00"/>
    <x v="6"/>
    <x v="0"/>
    <x v="0"/>
    <n v="2611.69"/>
    <n v="95"/>
    <x v="2"/>
    <x v="0"/>
    <x v="1"/>
    <x v="0"/>
    <n v="717.39676463438343"/>
  </r>
  <r>
    <n v="2"/>
    <n v="19371558"/>
    <s v="001337/23"/>
    <s v=""/>
    <s v="SAVIO DOUGLAS FERREIRA SANTANA"/>
    <s v=""/>
    <s v="-1"/>
    <s v="Sem informação"/>
    <d v="2023-10-31T00:00:00"/>
    <d v="2023-11-05T00:00:00"/>
    <s v="PROPOSTO IRÁ PARTICIPAR DE EVENTO NACIONAL NA CONDIÇÃO DE APRESENTADOR DE TRABALHO ACADÊMICO PARA FINS DA GRADUAÇÃO NA UFPB."/>
    <x v="3"/>
    <s v="Aéreo"/>
    <s v="Sim"/>
    <s v="Realizada"/>
    <s v="NÃO"/>
    <s v="Sem informação"/>
    <n v="0"/>
    <n v="0"/>
    <n v="1541.18"/>
    <n v="0"/>
    <d v="2023-10-05T00:00:00"/>
    <x v="4"/>
    <x v="0"/>
    <x v="0"/>
    <n v="1541.18"/>
    <n v="0"/>
    <x v="2"/>
    <x v="3"/>
    <x v="0"/>
    <x v="0"/>
    <n v="271.05605715809952"/>
  </r>
  <r>
    <n v="2"/>
    <n v="19371687"/>
    <s v="001339/23"/>
    <s v=""/>
    <s v="RAQUEL HELENE RAMOS DE MELO"/>
    <s v=""/>
    <s v="-1"/>
    <s v="Sem informação"/>
    <d v="2023-10-31T00:00:00"/>
    <d v="2023-11-05T00:00:00"/>
    <s v="PROPOSTO IRÁ PARTICIPAR DE EVENTO NACIONAL NA CONDIÇÃO DE APRESENTADOR DE TRABALHO ACADÊMICO PARA FINS DA GRADUAÇÃO NA UFPB."/>
    <x v="3"/>
    <s v="Aéreo"/>
    <s v="Sim"/>
    <s v="Realizada"/>
    <s v="NÃO"/>
    <s v="Sem informação"/>
    <n v="0"/>
    <n v="0"/>
    <n v="1541.18"/>
    <n v="0"/>
    <d v="2023-10-05T00:00:00"/>
    <x v="4"/>
    <x v="0"/>
    <x v="0"/>
    <n v="1541.18"/>
    <n v="0"/>
    <x v="2"/>
    <x v="3"/>
    <x v="0"/>
    <x v="0"/>
    <n v="271.05605715809952"/>
  </r>
  <r>
    <n v="2"/>
    <n v="19316173"/>
    <s v="001211/23"/>
    <s v="***.953.478-**"/>
    <s v="MARILDA APARECIDA DE MENEZES"/>
    <s v=""/>
    <s v="-1"/>
    <s v="Sem informação"/>
    <d v="2023-11-04T00:00:00"/>
    <d v="2023-11-12T00:00:00"/>
    <s v="Curso de História Oral: metodologia, memórias, narrativas na V Semana Acadêmica, a ser realizada no período de 06 a 10/11/2023, no CCHLA/UFPB."/>
    <x v="4"/>
    <s v="Aéreo"/>
    <s v="Sim"/>
    <s v="Realizada"/>
    <s v="SIM"/>
    <s v="mudança de empenho de diárias por insuficiência de saldo"/>
    <n v="1629.59"/>
    <n v="0"/>
    <n v="2101.2399999999998"/>
    <n v="0"/>
    <d v="2023-10-10T00:00:00"/>
    <x v="5"/>
    <x v="0"/>
    <x v="0"/>
    <n v="2101.2399999999998"/>
    <n v="1629.59"/>
    <x v="2"/>
    <x v="2"/>
    <x v="1"/>
    <x v="0"/>
    <n v="800.95835140972315"/>
  </r>
  <r>
    <n v="2"/>
    <n v="19370084"/>
    <s v="001331/23"/>
    <s v="***.664.834-**"/>
    <s v="GEZAILDO SANTOS SILVA"/>
    <s v=""/>
    <s v="-1"/>
    <s v="Sem informação"/>
    <d v="2023-11-04T00:00:00"/>
    <d v="2023-11-25T00:00:00"/>
    <s v="O aluno de Doutorado está vinculado a um projeto interinstitucional aprovado pelo CNPq, onde deverá executar ensaios laboratoriais junto a UNICAMP/ITAL, localizados em Campinas, São Paulo, Brasil. Destaca-se que o projeto aprovado tem como proponente a UFPB (proponente)."/>
    <x v="24"/>
    <s v="Aéreo"/>
    <s v="Não"/>
    <s v="Realizada"/>
    <s v="NÃO"/>
    <s v="Sem informação"/>
    <n v="0"/>
    <n v="0"/>
    <n v="2389.14"/>
    <n v="0"/>
    <d v="2023-10-05T00:00:00"/>
    <x v="16"/>
    <x v="0"/>
    <x v="0"/>
    <n v="2389.14"/>
    <n v="0"/>
    <x v="6"/>
    <x v="3"/>
    <x v="1"/>
    <x v="0"/>
    <n v="802.381352216604"/>
  </r>
  <r>
    <n v="2"/>
    <n v="18835196"/>
    <s v="000240/23"/>
    <s v="***.868.157-**"/>
    <s v="THIAGO SANTOS DA SILVA"/>
    <s v=""/>
    <s v="-1"/>
    <s v="Sem informação"/>
    <d v="2023-11-05T00:00:00"/>
    <d v="2023-11-11T00:00:00"/>
    <s v="Ensaiar e reger a Orquestra Sinfônica da Universidade Federal da Paraíba - OSUFPB - para concerto alusivo aos 10 anos de sua existência."/>
    <x v="13"/>
    <s v="Aéreo"/>
    <s v="Sim"/>
    <s v="Realizada"/>
    <s v="NÃO"/>
    <s v="Sem informação"/>
    <n v="2311.63"/>
    <n v="0"/>
    <n v="1537.7800000000002"/>
    <n v="0"/>
    <d v="2023-07-18T00:00:00"/>
    <x v="6"/>
    <x v="0"/>
    <x v="0"/>
    <n v="1537.7800000000002"/>
    <n v="2311.63"/>
    <x v="1"/>
    <x v="2"/>
    <x v="1"/>
    <x v="0"/>
    <n v="717.39676463438343"/>
  </r>
  <r>
    <n v="2"/>
    <n v="19268869"/>
    <s v="001057/23"/>
    <s v="***.441.444-**"/>
    <s v="EDVALDO CARVALHO ALVES"/>
    <s v="PROFESSOR DO MAGISTERIO SUPERIOR"/>
    <s v="FUC-0001"/>
    <s v="FUC-0001"/>
    <d v="2023-11-05T00:00:00"/>
    <d v="2023-11-11T00:00:00"/>
    <s v="PARTICIPAR COMO COORDENADOR DE PPG DA REUNIÃO ANUAL DOS COORDENADORES DE ÁREA DA CIÊNCIA DA INFORMACÃO E APRESENTAR TRABALHO NO XXIII ENCONTRO NACIONAL DE PESQUISA EM CIÊNCIA DA INFORMAÇÃO (ENANCIB)."/>
    <x v="54"/>
    <s v="Aéreo"/>
    <s v="Não"/>
    <s v="Realizada"/>
    <s v="NÃO"/>
    <s v="Sem informação"/>
    <n v="2162.08"/>
    <n v="0"/>
    <n v="1292.6100000000001"/>
    <n v="0"/>
    <d v="2023-09-18T00:00:00"/>
    <x v="6"/>
    <x v="0"/>
    <x v="0"/>
    <n v="1292.6100000000001"/>
    <n v="2162.08"/>
    <x v="2"/>
    <x v="0"/>
    <x v="0"/>
    <x v="0"/>
    <n v="215.66197814172082"/>
  </r>
  <r>
    <n v="2"/>
    <n v="19356197"/>
    <s v="001291/23"/>
    <s v="***.408.206-**"/>
    <s v="CARLOS FREDERICO DE BRITO D ANDREA"/>
    <s v="PROFESSOR DO MAGISTERIO SUPERIOR"/>
    <s v="-1"/>
    <s v="Sem informação"/>
    <d v="2023-11-05T00:00:00"/>
    <d v="2023-11-07T00:00:00"/>
    <s v="Participação no Seminário 'Perspectivas, ciclo de diálogos temáticos II'. Realizado pelo Programa de Pós-Graduação em Comunicação da Universidade Federal da Paraíba."/>
    <x v="23"/>
    <s v="Aéreo"/>
    <s v="Não"/>
    <s v="Realizada"/>
    <s v="NÃO"/>
    <s v="Sem informação"/>
    <n v="887.73"/>
    <n v="0"/>
    <n v="1875.29"/>
    <n v="0"/>
    <d v="2023-10-02T00:00:00"/>
    <x v="3"/>
    <x v="0"/>
    <x v="0"/>
    <n v="1875.29"/>
    <n v="887.73"/>
    <x v="2"/>
    <x v="0"/>
    <x v="0"/>
    <x v="0"/>
    <n v="627.18210071654289"/>
  </r>
  <r>
    <n v="2"/>
    <n v="19368812"/>
    <s v="001462/23"/>
    <s v=""/>
    <s v="VICTOR DA ROCHA SILVA JUNIOR"/>
    <s v=""/>
    <s v="-1"/>
    <s v="Sem informação"/>
    <d v="2023-11-05T00:00:00"/>
    <d v="2023-11-11T00:00:00"/>
    <s v="Realizar pesquisa na linha de estudos História e Regionalidades, do PPGH-UFPB, na tentativa de analisar como se dá a participação de Dom Luís Gonzaga Fernandes, na Teologia da Libertação, em suas produções teóricas e também, em sua experiência pioneira das Comunidades Eclesiais de Base, no Espírito Santo (ES)."/>
    <x v="55"/>
    <s v="Aéreo"/>
    <s v="Não"/>
    <s v="Realizada"/>
    <s v="NÃO"/>
    <s v="Sem informação"/>
    <n v="0"/>
    <n v="0"/>
    <n v="2995.54"/>
    <n v="0"/>
    <d v="2023-10-17T00:00:00"/>
    <x v="6"/>
    <x v="0"/>
    <x v="0"/>
    <n v="2995.54"/>
    <n v="0"/>
    <x v="6"/>
    <x v="3"/>
    <x v="0"/>
    <x v="0"/>
    <n v="573.62072344292073"/>
  </r>
  <r>
    <n v="2"/>
    <n v="19374748"/>
    <s v="001427/23"/>
    <s v="***.293.200-**"/>
    <s v="CRISTIANO BONNEAU"/>
    <s v="PROFESSOR DO MAGISTERIO SUPERIOR"/>
    <s v="FUC-0001"/>
    <s v="FUC-0001"/>
    <d v="2023-11-05T00:00:00"/>
    <d v="2023-11-09T00:00:00"/>
    <s v="Atividade de integração institucional, incentivo à pesquisa e apresentação de trabalho no XXVI Simpósio de Filosofia Moderna e Contemporânea da UNIOESTE"/>
    <x v="30"/>
    <s v="Aéreo"/>
    <s v="Não"/>
    <s v="Realizada"/>
    <s v="NÃO"/>
    <s v="Sem informação"/>
    <n v="1212.69"/>
    <n v="0"/>
    <n v="1839.94"/>
    <n v="0"/>
    <d v="2023-10-11T00:00:00"/>
    <x v="7"/>
    <x v="0"/>
    <x v="0"/>
    <n v="1839.94"/>
    <n v="1212.69"/>
    <x v="2"/>
    <x v="1"/>
    <x v="1"/>
    <x v="0"/>
    <n v="1066.8764767716439"/>
  </r>
  <r>
    <n v="2"/>
    <n v="19374874"/>
    <s v="001417/23"/>
    <s v="***.438.036-**"/>
    <s v="ANDERSON DARC FERREIRA"/>
    <s v="PROFESSOR DO MAGISTERIO SUPERIOR"/>
    <s v="-1"/>
    <s v="Sem informação"/>
    <d v="2023-11-05T00:00:00"/>
    <d v="2023-11-09T00:00:00"/>
    <s v="Atividade de integração institucional, incentivo à pesquisa e apresentação de trabalho no XXVI Simpósio de Filosofia Moderna e Contemporânea da UNIOESTE."/>
    <x v="30"/>
    <s v="Aéreo"/>
    <s v="Não"/>
    <s v="Realizada"/>
    <s v="NÃO"/>
    <s v="Sem informação"/>
    <n v="1329.41"/>
    <n v="0"/>
    <n v="1839.94"/>
    <n v="0"/>
    <d v="2023-10-11T00:00:00"/>
    <x v="7"/>
    <x v="0"/>
    <x v="0"/>
    <n v="1839.94"/>
    <n v="1329.41"/>
    <x v="2"/>
    <x v="1"/>
    <x v="1"/>
    <x v="0"/>
    <n v="1066.8764767716439"/>
  </r>
  <r>
    <n v="2"/>
    <n v="19445226"/>
    <s v="001630/23"/>
    <s v="***.328.654-**"/>
    <s v="JOAO WANDEMBERG GONCALVES MACIEL"/>
    <s v="PROFESSOR DO MAGISTERIO SUPERIOR"/>
    <s v="-1"/>
    <s v="Sem informação"/>
    <d v="2023-11-05T00:00:00"/>
    <d v="2023-11-09T00:00:00"/>
    <s v="Apresentação de trabalho científico em conjunto com o orientando DAVID ANTHONNY RIBEIRO GOMES DA SILVA conforme carta de aceite em anexo."/>
    <x v="56"/>
    <s v="Aéreo"/>
    <s v="Não"/>
    <s v="Realizada"/>
    <s v="SIM"/>
    <s v="Os documentos foram enviados com menos de 20 dias do evento porque estávamos aguardando autorização da CAPES para o uso de recursos do PROFLETRAS com o pagamento de diárias, autorização que só foi dada por aquele órgão no dia 17/10/2023."/>
    <n v="1477.63"/>
    <n v="0"/>
    <n v="1899.57"/>
    <n v="0"/>
    <d v="2023-11-01T00:00:00"/>
    <x v="7"/>
    <x v="0"/>
    <x v="0"/>
    <n v="1899.57"/>
    <n v="1477.63"/>
    <x v="2"/>
    <x v="0"/>
    <x v="0"/>
    <x v="0"/>
    <n v="229.54725538241348"/>
  </r>
  <r>
    <n v="2"/>
    <n v="19280831"/>
    <s v="001054/23"/>
    <s v="***.031.021-**"/>
    <s v="WAGNER JUNQUEIRA DE ARAUJO"/>
    <s v="PROFESSOR DO MAGISTERIO SUPERIOR"/>
    <s v="FUC-0001"/>
    <s v="FUC-0001"/>
    <d v="2023-11-06T00:00:00"/>
    <d v="2023-11-10T00:00:00"/>
    <s v="Participar com apresentação de trabalhos no XXIII ENANCIB, Encontro Nacional de Pesquisa em Ciência da Informação, que será realizado no período de 06/11/23 a 11/11/23 na cidade de Aracajú-SE"/>
    <x v="54"/>
    <s v="Aéreo"/>
    <s v="Sim"/>
    <s v="Realizada"/>
    <s v="NÃO"/>
    <s v="Sem informação"/>
    <n v="1480.04"/>
    <n v="0"/>
    <n v="1481.01"/>
    <n v="0"/>
    <d v="2023-09-22T00:00:00"/>
    <x v="7"/>
    <x v="0"/>
    <x v="0"/>
    <n v="1481.01"/>
    <n v="1480.04"/>
    <x v="2"/>
    <x v="0"/>
    <x v="0"/>
    <x v="0"/>
    <n v="215.66197814172082"/>
  </r>
  <r>
    <n v="2"/>
    <n v="19287629"/>
    <s v="001090/23"/>
    <s v="***.908.194-**"/>
    <s v="MARCIA MARIA DE MEDEIROS TRAVASSOS SAEGER"/>
    <s v="PROFESSOR DO MAGISTERIO SUPERIOR"/>
    <s v="-1"/>
    <s v="Sem informação"/>
    <d v="2023-11-06T00:00:00"/>
    <d v="2023-11-10T00:00:00"/>
    <s v="Participar na qualidade de vice-coordenador e com apresentação de trabalho do XXIII Encontro Nacional de Pesquisa em Ciência da Informação (ENANCIB), na cidade de Aracajú-SE, no período de 06/11/23 a 10/11/23"/>
    <x v="54"/>
    <s v="Aéreo"/>
    <s v="Não"/>
    <s v="Realizada"/>
    <s v="NÃO"/>
    <s v="Sem informação"/>
    <n v="1363.14"/>
    <n v="0"/>
    <n v="1481.01"/>
    <n v="0"/>
    <d v="2023-09-22T00:00:00"/>
    <x v="7"/>
    <x v="0"/>
    <x v="0"/>
    <n v="1481.01"/>
    <n v="1363.14"/>
    <x v="2"/>
    <x v="0"/>
    <x v="0"/>
    <x v="0"/>
    <n v="215.66197814172082"/>
  </r>
  <r>
    <n v="2"/>
    <n v="19290952"/>
    <s v="001101/23"/>
    <s v="***.391.628-**"/>
    <s v="JULIO AFONSO SA DE PINHO NETO"/>
    <s v="PROFESSOR DO MAGISTERIO SUPERIOR"/>
    <s v="-1"/>
    <s v="Sem informação"/>
    <d v="2023-11-06T00:00:00"/>
    <d v="2023-11-10T00:00:00"/>
    <s v="Participar com apresentação de trabalho do XXIII Encontro Nacional de Pesquisa em Ciência da Informação (ENANCIB) na cidade de Aracajú-SE, no período de 06/11/23 a 10/11/23."/>
    <x v="54"/>
    <s v="Aéreo"/>
    <s v="Não"/>
    <s v="Realizada"/>
    <s v="NÃO"/>
    <s v="Sem informação"/>
    <n v="1288.1400000000001"/>
    <n v="0"/>
    <n v="1481.01"/>
    <n v="0"/>
    <d v="2023-09-22T00:00:00"/>
    <x v="7"/>
    <x v="0"/>
    <x v="0"/>
    <n v="1481.01"/>
    <n v="1288.1400000000001"/>
    <x v="2"/>
    <x v="0"/>
    <x v="0"/>
    <x v="0"/>
    <n v="215.66197814172082"/>
  </r>
  <r>
    <n v="2"/>
    <n v="19304384"/>
    <s v="001121/23"/>
    <s v="***.236.673-**"/>
    <s v="VIRGINIA BENTES PINTO"/>
    <s v="PROFESSOR DO MAGISTERIO SUPERIOR"/>
    <s v="-1"/>
    <s v="Sem informação"/>
    <d v="2023-11-06T00:00:00"/>
    <d v="2023-11-10T00:00:00"/>
    <s v="Participar com apresentação de trabalho do XXIII Encontro Nacional de Pesquisa em Ciência da Informação (ENANCIB) na cidade de Aracajú-SE, no período de 06/11/23 a 10/11/23"/>
    <x v="57"/>
    <s v="Aéreo"/>
    <s v="Não"/>
    <s v="Realizada"/>
    <s v="NÃO"/>
    <s v="Sem informação"/>
    <n v="1480.04"/>
    <n v="0"/>
    <n v="3315.2"/>
    <n v="0"/>
    <d v="2023-09-27T00:00:00"/>
    <x v="7"/>
    <x v="0"/>
    <x v="0"/>
    <n v="3315.2"/>
    <n v="1480.04"/>
    <x v="2"/>
    <x v="0"/>
    <x v="0"/>
    <x v="0"/>
    <n v="299.13976031287035"/>
  </r>
  <r>
    <n v="2"/>
    <n v="19315632"/>
    <s v="001160/23"/>
    <s v="***.842.844-**"/>
    <s v="ANIELSON BARBOSA DA SILVA"/>
    <s v="PROFESSOR DO MAGISTERIO SUPERIOR"/>
    <s v="-1"/>
    <s v="Sem informação"/>
    <d v="2023-11-06T00:00:00"/>
    <d v="2023-11-10T00:00:00"/>
    <s v="Apresentação de dois artigos XXVI no Seminário de Administração - SEMEAD 2023."/>
    <x v="4"/>
    <s v="Aéreo"/>
    <s v="Não"/>
    <s v="Realizada"/>
    <s v="NÃO"/>
    <s v="Sem informação"/>
    <n v="1660.58"/>
    <n v="0"/>
    <n v="2371.94"/>
    <n v="0"/>
    <d v="2023-09-22T00:00:00"/>
    <x v="7"/>
    <x v="0"/>
    <x v="0"/>
    <n v="2371.94"/>
    <n v="1660.58"/>
    <x v="2"/>
    <x v="0"/>
    <x v="1"/>
    <x v="0"/>
    <n v="800.95835140972315"/>
  </r>
  <r>
    <n v="2"/>
    <n v="19315974"/>
    <s v="001199/23"/>
    <s v="***.771.344-**"/>
    <s v="ALZIRA KARLA ARAUJO DA SILVA"/>
    <s v="PROFESSOR DO MAGISTERIO SUPERIOR"/>
    <s v="-1"/>
    <s v="Sem informação"/>
    <d v="2023-11-06T00:00:00"/>
    <d v="2023-11-10T00:00:00"/>
    <s v="Participar com apresentação de trabalho do XXIII Encontro Nacional de Pesquisa em Ciência da Informa na cidade de Aracaju-SE, no período de 06/11/23 a 10/11/23"/>
    <x v="54"/>
    <s v="Aéreo"/>
    <s v="Não"/>
    <s v="Realizada"/>
    <s v="NÃO"/>
    <s v="Sem informação"/>
    <n v="1575.04"/>
    <n v="0"/>
    <n v="1481.01"/>
    <n v="0"/>
    <d v="2023-09-25T00:00:00"/>
    <x v="7"/>
    <x v="0"/>
    <x v="0"/>
    <n v="1481.01"/>
    <n v="1575.04"/>
    <x v="2"/>
    <x v="0"/>
    <x v="0"/>
    <x v="0"/>
    <n v="215.66197814172082"/>
  </r>
  <r>
    <n v="2"/>
    <n v="19323399"/>
    <s v="001189/23"/>
    <s v="***.436.934-**"/>
    <s v="JAQUELINE GUIMARAES SANTOS"/>
    <s v="PROFESSOR DO MAGISTERIO SUPERIOR"/>
    <s v="-1"/>
    <s v="Sem informação"/>
    <d v="2023-11-06T00:00:00"/>
    <d v="2023-11-11T00:00:00"/>
    <s v="A participação no XXVI Seminários em Administração (SemeAd) é fundamental, pois é um dos eventos mais importantes na área, sendo um momento de interações com outras(os) pesquisadoras(es), além da possibilidade de buscar parcerias de pesquisas. Ademais, a requerente possui trabalho aprovado para ser apresentado durante o evento."/>
    <x v="4"/>
    <s v="Aéreo"/>
    <s v="Não"/>
    <s v="Realizada"/>
    <s v="NÃO"/>
    <s v="Sem informação"/>
    <n v="1598.92"/>
    <n v="0"/>
    <n v="1941.3400000000001"/>
    <n v="0"/>
    <d v="2023-09-22T00:00:00"/>
    <x v="4"/>
    <x v="0"/>
    <x v="0"/>
    <n v="1941.3400000000001"/>
    <n v="1598.92"/>
    <x v="2"/>
    <x v="0"/>
    <x v="1"/>
    <x v="0"/>
    <n v="800.95835140972315"/>
  </r>
  <r>
    <n v="2"/>
    <n v="19400372"/>
    <s v="001452/23"/>
    <s v="***.556.554-**"/>
    <s v="LEONARDO AUGUSTO FONSECA PASCOAL"/>
    <s v="PROFESSOR DO MAGISTERIO SUPERIOR"/>
    <s v="-1"/>
    <s v="Sem informação"/>
    <d v="2023-11-06T00:00:00"/>
    <d v="2023-11-10T00:00:00"/>
    <s v="Participar do Congresso Internacional Porkexpo Latam 2023, como congressista e apresentador de trabalhos"/>
    <x v="58"/>
    <s v="Aéreo"/>
    <s v="Sim"/>
    <s v="Realizada"/>
    <s v="NÃO"/>
    <s v="Sem informação"/>
    <n v="0"/>
    <n v="0"/>
    <n v="3734.11"/>
    <n v="0"/>
    <d v="2023-10-17T00:00:00"/>
    <x v="7"/>
    <x v="0"/>
    <x v="0"/>
    <n v="3734.11"/>
    <n v="0"/>
    <x v="2"/>
    <x v="0"/>
    <x v="1"/>
    <x v="0"/>
    <n v="1037.4273729626555"/>
  </r>
  <r>
    <n v="2"/>
    <n v="19346425"/>
    <s v="001247/23"/>
    <s v="***.246.274-**"/>
    <s v="GUSTAVO BARBOSA DE MESQUITA BATISTA"/>
    <s v="PROFESSOR DO MAGISTERIO SUPERIOR"/>
    <s v="FUC-0001"/>
    <s v="FUC-0001"/>
    <d v="2023-11-07T00:00:00"/>
    <d v="2023-11-10T00:00:00"/>
    <s v="SEMINÁRIO DE AVALIAÇÃO DA CAPES EM BRASÍLIA -DF: debate sobre o instrumento de avaliação aplicável aos Programas de Pós-Graduação em Direito"/>
    <x v="1"/>
    <s v="Aéreo"/>
    <s v="Não"/>
    <s v="Realizada"/>
    <s v="NÃO"/>
    <s v="Sem informação"/>
    <n v="1309.3499999999999"/>
    <n v="0"/>
    <n v="1852.4"/>
    <n v="0"/>
    <d v="2023-10-03T00:00:00"/>
    <x v="2"/>
    <x v="0"/>
    <x v="0"/>
    <n v="1852.4"/>
    <n v="1309.3499999999999"/>
    <x v="2"/>
    <x v="1"/>
    <x v="0"/>
    <x v="0"/>
    <n v="626.66401501165365"/>
  </r>
  <r>
    <n v="2"/>
    <n v="19358374"/>
    <s v="001305/23"/>
    <s v="***.470.034-**"/>
    <s v="EMANUEL LUIZ PEREIRA DA SILVA"/>
    <s v="PROFESSOR DO MAGISTERIO SUPERIOR"/>
    <s v="FUC-0001"/>
    <s v="FUC-0001"/>
    <d v="2023-11-07T00:00:00"/>
    <d v="2023-11-09T00:00:00"/>
    <s v="Participar como representante da Pós-Graduação em Serviço Social do Seminário de Meio Termo da CAPES."/>
    <x v="1"/>
    <s v="Aéreo"/>
    <s v="Sim"/>
    <s v="Realizada"/>
    <s v="NÃO"/>
    <s v="Sem informação"/>
    <n v="958.12"/>
    <n v="0"/>
    <n v="2073.6999999999998"/>
    <n v="0"/>
    <d v="2023-10-04T00:00:00"/>
    <x v="3"/>
    <x v="0"/>
    <x v="0"/>
    <n v="2073.6999999999998"/>
    <n v="958.12"/>
    <x v="1"/>
    <x v="1"/>
    <x v="0"/>
    <x v="0"/>
    <n v="626.66401501165365"/>
  </r>
  <r>
    <n v="2"/>
    <n v="19445875"/>
    <s v="001580/23"/>
    <s v="***.705.344-**"/>
    <s v="JAILSON RIBEIRO DE OLIVEIRA"/>
    <s v="PROFESSOR DO MAGISTERIO SUPERIOR"/>
    <s v="CD-0004"/>
    <s v="Cargo Comissionado de Direção"/>
    <d v="2023-11-07T00:00:00"/>
    <d v="2023-11-11T00:00:00"/>
    <s v="Participar do XII ENCONTRO NACIONAL DE PROCURADORES EDUCACIONAIS INSTITUCIONAIS-ENPI-IPES, no período de 08 a 10/11/2023, em Salvador/BA"/>
    <x v="3"/>
    <s v="Aéreo"/>
    <s v="Não"/>
    <s v="Realizada"/>
    <s v="SIM"/>
    <s v="Demanda apresentada em 13/10, gerando um gap temporal devido a tramitação interna na IES, conforme justificativa no formulário de solicitação."/>
    <n v="1509.95"/>
    <n v="0"/>
    <n v="2921.08"/>
    <n v="0"/>
    <d v="2023-10-25T00:00:00"/>
    <x v="7"/>
    <x v="0"/>
    <x v="0"/>
    <n v="2921.08"/>
    <n v="1509.95"/>
    <x v="1"/>
    <x v="1"/>
    <x v="0"/>
    <x v="0"/>
    <n v="271.05605715809952"/>
  </r>
  <r>
    <n v="2"/>
    <n v="19466987"/>
    <s v="001637/23"/>
    <s v="***.583.474-**"/>
    <s v="ANA BERENICE PERES MARTORELLI"/>
    <s v="PROFESSOR DO MAGISTERIO SUPERIOR"/>
    <s v="FG-0003"/>
    <s v="FG-0003"/>
    <d v="2023-11-07T00:00:00"/>
    <d v="2023-11-09T00:00:00"/>
    <s v="participação em Reunião presencial do CGRIFES (Conselho de Gestores de Relações Internacionais das IFES), que acontecerá em Brasília-DF, no período de 08 a 09 de novembro de 2023."/>
    <x v="1"/>
    <s v="Aéreo"/>
    <s v="Sim"/>
    <s v="Realizada"/>
    <s v="SIM"/>
    <s v="conforme autorização superior, em anexo"/>
    <n v="958.12"/>
    <n v="0"/>
    <n v="4275.3999999999996"/>
    <n v="4275.3999999999996"/>
    <d v="2023-11-01T00:00:00"/>
    <x v="3"/>
    <x v="0"/>
    <x v="0"/>
    <n v="8550.7999999999993"/>
    <n v="958.12"/>
    <x v="1"/>
    <x v="1"/>
    <x v="0"/>
    <x v="0"/>
    <n v="626.66401501165365"/>
  </r>
  <r>
    <n v="2"/>
    <n v="19479520"/>
    <s v="001650/23"/>
    <s v="***.279.994-**"/>
    <s v="SURAMA SANTOS ISMAEL DA COSTA"/>
    <s v="PROFESSOR DO MAGISTERIO SUPERIOR"/>
    <s v="-1"/>
    <s v="Sem informação"/>
    <d v="2023-11-07T00:00:00"/>
    <d v="2023-11-10T00:00:00"/>
    <s v="Participação da Reunião Técnica sobre os programas de formação inicial e continuada para professores indígenas fomentada pela Secretaria de Educação Continuada, Alfabetização de Jovens e Adultos, Diversidade e Inclusão (Secadi), que ocorrerá em Brasília, nos dias 7, 8 e 9 de novembro de 2023."/>
    <x v="1"/>
    <s v="Aéreo"/>
    <s v="Sim"/>
    <s v="Realizada"/>
    <s v="SIM"/>
    <s v="Em virtude de ajuste internos institucionais no tocante as questões orçamentárias do Centro, justifico o envio tardio."/>
    <n v="1215.83"/>
    <n v="0"/>
    <n v="4245.3999999999996"/>
    <n v="0"/>
    <d v="2023-11-03T00:00:00"/>
    <x v="2"/>
    <x v="0"/>
    <x v="0"/>
    <n v="4245.3999999999996"/>
    <n v="1215.83"/>
    <x v="1"/>
    <x v="0"/>
    <x v="0"/>
    <x v="0"/>
    <n v="626.66401501165365"/>
  </r>
  <r>
    <n v="2"/>
    <n v="19077191"/>
    <s v="001029/23"/>
    <s v="***.076.830-**"/>
    <s v="JULIELE MARIA SIEVERS"/>
    <s v="PROFESSOR DO MAGISTERIO SUPERIOR"/>
    <s v="-1"/>
    <s v="Sem informação"/>
    <d v="2023-11-08T00:00:00"/>
    <d v="2023-11-14T00:00:00"/>
    <s v="Participar como palestrante convidada do I Encontro de Filosofia e Normatividades Práticas."/>
    <x v="16"/>
    <s v="Aéreo"/>
    <s v="Sim"/>
    <s v="Realizada"/>
    <s v="NÃO"/>
    <s v="Sem informação"/>
    <n v="2162.08"/>
    <n v="0"/>
    <n v="2156.7799999999997"/>
    <n v="0"/>
    <d v="2023-09-26T00:00:00"/>
    <x v="6"/>
    <x v="0"/>
    <x v="0"/>
    <n v="2156.7799999999997"/>
    <n v="2162.08"/>
    <x v="2"/>
    <x v="0"/>
    <x v="2"/>
    <x v="0"/>
    <n v="152.13571329129365"/>
  </r>
  <r>
    <n v="2"/>
    <n v="19277297"/>
    <s v="001063/23"/>
    <s v="***.904.834-**"/>
    <s v="IAN PORTO GURGEL DO AMARAL"/>
    <s v="PROFESSOR DO MAGISTERIO SUPERIOR"/>
    <s v="FUC-0001"/>
    <s v="FUC-0001"/>
    <d v="2023-11-08T00:00:00"/>
    <d v="2023-11-11T00:00:00"/>
    <s v="Viagem para participação no Seminário de Meio Termo dos programas de pós-graduação da área de Biotecnologia, a ser realizado na sede da CAPES, em Brasília-DF."/>
    <x v="1"/>
    <s v="Aéreo"/>
    <s v="Sim"/>
    <s v="Realizada"/>
    <s v="NÃO"/>
    <s v="Sem informação"/>
    <n v="1339.26"/>
    <n v="0"/>
    <n v="1594.1"/>
    <n v="0"/>
    <d v="2023-09-18T00:00:00"/>
    <x v="2"/>
    <x v="0"/>
    <x v="0"/>
    <n v="1594.1"/>
    <n v="1339.26"/>
    <x v="1"/>
    <x v="1"/>
    <x v="0"/>
    <x v="0"/>
    <n v="626.66401501165365"/>
  </r>
  <r>
    <n v="2"/>
    <n v="19287574"/>
    <s v="001092/23"/>
    <s v="***.171.798-**"/>
    <s v="MARCO VALERIO CLASSE COLONNELLI"/>
    <s v="PROFESSOR DO MAGISTERIO SUPERIOR"/>
    <s v="FUC-0001"/>
    <s v="FUC-0001"/>
    <d v="2023-11-08T00:00:00"/>
    <d v="2023-11-11T00:00:00"/>
    <s v="Participação do Seminário do Meio Termo promovido pela CAPES."/>
    <x v="1"/>
    <s v="Aéreo"/>
    <s v="Não"/>
    <s v="Realizada"/>
    <s v="NÃO"/>
    <s v="Sem informação"/>
    <n v="0"/>
    <n v="0"/>
    <n v="1569.5"/>
    <n v="0"/>
    <d v="2023-09-15T00:00:00"/>
    <x v="2"/>
    <x v="0"/>
    <x v="0"/>
    <n v="1569.5"/>
    <n v="0"/>
    <x v="1"/>
    <x v="1"/>
    <x v="0"/>
    <x v="0"/>
    <n v="626.66401501165365"/>
  </r>
  <r>
    <n v="1"/>
    <n v="19368241"/>
    <s v="001323/23"/>
    <s v=""/>
    <s v="TIAGO DE AGUIAR RODRIGUES"/>
    <s v="PROFESSOR DO MAGISTERIO SUPERIOR"/>
    <s v="FUC-0001"/>
    <s v="FUC-0001"/>
    <d v="2023-11-08T00:00:00"/>
    <d v="2023-11-10T00:00:00"/>
    <s v="Participar como representante do MPLE de Reunião de Meio Termo da CAPES."/>
    <x v="59"/>
    <s v="Aéreo"/>
    <s v="Sim"/>
    <s v="Realizada"/>
    <s v="NÃO"/>
    <s v="Sem informação"/>
    <n v="958.12"/>
    <n v="0"/>
    <n v="905.29"/>
    <n v="0"/>
    <d v="2023-10-05T00:00:00"/>
    <x v="3"/>
    <x v="0"/>
    <x v="0"/>
    <n v="905.29"/>
    <n v="958.12"/>
    <x v="1"/>
    <x v="1"/>
    <x v="0"/>
    <x v="0"/>
    <n v="313.33200750582682"/>
  </r>
  <r>
    <n v="2"/>
    <n v="19393176"/>
    <s v="001441/23"/>
    <s v="***.107.470-**"/>
    <s v="FABIANA CARDOSO DE SIQUEIRA"/>
    <s v="PROFESSOR DO MAGISTERIO SUPERIOR"/>
    <s v="CD-0004"/>
    <s v="Cargo Comissionado de Direção"/>
    <d v="2023-11-08T00:00:00"/>
    <d v="2023-11-11T00:00:00"/>
    <s v="- Como docente, participar do 21º Encontro Nacional de Pesquisadores em Jornalismo - SBPJOR - na Universidade de Brasília (UnB) - Brasília (DF) - Novembro de 2023. Apresentar trabalho. - Como vice-diretora do CCTA, Realizar visitas ao Congresso Nacional e Ministérios com a finalidade de buscar recursos para o Centro."/>
    <x v="1"/>
    <s v="Aéreo"/>
    <s v="Sim"/>
    <s v="Realizada"/>
    <s v="NÃO"/>
    <s v="Sem informação"/>
    <n v="1339.26"/>
    <n v="0"/>
    <n v="2122.5"/>
    <n v="0"/>
    <d v="2023-10-16T00:00:00"/>
    <x v="2"/>
    <x v="0"/>
    <x v="0"/>
    <n v="2122.5"/>
    <n v="1339.26"/>
    <x v="2"/>
    <x v="0"/>
    <x v="0"/>
    <x v="0"/>
    <n v="626.66401501165365"/>
  </r>
  <r>
    <n v="2"/>
    <n v="19405681"/>
    <s v="001470/23"/>
    <s v="***.731.432-**"/>
    <s v="CARLOS BOCKER NETO"/>
    <s v="PROFESSOR DO MAGISTERIO SUPERIOR"/>
    <s v="FUC-0001"/>
    <s v="FUC-0001"/>
    <d v="2023-11-08T00:00:00"/>
    <d v="2023-11-11T00:00:00"/>
    <s v="Participar da reunião de coordenadores do PROFMAT no dia 9/11/2023 e do I Encontro Nacional do Mestrado PROFMAT nos dias 10 e 11/11/2023."/>
    <x v="13"/>
    <s v="Aéreo"/>
    <s v="Sim"/>
    <s v="Realizada"/>
    <s v="SIM"/>
    <s v="Processo enviado indevidamente"/>
    <n v="1339.26"/>
    <n v="0"/>
    <n v="2202.8900000000003"/>
    <n v="0"/>
    <d v="2023-10-17T00:00:00"/>
    <x v="2"/>
    <x v="0"/>
    <x v="0"/>
    <n v="2202.8900000000003"/>
    <n v="1339.26"/>
    <x v="3"/>
    <x v="1"/>
    <x v="1"/>
    <x v="0"/>
    <n v="717.39676463438343"/>
  </r>
  <r>
    <n v="2"/>
    <n v="19425415"/>
    <s v="001524/23"/>
    <s v="***.220.560-**"/>
    <s v="JAMES BATISTA VIEIRA"/>
    <s v="PROFESSOR DO MAGISTERIO SUPERIOR"/>
    <s v="-1"/>
    <s v="Sem informação"/>
    <d v="2023-11-08T00:00:00"/>
    <d v="2023-11-09T00:00:00"/>
    <s v="Docente pede ajuda para participar, como convidado, da reunião dos Laboratório de Inovação, durante a Semana de Inovação 2023 da Enap, em Brasília/DF."/>
    <x v="1"/>
    <s v="Aéreo"/>
    <s v="Sim"/>
    <s v="Realizada"/>
    <s v="NÃO"/>
    <s v="Sem informação"/>
    <n v="606.89"/>
    <n v="0"/>
    <n v="2614.4"/>
    <n v="0"/>
    <d v="2023-10-23T00:00:00"/>
    <x v="8"/>
    <x v="0"/>
    <x v="0"/>
    <n v="2614.4"/>
    <n v="606.89"/>
    <x v="1"/>
    <x v="0"/>
    <x v="0"/>
    <x v="0"/>
    <n v="626.66401501165365"/>
  </r>
  <r>
    <n v="2"/>
    <n v="19448124"/>
    <s v="001585/23"/>
    <s v="***.930.828-**"/>
    <s v="FERNANDA MATRIGANI MERCADO GUTIERRES DE QUEIROZ"/>
    <s v="PROFESSOR DO MAGISTERIO SUPERIOR"/>
    <s v="-1"/>
    <s v="Sem informação"/>
    <d v="2023-11-08T00:00:00"/>
    <d v="2023-11-10T00:00:00"/>
    <s v="Essa solicitação de diárias tem como propósito subsidiar no deslocamento de uma ação do curso de extensão intitulado: A FORMAÇÃO CONTINUADA DOS PROFESSORES PARAIBANOS PARA A ATUAÇÃO NUMA PERSPECTIVA INCLUSIVA: fundamentos teóricos e estratégias metodológicas, tendo em vista que o palestrante sairá de seu Estado com a finalidade de proferir palestra intitulada: Alternativas para a construção de uma escola inclusiva e acessível a todos os estudantes."/>
    <x v="3"/>
    <s v="Aéreo"/>
    <s v="Não"/>
    <s v="Realizada"/>
    <s v="SIM"/>
    <s v="Conforme em anexo, o convite foi enviado no dia 17/10/2023 e consequentemente o aceite do proposto foi fora do prazo estipulado."/>
    <n v="857.82"/>
    <n v="0"/>
    <n v="1863.38"/>
    <n v="0"/>
    <d v="2023-10-27T00:00:00"/>
    <x v="3"/>
    <x v="0"/>
    <x v="0"/>
    <n v="1863.38"/>
    <n v="857.82"/>
    <x v="2"/>
    <x v="0"/>
    <x v="0"/>
    <x v="0"/>
    <n v="271.05605715809952"/>
  </r>
  <r>
    <n v="2"/>
    <n v="19245152"/>
    <s v="000987/23"/>
    <s v="***.025.844-**"/>
    <s v="MARIA DE LOURDES DE FARIAS PONTES"/>
    <s v="PROFESSOR DO MAGISTERIO SUPERIOR"/>
    <s v="-1"/>
    <s v="Sem informação"/>
    <d v="2023-11-10T00:00:00"/>
    <d v="2023-11-15T00:00:00"/>
    <s v="Participação na Reunião de coordenadores de Programas de Pós-Graduação da Área de Enfermagem no CBEn (no dia 11/11) e do 74º Congresso Brasileiro de Enfermagem (74º CBEn), que inicia no dia 12/11"/>
    <x v="13"/>
    <s v="Aéreo"/>
    <s v="Não"/>
    <s v="Realizada"/>
    <s v="NÃO"/>
    <s v="Sem informação"/>
    <n v="2101.54"/>
    <n v="0"/>
    <n v="1636.69"/>
    <n v="0"/>
    <d v="2023-09-05T00:00:00"/>
    <x v="4"/>
    <x v="0"/>
    <x v="0"/>
    <n v="1636.69"/>
    <n v="2101.54"/>
    <x v="3"/>
    <x v="1"/>
    <x v="1"/>
    <x v="0"/>
    <n v="717.39676463438343"/>
  </r>
  <r>
    <n v="2"/>
    <n v="19246181"/>
    <s v="000988/23"/>
    <s v="***.779.593-**"/>
    <s v="JACIRA DOS SANTOS OLIVEIRA"/>
    <s v="PROFESSOR DO MAGISTERIO SUPERIOR"/>
    <s v="FUC-0001"/>
    <s v="FUC-0001"/>
    <d v="2023-11-10T00:00:00"/>
    <d v="2023-11-15T00:00:00"/>
    <s v="Participação enquanto coordenadora da Reunião de coordenadores de Programas de Pós-Graduação da Área de Enfermagem no CBEn (no dia 11/11) e do 74º Congresso Brasileiro de Enfermagem (74º CBEn), que inicia no dia 12/11"/>
    <x v="13"/>
    <s v="Aéreo"/>
    <s v="Sim"/>
    <s v="Realizada"/>
    <s v="NÃO"/>
    <s v="Sem informação"/>
    <n v="2101.54"/>
    <n v="0"/>
    <n v="1636.69"/>
    <n v="0"/>
    <d v="2023-09-05T00:00:00"/>
    <x v="4"/>
    <x v="0"/>
    <x v="0"/>
    <n v="1636.69"/>
    <n v="2101.54"/>
    <x v="3"/>
    <x v="1"/>
    <x v="1"/>
    <x v="0"/>
    <n v="717.39676463438343"/>
  </r>
  <r>
    <n v="2"/>
    <n v="19378040"/>
    <s v="001379/23"/>
    <s v="***.515.653-**"/>
    <s v="RONDINELLE MARCOLINO BATISTA"/>
    <s v="PROFESSOR DO MAGISTERIO SUPERIOR"/>
    <s v="FUC-0001"/>
    <s v="FUC-0001"/>
    <d v="2023-11-10T00:00:00"/>
    <d v="2023-11-25T00:00:00"/>
    <s v="O docente dará continuidade a um projeto de pesquisa na área de Análise Geométrica a convite do prof. Manassés Xavier durante o período de 10 a 25 de novembro de 2023. Ele também participará dos Seminários do Programa de Pós Graduação de Matemática proferindo uma palestra intitulada 'Rigidity of free boundary minimal disk in meam convex three-manifolds'."/>
    <x v="34"/>
    <s v="Aéreo"/>
    <s v="Não"/>
    <s v="Realizada"/>
    <s v="NÃO"/>
    <s v="Sem informação"/>
    <n v="5056.3100000000004"/>
    <n v="0"/>
    <n v="2762.83"/>
    <n v="0"/>
    <d v="2023-10-10T00:00:00"/>
    <x v="9"/>
    <x v="0"/>
    <x v="0"/>
    <n v="2762.83"/>
    <n v="5056.3100000000004"/>
    <x v="6"/>
    <x v="0"/>
    <x v="0"/>
    <x v="0"/>
    <n v="329.61859618963615"/>
  </r>
  <r>
    <n v="2"/>
    <n v="19429538"/>
    <s v="001564/23"/>
    <s v=""/>
    <s v="LUIZ PAULO FELINTO PEREIRA"/>
    <s v=""/>
    <s v="-1"/>
    <s v="Sem informação"/>
    <d v="2023-11-10T00:00:00"/>
    <d v="2023-11-16T00:00:00"/>
    <s v="PROPOSTO IRÁ PARTICIPAR DE CONGRESSO DE ARTE EDUCAÇÃO CONFAEB 2023 APRESENTANDO TRABALHOS DE PESQUISA REFERENTE AO SEU CURSO DE GRADUAÇÃO NA UFPB."/>
    <x v="7"/>
    <s v="Aéreo"/>
    <s v="Não"/>
    <s v="Realizada"/>
    <s v="NÃO"/>
    <s v="Sem informação"/>
    <n v="0"/>
    <n v="0"/>
    <n v="2500.88"/>
    <n v="0"/>
    <d v="2023-10-24T00:00:00"/>
    <x v="6"/>
    <x v="0"/>
    <x v="0"/>
    <n v="2500.88"/>
    <n v="0"/>
    <x v="2"/>
    <x v="3"/>
    <x v="0"/>
    <x v="0"/>
    <n v="419.62919304959075"/>
  </r>
  <r>
    <n v="2"/>
    <n v="19429698"/>
    <s v="001565/23"/>
    <s v=""/>
    <s v="THIAGO DE FONTES RODRIGUES"/>
    <s v=""/>
    <s v="-1"/>
    <s v="Sem informação"/>
    <d v="2023-11-10T00:00:00"/>
    <d v="2023-11-16T00:00:00"/>
    <s v="PROPOSTO IRÁ PARTICIPAR DO CONGRESSO DE ARTE EDUCAÇÃO - CONFAEB 2023, APRESENTANDO TRABALHOS DE PESQUISA REFERENTE AO SEU CURSO DE GRADUAÇÃO NA UFPB."/>
    <x v="7"/>
    <s v="Aéreo"/>
    <s v="Não"/>
    <s v="Realizada"/>
    <s v="NÃO"/>
    <s v="Sem informação"/>
    <n v="0"/>
    <n v="0"/>
    <n v="2500.88"/>
    <n v="0"/>
    <d v="2023-10-24T00:00:00"/>
    <x v="6"/>
    <x v="0"/>
    <x v="0"/>
    <n v="2500.88"/>
    <n v="0"/>
    <x v="2"/>
    <x v="3"/>
    <x v="0"/>
    <x v="0"/>
    <n v="419.62919304959075"/>
  </r>
  <r>
    <n v="2"/>
    <n v="19162088"/>
    <s v="000860/23"/>
    <s v=""/>
    <s v="SERGIO VITAL DA SILVA JUNIOR"/>
    <s v=""/>
    <s v="-1"/>
    <s v="Sem informação"/>
    <d v="2023-11-11T00:00:00"/>
    <d v="2023-11-16T00:00:00"/>
    <s v="Participação no evento nacional mais importante da área de enfermagem: 74º Congresso Brasileiro de Enfermagem e apresentação de trabalho científico oriundo de pesquisa de doutorado."/>
    <x v="13"/>
    <s v="Aéreo"/>
    <s v="Sim"/>
    <s v="Realizada"/>
    <s v="NÃO"/>
    <s v="Sem informação"/>
    <n v="0"/>
    <n v="0"/>
    <n v="1533.3899999999999"/>
    <n v="0"/>
    <d v="2023-08-18T00:00:00"/>
    <x v="4"/>
    <x v="0"/>
    <x v="0"/>
    <n v="1533.3899999999999"/>
    <n v="0"/>
    <x v="2"/>
    <x v="3"/>
    <x v="1"/>
    <x v="0"/>
    <n v="717.39676463438343"/>
  </r>
  <r>
    <n v="2"/>
    <n v="19286475"/>
    <s v="001079/23"/>
    <s v="***.259.354-**"/>
    <s v="MARCOS DOS SANTOS LIMA"/>
    <s v="PROFESSOR ENS BASICO TECN TECNOLOGICO"/>
    <s v="-1"/>
    <s v="Sem informação"/>
    <d v="2023-11-11T00:00:00"/>
    <d v="2023-11-15T00:00:00"/>
    <s v="Participação e apresentação de trabalho no Simpósio Latino Americano de Ciência de Alimentos e Nutrição - 15 SLACAN"/>
    <x v="60"/>
    <s v="Aéreo"/>
    <s v="Não"/>
    <s v="Realizada"/>
    <s v="NÃO"/>
    <s v="Sem informação"/>
    <n v="1294.23"/>
    <n v="0"/>
    <n v="1427.54"/>
    <n v="0"/>
    <d v="2023-09-15T00:00:00"/>
    <x v="7"/>
    <x v="0"/>
    <x v="0"/>
    <n v="1427.54"/>
    <n v="1294.23"/>
    <x v="2"/>
    <x v="0"/>
    <x v="0"/>
    <x v="0"/>
    <n v="611.15442362155568"/>
  </r>
  <r>
    <n v="2"/>
    <n v="19312513"/>
    <s v="001149/23"/>
    <s v="***.013.884-**"/>
    <s v="DEBORAH HELENA BATISTA LEITE"/>
    <s v=""/>
    <s v="-1"/>
    <s v="Sem informação"/>
    <d v="2023-11-11T00:00:00"/>
    <d v="2023-11-15T00:00:00"/>
    <s v="Participação e Apresentação de trabalho em evento científico da área da enfermagem"/>
    <x v="13"/>
    <s v="Aéreo"/>
    <s v="Sim"/>
    <s v="Realizada"/>
    <s v="NÃO"/>
    <s v="Sem informação"/>
    <n v="0"/>
    <n v="0"/>
    <n v="1724.89"/>
    <n v="0"/>
    <d v="2023-09-21T00:00:00"/>
    <x v="7"/>
    <x v="0"/>
    <x v="0"/>
    <n v="1724.89"/>
    <n v="0"/>
    <x v="2"/>
    <x v="3"/>
    <x v="1"/>
    <x v="0"/>
    <n v="717.39676463438343"/>
  </r>
  <r>
    <n v="2"/>
    <n v="19392824"/>
    <s v="001486/23"/>
    <s v=""/>
    <s v="AMANDA MARILIA DA SILVA SANT ANA"/>
    <s v="PROFESSOR DO MAGISTERIO SUPERIOR"/>
    <s v="-1"/>
    <s v="Sem informação"/>
    <d v="2023-11-11T00:00:00"/>
    <d v="2023-11-14T00:00:00"/>
    <s v="Participação e apresentação de resumo oriundo de dissertação de aluno do PPGTA no 15° SIMPÓSIO LATINO AMERICANO DE CIÊNCIA DE ALIMENTOS E NUTRIÇÃO (SLACAN) em Campinas-SP. Realização: 12 a 14 de novembro de 2023."/>
    <x v="24"/>
    <s v="Aéreo"/>
    <s v="Não"/>
    <s v="Realizada"/>
    <s v="NÃO"/>
    <s v="Sem informação"/>
    <n v="1088.33"/>
    <n v="0"/>
    <n v="3643.04"/>
    <n v="0"/>
    <d v="2023-10-20T00:00:00"/>
    <x v="2"/>
    <x v="0"/>
    <x v="0"/>
    <n v="3643.04"/>
    <n v="1088.33"/>
    <x v="2"/>
    <x v="0"/>
    <x v="1"/>
    <x v="0"/>
    <n v="802.381352216604"/>
  </r>
  <r>
    <n v="2"/>
    <n v="19403635"/>
    <s v="001487/23"/>
    <s v=""/>
    <s v="CAMILA SAMPAIO MANGOLIM"/>
    <s v="PROFESSOR DO MAGISTERIO SUPERIOR"/>
    <s v="-1"/>
    <s v="Sem informação"/>
    <d v="2023-11-11T00:00:00"/>
    <d v="2023-11-14T00:00:00"/>
    <s v="Participação e apresentação de resumo oriundo de dissertação de aluno do PPGTA no 15° SIMPÓSIO LATINO AMERICANO DE CIÊNCIA DE ALIMENTOS E NUTRIÇÃO (SLACAN) em Campinas-SP. Realização: 12 a 14 de novembro de 2023."/>
    <x v="24"/>
    <s v="Aéreo"/>
    <s v="Não"/>
    <s v="Realizada"/>
    <s v="NÃO"/>
    <s v="Sem informação"/>
    <n v="1088.33"/>
    <n v="0"/>
    <n v="3643.04"/>
    <n v="0"/>
    <d v="2023-10-20T00:00:00"/>
    <x v="2"/>
    <x v="0"/>
    <x v="0"/>
    <n v="3643.04"/>
    <n v="1088.33"/>
    <x v="2"/>
    <x v="0"/>
    <x v="1"/>
    <x v="0"/>
    <n v="802.381352216604"/>
  </r>
  <r>
    <n v="2"/>
    <n v="19415132"/>
    <s v="001491/23"/>
    <s v=""/>
    <s v="LIS MARIA LIMA PONTES DE ALCANTARA"/>
    <s v=""/>
    <s v="-1"/>
    <s v="Sem informação"/>
    <d v="2023-11-11T00:00:00"/>
    <d v="2023-11-15T00:00:00"/>
    <s v="PROPOSTO IRÁ PARTICIPAR DE EVENTO TIPO CONGRESSO PARA APRESENTAÇÃO DE TRABALHOS COMO PARTE DE SEUS ESTUDOS PARA FORMAÇÃO EM GRADUAÇÃO NA UNIVERSIDADE."/>
    <x v="24"/>
    <s v="Aéreo"/>
    <s v="Não"/>
    <s v="Realizada"/>
    <s v="NÃO"/>
    <s v="Sem informação"/>
    <n v="0"/>
    <n v="0"/>
    <n v="2998.34"/>
    <n v="0"/>
    <d v="2023-10-18T00:00:00"/>
    <x v="7"/>
    <x v="0"/>
    <x v="0"/>
    <n v="2998.34"/>
    <n v="0"/>
    <x v="2"/>
    <x v="3"/>
    <x v="1"/>
    <x v="0"/>
    <n v="802.381352216604"/>
  </r>
  <r>
    <n v="2"/>
    <n v="19428135"/>
    <s v="001558/23"/>
    <s v=""/>
    <s v="IVANIELE ROCHA DE ANDRADE"/>
    <s v=""/>
    <s v="-1"/>
    <s v="Sem informação"/>
    <d v="2023-11-11T00:00:00"/>
    <d v="2023-11-15T00:00:00"/>
    <s v="PROPOSTO IRÁ PARTICIPAR DE CONGRESSO SLACAN APRESENTANDO TRABALHOS DE PESQUISA REFERENTE AO SEU CURSO DE GRADUAÇÃO NA UFPB."/>
    <x v="24"/>
    <s v="Aéreo"/>
    <s v="Sim"/>
    <s v="Realizada"/>
    <s v="NÃO"/>
    <s v="Sem informação"/>
    <n v="0"/>
    <n v="0"/>
    <n v="2351.34"/>
    <n v="0"/>
    <d v="2023-10-24T00:00:00"/>
    <x v="7"/>
    <x v="0"/>
    <x v="0"/>
    <n v="2351.34"/>
    <n v="0"/>
    <x v="2"/>
    <x v="3"/>
    <x v="1"/>
    <x v="0"/>
    <n v="802.381352216604"/>
  </r>
  <r>
    <n v="2"/>
    <n v="19428217"/>
    <s v="001560/23"/>
    <s v=""/>
    <s v="ALYSON JOSE DOS SANTOS FRANCO"/>
    <s v=""/>
    <s v="-1"/>
    <s v="Sem informação"/>
    <d v="2023-11-11T00:00:00"/>
    <d v="2023-11-15T00:00:00"/>
    <s v="PROPOSTO IRÁ PARTICIPAR DE CONGRESSO SLACAN APRESENTANDO TRABALHOS DE PESQUISA REFERENTE AO SEU CURSO DE GRADUAÇÃO NA UFPB."/>
    <x v="24"/>
    <s v="Aéreo"/>
    <s v="Sim"/>
    <s v="Realizada"/>
    <s v="NÃO"/>
    <s v="Sem informação"/>
    <n v="0"/>
    <n v="0"/>
    <n v="2351.34"/>
    <n v="0"/>
    <d v="2023-10-24T00:00:00"/>
    <x v="7"/>
    <x v="0"/>
    <x v="0"/>
    <n v="2351.34"/>
    <n v="0"/>
    <x v="2"/>
    <x v="3"/>
    <x v="1"/>
    <x v="0"/>
    <n v="802.381352216604"/>
  </r>
  <r>
    <n v="2"/>
    <n v="19428302"/>
    <s v="001561/23"/>
    <s v=""/>
    <s v="MATEUS SABINO DE SOUZA FERREIRA"/>
    <s v=""/>
    <s v="-1"/>
    <s v="Sem informação"/>
    <d v="2023-11-11T00:00:00"/>
    <d v="2023-11-15T00:00:00"/>
    <s v="PROPOSTO IRÁ PARTICIPAR DE CONGRESSO SLACAN APRESENTANDO TRABALHOS DE PESQUISA REFERENTE AO SEU CURSO DE GRADUAÇÃO NA UFPB."/>
    <x v="24"/>
    <s v="Aéreo"/>
    <s v="Sim"/>
    <s v="Realizada"/>
    <s v="NÃO"/>
    <s v="Sem informação"/>
    <n v="0"/>
    <n v="0"/>
    <n v="2351.34"/>
    <n v="0"/>
    <d v="2023-10-24T00:00:00"/>
    <x v="7"/>
    <x v="0"/>
    <x v="0"/>
    <n v="2351.34"/>
    <n v="0"/>
    <x v="2"/>
    <x v="3"/>
    <x v="1"/>
    <x v="0"/>
    <n v="802.381352216604"/>
  </r>
  <r>
    <n v="2"/>
    <n v="19107006"/>
    <s v="000722/23"/>
    <s v="***.743.654-**"/>
    <s v="SINARA PEREIRA FRAGOSO"/>
    <s v="ENGENHEIRO-AREA"/>
    <s v="-1"/>
    <s v="Sem informação"/>
    <d v="2023-11-12T00:00:00"/>
    <d v="2023-11-15T00:00:00"/>
    <s v="Participação no Simpósio Latino Americano de Ciência de Alimentos e Nutrição 15 SLACAN, como Servidora do quadro Técnico do Departamento de Engenharia de Alimento, e Apresentação de Trabalhos Científicos a ser apresentado de forma oral e em Banner, trabalhos estes desenvolvidos no curso de Engenharia de Alimentos desse departamento."/>
    <x v="24"/>
    <s v="Aéreo"/>
    <s v="Não"/>
    <s v="Realizada"/>
    <s v="NÃO"/>
    <s v="Sem informação"/>
    <n v="1088.33"/>
    <n v="0"/>
    <n v="2401.54"/>
    <n v="0"/>
    <d v="2023-08-03T00:00:00"/>
    <x v="2"/>
    <x v="0"/>
    <x v="0"/>
    <n v="2401.54"/>
    <n v="1088.33"/>
    <x v="2"/>
    <x v="1"/>
    <x v="1"/>
    <x v="0"/>
    <n v="802.381352216604"/>
  </r>
  <r>
    <n v="2"/>
    <n v="19185584"/>
    <s v="000803/23"/>
    <s v="***.097.458-**"/>
    <s v="MIQUELI MICHETTI"/>
    <s v="PROFESSOR DO MAGISTERIO SUPERIOR"/>
    <s v="-1"/>
    <s v="Sem informação"/>
    <d v="2023-11-12T00:00:00"/>
    <d v="2023-11-14T00:00:00"/>
    <s v="Participação, como representante do PPGS-UFPB, do Seminário de Meio-Termo da área de Sociologia da Avaliação Quadrienal da Capes, em Brasília. Trata-se do evento oficial nacional da Capes, em que todos os coordenadores dos PPGs do país se encontram para discutir e definir os critérios da Avaliação Quadrienal Capes."/>
    <x v="1"/>
    <s v="Aéreo"/>
    <s v="Sim"/>
    <s v="Realizada"/>
    <s v="NÃO"/>
    <s v="Sem informação"/>
    <n v="988.03"/>
    <n v="0"/>
    <n v="2864.3"/>
    <n v="0"/>
    <d v="2023-08-15T00:00:00"/>
    <x v="3"/>
    <x v="0"/>
    <x v="0"/>
    <n v="2864.3"/>
    <n v="988.03"/>
    <x v="1"/>
    <x v="1"/>
    <x v="0"/>
    <x v="0"/>
    <n v="626.66401501165365"/>
  </r>
  <r>
    <n v="2"/>
    <n v="19212969"/>
    <s v="000902/23"/>
    <s v="***.431.334-**"/>
    <s v="RAFAELLA QUEIROGA SOUTO"/>
    <s v="PROFESSOR DO MAGISTERIO SUPERIOR"/>
    <s v="-1"/>
    <s v="Sem informação"/>
    <d v="2023-11-12T00:00:00"/>
    <d v="2023-11-16T00:00:00"/>
    <s v="participação no 74º Congresso Brasileiro de Enfermagem"/>
    <x v="13"/>
    <s v="Aéreo"/>
    <s v="Não"/>
    <s v="Realizada"/>
    <s v="NÃO"/>
    <s v="Sem informação"/>
    <n v="1720.4"/>
    <n v="0"/>
    <n v="1726.69"/>
    <n v="0"/>
    <d v="2023-08-25T00:00:00"/>
    <x v="7"/>
    <x v="0"/>
    <x v="0"/>
    <n v="1726.69"/>
    <n v="1720.4"/>
    <x v="2"/>
    <x v="0"/>
    <x v="1"/>
    <x v="0"/>
    <n v="717.39676463438343"/>
  </r>
  <r>
    <n v="2"/>
    <n v="19254569"/>
    <s v="001021/23"/>
    <s v="***.044.237-**"/>
    <s v="ANGELA MARIA GARCIA"/>
    <s v="PROFESSOR DO MAGISTERIO SUPERIOR"/>
    <s v="FG-0001"/>
    <s v="FG-0001"/>
    <d v="2023-11-12T00:00:00"/>
    <d v="2023-11-25T00:00:00"/>
    <s v="Participar como membro em banca examinadora de concurso público na área de Teoria Antropológica, Edital 61/2023."/>
    <x v="61"/>
    <s v="Aéreo"/>
    <s v="Sim"/>
    <s v="Realizada"/>
    <s v="NÃO"/>
    <s v="Sem informação"/>
    <n v="4429.58"/>
    <n v="0"/>
    <n v="2092.7200000000003"/>
    <n v="0"/>
    <d v="2023-09-11T00:00:00"/>
    <x v="1"/>
    <x v="0"/>
    <x v="0"/>
    <n v="2092.7200000000003"/>
    <n v="4429.58"/>
    <x v="0"/>
    <x v="0"/>
    <x v="0"/>
    <x v="0"/>
    <n v="412.28483939128728"/>
  </r>
  <r>
    <n v="2"/>
    <n v="19283835"/>
    <s v="001267/23"/>
    <s v="***.080.908-**"/>
    <s v="JORGE FERNANDO HERMIDA AVEIRO"/>
    <s v="PROFESSOR DO MAGISTERIO SUPERIOR"/>
    <s v="FUC-0001"/>
    <s v="FUC-0001"/>
    <d v="2023-11-12T00:00:00"/>
    <d v="2023-11-15T00:00:00"/>
    <s v="Reunião ordinária do Fórum Nacional de Coordenadores de Programas de Pós-Graduação em Educação (FORPREd) organizado pela CAPES em Educação em Brasília."/>
    <x v="1"/>
    <s v="Aéreo"/>
    <s v="Sim"/>
    <s v="Realizada"/>
    <s v="NÃO"/>
    <s v="Sem informação"/>
    <n v="1369.17"/>
    <n v="0"/>
    <n v="2602.9"/>
    <n v="0"/>
    <d v="2023-09-29T00:00:00"/>
    <x v="2"/>
    <x v="0"/>
    <x v="0"/>
    <n v="2602.9"/>
    <n v="1369.17"/>
    <x v="3"/>
    <x v="1"/>
    <x v="0"/>
    <x v="0"/>
    <n v="626.66401501165365"/>
  </r>
  <r>
    <n v="2"/>
    <n v="19332583"/>
    <s v="001208/23"/>
    <s v="***.721.104-**"/>
    <s v="JOSE JAMACY DE ALMEIDA FERREIRA"/>
    <s v="PROFESSOR DO MAGISTERIO SUPERIOR"/>
    <s v="FUC-0001"/>
    <s v="FUC-0001"/>
    <d v="2023-11-12T00:00:00"/>
    <d v="2023-11-15T00:00:00"/>
    <s v="Participação do Seminário de Meio Termo promovido pela área 21 da CAPES e representando o PPGFis/UFPB na qualidade de coordenador do curso"/>
    <x v="1"/>
    <s v="Aéreo"/>
    <s v="Sim"/>
    <s v="Realizada"/>
    <s v="NÃO"/>
    <s v="Sem informação"/>
    <n v="1369.17"/>
    <n v="0"/>
    <n v="2425.9"/>
    <n v="0"/>
    <d v="2023-10-11T00:00:00"/>
    <x v="2"/>
    <x v="0"/>
    <x v="0"/>
    <n v="2425.9"/>
    <n v="1369.17"/>
    <x v="1"/>
    <x v="1"/>
    <x v="0"/>
    <x v="0"/>
    <n v="626.66401501165365"/>
  </r>
  <r>
    <n v="2"/>
    <n v="19338561"/>
    <s v="001296/23"/>
    <s v="***.230.254-**"/>
    <s v="ANA PAULA FURTADO SOARES PONTES"/>
    <s v="PROFESSOR DO MAGISTERIO SUPERIOR"/>
    <s v="FUC-0001"/>
    <s v="FUC-0001"/>
    <d v="2023-11-12T00:00:00"/>
    <d v="2023-11-14T00:00:00"/>
    <s v="Participar do Seminário do Meio Termo - Área Educação dos programas de pós-graduação da área de EDUCAÇÃO, será realizado na CAPES, Brasília-DF, nos dias 13 e 14 de novembrode2023,das 09:00 às 18:00 horas."/>
    <x v="1"/>
    <s v="Aéreo"/>
    <s v="Não"/>
    <s v="Realizada"/>
    <s v="NÃO"/>
    <s v="Sem informação"/>
    <n v="988.03"/>
    <n v="0"/>
    <n v="2117.3000000000002"/>
    <n v="0"/>
    <d v="2023-10-03T00:00:00"/>
    <x v="3"/>
    <x v="0"/>
    <x v="0"/>
    <n v="2117.3000000000002"/>
    <n v="988.03"/>
    <x v="1"/>
    <x v="1"/>
    <x v="0"/>
    <x v="0"/>
    <n v="626.66401501165365"/>
  </r>
  <r>
    <n v="2"/>
    <n v="19377521"/>
    <s v="001377/23"/>
    <s v="***.023.795-**"/>
    <s v="ANDRE VINICIUS SANTOS DORIA"/>
    <s v="PROFESSOR DO MAGISTERIO SUPERIOR"/>
    <s v="-1"/>
    <s v="Sem informação"/>
    <d v="2023-11-12T00:00:00"/>
    <d v="2023-11-25T00:00:00"/>
    <s v="O docente dará continuidade a um projeto de pesquisa na área de Álgebra Comutativa a convite do prof. Ricardo Burity durante o período de 12 a 25 de novembro de 2023. Ele também participará do Seminários do Programa de Pós Graduação de Matemática proferindo uma palestra intitulada 'Ideais perfeitos linearmente apresentados de codimensão 2 em três variáveis'."/>
    <x v="62"/>
    <s v="Aéreo"/>
    <s v="Não"/>
    <s v="Realizada"/>
    <s v="NÃO"/>
    <s v="Sem informação"/>
    <n v="4429.58"/>
    <n v="0"/>
    <n v="1621.1599999999999"/>
    <n v="0"/>
    <d v="2023-10-10T00:00:00"/>
    <x v="1"/>
    <x v="0"/>
    <x v="0"/>
    <n v="1621.1599999999999"/>
    <n v="4429.58"/>
    <x v="2"/>
    <x v="0"/>
    <x v="0"/>
    <x v="0"/>
    <n v="265.34513886071062"/>
  </r>
  <r>
    <n v="2"/>
    <n v="19261039"/>
    <s v="001013/23"/>
    <s v="***.898.937-**"/>
    <s v="SIDNEI CLEMENTE PERES"/>
    <s v="PROFESSOR DO MAGISTERIO SUPERIOR"/>
    <s v="-1"/>
    <s v="Sem informação"/>
    <d v="2023-11-13T00:00:00"/>
    <d v="2023-11-25T00:00:00"/>
    <s v="Integrar a comissão de seleção do Concurso Público para Professor do Magistério na área de Teoria Antropológica."/>
    <x v="13"/>
    <s v="Aéreo"/>
    <s v="Sim"/>
    <s v="Realizada"/>
    <s v="NÃO"/>
    <s v="Sem informação"/>
    <n v="4088.56"/>
    <n v="0"/>
    <n v="1910.49"/>
    <n v="0"/>
    <d v="2023-09-06T00:00:00"/>
    <x v="0"/>
    <x v="0"/>
    <x v="0"/>
    <n v="1910.49"/>
    <n v="4088.56"/>
    <x v="0"/>
    <x v="0"/>
    <x v="1"/>
    <x v="0"/>
    <n v="717.39676463438343"/>
  </r>
  <r>
    <n v="2"/>
    <n v="19241806"/>
    <s v="001161/23"/>
    <s v="***.572.478-**"/>
    <s v="MUNIQUE MASSARO"/>
    <s v="PROFESSOR DO MAGISTERIO SUPERIOR"/>
    <s v="-1"/>
    <s v="Sem informação"/>
    <d v="2023-11-14T00:00:00"/>
    <d v="2023-11-19T00:00:00"/>
    <s v="Apresentação de Comunicação Oral no 10º Congresso Brasileiro de Educação Especial, no município de São Carlos - SP."/>
    <x v="24"/>
    <s v="Aéreo"/>
    <s v="Sim"/>
    <s v="Realizada"/>
    <s v="NÃO"/>
    <s v="Sem informação"/>
    <n v="1660.22"/>
    <n v="0"/>
    <n v="1939.54"/>
    <n v="0"/>
    <d v="2023-09-22T00:00:00"/>
    <x v="4"/>
    <x v="0"/>
    <x v="0"/>
    <n v="1939.54"/>
    <n v="1660.22"/>
    <x v="2"/>
    <x v="0"/>
    <x v="1"/>
    <x v="0"/>
    <n v="802.381352216604"/>
  </r>
  <r>
    <n v="2"/>
    <n v="19373884"/>
    <s v="001356/23"/>
    <s v="***.240.820-**"/>
    <s v="ANA PAULA BASSO"/>
    <s v="PROFESSOR DO MAGISTERIO SUPERIOR"/>
    <s v="-1"/>
    <s v="Sem informação"/>
    <d v="2023-11-14T00:00:00"/>
    <d v="2023-11-18T00:00:00"/>
    <s v="Participação no XXX CONGRESSO NACIONAL DO CONPEDI FORTALEZA"/>
    <x v="2"/>
    <s v="Aéreo"/>
    <s v="Não"/>
    <s v="Realizada"/>
    <s v="NÃO"/>
    <s v="Sem informação"/>
    <n v="1539.86"/>
    <n v="0"/>
    <n v="1733.22"/>
    <n v="0"/>
    <d v="2023-10-06T00:00:00"/>
    <x v="7"/>
    <x v="0"/>
    <x v="0"/>
    <n v="1733.22"/>
    <n v="1539.86"/>
    <x v="2"/>
    <x v="0"/>
    <x v="0"/>
    <x v="0"/>
    <n v="297.78274013517625"/>
  </r>
  <r>
    <n v="2"/>
    <n v="19374948"/>
    <s v="001357/23"/>
    <s v="***.814.854-**"/>
    <s v="MARIA CREUSA DE ARAUJO BORGES"/>
    <s v="PROFESSOR DO MAGISTERIO SUPERIOR"/>
    <s v="-1"/>
    <s v="Sem informação"/>
    <d v="2023-11-14T00:00:00"/>
    <d v="2023-11-18T00:00:00"/>
    <s v="Participação no XXX CONGRESSO NACIONAL DO CONPEDI FORTALEZA"/>
    <x v="2"/>
    <s v="Aéreo"/>
    <s v="Sim"/>
    <s v="Realizada"/>
    <s v="NÃO"/>
    <s v="Sem informação"/>
    <n v="1539.86"/>
    <n v="0"/>
    <n v="1691.92"/>
    <n v="0"/>
    <d v="2023-10-09T00:00:00"/>
    <x v="7"/>
    <x v="0"/>
    <x v="0"/>
    <n v="1691.92"/>
    <n v="1539.86"/>
    <x v="2"/>
    <x v="0"/>
    <x v="0"/>
    <x v="0"/>
    <n v="297.78274013517625"/>
  </r>
  <r>
    <n v="2"/>
    <n v="19383124"/>
    <s v="001387/23"/>
    <s v="***.205.304-**"/>
    <s v="FERNANDO JOAQUIM FERREIRA MAIA"/>
    <s v="PROFESSOR DO MAGISTERIO SUPERIOR"/>
    <s v="-1"/>
    <s v="Sem informação"/>
    <d v="2023-11-14T00:00:00"/>
    <d v="2023-11-18T00:00:00"/>
    <s v="Participação no XXX CONGRESSO NACIONAL DO CONPEDI FORTALEZA"/>
    <x v="56"/>
    <s v="Aéreo"/>
    <s v="Não"/>
    <s v="Realizada"/>
    <s v="NÃO"/>
    <s v="Sem informação"/>
    <n v="1539.86"/>
    <n v="0"/>
    <n v="978.17000000000007"/>
    <n v="0"/>
    <d v="2023-10-09T00:00:00"/>
    <x v="7"/>
    <x v="0"/>
    <x v="0"/>
    <n v="978.17000000000007"/>
    <n v="1539.86"/>
    <x v="2"/>
    <x v="0"/>
    <x v="0"/>
    <x v="0"/>
    <n v="229.54725538241348"/>
  </r>
  <r>
    <n v="2"/>
    <n v="19418973"/>
    <s v="001520/23"/>
    <s v=""/>
    <s v="JENNIFER KAROLYNNE COSTA DE SOUSA"/>
    <s v=""/>
    <s v="-1"/>
    <s v="Sem informação"/>
    <d v="2023-11-14T00:00:00"/>
    <d v="2023-11-18T00:00:00"/>
    <s v="Participação no XXX CONGRESSO NACIONAL DO CONPEDI FORTALEZA"/>
    <x v="2"/>
    <s v="Aéreo"/>
    <s v="Não"/>
    <s v="Realizada"/>
    <s v="NÃO"/>
    <s v="Sem informação"/>
    <n v="0"/>
    <n v="0"/>
    <n v="2377.62"/>
    <n v="0"/>
    <d v="2023-10-20T00:00:00"/>
    <x v="7"/>
    <x v="0"/>
    <x v="0"/>
    <n v="2377.62"/>
    <n v="0"/>
    <x v="2"/>
    <x v="3"/>
    <x v="0"/>
    <x v="0"/>
    <n v="297.78274013517625"/>
  </r>
  <r>
    <n v="2"/>
    <n v="19428443"/>
    <s v="001575/23"/>
    <s v=""/>
    <s v="MATEUS MENDES VIEIRA"/>
    <s v=""/>
    <s v="-1"/>
    <s v="Sem informação"/>
    <d v="2023-11-14T00:00:00"/>
    <d v="2023-11-20T00:00:00"/>
    <s v="PROPOSTO IRÁ PARTICIPAR DO CONGRESSO 14º CIFARP 2023 APRESENTANDO TRABALHOS DE PESQUISA REFERENTE AO SEU CURSO DE GRADUAÇÃO NA UFPB."/>
    <x v="46"/>
    <s v="Aéreo"/>
    <s v="Sim"/>
    <s v="Realizada"/>
    <s v="NÃO"/>
    <s v="Sem informação"/>
    <n v="0"/>
    <n v="0"/>
    <n v="4678.26"/>
    <n v="0"/>
    <d v="2023-10-26T00:00:00"/>
    <x v="6"/>
    <x v="0"/>
    <x v="0"/>
    <n v="4678.26"/>
    <n v="0"/>
    <x v="2"/>
    <x v="3"/>
    <x v="1"/>
    <x v="0"/>
    <n v="760.59176171577315"/>
  </r>
  <r>
    <n v="2"/>
    <n v="19174177"/>
    <s v="000789/23"/>
    <s v="***.212.634-**"/>
    <s v="JULIO RIQUE NETO"/>
    <s v="PROFESSOR DO MAGISTERIO SUPERIOR"/>
    <s v="FUC-0001"/>
    <s v="FUC-0001"/>
    <d v="2023-11-15T00:00:00"/>
    <d v="2023-11-18T00:00:00"/>
    <s v="Participar do Seminário de Meio Termo da CAPES"/>
    <x v="1"/>
    <s v="Aéreo"/>
    <s v="Não"/>
    <s v="Realizada"/>
    <s v="NÃO"/>
    <s v="Sem informação"/>
    <n v="1369.17"/>
    <n v="0"/>
    <n v="2969.2"/>
    <n v="0"/>
    <d v="2023-09-04T00:00:00"/>
    <x v="2"/>
    <x v="0"/>
    <x v="0"/>
    <n v="2969.2"/>
    <n v="1369.17"/>
    <x v="1"/>
    <x v="1"/>
    <x v="0"/>
    <x v="0"/>
    <n v="626.66401501165365"/>
  </r>
  <r>
    <n v="2"/>
    <n v="19186885"/>
    <s v="001038/23"/>
    <s v="***.133.404-**"/>
    <s v="CARMEN WALENTINA AMORIM GAUDENCIO BEZERRA"/>
    <s v="PROFESSOR DO MAGISTERIO SUPERIOR"/>
    <s v="-1"/>
    <s v="Sem informação"/>
    <d v="2023-11-15T00:00:00"/>
    <d v="2023-11-18T00:00:00"/>
    <s v="Participar do Seminário de Meio Termo dos programas de pós-graduação da área de PSICOLOGIA, será realizado na CAPES, Brasília-DF, nos dias 16 e 17 de novembro de 2023, das 09:00 às 18:00 horas."/>
    <x v="1"/>
    <s v="Aéreo"/>
    <s v="Não"/>
    <s v="Realizada"/>
    <s v="NÃO"/>
    <s v="Sem informação"/>
    <n v="1369.17"/>
    <n v="0"/>
    <n v="2712.3999999999996"/>
    <n v="0"/>
    <d v="2023-09-12T00:00:00"/>
    <x v="2"/>
    <x v="0"/>
    <x v="0"/>
    <n v="2712.3999999999996"/>
    <n v="1369.17"/>
    <x v="1"/>
    <x v="1"/>
    <x v="0"/>
    <x v="0"/>
    <n v="626.66401501165365"/>
  </r>
  <r>
    <n v="2"/>
    <n v="19215547"/>
    <s v="001181/23"/>
    <s v="***.524.714-**"/>
    <s v="MELYSSA KELLYANE CAVALCANTI GALDINO"/>
    <s v="PROFESSOR DO MAGISTERIO SUPERIOR"/>
    <s v="FUC-0001"/>
    <s v="FUC-0001"/>
    <d v="2023-11-15T00:00:00"/>
    <d v="2023-11-17T00:00:00"/>
    <s v="Participação da coordenadora do Programa de Pós-graduação em Neurociência Cognitiva e Comportamento, Melyssa Kellyane Cavalcanti Galdino, no Seminário de Meio Termo dos programas de pós-graduação da área de PSICOLOGIA, realizado na CAPES, Brasília-DF, nos dias 16 e 17 de novembro de 2023, das 09h às 18h horas."/>
    <x v="1"/>
    <s v="Aéreo"/>
    <s v="Não"/>
    <s v="Realizada"/>
    <s v="NÃO"/>
    <s v="Sem informação"/>
    <n v="988.03"/>
    <n v="0"/>
    <n v="2582.5"/>
    <n v="0"/>
    <d v="2023-09-22T00:00:00"/>
    <x v="3"/>
    <x v="0"/>
    <x v="0"/>
    <n v="2582.5"/>
    <n v="988.03"/>
    <x v="1"/>
    <x v="1"/>
    <x v="0"/>
    <x v="0"/>
    <n v="626.66401501165365"/>
  </r>
  <r>
    <n v="2"/>
    <n v="19269173"/>
    <s v="001036/23"/>
    <s v="***.789.374-**"/>
    <s v="ANIERES BARBOSA DA SILVA"/>
    <s v="PROFESSOR DO MAGISTERIO SUPERIOR"/>
    <s v="FUC-0001"/>
    <s v="FUC-0001"/>
    <d v="2023-11-15T00:00:00"/>
    <d v="2023-11-18T00:00:00"/>
    <s v="Participar da reunião e das atividades do Seminário de Meio Termo, promovido pela Capes, destinado aos coordenadores de Programas de pós graduação em geografia no Brasil, que será realizado em Brasília nos dias 16 a 17 de novembro de 2023."/>
    <x v="1"/>
    <s v="Aéreo"/>
    <s v="Sim"/>
    <s v="Realizada"/>
    <s v="NÃO"/>
    <s v="Sem informação"/>
    <n v="1369.17"/>
    <n v="0"/>
    <n v="2079.6999999999998"/>
    <n v="0"/>
    <d v="2023-09-12T00:00:00"/>
    <x v="2"/>
    <x v="0"/>
    <x v="0"/>
    <n v="2079.6999999999998"/>
    <n v="1369.17"/>
    <x v="1"/>
    <x v="1"/>
    <x v="0"/>
    <x v="0"/>
    <n v="626.66401501165365"/>
  </r>
  <r>
    <n v="2"/>
    <n v="19387545"/>
    <s v="001404/23"/>
    <s v=""/>
    <s v="PRISCILA TAVARES DOS SANTOS"/>
    <s v=""/>
    <s v="-1"/>
    <s v="Sem informação"/>
    <d v="2023-11-15T00:00:00"/>
    <d v="2023-11-18T00:00:00"/>
    <s v="Docente nas Oficinas de Autoavaliação e Planejamento Estratégico do Programa de Pós-Graduação em Direitos Humanos, Cidadania e Políticas Públicas da Universidade Federal da Paraíba. A Professora realizará oficina de projetos para reestruturação de linhas de pesquisa e projetos estruturantes junto aos docentes do Programa; além de duas oficinas do Currículo Lattes, sendo uma para docentes e outra para discentes e egressos do Programa."/>
    <x v="13"/>
    <s v="Aéreo"/>
    <s v="Sim"/>
    <s v="Realizada"/>
    <s v="NÃO"/>
    <s v="Sem informação"/>
    <n v="1288.57"/>
    <n v="0"/>
    <n v="2040.8899999999999"/>
    <n v="0"/>
    <d v="2023-10-11T00:00:00"/>
    <x v="2"/>
    <x v="0"/>
    <x v="0"/>
    <n v="2040.8899999999999"/>
    <n v="1288.57"/>
    <x v="4"/>
    <x v="2"/>
    <x v="1"/>
    <x v="0"/>
    <n v="717.39676463438343"/>
  </r>
  <r>
    <n v="2"/>
    <n v="19428594"/>
    <s v="001579/23"/>
    <s v=""/>
    <s v="ANA CATARINA GOMES DE LIMA"/>
    <s v=""/>
    <s v="-1"/>
    <s v="Sem informação"/>
    <d v="2023-11-15T00:00:00"/>
    <d v="2023-11-18T00:00:00"/>
    <s v="PROPOSTO IRÁ PARTICIPAR DO EVENTO INTERNACIONAL EUROLECS APRESENTANDO TRABALHOS DE PESQUISA CIENTÍFICA REFERENTE AO SEU CURSO DE GRADUAÇÃO NA UFPB."/>
    <x v="3"/>
    <s v="Aéreo"/>
    <s v="Sim"/>
    <s v="Realizada"/>
    <s v="NÃO"/>
    <s v="Sem informação"/>
    <n v="0"/>
    <n v="0"/>
    <n v="2229.48"/>
    <n v="0"/>
    <d v="2023-10-25T00:00:00"/>
    <x v="2"/>
    <x v="0"/>
    <x v="0"/>
    <n v="2229.48"/>
    <n v="0"/>
    <x v="2"/>
    <x v="3"/>
    <x v="0"/>
    <x v="0"/>
    <n v="271.05605715809952"/>
  </r>
  <r>
    <n v="2"/>
    <n v="19507583"/>
    <s v="001716/23"/>
    <s v="***.423.606-**"/>
    <s v="EDILSON PAES SARAIVA"/>
    <s v="PROFESSOR DO MAGISTERIO SUPERIOR"/>
    <s v="FUC-0001"/>
    <s v="FUC-0001"/>
    <d v="2023-11-15T00:00:00"/>
    <d v="2023-11-18T00:00:00"/>
    <s v="Participar do Seminário de Meio Termo (SMT) da Área de Zootecnia e Recursos Pesqueiros, na CAPES."/>
    <x v="63"/>
    <s v="Aéreo"/>
    <s v="Sim"/>
    <s v="Realizada"/>
    <s v="SIM"/>
    <s v="Conforme justificativa apresentada pelo proposto: Indisponibilidade de recursos do PROAP/PPGZ inviabilizaram a solicitação dentro do prazo previsto. Mediante autorização formal anexada a esta PCDP."/>
    <n v="1351.01"/>
    <n v="0"/>
    <n v="2184.87"/>
    <n v="0"/>
    <d v="2023-11-10T00:00:00"/>
    <x v="2"/>
    <x v="0"/>
    <x v="0"/>
    <n v="2184.87"/>
    <n v="1351.01"/>
    <x v="1"/>
    <x v="1"/>
    <x v="0"/>
    <x v="0"/>
    <n v="609.81199907533278"/>
  </r>
  <r>
    <n v="2"/>
    <n v="19316258"/>
    <s v="001172/23"/>
    <s v=""/>
    <s v="MARILIA PASSOS APOLIANO GOMES"/>
    <s v="PROFESSOR DO MAGISTERIO SUPERIOR"/>
    <s v="-1"/>
    <s v="Sem informação"/>
    <d v="2023-11-16T00:00:00"/>
    <d v="2023-11-29T00:00:00"/>
    <s v="Participação como membro titular em banca de concurso - área Gênero e Teoria Sociológica CCHLA - UFPB - regido pelo Edital nº 61, de 06/07/2023"/>
    <x v="34"/>
    <s v="Aéreo"/>
    <s v="Não"/>
    <s v="Realizada"/>
    <s v="NÃO"/>
    <s v="Sem informação"/>
    <n v="4399.67"/>
    <n v="0"/>
    <n v="2665.23"/>
    <n v="0"/>
    <d v="2023-09-21T00:00:00"/>
    <x v="1"/>
    <x v="0"/>
    <x v="0"/>
    <n v="2665.23"/>
    <n v="4399.67"/>
    <x v="0"/>
    <x v="0"/>
    <x v="0"/>
    <x v="0"/>
    <n v="329.61859618963615"/>
  </r>
  <r>
    <n v="2"/>
    <n v="19316531"/>
    <s v="001168/23"/>
    <s v="***.013.087-**"/>
    <s v="ADELIA MARIA MIGLIEVICH RIBEIRO"/>
    <s v="PROFESSOR DO MAGISTERIO SUPERIOR"/>
    <s v="-1"/>
    <s v="Sem informação"/>
    <d v="2023-11-16T00:00:00"/>
    <d v="2023-11-29T00:00:00"/>
    <s v="Convidada para banca de concurso público docente."/>
    <x v="55"/>
    <s v="Aéreo"/>
    <s v="Sim"/>
    <s v="Realizada"/>
    <s v="SIM"/>
    <s v="Corrigido."/>
    <n v="4399.67"/>
    <n v="0"/>
    <n v="2402.2400000000002"/>
    <n v="0"/>
    <d v="2023-09-21T00:00:00"/>
    <x v="1"/>
    <x v="0"/>
    <x v="0"/>
    <n v="2402.2400000000002"/>
    <n v="4399.67"/>
    <x v="0"/>
    <x v="0"/>
    <x v="0"/>
    <x v="0"/>
    <n v="573.62072344292073"/>
  </r>
  <r>
    <n v="2"/>
    <n v="19133964"/>
    <s v="000781/23"/>
    <s v="***.045.794-**"/>
    <s v="CELSO AUGUSTO GUIMARAES SANTOS"/>
    <s v="PROFESSOR DO MAGISTERIO SUPERIOR"/>
    <s v="-1"/>
    <s v="Sem informação"/>
    <d v="2023-11-18T00:00:00"/>
    <d v="2023-11-25T00:00:00"/>
    <s v="Participação no XXV Simpósio Brasileiro de Recursos Hídricos para apresentação de artigos."/>
    <x v="62"/>
    <s v="Aéreo"/>
    <s v="Não"/>
    <s v="Realizada"/>
    <s v="NÃO"/>
    <s v="Sem informação"/>
    <n v="2503.1"/>
    <n v="0"/>
    <n v="2417.16"/>
    <n v="0"/>
    <d v="2023-08-17T00:00:00"/>
    <x v="11"/>
    <x v="0"/>
    <x v="0"/>
    <n v="2417.16"/>
    <n v="2503.1"/>
    <x v="2"/>
    <x v="0"/>
    <x v="0"/>
    <x v="0"/>
    <n v="265.34513886071062"/>
  </r>
  <r>
    <n v="2"/>
    <n v="19208009"/>
    <s v="000926/23"/>
    <s v="***.370.124-**"/>
    <s v="RICHARDE MARQUES DA SILVA"/>
    <s v="PROFESSOR DO MAGISTERIO SUPERIOR"/>
    <s v="FG-0001"/>
    <s v="FG-0001"/>
    <d v="2023-11-18T00:00:00"/>
    <d v="2023-11-25T00:00:00"/>
    <s v="Apresentar e Participar do XXV Simpósio Brasileiro de Recursos Hídricos na cidade de Aracaju/Se."/>
    <x v="62"/>
    <s v="Aéreo"/>
    <s v="Não"/>
    <s v="Realizada"/>
    <s v="NÃO"/>
    <s v="Sem informação"/>
    <n v="2503.1"/>
    <n v="0"/>
    <n v="3201.3599999999997"/>
    <n v="0"/>
    <d v="2023-08-30T00:00:00"/>
    <x v="11"/>
    <x v="0"/>
    <x v="0"/>
    <n v="3201.3599999999997"/>
    <n v="2503.1"/>
    <x v="2"/>
    <x v="0"/>
    <x v="0"/>
    <x v="0"/>
    <n v="265.34513886071062"/>
  </r>
  <r>
    <n v="2"/>
    <n v="19217117"/>
    <s v="000885/23"/>
    <s v="***.781.114-**"/>
    <s v="CRISTIANO DAS NEVES ALMEIDA"/>
    <s v="PROFESSOR DO MAGISTERIO SUPERIOR"/>
    <s v="-1"/>
    <s v="Sem informação"/>
    <d v="2023-11-18T00:00:00"/>
    <d v="2023-11-24T00:00:00"/>
    <s v="Participação no XXV Simpósio Brasileiro de Recursos Hídricos"/>
    <x v="62"/>
    <s v="Aéreo"/>
    <s v="Sim"/>
    <s v="Realizada"/>
    <s v="NÃO"/>
    <s v="Sem informação"/>
    <n v="2162.08"/>
    <n v="0"/>
    <n v="2942.96"/>
    <n v="0"/>
    <d v="2023-08-29T00:00:00"/>
    <x v="6"/>
    <x v="0"/>
    <x v="0"/>
    <n v="2942.96"/>
    <n v="2162.08"/>
    <x v="2"/>
    <x v="0"/>
    <x v="0"/>
    <x v="0"/>
    <n v="265.34513886071062"/>
  </r>
  <r>
    <n v="2"/>
    <n v="19277981"/>
    <s v="001048/23"/>
    <s v="***.231.197-**"/>
    <s v="NELSON GOMES DE SANT ANA E SILVA JUNIOR"/>
    <s v="PROFESSOR DO MAGISTERIO SUPERIOR"/>
    <s v="-1"/>
    <s v="Sem informação"/>
    <d v="2023-11-19T00:00:00"/>
    <d v="2023-11-25T00:00:00"/>
    <s v="Participação no Seminário de Meio Termo 2023 da CAPES/MEC na condição de vice-coordenador do Programa de Pós-Graduação em Direitos Humanos, Cidadania e Políticas Públicas da UFPB."/>
    <x v="1"/>
    <s v="Aéreo"/>
    <s v="Não"/>
    <s v="Realizada"/>
    <s v="NÃO"/>
    <s v="Sem informação"/>
    <n v="2422.86"/>
    <n v="0"/>
    <n v="2099.1"/>
    <n v="0"/>
    <d v="2023-09-13T00:00:00"/>
    <x v="6"/>
    <x v="0"/>
    <x v="0"/>
    <n v="2099.1"/>
    <n v="2422.86"/>
    <x v="1"/>
    <x v="1"/>
    <x v="0"/>
    <x v="0"/>
    <n v="626.66401501165365"/>
  </r>
  <r>
    <n v="2"/>
    <n v="19283968"/>
    <s v="001613/23"/>
    <s v="***.313.214-**"/>
    <s v="EMILIA MARIA DA TRINDADE PRESTES"/>
    <s v="PROFESSOR DO MAGISTERIO SUPERIOR"/>
    <s v="-1"/>
    <s v="Sem informação"/>
    <d v="2023-11-19T00:00:00"/>
    <d v="2023-11-27T00:00:00"/>
    <s v="Participação no II Simpósio Internacional Jurgen Habermas"/>
    <x v="18"/>
    <s v="Aéreo"/>
    <s v="Sim"/>
    <s v="Realizada"/>
    <s v="SIM"/>
    <s v="Foi necessário requisitar novos empenhos para pagamento de diárias e passagens."/>
    <n v="2814.21"/>
    <n v="0"/>
    <n v="4458.29"/>
    <n v="0"/>
    <d v="2023-11-07T00:00:00"/>
    <x v="5"/>
    <x v="0"/>
    <x v="0"/>
    <n v="4458.29"/>
    <n v="2814.21"/>
    <x v="2"/>
    <x v="0"/>
    <x v="1"/>
    <x v="0"/>
    <n v="985.87880246436816"/>
  </r>
  <r>
    <n v="2"/>
    <n v="19323094"/>
    <s v="001198/23"/>
    <s v="***.474.766-**"/>
    <s v="EDNA GUSMAO DE GOES BRENNAND"/>
    <s v="PROFESSOR DO MAGISTERIO SUPERIOR"/>
    <s v="-1"/>
    <s v="Sem informação"/>
    <d v="2023-11-19T00:00:00"/>
    <d v="2023-11-26T00:00:00"/>
    <s v="Como Coordenadora da Rede RIEV coordenar em parceria com a Universidade Federal da Santa Catarina -UFSC e a Universidade de València - Espanha o II Simpósio Internacional Jurgen Habermas no período de 20 a 25 de novembro (https://simposiojurgenhabermas.com/) ; proferir a conferência - Inteligência Artificial, Direitos Humanos eEsfera Pública no referido evento."/>
    <x v="18"/>
    <s v="Aéreo"/>
    <s v="Sim"/>
    <s v="Realizada"/>
    <s v="NÃO"/>
    <s v="Sem informação"/>
    <n v="2503.1"/>
    <n v="0"/>
    <n v="3362.49"/>
    <n v="0"/>
    <d v="2023-09-27T00:00:00"/>
    <x v="11"/>
    <x v="0"/>
    <x v="0"/>
    <n v="3362.49"/>
    <n v="2503.1"/>
    <x v="2"/>
    <x v="0"/>
    <x v="1"/>
    <x v="0"/>
    <n v="985.87880246436816"/>
  </r>
  <r>
    <n v="2"/>
    <n v="19479618"/>
    <s v="001648/23"/>
    <s v="***.144.514-**"/>
    <s v="ALEXANDRE EDUARDO DE ARAUJO"/>
    <s v="PROFESSOR DO MAGISTERIO SUPERIOR"/>
    <s v="FUC-0001"/>
    <s v="FUC-0001"/>
    <d v="2023-11-19T00:00:00"/>
    <d v="2023-11-24T00:00:00"/>
    <s v="O Congresso Brasileiro de Agroecologia é um importante evento nessa área do conhecimento, com a previsão de 5 mil participantes nesse ano de 2023. Serão realizadas participação em palestras, debates e apresentação de trabalhos técnicos científicos que serão apresentados, conforme comprovantes em anexo."/>
    <x v="13"/>
    <s v="Aéreo"/>
    <s v="Não"/>
    <s v="Realizada"/>
    <s v="SIM"/>
    <s v="Conforme Justificativa do proposto: Justifica-se a viagem fora do prazo de antecedência para solicitação devido aos trâmites para inscrições, envio de trabalhos e confirmação de aceitação de trabalhos e confirmação de inscrição. Outro fato que fez a solicitação se tornar em caráter de urgência foi a impossibilidade do CCHSA de comprar passagens nacionais por não existir contrato vigente com agências de turismo, ocasionando a necessidade de uma nova abertura de processo pelo CAVN e consequente envio para o CCA como parceiros.' e Autorização formal do Ordenador de Despesas. Anexos a esta PCDP."/>
    <n v="0"/>
    <n v="0"/>
    <n v="2663.29"/>
    <n v="0"/>
    <d v="2023-11-06T00:00:00"/>
    <x v="4"/>
    <x v="0"/>
    <x v="0"/>
    <n v="2663.29"/>
    <n v="0"/>
    <x v="2"/>
    <x v="0"/>
    <x v="1"/>
    <x v="0"/>
    <n v="717.39676463438343"/>
  </r>
  <r>
    <n v="2"/>
    <n v="19489218"/>
    <s v="001658/23"/>
    <s v="***.323.024-**"/>
    <s v="SUELLEN MARY MARINHO DOS SANTOS ANDRADE"/>
    <s v="PROFESSOR DO MAGISTERIO SUPERIOR"/>
    <s v="-1"/>
    <s v="Sem informação"/>
    <d v="2023-11-19T00:00:00"/>
    <d v="2023-11-24T00:00:00"/>
    <s v="Participação em Seminário de Meio Termo, promovido pela CAPES. Serão desenvolvidas ações para o planejamento na condução dos processos avaliativos, envolvendo o Programa de Pós-graduação em Modelos de Decisão e Saúde."/>
    <x v="1"/>
    <s v="Aéreo"/>
    <s v="Não"/>
    <s v="Realizada"/>
    <s v="SIM"/>
    <s v="A atual gestão da coordenação do PPGMDS tomou posse recentemente, não tendo sido, portanto, ainda autorizado o acesso aos recursos do PROEX, para emissão de diárias e passagens. Em virtude disso, buscou-se uma alternativa de apoio da Instituição, tendo sido a presente solicitação encaminhada, nesta data e em caráter de urgência, com recursos conseguidos com a PRPG, a fim de viabilizar a participação da vicecoordenadora do Programa neste seminário conduzido pela CAPES."/>
    <n v="2041.72"/>
    <n v="0"/>
    <n v="2422.4"/>
    <n v="0"/>
    <d v="2023-11-07T00:00:00"/>
    <x v="4"/>
    <x v="0"/>
    <x v="0"/>
    <n v="2422.4"/>
    <n v="2041.72"/>
    <x v="1"/>
    <x v="1"/>
    <x v="0"/>
    <x v="0"/>
    <n v="626.66401501165365"/>
  </r>
  <r>
    <n v="2"/>
    <n v="19133755"/>
    <s v="000759/23"/>
    <s v="***.585.554-**"/>
    <s v="ADRIANO ROLIM DA PAZ"/>
    <s v="PROFESSOR DO MAGISTERIO SUPERIOR"/>
    <s v="-1"/>
    <s v="Sem informação"/>
    <d v="2023-11-20T00:00:00"/>
    <d v="2023-11-24T00:00:00"/>
    <s v="Participação no período de 20 a 24 de novembro de 2023 do XXV Simpósio Brasileiro de Recursos Hídricos, a ser realizado em Aracaju (SE), com dois artigos científicos completos aprovados para apresentação e publicação nos anais."/>
    <x v="62"/>
    <s v="Aéreo"/>
    <s v="Sim"/>
    <s v="Realizada"/>
    <s v="NÃO"/>
    <s v="Sem informação"/>
    <n v="1480.04"/>
    <n v="0"/>
    <n v="2776.3599999999997"/>
    <n v="0"/>
    <d v="2023-08-10T00:00:00"/>
    <x v="7"/>
    <x v="0"/>
    <x v="0"/>
    <n v="2776.3599999999997"/>
    <n v="1480.04"/>
    <x v="2"/>
    <x v="0"/>
    <x v="0"/>
    <x v="0"/>
    <n v="265.34513886071062"/>
  </r>
  <r>
    <n v="2"/>
    <n v="19245814"/>
    <s v="001012/23"/>
    <s v="***.840.844-**"/>
    <s v="HEMILIO FERNANDES CAMPOS COELHO"/>
    <s v="PROFESSOR DO MAGISTERIO SUPERIOR"/>
    <s v="FG-0001"/>
    <s v="FG-0001"/>
    <d v="2023-11-20T00:00:00"/>
    <d v="2023-11-25T00:00:00"/>
    <s v="Participar como palestrante do WORKSHOP EM ANÁLISE DE SOBREVIVÊNCIA E APLICAÇÕES que será realizado na XVIII ESCOLA DE MODELOS DE REGRESSÃO e ocorrerá nos dias 21 a 24/11/2023 em BELÉM-PA, no Centro Cultural e Turístico Tancredo Neves (CENTUR)."/>
    <x v="5"/>
    <s v="Aéreo"/>
    <s v="Sim"/>
    <s v="Realizada"/>
    <s v="NÃO"/>
    <s v="Sem informação"/>
    <n v="1821.06"/>
    <n v="0"/>
    <n v="2620.7800000000002"/>
    <n v="0"/>
    <d v="2023-09-09T00:00:00"/>
    <x v="4"/>
    <x v="0"/>
    <x v="0"/>
    <n v="2620.7800000000002"/>
    <n v="1821.06"/>
    <x v="2"/>
    <x v="0"/>
    <x v="0"/>
    <x v="0"/>
    <n v="596.68665796167329"/>
  </r>
  <r>
    <n v="2"/>
    <n v="19161960"/>
    <s v="000852/23"/>
    <s v="***.662.224-**"/>
    <s v="RITA CRISTIANA BARBOSA"/>
    <s v="PROFESSOR DO MAGISTERIO SUPERIOR"/>
    <s v="FG-0001"/>
    <s v="FG-0001"/>
    <d v="2023-11-21T00:00:00"/>
    <d v="2023-11-26T00:00:00"/>
    <s v="Ao propor o simpósio temático intitulado: Homossexualidade e Igreja, no XI Congresso Internacional de Diversidade Sexual, Étnico racial e de Gênero, abriu-se uma oportunidade ímpar e muito pertinente para conhecer e debater sobre interlocuções com o assunto gênero e religião, por meio de pesquisas realizadas no Brasil e em outros países, uma vez em que pesquiso e oriento tais temáticas, além de lecionar a disciplina: Gênero, sexualidade e religião na graduação e pós-graduação em Ciências das Religiões, da UFPB e ser líder do Grupo de Pesquisa sobre Educação, Religiões, Mulheres e Tecnologias Digitais - TECLA. Sou responsável pela Coordenação de Simpósio Temático e com apresentação de trabalho"/>
    <x v="13"/>
    <s v="Aéreo"/>
    <s v="Não"/>
    <s v="Realizada"/>
    <s v="NÃO"/>
    <s v="Sem informação"/>
    <n v="2071.63"/>
    <n v="0"/>
    <n v="1629.0900000000001"/>
    <n v="0"/>
    <d v="2023-08-25T00:00:00"/>
    <x v="4"/>
    <x v="0"/>
    <x v="0"/>
    <n v="1629.0900000000001"/>
    <n v="2071.63"/>
    <x v="2"/>
    <x v="0"/>
    <x v="1"/>
    <x v="0"/>
    <n v="717.39676463438343"/>
  </r>
  <r>
    <n v="2"/>
    <n v="19328308"/>
    <s v="001229/23"/>
    <s v="***.193.774-**"/>
    <s v="ANGELINA DIAS LEAO COSTA"/>
    <s v="PROFESSOR DO MAGISTERIO SUPERIOR"/>
    <s v="-1"/>
    <s v="Sem informação"/>
    <d v="2023-11-21T00:00:00"/>
    <d v="2023-11-25T00:00:00"/>
    <s v="Participação no XXIII Congresso da ABERGO"/>
    <x v="18"/>
    <s v="Aéreo"/>
    <s v="Sim"/>
    <s v="Realizada"/>
    <s v="NÃO"/>
    <s v="Sem informação"/>
    <n v="1339.44"/>
    <n v="0"/>
    <n v="3680.29"/>
    <n v="0"/>
    <d v="2023-09-29T00:00:00"/>
    <x v="7"/>
    <x v="0"/>
    <x v="0"/>
    <n v="3680.29"/>
    <n v="1339.44"/>
    <x v="2"/>
    <x v="0"/>
    <x v="1"/>
    <x v="0"/>
    <n v="985.87880246436816"/>
  </r>
  <r>
    <n v="2"/>
    <n v="19373725"/>
    <s v="001351/23"/>
    <s v="***.609.056-**"/>
    <s v="MARIANA COSTA MONTEIRO"/>
    <s v="PROFESSOR DO MAGISTERIO SUPERIOR"/>
    <s v="FUC-0001"/>
    <s v="FUC-0001"/>
    <d v="2023-11-21T00:00:00"/>
    <d v="2023-11-24T00:00:00"/>
    <s v="O proposto virá participar do XX Encontro Nacional do fórum de Coordenadores de Pós Graduação em Alimentação e Nutrição"/>
    <x v="13"/>
    <s v="Aéreo"/>
    <s v="Sim"/>
    <s v="Realizada"/>
    <s v="NÃO"/>
    <s v="Sem informação"/>
    <n v="1168.93"/>
    <n v="0"/>
    <n v="2032.89"/>
    <n v="0"/>
    <d v="2023-10-06T00:00:00"/>
    <x v="2"/>
    <x v="0"/>
    <x v="0"/>
    <n v="2032.89"/>
    <n v="1168.93"/>
    <x v="2"/>
    <x v="1"/>
    <x v="1"/>
    <x v="0"/>
    <n v="717.39676463438343"/>
  </r>
  <r>
    <n v="2"/>
    <n v="19379035"/>
    <s v="001568/23"/>
    <s v="***.426.028-**"/>
    <s v="ULISSES CARVALHO DA SILVA"/>
    <s v="PROFESSOR DO MAGISTERIO SUPERIOR"/>
    <s v="CD-0003"/>
    <s v="Cargo Comissionado de Direção"/>
    <d v="2023-11-21T00:00:00"/>
    <d v="2023-11-25T00:00:00"/>
    <s v="Visita técnica à Escola Municipal de Música de São Paulo, à Escola de Música do Estado de São Paulo e à Faculdade Santa Marcelina, instituições de ensino musical e com orquestras jovens em São Paulo, objetivando o conhecimento acerca dos resultados obtidos por estas renomadas instituições muito contribuirão para aperfeiçoar o conjunto de atividades desenvolvidas pelo Departamento de Música do CCTA/UFPB, ligado à área de atuação do docente, como: melhoria das condições técnico-musicais de ensino, descortinar novas linhas de pesquisa na área da música e divisar possibilidades de projetos nas atividades de extensão do Departamento."/>
    <x v="4"/>
    <s v="Aéreo"/>
    <s v="Sim"/>
    <s v="Realizada"/>
    <s v="NÃO"/>
    <s v="Sem informação"/>
    <n v="1926.06"/>
    <n v="0"/>
    <n v="1374.54"/>
    <n v="0"/>
    <d v="2023-10-26T00:00:00"/>
    <x v="7"/>
    <x v="0"/>
    <x v="0"/>
    <n v="1374.54"/>
    <n v="1926.06"/>
    <x v="4"/>
    <x v="1"/>
    <x v="1"/>
    <x v="0"/>
    <n v="800.95835140972315"/>
  </r>
  <r>
    <n v="2"/>
    <n v="19525156"/>
    <s v="001744/23"/>
    <s v="***.051.554-**"/>
    <s v="VALDINEY VELOSO GOUVEIA"/>
    <s v="PROFESSOR DO MAGISTERIO SUPERIOR"/>
    <s v="CD-0001"/>
    <s v="Cargo Comissionado de Direção"/>
    <d v="2023-11-21T00:00:00"/>
    <d v="2023-11-24T00:00:00"/>
    <s v="Participar da CXCVI Reunião Ordinária do Conselho Pleno da ANDIFES, a ser realizada nos dias 22 e 23 de novembro de 2023, em Brasília/DF"/>
    <x v="1"/>
    <s v="Aéreo"/>
    <s v="Sim"/>
    <s v="Realizada"/>
    <s v="SIM"/>
    <s v="Devido demanda/agenda do Gabinete/Reitoria e compromissos do Reitor fora da instituição, a viagem foi definida nesta data, conforme justificativa no formulário de solicitação de passagem e diária"/>
    <n v="1492.57"/>
    <n v="0"/>
    <n v="3698.7999999999997"/>
    <n v="0"/>
    <d v="2023-11-16T00:00:00"/>
    <x v="2"/>
    <x v="0"/>
    <x v="0"/>
    <n v="3698.7999999999997"/>
    <n v="1492.57"/>
    <x v="3"/>
    <x v="1"/>
    <x v="0"/>
    <x v="0"/>
    <n v="626.66401501165365"/>
  </r>
  <r>
    <n v="2"/>
    <n v="19537594"/>
    <s v="001747/23"/>
    <s v="***.854.654-**"/>
    <s v="MARIA SORAYA PEREIRA FRANCO ADRIANO"/>
    <s v="PROFESSOR ENS BASICO TECN TECNOLOGICO"/>
    <s v="CD-0003"/>
    <s v="Cargo Comissionado de Direção"/>
    <d v="2023-11-21T00:00:00"/>
    <d v="2023-11-24T00:00:00"/>
    <s v="Participar no dia 21/11/2023 da reunião com a coordenação de orçamento da SESU/MEC, no dia 22/11/2023 reunião da CXCVI Reunião Ordinária do Conselho Pleno da ANDIFES, juntamente com o Senhor Reitor e no dia 23/11/2023 reunião do Seminário Internacional de Educação Profissional, em Brasília/DF"/>
    <x v="1"/>
    <s v="Aéreo"/>
    <s v="Não"/>
    <s v="Realizada"/>
    <s v="SIM"/>
    <s v="Considerando o tempo de recebimento das convocações, não tendo tempo hábil obedecer os prazos previstos de orientação e fim do exercício orçamentário do CPT/ETS/UFPB, conforme justificativa no formulário de solicitação"/>
    <n v="1492.57"/>
    <n v="0"/>
    <n v="3709.7999999999997"/>
    <n v="0"/>
    <d v="2023-11-17T00:00:00"/>
    <x v="2"/>
    <x v="0"/>
    <x v="0"/>
    <n v="3709.7999999999997"/>
    <n v="1492.57"/>
    <x v="3"/>
    <x v="1"/>
    <x v="0"/>
    <x v="0"/>
    <n v="626.66401501165365"/>
  </r>
  <r>
    <n v="2"/>
    <n v="19223541"/>
    <s v="000922/23"/>
    <s v=""/>
    <s v="BRUNNA HELLEN SARAIVA COSTA"/>
    <s v=""/>
    <s v="-1"/>
    <s v="Sem informação"/>
    <d v="2023-11-22T00:00:00"/>
    <d v="2023-11-26T00:00:00"/>
    <s v="Participação e apresentação de trabalho no evento IV Congresso Paulista de Cuidados Paliativos e III Congresso Paulista de cuidados Paliativos"/>
    <x v="4"/>
    <s v="Aéreo"/>
    <s v="Sim"/>
    <s v="Realizada"/>
    <s v="NÃO"/>
    <s v="Sem informação"/>
    <n v="0"/>
    <n v="0"/>
    <n v="1737.34"/>
    <n v="0"/>
    <d v="2023-08-29T00:00:00"/>
    <x v="7"/>
    <x v="0"/>
    <x v="0"/>
    <n v="1737.34"/>
    <n v="0"/>
    <x v="2"/>
    <x v="3"/>
    <x v="1"/>
    <x v="0"/>
    <n v="800.95835140972315"/>
  </r>
  <r>
    <n v="2"/>
    <n v="19223661"/>
    <s v="000923/23"/>
    <s v=""/>
    <s v="THAINA KAROLINE COSTA DIAS"/>
    <s v=""/>
    <s v="-1"/>
    <s v="Sem informação"/>
    <d v="2023-11-22T00:00:00"/>
    <d v="2023-11-26T00:00:00"/>
    <s v="Participação e apresentação de trabalho no evento IV Congresso Paulista de Cuidados Paliativos e III Congresso Paulista de cuidados paliativos"/>
    <x v="4"/>
    <s v="Aéreo"/>
    <s v="Não"/>
    <s v="Realizada"/>
    <s v="NÃO"/>
    <s v="Sem informação"/>
    <n v="0"/>
    <n v="0"/>
    <n v="1737.34"/>
    <n v="0"/>
    <d v="2023-08-29T00:00:00"/>
    <x v="7"/>
    <x v="0"/>
    <x v="0"/>
    <n v="1737.34"/>
    <n v="0"/>
    <x v="2"/>
    <x v="3"/>
    <x v="1"/>
    <x v="0"/>
    <n v="800.95835140972315"/>
  </r>
  <r>
    <n v="2"/>
    <n v="19341809"/>
    <s v="001281/23"/>
    <s v="***.211.068-**"/>
    <s v="OSWALDO MARTINS ESTANISLAU DO AMARAL"/>
    <s v=""/>
    <s v="-1"/>
    <s v="Sem informação"/>
    <d v="2023-11-22T00:00:00"/>
    <d v="2023-11-24T00:00:00"/>
    <s v="Trata-se de convite ao professor Dr. Oswaldo Martins E. do Amaral, vinculado ao programa de pós-graduação em Ciência Política da Universidade Estadual de Campinas (Unicamp), para participar de atividades institucionais e acadêmicas junto ao programa de pós-graduação em Ciência Política e Relações Internacionais da Universidade Federal da Paraíba (PPGCPRI). a)Reunião com o Colegiado do Programa de pós-graduação em Ciência Política e Relações Internacionais: dia 23/11 das 9h00 às 11h00 b)Palestra aberta aos discentes e público em geral: dia 23/11 às 15h00 Reunião de trabalho com Grupo de Estudos e Pesquisas em Pensamento Social e Político Brasileiro (ARIADNE), em razão de projeto de pesquisa CNPq 'Democracia, Desenvolvimento e Direitos': dia 24/11 das 9h00 às 12h00."/>
    <x v="4"/>
    <s v="Aéreo"/>
    <s v="Sim"/>
    <s v="Realizada"/>
    <s v="NÃO"/>
    <s v="Sem informação"/>
    <n v="947.55"/>
    <n v="0"/>
    <n v="1728.94"/>
    <n v="0"/>
    <d v="2023-10-02T00:00:00"/>
    <x v="3"/>
    <x v="0"/>
    <x v="0"/>
    <n v="1728.94"/>
    <n v="947.55"/>
    <x v="2"/>
    <x v="2"/>
    <x v="1"/>
    <x v="0"/>
    <n v="800.95835140972315"/>
  </r>
  <r>
    <n v="2"/>
    <n v="19430980"/>
    <s v="001536/23"/>
    <s v="***.344.524-**"/>
    <s v="RENATE MARIA RAMOS WELLEN"/>
    <s v="PROFESSOR DO MAGISTERIO SUPERIOR"/>
    <s v="CD-0004"/>
    <s v="Cargo Comissionado de Direção"/>
    <d v="2023-11-22T00:00:00"/>
    <d v="2023-11-25T00:00:00"/>
    <s v="Reuniões com técnicos, gerentes e diretores da Finep sobre os convênios da UFPB"/>
    <x v="13"/>
    <s v="Aéreo"/>
    <s v="Não"/>
    <s v="Realizada"/>
    <s v="NÃO"/>
    <s v="Sem informação"/>
    <n v="1339.26"/>
    <n v="0"/>
    <n v="1650.49"/>
    <n v="0"/>
    <d v="2023-10-26T00:00:00"/>
    <x v="2"/>
    <x v="0"/>
    <x v="0"/>
    <n v="1650.49"/>
    <n v="1339.26"/>
    <x v="3"/>
    <x v="1"/>
    <x v="1"/>
    <x v="0"/>
    <n v="717.39676463438343"/>
  </r>
  <r>
    <n v="2"/>
    <n v="19340929"/>
    <s v="001226/23"/>
    <s v="***.583.405-**"/>
    <s v="ROBSON DA FONSECA NEVES"/>
    <s v="PROFESSOR DO MAGISTERIO SUPERIOR"/>
    <s v="-1"/>
    <s v="Sem informação"/>
    <d v="2023-11-23T00:00:00"/>
    <d v="2023-11-26T00:00:00"/>
    <s v="O requerente é co-lider do grupo de pesquisa CNPq: Atenção Integral à Saúde: Saúde, trabalho e funcionalidade, grupo este que está comemorando 18 anos de existência com o qual temos desenvolvido pesquisas ao longo desses anos e extensa produção científica. Estou indo em missão, pois esse evento está relacionado ao planejamento do grupo para o ano de 2024 e mostra de trabalhos e projetos dos 18 anos do grupo."/>
    <x v="3"/>
    <s v="Aéreo"/>
    <s v="Sim"/>
    <s v="Realizada"/>
    <s v="NÃO"/>
    <s v="Sem informação"/>
    <n v="1228.75"/>
    <n v="0"/>
    <n v="1140.28"/>
    <n v="0"/>
    <d v="2023-10-18T00:00:00"/>
    <x v="2"/>
    <x v="0"/>
    <x v="0"/>
    <n v="1140.28"/>
    <n v="1228.75"/>
    <x v="2"/>
    <x v="0"/>
    <x v="0"/>
    <x v="0"/>
    <n v="271.05605715809952"/>
  </r>
  <r>
    <n v="2"/>
    <n v="19574908"/>
    <s v="001828/23"/>
    <s v=""/>
    <s v="JULIANA CAMACHO AGUIAR"/>
    <s v=""/>
    <s v="-1"/>
    <s v="Sem informação"/>
    <d v="2023-11-24T00:00:00"/>
    <d v="2023-12-07T00:00:00"/>
    <s v="Participar do 18° Fest-Aruanda fazendo cobertura jornalística para o Guia do Cinéfilo."/>
    <x v="64"/>
    <s v="Aéreo"/>
    <s v="Não"/>
    <s v="Realizada"/>
    <s v="SIM"/>
    <s v="A PCDP foi cadastrada com atraso devido grande número de processos no setor."/>
    <n v="0"/>
    <n v="0"/>
    <n v="1431.79"/>
    <n v="0"/>
    <d v="2023-11-27T00:00:00"/>
    <x v="1"/>
    <x v="0"/>
    <x v="0"/>
    <n v="1431.79"/>
    <n v="0"/>
    <x v="1"/>
    <x v="2"/>
    <x v="1"/>
    <x v="0"/>
    <n v="739.49398257923167"/>
  </r>
  <r>
    <n v="2"/>
    <n v="19584704"/>
    <s v="001849/23"/>
    <s v="***.547.408-**"/>
    <s v="LUIZ FERNANDO ZANIN ORICCHIO"/>
    <s v=""/>
    <s v="-1"/>
    <s v="Sem informação"/>
    <d v="2023-11-24T00:00:00"/>
    <d v="2023-12-07T00:00:00"/>
    <s v="Participar do 18° Fest-Aruanda fazendo cobertura jornalistica para o Estado de São Paulo"/>
    <x v="65"/>
    <s v="Aéreo"/>
    <s v="Não"/>
    <s v="Realizada"/>
    <s v="SIM"/>
    <s v="Atraso no cadastro no SCDP."/>
    <n v="0"/>
    <n v="0"/>
    <n v="1072.99"/>
    <n v="0"/>
    <d v="2023-11-29T00:00:00"/>
    <x v="1"/>
    <x v="0"/>
    <x v="0"/>
    <n v="1072.99"/>
    <n v="0"/>
    <x v="5"/>
    <x v="2"/>
    <x v="1"/>
    <x v="0"/>
    <n v="820.46582768741973"/>
  </r>
  <r>
    <n v="2"/>
    <n v="19318403"/>
    <s v="001173/23"/>
    <s v=""/>
    <s v="THALES MARTINS BEZERRA"/>
    <s v=""/>
    <s v="-1"/>
    <s v="Sem informação"/>
    <d v="2023-11-25T00:00:00"/>
    <d v="2023-11-30T00:00:00"/>
    <s v="Participação e apresentação de trabalho no Congresso Brasileiro de Eletrônica de Potência - COBEP 2023, que ocorrerá no período de 26 a 29/11/2023, em Florianópolis/SC."/>
    <x v="18"/>
    <s v="Aéreo"/>
    <s v="Não"/>
    <s v="Realizada"/>
    <s v="SIM"/>
    <s v="As passagens foram emitidas e o proposto já realizou a viagem, no entanto, foi necessário retificar as informações referentes as tarifas e taxas de embarque por não terem sido descritas separadamente para o voo de ida e de volta"/>
    <n v="95"/>
    <n v="0"/>
    <n v="2378.29"/>
    <n v="0"/>
    <d v="2023-09-21T00:00:00"/>
    <x v="4"/>
    <x v="0"/>
    <x v="0"/>
    <n v="2378.29"/>
    <n v="95"/>
    <x v="2"/>
    <x v="3"/>
    <x v="1"/>
    <x v="0"/>
    <n v="985.87880246436816"/>
  </r>
  <r>
    <n v="2"/>
    <n v="19429781"/>
    <s v="001597/23"/>
    <s v=""/>
    <s v="RUBEN DA CRUZ FERREIRA"/>
    <s v=""/>
    <s v="-1"/>
    <s v="Sem informação"/>
    <d v="2023-11-25T00:00:00"/>
    <d v="2023-11-30T00:00:00"/>
    <s v="PROPOSTO IRÁ PARTICIPAR DO CONGRESSO BRASILEIRO DE ELETRÔNICA DE POTÊNCIA - COBEP 2023, APRESENTANDO TRABALHOS DE PESQUISA REFERENTE AO SEU CURSO DE GRADUAÇÃO NA UFPB."/>
    <x v="18"/>
    <s v="Aéreo"/>
    <s v="Não"/>
    <s v="Realizada"/>
    <s v="NÃO"/>
    <s v="Sem informação"/>
    <n v="0"/>
    <n v="0"/>
    <n v="2956.59"/>
    <n v="0"/>
    <d v="2023-10-26T00:00:00"/>
    <x v="4"/>
    <x v="0"/>
    <x v="0"/>
    <n v="2956.59"/>
    <n v="0"/>
    <x v="2"/>
    <x v="3"/>
    <x v="1"/>
    <x v="0"/>
    <n v="985.87880246436816"/>
  </r>
  <r>
    <n v="2"/>
    <n v="19431948"/>
    <s v="001556/23"/>
    <s v="***.966.854-**"/>
    <s v="GILIELSON FIGUEREDO DA PAZ"/>
    <s v="TECNICO EM ELETROTECNICA"/>
    <s v="-1"/>
    <s v="Sem informação"/>
    <d v="2023-11-25T00:00:00"/>
    <d v="2023-11-30T00:00:00"/>
    <s v="Apresentação de três artigos científicos que foram aprovados no 17º Congresso Brasileiro de Eletrônica de Potência e 8º IEEE SOUTHERN POWER ELETRONICS conferência que ocorrerá entre os dias 26 e 29 de novembro de 2023, na cidade de Florianópolis/SC"/>
    <x v="18"/>
    <s v="Aéreo"/>
    <s v="Sim"/>
    <s v="Realizada"/>
    <s v="NÃO"/>
    <s v="Sem informação"/>
    <n v="95"/>
    <n v="0"/>
    <n v="2693.19"/>
    <n v="0"/>
    <d v="2023-10-24T00:00:00"/>
    <x v="4"/>
    <x v="0"/>
    <x v="0"/>
    <n v="2693.19"/>
    <n v="95"/>
    <x v="2"/>
    <x v="3"/>
    <x v="1"/>
    <x v="0"/>
    <n v="985.87880246436816"/>
  </r>
  <r>
    <n v="2"/>
    <n v="19330579"/>
    <s v="001655/23"/>
    <s v="***.078.334-**"/>
    <s v="JESSICA DA SILVA GADELHA"/>
    <s v="BIBLIOTECARIO-DOCUMENTALISTA"/>
    <s v="-1"/>
    <s v="Sem informação"/>
    <d v="2023-11-26T00:00:00"/>
    <d v="2023-12-02T00:00:00"/>
    <s v="Considerando a importância do evento científico para o aprimoramento profissional, venho, respeitosamente, solicitar a concessão de passagens aéreas ida/volta (João Pessoa/Florianópolis/João Pessoa) e diárias para o XXII SEMINÁRIO NACIONAL DE BIBLIOTECAS UNIVERSITÁRIAS (SNBU), evento específico e extremamente relevante para a área de Biblioteconomia, que acontecerá em FLORIANÓPOLIS - SC, no período de 28 DE NOVEMBRO A 01 DE DEZEMBRO DE 2023, e que tem como tema central 'BIBLIOTECAS E SUSTENTABILIDADE: INOVAÇÃO, CIÊNCIA E SOCIEDADE'."/>
    <x v="18"/>
    <s v="Aéreo"/>
    <s v="Não"/>
    <s v="Realizada"/>
    <s v="NÃO"/>
    <s v="Sem informação"/>
    <n v="2162.08"/>
    <n v="0"/>
    <n v="3000.49"/>
    <n v="0"/>
    <d v="2023-11-09T00:00:00"/>
    <x v="6"/>
    <x v="0"/>
    <x v="0"/>
    <n v="3000.49"/>
    <n v="2162.08"/>
    <x v="2"/>
    <x v="1"/>
    <x v="1"/>
    <x v="0"/>
    <n v="985.87880246436816"/>
  </r>
  <r>
    <n v="2"/>
    <n v="19342982"/>
    <s v="001654/23"/>
    <s v="***.638.174-**"/>
    <s v="ANNA REGINA DA SILVA RIBEIRO"/>
    <s v="BIBLIOTECARIO-DOCUMENTALISTA"/>
    <s v="-1"/>
    <s v="Sem informação"/>
    <d v="2023-11-26T00:00:00"/>
    <d v="2023-12-02T00:00:00"/>
    <s v="Solicita a concessão de passagens aéreas ida/volta (João Pessoa/Florianópolis/João Pessoa) e diárias para participar do evento XXII SEMINÁRIO NACIONAL DE BIBLIOTECAS UNIVERSITÁRIAS (SNBU), que acontecerá em FLORIANÓPOLIS - SC, no período de 27 DE NOVEMBRO A 01 DE DEZEMBRO DE 2023, que tem como tema central 'BIBLIOTECAS E SUSTENTABILIDADE: INOVAÇÃO, CIÊNCIA E SOCIEDADE'."/>
    <x v="18"/>
    <s v="Aéreo"/>
    <s v="Sim"/>
    <s v="Realizada"/>
    <s v="NÃO"/>
    <s v="Sem informação"/>
    <n v="2162.08"/>
    <n v="0"/>
    <n v="2976.09"/>
    <n v="0"/>
    <d v="2023-11-09T00:00:00"/>
    <x v="6"/>
    <x v="0"/>
    <x v="0"/>
    <n v="2976.09"/>
    <n v="2162.08"/>
    <x v="1"/>
    <x v="1"/>
    <x v="1"/>
    <x v="0"/>
    <n v="985.87880246436816"/>
  </r>
  <r>
    <n v="2"/>
    <n v="19344229"/>
    <s v="001656/23"/>
    <s v=""/>
    <s v="LUIZA PEREIRA NUNES"/>
    <s v="BIBLIOTECARIO-DOCUMENTALISTA"/>
    <s v="-1"/>
    <s v="Sem informação"/>
    <d v="2023-11-26T00:00:00"/>
    <d v="2023-12-02T00:00:00"/>
    <s v="A servidora atualmente desenvolve a função de diretora da Divisão de Serviços ao Usuário da Biblioteca Central da UFPB. O Seminário Nacional de Bibliotecas Universitárias é um evento que ressalta a importância das bibliotecas universitárias estarem inseridas ativamente nas discussões acerca do desenvolvimento sustentável, promovendo o seu protagonismo ativo, dinâmico e flexível e se engajando continuamente em práticas, serviços e ações norteadas para o desenvolvimento sustentável e a 'não deixar ninguém para trás' - tal como a Agenda 2030 e os seus ODS destacam. Desse modo, o SNBU se apresenta como uma oportunidade de atualização profissional, bem como de adquirir novos conhecimentos e contatos pertinentes aos serviços oferecidos pela Biblioteca Central da UFPB."/>
    <x v="18"/>
    <s v="Aéreo"/>
    <s v="Não"/>
    <s v="Realizada"/>
    <s v="NÃO"/>
    <s v="Sem informação"/>
    <n v="2162.08"/>
    <n v="0"/>
    <n v="3000.49"/>
    <n v="0"/>
    <d v="2023-11-09T00:00:00"/>
    <x v="6"/>
    <x v="0"/>
    <x v="0"/>
    <n v="3000.49"/>
    <n v="2162.08"/>
    <x v="1"/>
    <x v="1"/>
    <x v="1"/>
    <x v="0"/>
    <n v="985.87880246436816"/>
  </r>
  <r>
    <n v="2"/>
    <n v="19349153"/>
    <s v="001277/23"/>
    <s v="***.979.934-**"/>
    <s v="EDILSON TARGINO DE MELO FILHO"/>
    <s v="BIBLIOTECARIO-DOCUMENTALISTA"/>
    <s v="-1"/>
    <s v="Sem informação"/>
    <d v="2023-11-26T00:00:00"/>
    <d v="2023-12-02T00:00:00"/>
    <s v="Participação no Seminário Nacional de Bibliotecas Universitárias."/>
    <x v="18"/>
    <s v="Aéreo"/>
    <s v="Não"/>
    <s v="Realizada"/>
    <s v="NÃO"/>
    <s v="Sem informação"/>
    <n v="2162.08"/>
    <n v="0"/>
    <n v="2150.09"/>
    <n v="0"/>
    <d v="2023-09-29T00:00:00"/>
    <x v="6"/>
    <x v="0"/>
    <x v="0"/>
    <n v="2150.09"/>
    <n v="2162.08"/>
    <x v="1"/>
    <x v="1"/>
    <x v="1"/>
    <x v="0"/>
    <n v="985.87880246436816"/>
  </r>
  <r>
    <n v="2"/>
    <n v="19350753"/>
    <s v="001279/23"/>
    <s v=""/>
    <s v="LUCIANNA SILVESTRE DE CASTRO AZEVEDO"/>
    <s v="BIBLIOTECARIO-DOCUMENTALISTA"/>
    <s v="-1"/>
    <s v="Sem informação"/>
    <d v="2023-11-26T00:00:00"/>
    <d v="2023-12-02T00:00:00"/>
    <s v="Participação no Seminário Nacional de Bibliotecas Universitárias."/>
    <x v="18"/>
    <s v="Aéreo"/>
    <s v="Sim"/>
    <s v="Realizada"/>
    <s v="NÃO"/>
    <s v="Sem informação"/>
    <n v="2162.08"/>
    <n v="0"/>
    <n v="2150.09"/>
    <n v="0"/>
    <d v="2023-09-29T00:00:00"/>
    <x v="6"/>
    <x v="0"/>
    <x v="0"/>
    <n v="2150.09"/>
    <n v="2162.08"/>
    <x v="1"/>
    <x v="1"/>
    <x v="1"/>
    <x v="0"/>
    <n v="985.87880246436816"/>
  </r>
  <r>
    <n v="2"/>
    <n v="19409465"/>
    <s v="001482/23"/>
    <s v="***.539.694-**"/>
    <s v="KATIANE DA CUNHA SOUZA"/>
    <s v="BIBLIOTECARIO-DOCUMENTALISTA"/>
    <s v="-1"/>
    <s v="Sem informação"/>
    <d v="2023-11-26T00:00:00"/>
    <d v="2023-12-02T00:00:00"/>
    <s v="Participação e apresentação de trabalho no XXII Seminário Nacional de Bibliotecas Universitárias."/>
    <x v="18"/>
    <s v="Aéreo"/>
    <s v="Sim"/>
    <s v="Realizada"/>
    <s v="NÃO"/>
    <s v="Sem informação"/>
    <n v="0"/>
    <n v="0"/>
    <n v="2294.69"/>
    <n v="0"/>
    <d v="2023-10-18T00:00:00"/>
    <x v="6"/>
    <x v="0"/>
    <x v="0"/>
    <n v="2294.69"/>
    <n v="0"/>
    <x v="1"/>
    <x v="1"/>
    <x v="1"/>
    <x v="0"/>
    <n v="985.87880246436816"/>
  </r>
  <r>
    <n v="2"/>
    <n v="19414264"/>
    <s v="001523/23"/>
    <s v="***.869.694-**"/>
    <s v="DANIEL PERICLES SANTOS CANUTO"/>
    <s v="TECNICO EM ARQUIVO"/>
    <s v="FG-0001"/>
    <s v="FG-0001"/>
    <d v="2023-11-26T00:00:00"/>
    <d v="2023-12-02T00:00:00"/>
    <s v="Participação de Curso de Cenários de Uso de Sistemas Informatizados no Contexto da Gestão de Documentos do dia 26/11/2023 a 02/12/2023 no Rio de Janeiro/RJ."/>
    <x v="13"/>
    <s v="Aéreo"/>
    <s v="Não"/>
    <s v="Realizada"/>
    <s v="NÃO"/>
    <s v="Sem informação"/>
    <n v="2422.86"/>
    <n v="0"/>
    <n v="1794.69"/>
    <n v="0"/>
    <d v="2023-10-20T00:00:00"/>
    <x v="6"/>
    <x v="0"/>
    <x v="0"/>
    <n v="1794.69"/>
    <n v="2422.86"/>
    <x v="4"/>
    <x v="1"/>
    <x v="1"/>
    <x v="0"/>
    <n v="717.39676463438343"/>
  </r>
  <r>
    <n v="2"/>
    <n v="19435803"/>
    <s v="001592/23"/>
    <s v=""/>
    <s v="GESSIANE CIPRIANO GALDINO DA SILVA"/>
    <s v=""/>
    <s v="-1"/>
    <s v="Sem informação"/>
    <d v="2023-11-26T00:00:00"/>
    <d v="2023-11-30T00:00:00"/>
    <s v="Proposto irá atuar no Congresso XXXVII EFNNE, na função de apresentadora de trabalho de iniciação científica e assistir as palestras ofertadas, para seu curso de graduação."/>
    <x v="3"/>
    <s v="Aéreo"/>
    <s v="Sim"/>
    <s v="Realizada"/>
    <s v="NÃO"/>
    <s v="Sem informação"/>
    <n v="0"/>
    <n v="0"/>
    <n v="1287.18"/>
    <n v="0"/>
    <d v="2023-10-26T00:00:00"/>
    <x v="7"/>
    <x v="0"/>
    <x v="0"/>
    <n v="1287.18"/>
    <n v="0"/>
    <x v="2"/>
    <x v="3"/>
    <x v="0"/>
    <x v="0"/>
    <n v="271.05605715809952"/>
  </r>
  <r>
    <n v="2"/>
    <n v="19072200"/>
    <s v="000543/23"/>
    <s v="***.338.008-**"/>
    <s v="RAFAEL AIELLO BOMFIM"/>
    <s v="PROFESSOR DO MAGISTERIO SUPERIOR"/>
    <s v="-1"/>
    <s v="Sem informação"/>
    <d v="2023-11-27T00:00:00"/>
    <d v="2023-12-01T00:00:00"/>
    <s v="Docente ministrará curso acerca de Ciência da Implementação. Além disso, participará de atividades do programa de pós-graduação em Odontologia (disciplinas de Seminários em Saúde Bucal Coletiva, e Seminários Avançados em Saúde Bucal Coletiva). Ministrará palestra em evento a ser realizado no dia 01/12."/>
    <x v="8"/>
    <s v="Aéreo"/>
    <s v="Sim"/>
    <s v="Realizada"/>
    <s v="NÃO"/>
    <s v="Sem informação"/>
    <n v="1480.04"/>
    <n v="0"/>
    <n v="1768.7600000000002"/>
    <n v="0"/>
    <d v="2023-07-07T00:00:00"/>
    <x v="7"/>
    <x v="0"/>
    <x v="0"/>
    <n v="1768.7600000000002"/>
    <n v="1480.04"/>
    <x v="2"/>
    <x v="0"/>
    <x v="1"/>
    <x v="0"/>
    <n v="946.86055240877727"/>
  </r>
  <r>
    <n v="2"/>
    <n v="19110466"/>
    <s v="000651/23"/>
    <s v="***.472.650-**"/>
    <s v="VANESSA NEVES RIAMBAU PINHEIRO"/>
    <s v="PROFESSOR DO MAGISTERIO SUPERIOR"/>
    <s v="-1"/>
    <s v="Sem informação"/>
    <d v="2023-11-27T00:00:00"/>
    <d v="2023-12-01T00:00:00"/>
    <s v="Participar da IV Congresso Internacional da AFROLIC."/>
    <x v="55"/>
    <s v="Aéreo"/>
    <s v="Não"/>
    <s v="Realizada"/>
    <s v="NÃO"/>
    <s v="Sem informação"/>
    <n v="1480.04"/>
    <n v="0"/>
    <n v="1868.44"/>
    <n v="0"/>
    <d v="2023-07-20T00:00:00"/>
    <x v="7"/>
    <x v="0"/>
    <x v="0"/>
    <n v="1868.44"/>
    <n v="1480.04"/>
    <x v="2"/>
    <x v="0"/>
    <x v="0"/>
    <x v="0"/>
    <n v="573.62072344292073"/>
  </r>
  <r>
    <n v="2"/>
    <n v="19188851"/>
    <s v="000826/23"/>
    <s v="***.573.371-**"/>
    <s v="PEDRO PAULO CHAVES DE SOUZA"/>
    <s v="PROFESSOR TIT-LIVRE MAGIST SUPERIOR"/>
    <s v="-1"/>
    <s v="Sem informação"/>
    <d v="2023-11-27T00:00:00"/>
    <d v="2023-12-01T00:00:00"/>
    <s v="Professor ministrará curso sobre análise de transcriptoma de doenças bucais, a partir de bancos de dados genéticos. Além disso, participará de oficinas acerca de aconselhamento genético e doenças bucais. Participará de seminários de qualificação de projetos de pesquisa do programa de pós-graduação em odontologia. Ministrará palestra na Mostra de Iniciação Científica em Odontologia."/>
    <x v="25"/>
    <s v="Aéreo"/>
    <s v="Não"/>
    <s v="Realizada"/>
    <s v="SIM"/>
    <s v="Viagem realizada"/>
    <n v="1480.04"/>
    <n v="0"/>
    <n v="1225.1199999999999"/>
    <n v="0"/>
    <d v="2023-08-16T00:00:00"/>
    <x v="7"/>
    <x v="0"/>
    <x v="0"/>
    <n v="1225.1199999999999"/>
    <n v="1480.04"/>
    <x v="2"/>
    <x v="0"/>
    <x v="1"/>
    <x v="0"/>
    <n v="685.86915713728922"/>
  </r>
  <r>
    <n v="2"/>
    <n v="19218221"/>
    <s v="001001/23"/>
    <s v="***.705.284-**"/>
    <s v="PAULO DE TARSO COSTA HENRIQUES"/>
    <s v=""/>
    <s v="CD-0002"/>
    <s v="Cargo Comissionado de Direção"/>
    <d v="2023-11-27T00:00:00"/>
    <d v="2023-12-02T00:00:00"/>
    <s v="Participar da 3ª Reunião Ordinária do Fórum Nacional de Pró-Reitores de Planejamento e Administração das Instituições Federais de Ensino Superior - FORPLAD - 2023 a ser realizada pela Universidade Federal do Sul da Bahia (UFSB) na qualidade Pró-reitor de Planejamento e Desenvolvimento da UFPB."/>
    <x v="66"/>
    <s v="Aéreo"/>
    <s v="Sim"/>
    <s v="Realizada"/>
    <s v="NÃO"/>
    <s v="Sem informação"/>
    <n v="1977.27"/>
    <n v="0"/>
    <n v="3320.59"/>
    <n v="0"/>
    <d v="2023-09-14T00:00:00"/>
    <x v="4"/>
    <x v="0"/>
    <x v="0"/>
    <n v="3320.59"/>
    <n v="1977.27"/>
    <x v="1"/>
    <x v="1"/>
    <x v="0"/>
    <x v="0"/>
    <n v="351.98114421820134"/>
  </r>
  <r>
    <n v="2"/>
    <n v="19331108"/>
    <s v="001203/23"/>
    <s v="***.690.974-**"/>
    <s v="MARCIO MEDEIROS SOARES"/>
    <s v="PROFESSOR DO MAGISTERIO SUPERIOR"/>
    <s v="-1"/>
    <s v="Sem informação"/>
    <d v="2023-11-27T00:00:00"/>
    <d v="2023-11-29T00:00:00"/>
    <s v="Participação no XXXVII Encontro de Física do Norte e Nordeste, na cidade de Salvador, de 27 a 29 de novembro de 2023, com apresentação oral aprovada para mostrar pesquisa desenvolvida pelo docente no Departamento de Física. A participação do docente nesse tradicional encontro de Física visa divulgar a pesquisa científica desenvolvida pelo docente na UFPB e possibilita a atualização do docente em temas de fronteira da física e o estabelecimento de colaborações com outros professores/pesquisadores das regiões nordeste e norte. Constitui parte fundamental do trabalho acadêmico na Universidade."/>
    <x v="3"/>
    <s v="Aéreo"/>
    <s v="Sim"/>
    <s v="Realizada"/>
    <s v="NÃO"/>
    <s v="Sem informação"/>
    <n v="857.82"/>
    <n v="0"/>
    <n v="1246.68"/>
    <n v="0"/>
    <d v="2023-09-26T00:00:00"/>
    <x v="3"/>
    <x v="0"/>
    <x v="0"/>
    <n v="1246.68"/>
    <n v="857.82"/>
    <x v="2"/>
    <x v="0"/>
    <x v="0"/>
    <x v="0"/>
    <n v="271.05605715809952"/>
  </r>
  <r>
    <n v="2"/>
    <n v="19368827"/>
    <s v="001325/23"/>
    <s v="***.650.664-**"/>
    <s v="JOSE BRUNO MALAQUIAS"/>
    <s v="PROFESSOR DO MAGISTERIO SUPERIOR"/>
    <s v="-1"/>
    <s v="Sem informação"/>
    <d v="2023-11-27T00:00:00"/>
    <d v="2023-12-01T00:00:00"/>
    <s v="Ministrar curso no Workshop 'Métodos Estatísticos Avançados no R'"/>
    <x v="67"/>
    <s v="Aéreo"/>
    <s v="Não"/>
    <s v="Realizada"/>
    <s v="NÃO"/>
    <s v="Sem informação"/>
    <n v="1299.5"/>
    <n v="0"/>
    <n v="2440.9899999999998"/>
    <n v="0"/>
    <d v="2023-10-05T00:00:00"/>
    <x v="7"/>
    <x v="0"/>
    <x v="0"/>
    <n v="2440.9899999999998"/>
    <n v="1299.5"/>
    <x v="2"/>
    <x v="0"/>
    <x v="0"/>
    <x v="0"/>
    <n v="450.1708286033724"/>
  </r>
  <r>
    <n v="2"/>
    <n v="19435994"/>
    <s v="001591/23"/>
    <s v=""/>
    <s v="CECILIA MORAIS LIRA"/>
    <s v=""/>
    <s v="-1"/>
    <s v="Sem informação"/>
    <d v="2023-11-27T00:00:00"/>
    <d v="2023-12-02T00:00:00"/>
    <s v="Proposto irár participar no XXII Seminário Nacional de Bibliotecas Universitárias SNBU. na função de apresentador de trabalhos acadêmicos do seu curso na UFPB."/>
    <x v="18"/>
    <s v="Aéreo"/>
    <s v="Sim"/>
    <s v="Realizada"/>
    <s v="NÃO"/>
    <s v="Sem informação"/>
    <n v="0"/>
    <n v="0"/>
    <n v="2749.89"/>
    <n v="0"/>
    <d v="2023-10-26T00:00:00"/>
    <x v="4"/>
    <x v="0"/>
    <x v="0"/>
    <n v="2749.89"/>
    <n v="0"/>
    <x v="2"/>
    <x v="3"/>
    <x v="1"/>
    <x v="0"/>
    <n v="985.87880246436816"/>
  </r>
  <r>
    <n v="2"/>
    <n v="19083755"/>
    <s v="000604/23"/>
    <s v="***.500.494-**"/>
    <s v="SAVIO ROBERTO FONSECA DE FREITAS"/>
    <s v="PROFESSOR DO MAGISTERIO SUPERIOR"/>
    <s v="FG-0001"/>
    <s v="FG-0001"/>
    <d v="2023-11-28T00:00:00"/>
    <d v="2023-11-30T00:00:00"/>
    <s v="Participação, com apresentação de trabalho, no Congresso AFROLIC, na UFES, de 28/11 a 30/11/2023."/>
    <x v="55"/>
    <s v="Aéreo"/>
    <s v="Sim"/>
    <s v="Realizada"/>
    <s v="NÃO"/>
    <s v="Sem informação"/>
    <n v="0"/>
    <n v="0"/>
    <n v="1711.44"/>
    <n v="0"/>
    <d v="2023-07-18T00:00:00"/>
    <x v="3"/>
    <x v="0"/>
    <x v="0"/>
    <n v="1711.44"/>
    <n v="0"/>
    <x v="2"/>
    <x v="0"/>
    <x v="0"/>
    <x v="0"/>
    <n v="573.62072344292073"/>
  </r>
  <r>
    <n v="2"/>
    <n v="19262936"/>
    <s v="001027/23"/>
    <s v="***.219.784-**"/>
    <s v="WENNER GLAUCIO LOPES LUCENA"/>
    <s v="PROFESSOR DO MAGISTERIO SUPERIOR"/>
    <s v="FUC-0001"/>
    <s v="FUC-0001"/>
    <d v="2023-11-28T00:00:00"/>
    <d v="2023-12-03T00:00:00"/>
    <s v="Participação com aprovação de artigo científico no XVII Congresso ANPCONT que será realizado nos dias 29 de novembro a 02 de dezembro de 2023. Além de participar da reunião anual dos coordenadores de Pós-graduação."/>
    <x v="4"/>
    <s v="Aéreo"/>
    <s v="Não"/>
    <s v="Realizada"/>
    <s v="NÃO"/>
    <s v="Sem informação"/>
    <n v="2071.63"/>
    <n v="0"/>
    <n v="1816.94"/>
    <n v="0"/>
    <d v="2023-09-11T00:00:00"/>
    <x v="4"/>
    <x v="0"/>
    <x v="0"/>
    <n v="1816.94"/>
    <n v="2071.63"/>
    <x v="2"/>
    <x v="1"/>
    <x v="1"/>
    <x v="0"/>
    <n v="800.95835140972315"/>
  </r>
  <r>
    <n v="2"/>
    <n v="19274735"/>
    <s v="001075/23"/>
    <s v="***.443.314-**"/>
    <s v="JOSEDILTON ALVES DINIZ"/>
    <s v="PROFESSOR DO MAGISTERIO SUPERIOR"/>
    <s v="-1"/>
    <s v="Sem informação"/>
    <d v="2023-11-28T00:00:00"/>
    <d v="2023-12-03T00:00:00"/>
    <s v="Participação com aprovação de artigo científico no XVII Congresso ANPCONT que será realizado nos dias 29 de novembro a 02 de dezembro de 2023."/>
    <x v="4"/>
    <s v="Aéreo"/>
    <s v="Sim"/>
    <s v="Realizada"/>
    <s v="NÃO"/>
    <s v="Sem informação"/>
    <n v="2071.63"/>
    <n v="0"/>
    <n v="1690.74"/>
    <n v="0"/>
    <d v="2023-09-14T00:00:00"/>
    <x v="4"/>
    <x v="0"/>
    <x v="0"/>
    <n v="1690.74"/>
    <n v="2071.63"/>
    <x v="2"/>
    <x v="0"/>
    <x v="1"/>
    <x v="0"/>
    <n v="800.95835140972315"/>
  </r>
  <r>
    <n v="2"/>
    <n v="19366689"/>
    <s v="001328/23"/>
    <s v="***.507.878-**"/>
    <s v="RENATA PAES DE BARROS CAMARA"/>
    <s v="PROFESSOR DO MAGISTERIO SUPERIOR"/>
    <s v="CD-0003"/>
    <s v="Cargo Comissionado de Direção"/>
    <d v="2023-11-28T00:00:00"/>
    <d v="2023-12-02T00:00:00"/>
    <s v="Participação no XVII Congresso da Associação Nacional dos Programas de Pós-Graduação - Anpcont"/>
    <x v="4"/>
    <s v="Aéreo"/>
    <s v="Sim"/>
    <s v="Realizada"/>
    <s v="NÃO"/>
    <s v="Sem informação"/>
    <n v="1926.06"/>
    <n v="0"/>
    <n v="2084.6400000000003"/>
    <n v="0"/>
    <d v="2023-10-05T00:00:00"/>
    <x v="7"/>
    <x v="0"/>
    <x v="0"/>
    <n v="2084.6400000000003"/>
    <n v="1926.06"/>
    <x v="1"/>
    <x v="1"/>
    <x v="1"/>
    <x v="0"/>
    <n v="800.95835140972315"/>
  </r>
  <r>
    <n v="2"/>
    <n v="19375473"/>
    <s v="001653/23"/>
    <s v="***.474.766-**"/>
    <s v="EDNA GUSMAO DE GOES BRENNAND"/>
    <s v="PROFESSOR DO MAGISTERIO SUPERIOR"/>
    <s v="-1"/>
    <s v="Sem informação"/>
    <d v="2023-11-28T00:00:00"/>
    <d v="2023-12-08T00:00:00"/>
    <s v="Reuniões do Projeto 'Diálogos Globales de la Teoría Crítica Actual'/desenvolvido em parceria com o PPGE. Discutir diretrizes de mobilidade acadêmica de estudantes e docentes do PPGE e Universidade de València."/>
    <x v="68"/>
    <s v="Aéreo"/>
    <s v="Sim"/>
    <s v="Realizada"/>
    <s v="NÃO"/>
    <s v="Sem informação"/>
    <n v="0"/>
    <n v="0"/>
    <n v="6594.1"/>
    <n v="0"/>
    <d v="2023-11-11T00:00:00"/>
    <x v="14"/>
    <x v="0"/>
    <x v="0"/>
    <n v="6594.1"/>
    <n v="0"/>
    <x v="7"/>
    <x v="0"/>
    <x v="1"/>
    <x v="0"/>
    <n v="2514.1337566289444"/>
  </r>
  <r>
    <n v="2"/>
    <n v="19570508"/>
    <s v="001806/23"/>
    <s v="***.674.814-**"/>
    <s v="VALGUI DA SILVA BARBOSA"/>
    <s v="AUX EM ADMINISTRACAO"/>
    <s v="FG-0001"/>
    <s v="FG-0001"/>
    <d v="2023-11-28T00:00:00"/>
    <d v="2023-12-02T00:00:00"/>
    <s v="Capacitação na gestão de materiais e de almoxarifado promovido pela Consultre visando o Planejamento e organização de almoxarifado com enfoque no controle de estoque, do almoxarifado físico e das compras, incluindo inventário, controle, prestação de contas e a estratégia de ressuprimento"/>
    <x v="30"/>
    <s v="Aéreo"/>
    <s v="Não"/>
    <s v="Realizada"/>
    <s v="SIM"/>
    <s v="Processo urgente devido a falta de recurso que só definido e autorizado a viagem próximo a viagem. Processo: 23074.101562/2023-77"/>
    <n v="1291.57"/>
    <n v="0"/>
    <n v="3438.54"/>
    <n v="0"/>
    <d v="2023-11-24T00:00:00"/>
    <x v="7"/>
    <x v="0"/>
    <x v="0"/>
    <n v="3438.54"/>
    <n v="1291.57"/>
    <x v="4"/>
    <x v="1"/>
    <x v="1"/>
    <x v="0"/>
    <n v="1066.8764767716439"/>
  </r>
  <r>
    <n v="2"/>
    <n v="19372630"/>
    <s v="001419/23"/>
    <s v="***.791.253-**"/>
    <s v="NATALIA BEZERRA MOTA"/>
    <s v=""/>
    <s v="-1"/>
    <s v="Sem informação"/>
    <d v="2023-11-29T00:00:00"/>
    <d v="2023-11-30T00:00:00"/>
    <s v="Participação na cerimônia de abertura do 13° CCNeC (Curso e Conferência em Neurociências Cognitiva e Comportamento) como palestrante com o tema 'Mapeamento mental por ferramentas computacionais de linguagem: contribuições para desenvolvimento e bem-estar mental', no dia 29 de Novembro de 2023, às 19:00h, no auditório do CCJ da Universidade Federal da Paraíba."/>
    <x v="13"/>
    <s v="Aéreo"/>
    <s v="Sim"/>
    <s v="Realizada"/>
    <s v="NÃO"/>
    <s v="Sem informação"/>
    <n v="606.53"/>
    <n v="0"/>
    <n v="2176.4899999999998"/>
    <n v="0"/>
    <d v="2023-10-11T00:00:00"/>
    <x v="8"/>
    <x v="0"/>
    <x v="0"/>
    <n v="2176.4899999999998"/>
    <n v="606.53"/>
    <x v="2"/>
    <x v="2"/>
    <x v="1"/>
    <x v="0"/>
    <n v="717.39676463438343"/>
  </r>
  <r>
    <n v="2"/>
    <n v="19562553"/>
    <s v="001800/23"/>
    <s v="***.427.207-**"/>
    <s v="RODRIGO FERNANDES DA FONSECA"/>
    <s v=""/>
    <s v="-1"/>
    <s v="Sem informação"/>
    <d v="2023-12-01T00:00:00"/>
    <d v="2023-12-04T00:00:00"/>
    <s v="Participar do 18° Fest-Aruanda fazendo cobertura jornalistica para o Blog de Cinema do Jornal Estado de SP. E como membro do Comitê de Seleção de curtas."/>
    <x v="13"/>
    <s v="Aéreo"/>
    <s v="Não"/>
    <s v="Realizada"/>
    <s v="SIM"/>
    <s v="Processo chegou no SIPAC em tempo hábil, o cadastro no SCDP atrasou por conta da grande quantidade de processos."/>
    <n v="0"/>
    <n v="0"/>
    <n v="3539.99"/>
    <n v="0"/>
    <d v="2023-11-23T00:00:00"/>
    <x v="2"/>
    <x v="0"/>
    <x v="0"/>
    <n v="3539.99"/>
    <n v="0"/>
    <x v="5"/>
    <x v="2"/>
    <x v="1"/>
    <x v="0"/>
    <n v="717.39676463438343"/>
  </r>
  <r>
    <n v="2"/>
    <n v="19568546"/>
    <s v="001803/23"/>
    <s v=""/>
    <s v="PEDRO SOFFER SERRANO"/>
    <s v=""/>
    <s v="-1"/>
    <s v="Sem informação"/>
    <d v="2023-12-01T00:00:00"/>
    <d v="2023-12-07T00:00:00"/>
    <s v="Participar do 18° Fest-Aruanda como Diretor do filme 'Saudosa Maloca'."/>
    <x v="4"/>
    <s v="Aéreo"/>
    <s v="Sim"/>
    <s v="Realizada"/>
    <s v="SIM"/>
    <s v="Conforme justificativa do formulário, 'Devido ao caráter artístico do evento, as definições / confirmações de presença de filmes, diretores, elencos ,etc, só ocorre 20 dias antes de sua realização, o que impede uma antecipação maior e o cumprimento dos prazos vigentes.'"/>
    <n v="0"/>
    <n v="0"/>
    <n v="2270.7400000000002"/>
    <n v="0"/>
    <d v="2023-11-24T00:00:00"/>
    <x v="6"/>
    <x v="0"/>
    <x v="0"/>
    <n v="2270.7400000000002"/>
    <n v="0"/>
    <x v="5"/>
    <x v="2"/>
    <x v="1"/>
    <x v="0"/>
    <n v="800.95835140972315"/>
  </r>
  <r>
    <n v="2"/>
    <n v="19574900"/>
    <s v="001821/23"/>
    <s v=""/>
    <s v="BIANCA JOY PORTE"/>
    <s v=""/>
    <s v="-1"/>
    <s v="Sem informação"/>
    <d v="2023-12-01T00:00:00"/>
    <d v="2023-12-05T00:00:00"/>
    <s v="Participar do 18° Fest-Aruanda como atriz do Filme Citrotroxic"/>
    <x v="13"/>
    <s v="Aéreo"/>
    <s v="Não"/>
    <s v="Realizada"/>
    <s v="SIM"/>
    <s v="O atraso do cadastro houve com contra da grande quantidade de processos no setor."/>
    <n v="0"/>
    <n v="0"/>
    <n v="3701.79"/>
    <n v="0"/>
    <d v="2023-11-27T00:00:00"/>
    <x v="7"/>
    <x v="0"/>
    <x v="0"/>
    <n v="3701.79"/>
    <n v="0"/>
    <x v="5"/>
    <x v="2"/>
    <x v="1"/>
    <x v="0"/>
    <n v="717.39676463438343"/>
  </r>
  <r>
    <n v="2"/>
    <n v="19519678"/>
    <s v="001730/23"/>
    <s v=""/>
    <s v="URSULA MARINI RODRIGUES LOPES"/>
    <s v=""/>
    <s v="-1"/>
    <s v="Sem informação"/>
    <d v="2023-12-02T00:00:00"/>
    <d v="2023-12-07T00:00:00"/>
    <s v="Participar do 18° Fest-Aruanda como Diretora do filme 'O Presente'."/>
    <x v="4"/>
    <s v="Aéreo"/>
    <s v="Não"/>
    <s v="Realizada"/>
    <s v="SIM"/>
    <s v="Solicitação de correção a pedido do proposto."/>
    <n v="0"/>
    <n v="0"/>
    <n v="3900.9399999999996"/>
    <n v="0"/>
    <d v="2023-11-20T00:00:00"/>
    <x v="4"/>
    <x v="0"/>
    <x v="0"/>
    <n v="3900.9399999999996"/>
    <n v="0"/>
    <x v="5"/>
    <x v="2"/>
    <x v="1"/>
    <x v="0"/>
    <n v="800.95835140972315"/>
  </r>
  <r>
    <n v="2"/>
    <n v="19244383"/>
    <s v="000971/23"/>
    <s v=""/>
    <s v="FRANCIELLE CRISTINE PEREIRA GONCALVES"/>
    <s v=""/>
    <s v="-1"/>
    <s v="Sem informação"/>
    <d v="2023-12-03T00:00:00"/>
    <d v="2023-12-09T00:00:00"/>
    <s v="Participação e apresentação de trabalho acadêmico-científico no 27º Congresso Internacional de Engenharia Mecânica (COBEM 2023), a realizar-se no período de 04 a 08 de dezembro de 2023, em Florianópolis - SC."/>
    <x v="18"/>
    <s v="Aéreo"/>
    <s v="Não"/>
    <s v="Realizada"/>
    <s v="NÃO"/>
    <s v="Sem informação"/>
    <n v="0"/>
    <n v="0"/>
    <n v="2579.59"/>
    <n v="0"/>
    <d v="2023-09-01T00:00:00"/>
    <x v="6"/>
    <x v="0"/>
    <x v="0"/>
    <n v="2579.59"/>
    <n v="0"/>
    <x v="2"/>
    <x v="3"/>
    <x v="1"/>
    <x v="0"/>
    <n v="985.87880246436816"/>
  </r>
  <r>
    <n v="2"/>
    <n v="19244559"/>
    <s v="000972/23"/>
    <s v=""/>
    <s v="JOSE LUCIANO BATISTA MOREIRA"/>
    <s v=""/>
    <s v="-1"/>
    <s v="Sem informação"/>
    <d v="2023-12-03T00:00:00"/>
    <d v="2023-12-09T00:00:00"/>
    <s v="Participação e apresentação de trabalho acadêmico-científico no 27º Congresso Internacional de Engenharia Mecânica (COBEM 2023), a realizar-se no período de 04 a 08 de dezembro de 2023, em Florianópolis - SC."/>
    <x v="18"/>
    <s v="Aéreo"/>
    <s v="Sim"/>
    <s v="Realizada"/>
    <s v="NÃO"/>
    <s v="Sem informação"/>
    <n v="0"/>
    <n v="0"/>
    <n v="2579.59"/>
    <n v="0"/>
    <d v="2023-09-01T00:00:00"/>
    <x v="6"/>
    <x v="0"/>
    <x v="0"/>
    <n v="2579.59"/>
    <n v="0"/>
    <x v="2"/>
    <x v="3"/>
    <x v="1"/>
    <x v="0"/>
    <n v="985.87880246436816"/>
  </r>
  <r>
    <n v="2"/>
    <n v="19244596"/>
    <s v="001011/23"/>
    <s v=""/>
    <s v="KALINE VENTURA BATISTA"/>
    <s v=""/>
    <s v="-1"/>
    <s v="Sem informação"/>
    <d v="2023-12-03T00:00:00"/>
    <d v="2023-12-09T00:00:00"/>
    <s v="Participação e apresentação de trabalho acadêmico-científico no 27º Congresso Internacional de Engenharia Mecânica (COBEM 2023), a realizar-se no período de 04 a 08 de dezembro de 2023, em Florianópolis - SC."/>
    <x v="18"/>
    <s v="Aéreo"/>
    <s v="Não"/>
    <s v="Realizada"/>
    <s v="NÃO"/>
    <s v="Sem informação"/>
    <n v="0"/>
    <n v="0"/>
    <n v="2677.19"/>
    <n v="0"/>
    <d v="2023-09-06T00:00:00"/>
    <x v="6"/>
    <x v="0"/>
    <x v="0"/>
    <n v="2677.19"/>
    <n v="0"/>
    <x v="2"/>
    <x v="3"/>
    <x v="1"/>
    <x v="0"/>
    <n v="985.87880246436816"/>
  </r>
  <r>
    <n v="2"/>
    <n v="19247937"/>
    <s v="001010/23"/>
    <s v=""/>
    <s v="GUSTAVO CESAR PAMPLONA DE SOUSA"/>
    <s v="PROFESSOR MAGISTERIO SUPERIOR-SUBSTITUTO"/>
    <s v="-1"/>
    <s v="Sem informação"/>
    <d v="2023-12-03T00:00:00"/>
    <d v="2023-12-09T00:00:00"/>
    <s v="Participação e apresentação de trabalho acadêmico-científico no 27º Congresso Internacional de Engenharia Mecânica (COBEM 2023), a realizar-se no período de 04 a 08 de dezembro de 2023, em Florianópolis - SC."/>
    <x v="18"/>
    <s v="Aéreo"/>
    <s v="Não"/>
    <s v="Realizada"/>
    <s v="NÃO"/>
    <s v="Sem informação"/>
    <n v="0"/>
    <n v="0"/>
    <n v="2413.69"/>
    <n v="0"/>
    <d v="2023-09-06T00:00:00"/>
    <x v="6"/>
    <x v="0"/>
    <x v="0"/>
    <n v="2413.69"/>
    <n v="0"/>
    <x v="2"/>
    <x v="0"/>
    <x v="1"/>
    <x v="0"/>
    <n v="985.87880246436816"/>
  </r>
  <r>
    <n v="2"/>
    <n v="19251260"/>
    <s v="000995/23"/>
    <s v="***.236.673-**"/>
    <s v="VIRGINIA BENTES PINTO"/>
    <s v="PROFESSOR DO MAGISTERIO SUPERIOR"/>
    <s v="-1"/>
    <s v="Sem informação"/>
    <d v="2023-12-03T00:00:00"/>
    <d v="2023-12-10T00:00:00"/>
    <s v="Ministrar disciplina regular condensada,Tópicos Especiais - Representação da Informação e terminologia, do semestre letivo 2023.2 do PPGCI-UFPB, no período de 04/12/2023 a 09/12/2023"/>
    <x v="2"/>
    <s v="Aéreo"/>
    <s v="Sim"/>
    <s v="Realizada"/>
    <s v="NÃO"/>
    <s v="Sem informação"/>
    <n v="2503.1"/>
    <n v="0"/>
    <n v="1326.32"/>
    <n v="0"/>
    <d v="2023-09-08T00:00:00"/>
    <x v="11"/>
    <x v="0"/>
    <x v="0"/>
    <n v="1326.32"/>
    <n v="2503.1"/>
    <x v="2"/>
    <x v="0"/>
    <x v="0"/>
    <x v="0"/>
    <n v="297.78274013517625"/>
  </r>
  <r>
    <n v="2"/>
    <n v="19304357"/>
    <s v="001133/23"/>
    <s v="***.919.655-**"/>
    <s v="LUAN SODRE DE SOUZA"/>
    <s v=""/>
    <s v="-1"/>
    <s v="Sem informação"/>
    <d v="2023-12-03T00:00:00"/>
    <d v="2023-12-05T00:00:00"/>
    <s v="PARTICIPAÇÃO COMO MEMBRO EXTERNO NA DEFESA DE DOUTORADO DE RENATA SIMÕES PELO PROGRAMA DE PÓS-GRADUAÇÃO EM MÚSICA (PPGM/UFPB)"/>
    <x v="3"/>
    <s v="Aéreo"/>
    <s v="Sim"/>
    <s v="Realizada"/>
    <s v="NÃO"/>
    <s v="Sem informação"/>
    <n v="947.55"/>
    <n v="0"/>
    <n v="1141.3800000000001"/>
    <n v="0"/>
    <d v="2023-09-27T00:00:00"/>
    <x v="3"/>
    <x v="0"/>
    <x v="0"/>
    <n v="1141.3800000000001"/>
    <n v="947.55"/>
    <x v="0"/>
    <x v="2"/>
    <x v="0"/>
    <x v="0"/>
    <n v="271.05605715809952"/>
  </r>
  <r>
    <n v="2"/>
    <n v="19304742"/>
    <s v="001135/23"/>
    <s v="***.678.325-**"/>
    <s v="ANGELA ELISABETH LUHNING"/>
    <s v=""/>
    <s v="-1"/>
    <s v="Sem informação"/>
    <d v="2023-12-03T00:00:00"/>
    <d v="2023-12-05T00:00:00"/>
    <s v="PARTICIPAÇÃO COMO MEMBRO EXTERNO NA DEFESA DE DOUTORADO DE RENATA SIMOES PELO PROGRAMA DE PÓS-GRADUAÇÃO EM MÚSICA (PPGM/UFPB)"/>
    <x v="3"/>
    <s v="Aéreo"/>
    <s v="Não"/>
    <s v="Realizada"/>
    <s v="NÃO"/>
    <s v="Sem informação"/>
    <n v="947.55"/>
    <n v="0"/>
    <n v="1141.3800000000001"/>
    <n v="0"/>
    <d v="2023-09-27T00:00:00"/>
    <x v="3"/>
    <x v="0"/>
    <x v="0"/>
    <n v="1141.3800000000001"/>
    <n v="947.55"/>
    <x v="0"/>
    <x v="2"/>
    <x v="0"/>
    <x v="0"/>
    <n v="271.05605715809952"/>
  </r>
  <r>
    <n v="2"/>
    <n v="19338578"/>
    <s v="001222/23"/>
    <s v="***.142.864-**"/>
    <s v="JOAO ALVES DE LIMA"/>
    <s v="PROFESSOR DO MAGISTERIO SUPERIOR"/>
    <s v="-1"/>
    <s v="Sem informação"/>
    <d v="2023-12-03T00:00:00"/>
    <d v="2023-12-09T00:00:00"/>
    <s v="Participação em Congresso Internacional (COBEM 2023), a ser realizado em Florianópolis/SC, de 04 a 08 de dezembro de 2023, com apresentação oral de trabalho científico desenvolvido com aluno do PPGEM/CT/UFPB, sob a orientação do proposto."/>
    <x v="18"/>
    <s v="Aéreo"/>
    <s v="Não"/>
    <s v="Realizada"/>
    <s v="NÃO"/>
    <s v="Sem informação"/>
    <n v="2162.08"/>
    <n v="0"/>
    <n v="2271.09"/>
    <n v="0"/>
    <d v="2023-10-02T00:00:00"/>
    <x v="6"/>
    <x v="0"/>
    <x v="0"/>
    <n v="2271.09"/>
    <n v="2162.08"/>
    <x v="2"/>
    <x v="0"/>
    <x v="1"/>
    <x v="0"/>
    <n v="985.87880246436816"/>
  </r>
  <r>
    <n v="2"/>
    <n v="19436582"/>
    <s v="001569/23"/>
    <s v="***.427.978-**"/>
    <s v="MARCELO DE SOUZA BISPO"/>
    <s v="PROFESSOR DO MAGISTERIO SUPERIOR"/>
    <s v="FUC-0001"/>
    <s v="FUC-0001"/>
    <d v="2023-12-03T00:00:00"/>
    <d v="2023-12-13T00:00:00"/>
    <s v="O professor irá ministrar a disciplina Administração e Sociedade do curso de doutorado em administração do Projeto de Cooperação Interinstitucional - PCI firmado entre o Programa de Pós-Graduação em Administração e o Instituto Federal de Educação, Ciências e Tecnologia da Bahia - IFBA."/>
    <x v="3"/>
    <s v="Aéreo"/>
    <s v="Sim"/>
    <s v="Realizada"/>
    <s v="SIM"/>
    <s v="A viagem foi solicitada no período correto. Foi preciso fazer uma modificação no valor de recebimento das diárias."/>
    <n v="3200.83"/>
    <n v="0"/>
    <n v="1217.78"/>
    <n v="0"/>
    <d v="2023-10-26T00:00:00"/>
    <x v="14"/>
    <x v="0"/>
    <x v="0"/>
    <n v="1217.78"/>
    <n v="3200.83"/>
    <x v="2"/>
    <x v="0"/>
    <x v="0"/>
    <x v="0"/>
    <n v="271.05605715809952"/>
  </r>
  <r>
    <n v="2"/>
    <n v="19447596"/>
    <s v="001731/23"/>
    <s v=""/>
    <s v="GISELLY MOURA DE LIMA"/>
    <s v="ADMINISTRADOR"/>
    <s v="-1"/>
    <s v="Sem informação"/>
    <d v="2023-12-03T00:00:00"/>
    <d v="2023-12-09T00:00:00"/>
    <s v="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
    <x v="30"/>
    <s v="Aéreo"/>
    <s v="Sim"/>
    <s v="Realizada"/>
    <s v="NÃO"/>
    <s v="Sem informação"/>
    <n v="1901.3"/>
    <n v="0"/>
    <n v="3006.54"/>
    <n v="0"/>
    <d v="2023-11-14T00:00:00"/>
    <x v="6"/>
    <x v="0"/>
    <x v="0"/>
    <n v="3006.54"/>
    <n v="1901.3"/>
    <x v="4"/>
    <x v="1"/>
    <x v="1"/>
    <x v="0"/>
    <n v="1066.8764767716439"/>
  </r>
  <r>
    <n v="2"/>
    <n v="19522701"/>
    <s v="001737/23"/>
    <s v="***.175.884-**"/>
    <s v="CARLOS EDUARDO CAVALCANTE"/>
    <s v="PROFESSOR DO MAGISTERIO SUPERIOR"/>
    <s v="-1"/>
    <s v="Sem informação"/>
    <d v="2023-12-03T00:00:00"/>
    <d v="2023-12-04T00:00:00"/>
    <s v="O professor irá participar da abertura do curso de Douto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mo Presidente da Comissão do Processo Seletivo, Coordenador do PCI UFPB/IFBA e docente permanente do Programa de Pós-Graduação em Administração da UFPB, estar presente na cerimônia de abertura do supracitado curso é requisito indispensável para que a atividade seja realizada."/>
    <x v="69"/>
    <s v="Aéreo"/>
    <s v="Não"/>
    <s v="Realizada"/>
    <s v="SIM"/>
    <s v="A viagem é necessária devido ao início das aulas do projeto começarem dia 04/12."/>
    <n v="576.62"/>
    <n v="0"/>
    <n v="804.37"/>
    <n v="0"/>
    <d v="2023-11-20T00:00:00"/>
    <x v="8"/>
    <x v="0"/>
    <x v="0"/>
    <n v="804.37"/>
    <n v="576.62"/>
    <x v="2"/>
    <x v="0"/>
    <x v="0"/>
    <x v="0"/>
    <n v="249.63735945779732"/>
  </r>
  <r>
    <n v="2"/>
    <n v="19525488"/>
    <s v="001732/23"/>
    <s v="***.629.024-**"/>
    <s v="RENATA AZEVEDO COSTA"/>
    <s v="ASSISTENTE EM ADMINISTRAçãO"/>
    <s v="-1"/>
    <s v="Sem informação"/>
    <d v="2023-12-03T00:00:00"/>
    <d v="2023-12-09T00:00:00"/>
    <s v="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
    <x v="30"/>
    <s v="Aéreo"/>
    <s v="Não"/>
    <s v="Realizada"/>
    <s v="NÃO"/>
    <s v="Sem informação"/>
    <n v="1901.3"/>
    <n v="0"/>
    <n v="3006.54"/>
    <n v="0"/>
    <d v="2023-11-14T00:00:00"/>
    <x v="6"/>
    <x v="0"/>
    <x v="0"/>
    <n v="3006.54"/>
    <n v="1901.3"/>
    <x v="4"/>
    <x v="1"/>
    <x v="1"/>
    <x v="0"/>
    <n v="1066.8764767716439"/>
  </r>
  <r>
    <n v="2"/>
    <n v="19554193"/>
    <s v="001790/23"/>
    <s v=""/>
    <s v="MAYARA MAGALHAES MARTINS"/>
    <s v=""/>
    <s v="-1"/>
    <s v="Sem informação"/>
    <d v="2023-12-03T00:00:00"/>
    <d v="2023-12-07T00:00:00"/>
    <s v="Participar do 18° Fest-Aruanda como produtora e pesquisadora do filme 'Memórias da Chuva'."/>
    <x v="2"/>
    <s v="Aéreo"/>
    <s v="Não"/>
    <s v="Realizada"/>
    <s v="SIM"/>
    <s v="Conforme justificativa do formulário 'Devido ao caráter artístico do evento, as definições / confirmações de presença de filmes, diretores, elencos , etc, só ocorre 20 dias antes de sua realização, o que impede uma antecipação maior e o cumprimento dos prazos vigentes'."/>
    <n v="0"/>
    <n v="0"/>
    <n v="3656.32"/>
    <n v="0"/>
    <d v="2023-11-22T00:00:00"/>
    <x v="7"/>
    <x v="0"/>
    <x v="0"/>
    <n v="3656.32"/>
    <n v="0"/>
    <x v="5"/>
    <x v="2"/>
    <x v="0"/>
    <x v="0"/>
    <n v="297.78274013517625"/>
  </r>
  <r>
    <n v="2"/>
    <n v="19554620"/>
    <s v="001791/23"/>
    <s v="***.517.663-**"/>
    <s v="WOLNEY MATTOS OLIVEIRA"/>
    <s v="PROFESSOR ENS BASICO TECN TECNOLOGICO"/>
    <s v="FG-0001"/>
    <s v="FG-0001"/>
    <d v="2023-12-03T00:00:00"/>
    <d v="2023-12-07T00:00:00"/>
    <s v="Participar do 18° Fest-Aruanda como Diretor do filme 'Memórias da Chuva'."/>
    <x v="2"/>
    <s v="Aéreo"/>
    <s v="Sim"/>
    <s v="Realizada"/>
    <s v="SIM"/>
    <s v="Conforme justificativa em formulário 'Devido ao caráter artístico do evento, as definições / confirmações de presença de filmes, diretores, elencos , etc, só ocorre 20 dias antes de sua realização, o que impede uma antecipação maior e o cumprimento dos prazos vigentes'."/>
    <n v="0"/>
    <n v="0"/>
    <n v="3656.32"/>
    <n v="0"/>
    <d v="2023-11-22T00:00:00"/>
    <x v="7"/>
    <x v="0"/>
    <x v="0"/>
    <n v="3656.32"/>
    <n v="0"/>
    <x v="5"/>
    <x v="2"/>
    <x v="0"/>
    <x v="0"/>
    <n v="297.78274013517625"/>
  </r>
  <r>
    <n v="2"/>
    <n v="19571229"/>
    <s v="001808/23"/>
    <s v="***.284.574-**"/>
    <s v="JOAS ALBUQUERQUE SILVA"/>
    <s v="ADMINISTRADOR"/>
    <s v="FG-0003"/>
    <s v="FG-0003"/>
    <d v="2023-12-03T00:00:00"/>
    <d v="2023-12-08T00:00:00"/>
    <s v="Encontra-se motivado pela necessidade de capacitação do servidor nas atividades relacionadas a função exercida há dois anos pelo servidor na atuação como Gestor Financeiro da UASG 153066."/>
    <x v="1"/>
    <s v="Aéreo"/>
    <s v="Não"/>
    <s v="Realizada"/>
    <s v="SIM"/>
    <s v="DESPACHO. Nº 240 / 2023 - SOF - CACC (11.00.46.62) Nº do Protocolo: NÃO PROTOCOLADO João Pessoa-PB, 24 de Novembro de 2023 DESPACHO Ao Gabinete da Superintendência de Orçamento e Finanças - SOF/UFPB Prezada Superintendente/ Ordenadora Encaminho o presente processo com os devidos documentos inseridos para solicitação de diárias e passagens para participação em curso externo presencial a ser realizado de 04 a 08 de Dezembro de 2023 na cidade de Brasília/DF. Reforço que o pedido fora devidamente justificado em relação ao prazo e demais possibilidades. Certo de contar com a presteza no atendimento, fico pronto para demais esclarecimentos. At.te.: (Assinado digitalmente em 24/11/2023 11:53 ) JOAS ALBUQUERQUE SILVA Matrícula: 3054724 Processo Associado: 23074.117668/2023-66"/>
    <n v="2041.72"/>
    <n v="0"/>
    <n v="2583.3000000000002"/>
    <n v="0"/>
    <d v="2023-11-27T00:00:00"/>
    <x v="4"/>
    <x v="0"/>
    <x v="0"/>
    <n v="2583.3000000000002"/>
    <n v="2041.72"/>
    <x v="4"/>
    <x v="1"/>
    <x v="0"/>
    <x v="0"/>
    <n v="626.66401501165365"/>
  </r>
  <r>
    <n v="2"/>
    <n v="19574903"/>
    <s v="001823/23"/>
    <s v="***.612.717-**"/>
    <s v="MARCUS VINICIUS ALVES FAUSTINO"/>
    <s v=""/>
    <s v="-1"/>
    <s v="Sem informação"/>
    <d v="2023-12-03T00:00:00"/>
    <d v="2023-12-07T00:00:00"/>
    <s v="Participar do 18° Fest-Aruanda como diretor do filme ANA"/>
    <x v="13"/>
    <s v="Aéreo"/>
    <s v="Não"/>
    <s v="Realizada"/>
    <s v="SIM"/>
    <s v="O atraso no cadastro da PDCP se deu pelo grande volume de processos no setor."/>
    <n v="0"/>
    <n v="0"/>
    <n v="3413.09"/>
    <n v="0"/>
    <d v="2023-11-27T00:00:00"/>
    <x v="7"/>
    <x v="0"/>
    <x v="0"/>
    <n v="3413.09"/>
    <n v="0"/>
    <x v="5"/>
    <x v="2"/>
    <x v="1"/>
    <x v="0"/>
    <n v="717.39676463438343"/>
  </r>
  <r>
    <n v="2"/>
    <n v="19103460"/>
    <s v="000663/23"/>
    <s v="***.907.210-**"/>
    <s v="DANIELA MARIA SEGABINAZI"/>
    <s v="PROFESSOR DO MAGISTERIO SUPERIOR"/>
    <s v="-1"/>
    <s v="Sem informação"/>
    <d v="2023-12-04T00:00:00"/>
    <d v="2023-12-09T00:00:00"/>
    <s v="Participar do VII Congresso Internacional de Literatura Infantil e Juvenil e organização do evento."/>
    <x v="23"/>
    <s v="Aéreo"/>
    <s v="Não"/>
    <s v="Realizada"/>
    <s v="NÃO"/>
    <s v="Sem informação"/>
    <n v="1552.9"/>
    <n v="0"/>
    <n v="1547.49"/>
    <n v="0"/>
    <d v="2023-07-28T00:00:00"/>
    <x v="4"/>
    <x v="0"/>
    <x v="0"/>
    <n v="1547.49"/>
    <n v="1552.9"/>
    <x v="2"/>
    <x v="0"/>
    <x v="0"/>
    <x v="0"/>
    <n v="627.18210071654289"/>
  </r>
  <r>
    <n v="2"/>
    <n v="19463948"/>
    <s v="001632/23"/>
    <s v="***.290.314-**"/>
    <s v="KATIA SANTIAGO VENTURA LUCENA"/>
    <s v="ARQUIVISTA"/>
    <s v="CD-0004"/>
    <s v="Cargo Comissionado de Direção"/>
    <d v="2023-12-04T00:00:00"/>
    <d v="2023-12-08T00:00:00"/>
    <s v="Proposto irá participar do Encontro Nacional do Fórum Nacional de Pró-Reitores(as) de Assuntos Estudantis - FONAPRACE/ANDIFES, que ocorrerá nos dias 5; 6 e 7 de dezembro de 2023 na sede da ANDIFES - (Setor Comercial Sul, Quadra 1, Bloco K, 8º andar, Edifício Denasa - Brasília/DF."/>
    <x v="1"/>
    <s v="Aéreo"/>
    <s v="Sim"/>
    <s v="Realizada"/>
    <s v="NÃO"/>
    <s v="Sem informação"/>
    <n v="1660.58"/>
    <n v="0"/>
    <n v="1608.4"/>
    <n v="0"/>
    <d v="2023-10-31T00:00:00"/>
    <x v="7"/>
    <x v="0"/>
    <x v="0"/>
    <n v="1608.4"/>
    <n v="1660.58"/>
    <x v="1"/>
    <x v="1"/>
    <x v="0"/>
    <x v="0"/>
    <n v="626.66401501165365"/>
  </r>
  <r>
    <n v="2"/>
    <n v="19464956"/>
    <s v="001631/23"/>
    <s v="***.114.604-**"/>
    <s v="IGOR ARAUJO ALVES"/>
    <s v="ASSISTENTE EM ADMINISTRAçãO"/>
    <s v="CD-0002"/>
    <s v="Cargo Comissionado de Direção"/>
    <d v="2023-12-04T00:00:00"/>
    <d v="2023-12-08T00:00:00"/>
    <s v="Proposto irá participar do Encontro Nacional do Fórum Nacional de Pró-Reitores(as) de Assuntos Estudantis - FONAPRACE/ANDIFES, que ocorrerá nos dias 5; 6 e 7 de dezembro de 2023 na sede da ANDIFES - (Setor Comercial Sul, Quadra 1, Bloco K, 8º andar, Edifício Denasa - Brasília/DF)."/>
    <x v="1"/>
    <s v="Aéreo"/>
    <s v="Não"/>
    <s v="Realizada"/>
    <s v="NÃO"/>
    <s v="Sem informação"/>
    <n v="1896.15"/>
    <n v="0"/>
    <n v="1608.4"/>
    <n v="0"/>
    <d v="2023-10-31T00:00:00"/>
    <x v="7"/>
    <x v="0"/>
    <x v="0"/>
    <n v="1608.4"/>
    <n v="1896.15"/>
    <x v="1"/>
    <x v="1"/>
    <x v="0"/>
    <x v="0"/>
    <n v="626.66401501165365"/>
  </r>
  <r>
    <n v="2"/>
    <n v="19465035"/>
    <s v="001636/23"/>
    <s v="***.441.914-**"/>
    <s v="DANIELA KARLA MEDEIROS VASCONCELOS"/>
    <s v="NUTRICIONISTA-HABILITACAO"/>
    <s v="CD-0004"/>
    <s v="Cargo Comissionado de Direção"/>
    <d v="2023-12-04T00:00:00"/>
    <d v="2023-12-08T00:00:00"/>
    <s v="Proposto irá participar do Encontro Nacional do Fórum Nacional de Pró-Reitores(as) de Assuntos Estudantis - FONAPRACE/ANDIFES, que ocorrerá nos dias 5; 6 e 7 de dezembro de 2023 na sede da ANDIFES - (Setor Comercial Sul, Quadra 1, Bloco K, 8º andar, Edifício Denasa - Brasília/DF)."/>
    <x v="1"/>
    <s v="Aéreo"/>
    <s v="Sim"/>
    <s v="Realizada"/>
    <s v="NÃO"/>
    <s v="Sem informação"/>
    <n v="1660.58"/>
    <n v="0"/>
    <n v="1705.4"/>
    <n v="0"/>
    <d v="2023-11-01T00:00:00"/>
    <x v="7"/>
    <x v="0"/>
    <x v="0"/>
    <n v="1705.4"/>
    <n v="1660.58"/>
    <x v="1"/>
    <x v="1"/>
    <x v="0"/>
    <x v="0"/>
    <n v="626.66401501165365"/>
  </r>
  <r>
    <n v="2"/>
    <n v="19519639"/>
    <s v="001728/23"/>
    <s v=""/>
    <s v="SANTIAGO MACHADO DELLAPE"/>
    <s v=""/>
    <s v="-1"/>
    <s v="Sem informação"/>
    <d v="2023-12-04T00:00:00"/>
    <d v="2023-12-07T00:00:00"/>
    <s v="Participar do 18° Fest-Aruanda como Diretor do filme 'Vão das Almas'."/>
    <x v="1"/>
    <s v="Aéreo"/>
    <s v="Não"/>
    <s v="Realizada"/>
    <s v="NÃO"/>
    <s v="Sem informação"/>
    <n v="0"/>
    <n v="0"/>
    <n v="2235.5"/>
    <n v="0"/>
    <d v="2023-11-14T00:00:00"/>
    <x v="2"/>
    <x v="0"/>
    <x v="0"/>
    <n v="2235.5"/>
    <n v="0"/>
    <x v="5"/>
    <x v="2"/>
    <x v="0"/>
    <x v="0"/>
    <n v="626.66401501165365"/>
  </r>
  <r>
    <n v="2"/>
    <n v="19531654"/>
    <s v="001740/23"/>
    <s v=""/>
    <s v="LEONA JHOVS JOVIANO DE SOUSA"/>
    <s v=""/>
    <s v="-1"/>
    <s v="Sem informação"/>
    <d v="2023-12-04T00:00:00"/>
    <d v="2023-12-07T00:00:00"/>
    <s v="Participar do 18° Fest-Aruanda como Diretora do filme 'Feira da Ladra'."/>
    <x v="4"/>
    <s v="Aéreo"/>
    <s v="Não"/>
    <s v="Realizada"/>
    <s v="NÃO"/>
    <s v="Sem informação"/>
    <n v="0"/>
    <n v="0"/>
    <n v="2341.94"/>
    <n v="0"/>
    <d v="2023-11-16T00:00:00"/>
    <x v="2"/>
    <x v="0"/>
    <x v="0"/>
    <n v="2341.94"/>
    <n v="0"/>
    <x v="5"/>
    <x v="2"/>
    <x v="1"/>
    <x v="0"/>
    <n v="800.95835140972315"/>
  </r>
  <r>
    <n v="2"/>
    <n v="19531978"/>
    <s v="001745/23"/>
    <s v=""/>
    <s v="OTAVIO AZEVEDO GARCIA"/>
    <s v=""/>
    <s v="-1"/>
    <s v="Sem informação"/>
    <d v="2023-12-04T00:00:00"/>
    <d v="2023-12-07T00:00:00"/>
    <s v="Participar do 18° Fest-Aruanda como Diretor do filme: O Destino da Senhora Adelaide."/>
    <x v="23"/>
    <s v="Aéreo"/>
    <s v="Sim"/>
    <s v="Realizada"/>
    <s v="NÃO"/>
    <s v="Sem informação"/>
    <n v="0"/>
    <n v="0"/>
    <n v="2663.4900000000002"/>
    <n v="0"/>
    <d v="2023-11-17T00:00:00"/>
    <x v="2"/>
    <x v="0"/>
    <x v="0"/>
    <n v="2663.4900000000002"/>
    <n v="0"/>
    <x v="5"/>
    <x v="2"/>
    <x v="0"/>
    <x v="0"/>
    <n v="627.18210071654289"/>
  </r>
  <r>
    <n v="2"/>
    <n v="19533660"/>
    <s v="001746/23"/>
    <s v="***.843.057-**"/>
    <s v="EMILIO ROBERTO DE SOUZA DOMINGOS"/>
    <s v=""/>
    <s v="-1"/>
    <s v="Sem informação"/>
    <d v="2023-12-04T00:00:00"/>
    <d v="2023-12-07T00:00:00"/>
    <s v="Participar do 18° Fest-Aruanda como diretor do 'Black Rio! Black Power!"/>
    <x v="70"/>
    <s v="Aéreo"/>
    <s v="Não"/>
    <s v="Realizada"/>
    <s v="NÃO"/>
    <s v="Sem informação"/>
    <n v="0"/>
    <n v="0"/>
    <n v="2735.69"/>
    <n v="0"/>
    <d v="2023-11-17T00:00:00"/>
    <x v="2"/>
    <x v="0"/>
    <x v="0"/>
    <n v="2735.69"/>
    <n v="0"/>
    <x v="5"/>
    <x v="2"/>
    <x v="0"/>
    <x v="0"/>
    <n v="672.2894326754631"/>
  </r>
  <r>
    <n v="2"/>
    <n v="19552934"/>
    <s v="001786/23"/>
    <s v=""/>
    <s v="TASSO LAPA DOURADO"/>
    <s v=""/>
    <s v="-1"/>
    <s v="Sem informação"/>
    <d v="2023-12-04T00:00:00"/>
    <d v="2023-12-07T00:00:00"/>
    <s v="Participar do 18 ° Fest Aruanda/2023 como diretor do filme 'Peréio, Eu Te Odeio'!"/>
    <x v="28"/>
    <s v="Aéreo"/>
    <s v="Não"/>
    <s v="Realizada"/>
    <s v="SIM"/>
    <s v="Conforme justificativa do formulário 'Devido ao caráter artístico do evento, as definições / confirmações de presença de filmes, diretores, elencos , etc, só ocorre 20 dias antes de sua realização, o que impede uma antecipação maior e o cumprimento dos prazos vigentes.'"/>
    <n v="0"/>
    <n v="0"/>
    <n v="1718.44"/>
    <n v="0"/>
    <d v="2023-11-22T00:00:00"/>
    <x v="2"/>
    <x v="0"/>
    <x v="0"/>
    <n v="1718.44"/>
    <n v="0"/>
    <x v="5"/>
    <x v="2"/>
    <x v="0"/>
    <x v="0"/>
    <n v="536.00720428391128"/>
  </r>
  <r>
    <n v="2"/>
    <n v="19570964"/>
    <s v="001813/23"/>
    <s v="***.690.887-**"/>
    <s v="AILTON FRANCO JUNIOR"/>
    <s v=""/>
    <s v="-1"/>
    <s v="Sem informação"/>
    <d v="2023-12-04T00:00:00"/>
    <d v="2023-12-07T00:00:00"/>
    <s v="Participar do 18º Fest-Aruanda como Produtor do Filme 'Othelo, o Grande'."/>
    <x v="13"/>
    <s v="Aéreo"/>
    <s v="Não"/>
    <s v="Realizada"/>
    <s v="SIM"/>
    <s v="Processo chegou em tempo hábil, o atraso do cadastro no SCDP é devido ao grande volume de processos no setor."/>
    <n v="0"/>
    <n v="0"/>
    <n v="3069.8900000000003"/>
    <n v="0"/>
    <d v="2023-11-27T00:00:00"/>
    <x v="2"/>
    <x v="0"/>
    <x v="0"/>
    <n v="3069.8900000000003"/>
    <n v="0"/>
    <x v="5"/>
    <x v="2"/>
    <x v="1"/>
    <x v="0"/>
    <n v="717.39676463438343"/>
  </r>
  <r>
    <n v="1"/>
    <n v="19573299"/>
    <s v="001811/23"/>
    <s v="***.463.654-**"/>
    <s v="BRUNO FERREIRA MATOS"/>
    <s v="TECNICO EM AGROPECUARIA"/>
    <s v="FG-0001"/>
    <s v="FG-0001"/>
    <d v="2023-12-04T00:00:00"/>
    <d v="2023-12-09T00:00:00"/>
    <s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
    <x v="71"/>
    <s v="Aéreo"/>
    <s v="Sim"/>
    <s v="Realizada"/>
    <s v="SIM"/>
    <s v="Recebemos a confirmação da AGEVISA na data de hoje (20/11/2023)."/>
    <n v="1821.06"/>
    <n v="0"/>
    <n v="1688.69"/>
    <n v="0"/>
    <d v="2023-11-24T00:00:00"/>
    <x v="4"/>
    <x v="0"/>
    <x v="0"/>
    <n v="1688.69"/>
    <n v="1821.06"/>
    <x v="5"/>
    <x v="1"/>
    <x v="0"/>
    <x v="0"/>
    <n v="473.43027620438863"/>
  </r>
  <r>
    <n v="1"/>
    <n v="19573379"/>
    <s v="001812/23"/>
    <s v="***.147.624-**"/>
    <s v="EDVALDO MESQUITA BELTRAO FILHO"/>
    <s v="PROFESSOR ENS BASICO TECN TECNOLOGICO"/>
    <s v="CD-0003"/>
    <s v="Cargo Comissionado de Direção"/>
    <d v="2023-12-04T00:00:00"/>
    <d v="2023-12-09T00:00:00"/>
    <s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
    <x v="71"/>
    <s v="Aéreo"/>
    <s v="Sim"/>
    <s v="Realizada"/>
    <s v="SIM"/>
    <s v="Recebemos a confirmação da AGEVISA na data de hoje (20/11/2023)."/>
    <n v="2078.6799999999998"/>
    <n v="0"/>
    <n v="1688.69"/>
    <n v="0"/>
    <d v="2023-11-24T00:00:00"/>
    <x v="4"/>
    <x v="0"/>
    <x v="0"/>
    <n v="1688.69"/>
    <n v="2078.6799999999998"/>
    <x v="5"/>
    <x v="1"/>
    <x v="0"/>
    <x v="0"/>
    <n v="473.43027620438863"/>
  </r>
  <r>
    <n v="1"/>
    <n v="19573382"/>
    <s v="001815/23"/>
    <s v="***.138.224-**"/>
    <s v="FELIPE ROQUE VICENTE"/>
    <s v="ASSISTENTE EM ADMINISTRAçãO"/>
    <s v="-1"/>
    <s v="Sem informação"/>
    <d v="2023-12-04T00:00:00"/>
    <d v="2023-12-09T00:00:00"/>
    <s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
    <x v="71"/>
    <s v="Aéreo"/>
    <s v="Sim"/>
    <s v="Realizada"/>
    <s v="SIM"/>
    <s v="Justificativa do proposto, conforme documentação anexada a esta PCDP: 'Recebemos a confirmação da AGEVISA na data de hoje (20/11/2023).'"/>
    <n v="1411.86"/>
    <n v="0"/>
    <n v="1688.69"/>
    <n v="0"/>
    <d v="2023-11-24T00:00:00"/>
    <x v="4"/>
    <x v="0"/>
    <x v="0"/>
    <n v="1688.69"/>
    <n v="1411.86"/>
    <x v="5"/>
    <x v="1"/>
    <x v="0"/>
    <x v="0"/>
    <n v="473.43027620438863"/>
  </r>
  <r>
    <n v="1"/>
    <n v="19573385"/>
    <s v="001814/23"/>
    <s v="***.673.604-**"/>
    <s v="LEANDRO FIRMINO FERNANDES"/>
    <s v="TECNICO DE LABORATORIO AREA"/>
    <s v="FG-0002"/>
    <s v="FG-0002"/>
    <d v="2023-12-04T00:00:00"/>
    <d v="2023-12-09T00:00:00"/>
    <s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
    <x v="71"/>
    <s v="Aéreo"/>
    <s v="Sim"/>
    <s v="Realizada"/>
    <s v="SIM"/>
    <s v="Recebemos a confirmação da AGEVISA na data de hoje (20/11/2023)."/>
    <n v="1628.71"/>
    <n v="0"/>
    <n v="1688.69"/>
    <n v="0"/>
    <d v="2023-11-24T00:00:00"/>
    <x v="4"/>
    <x v="0"/>
    <x v="0"/>
    <n v="1688.69"/>
    <n v="1628.71"/>
    <x v="5"/>
    <x v="1"/>
    <x v="0"/>
    <x v="0"/>
    <n v="473.43027620438863"/>
  </r>
  <r>
    <n v="1"/>
    <n v="19573466"/>
    <s v="001816/23"/>
    <s v="***.774.244-**"/>
    <s v="LUIZ EDUARDO CORDEIRO DE OLIVEIRA"/>
    <s v="TECNICO EM AGROPECUARIA"/>
    <s v="FG-0002"/>
    <s v="FG-0002"/>
    <d v="2023-12-04T00:00:00"/>
    <d v="2023-12-09T00:00:00"/>
    <s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
    <x v="71"/>
    <s v="Aéreo"/>
    <s v="Sim"/>
    <s v="Realizada"/>
    <s v="SIM"/>
    <s v="Recebemos a confirmação da AGEVISA na data de hoje (20/11/2023)."/>
    <n v="1664.86"/>
    <n v="0"/>
    <n v="1688.69"/>
    <n v="0"/>
    <d v="2023-11-24T00:00:00"/>
    <x v="4"/>
    <x v="0"/>
    <x v="0"/>
    <n v="1688.69"/>
    <n v="1664.86"/>
    <x v="5"/>
    <x v="1"/>
    <x v="0"/>
    <x v="0"/>
    <n v="473.43027620438863"/>
  </r>
  <r>
    <n v="2"/>
    <n v="19262550"/>
    <s v="001016/23"/>
    <s v="***.442.364-**"/>
    <s v="ANA RAQUEL ROSAS TORRES"/>
    <s v="PROFESSOR DO MAGISTERIO SUPERIOR"/>
    <s v="-1"/>
    <s v="Sem informação"/>
    <d v="2023-12-05T00:00:00"/>
    <d v="2023-12-09T00:00:00"/>
    <s v="Participar no III Simpósio de Psicologia Social na condição de palestrante."/>
    <x v="62"/>
    <s v="Aéreo"/>
    <s v="Não"/>
    <s v="Realizada"/>
    <s v="NÃO"/>
    <s v="Sem informação"/>
    <n v="1509.95"/>
    <n v="0"/>
    <n v="3196.56"/>
    <n v="0"/>
    <d v="2023-09-06T00:00:00"/>
    <x v="7"/>
    <x v="0"/>
    <x v="0"/>
    <n v="3196.56"/>
    <n v="1509.95"/>
    <x v="2"/>
    <x v="0"/>
    <x v="0"/>
    <x v="0"/>
    <n v="265.34513886071062"/>
  </r>
  <r>
    <n v="2"/>
    <n v="19383526"/>
    <s v="001391/23"/>
    <s v="***.212.634-**"/>
    <s v="JULIO RIQUE NETO"/>
    <s v="PROFESSOR DO MAGISTERIO SUPERIOR"/>
    <s v="FUC-0001"/>
    <s v="FUC-0001"/>
    <d v="2023-12-05T00:00:00"/>
    <d v="2023-12-09T00:00:00"/>
    <s v="Participar no III Simpósio de Psicologia Social, conforme convite anexo."/>
    <x v="62"/>
    <s v="Aéreo"/>
    <s v="Sim"/>
    <s v="Realizada"/>
    <s v="NÃO"/>
    <s v="Sem informação"/>
    <n v="1509.95"/>
    <n v="0"/>
    <n v="1446.3600000000001"/>
    <n v="0"/>
    <d v="2023-10-10T00:00:00"/>
    <x v="7"/>
    <x v="0"/>
    <x v="0"/>
    <n v="1446.3600000000001"/>
    <n v="1509.95"/>
    <x v="2"/>
    <x v="0"/>
    <x v="0"/>
    <x v="0"/>
    <n v="265.34513886071062"/>
  </r>
  <r>
    <n v="2"/>
    <n v="19608735"/>
    <s v="001976/23"/>
    <s v="***.051.554-**"/>
    <s v="VALDINEY VELOSO GOUVEIA"/>
    <s v="PROFESSOR DO MAGISTERIO SUPERIOR"/>
    <s v="CD-0001"/>
    <s v="Cargo Comissionado de Direção"/>
    <d v="2023-12-05T00:00:00"/>
    <d v="2023-12-05T00:00:00"/>
    <s v="Participar de reunião com a Presidência da EBSERH, no dia 05/12/2023, em Brasília/DF"/>
    <x v="1"/>
    <s v="Aéreo"/>
    <s v="Sim"/>
    <s v="Realizada"/>
    <s v="SIM"/>
    <s v="A reunião foi decidida hoje à tarde (04/12/2023), pelo telefone com a presidência da EBSERH, conforme justificativa no formulário de solicitação"/>
    <n v="281.83"/>
    <n v="0"/>
    <n v="5855.2000000000007"/>
    <n v="0"/>
    <d v="2023-12-04T00:00:00"/>
    <x v="17"/>
    <x v="0"/>
    <x v="0"/>
    <n v="5855.2000000000007"/>
    <n v="281.83"/>
    <x v="3"/>
    <x v="1"/>
    <x v="0"/>
    <x v="0"/>
    <n v="626.66401501165365"/>
  </r>
  <r>
    <n v="2"/>
    <n v="19249317"/>
    <s v="000996/23"/>
    <s v="***.971.244-**"/>
    <s v="GUSTAVO HENRIQUE DE ARAUJO FREIRE"/>
    <s v="PROFESSOR DO MAGISTERIO SUPERIOR"/>
    <s v="FUC-0001"/>
    <s v="FUC-0001"/>
    <d v="2023-12-10T00:00:00"/>
    <d v="2023-12-17T00:00:00"/>
    <s v="Ministrar disciplina regular, Políticas de Informação, no programa de Pós-Graduação em Ciência da Informação no período de 11/12/23 a 16/12/23"/>
    <x v="13"/>
    <s v="Aéreo"/>
    <s v="Não"/>
    <s v="Realizada"/>
    <s v="NÃO"/>
    <s v="Sem informação"/>
    <n v="2503.1"/>
    <n v="0"/>
    <n v="1263.69"/>
    <n v="0"/>
    <d v="2023-09-08T00:00:00"/>
    <x v="11"/>
    <x v="0"/>
    <x v="0"/>
    <n v="1263.69"/>
    <n v="2503.1"/>
    <x v="2"/>
    <x v="0"/>
    <x v="1"/>
    <x v="0"/>
    <n v="717.39676463438343"/>
  </r>
  <r>
    <n v="1"/>
    <n v="19243314"/>
    <s v="001045/23"/>
    <s v="***.023.839-**"/>
    <s v="SOLANGE MARIA LEDER"/>
    <s v="PROFESSOR DO MAGISTERIO SUPERIOR"/>
    <s v="-1"/>
    <s v="Sem informação"/>
    <d v="2023-12-11T00:00:00"/>
    <d v="2023-12-22T00:00:00"/>
    <s v="Missão técnica no período de 11 a 22 de dezembro a ser realizada na Universidade Tecnológica Federal do Paraná (UTFPR), na Universidade Federal do Paraná (UFPR), ambas em Curitiba/PR e na Universidade Federal de Santa Catarina (UFSC), em Florianópolis/SC."/>
    <x v="72"/>
    <s v="Aéreo"/>
    <s v="Sim"/>
    <s v="Realizada"/>
    <s v="NÃO"/>
    <s v="Sem informação"/>
    <n v="3717.63"/>
    <n v="0"/>
    <n v="873.59"/>
    <n v="0"/>
    <d v="2023-09-12T00:00:00"/>
    <x v="12"/>
    <x v="0"/>
    <x v="0"/>
    <n v="873.59"/>
    <n v="3717.63"/>
    <x v="1"/>
    <x v="0"/>
    <x v="0"/>
    <x v="0"/>
    <n v="492.93940123218408"/>
  </r>
  <r>
    <n v="2"/>
    <n v="19331181"/>
    <s v="001205/23"/>
    <s v="***.881.874-**"/>
    <s v="WALLACE PATRICK SANTOS DE FARIAS SOUZA"/>
    <s v="PROFESSOR DO MAGISTERIO SUPERIOR"/>
    <s v="-1"/>
    <s v="Sem informação"/>
    <d v="2023-12-11T00:00:00"/>
    <d v="2023-12-15T00:00:00"/>
    <s v="PARTICIPAÇÃO E APRESENTAÇÃO DE TRABALHO NO 51º ENCONTRO NACIONAL DE ECONOMIA DA ANPEC - RIO DE JANEIRO"/>
    <x v="13"/>
    <s v="Aéreo"/>
    <s v="Sim"/>
    <s v="Realizada"/>
    <s v="NÃO"/>
    <s v="Sem informação"/>
    <n v="1660.58"/>
    <n v="0"/>
    <n v="1713.3899999999999"/>
    <n v="0"/>
    <d v="2023-10-02T00:00:00"/>
    <x v="7"/>
    <x v="0"/>
    <x v="0"/>
    <n v="1713.3899999999999"/>
    <n v="1660.58"/>
    <x v="2"/>
    <x v="0"/>
    <x v="1"/>
    <x v="0"/>
    <n v="717.39676463438343"/>
  </r>
  <r>
    <n v="2"/>
    <n v="19332563"/>
    <s v="001209/23"/>
    <s v="***.006.730-**"/>
    <s v="ANDRE DE MATTOS MARQUES"/>
    <s v="PROFESSOR DO MAGISTERIO SUPERIOR"/>
    <s v="-1"/>
    <s v="Sem informação"/>
    <d v="2023-12-11T00:00:00"/>
    <d v="2023-12-15T00:00:00"/>
    <s v="Apresentação oral do trabalho intitulado 'Does fertility affect growth? Evidence and simulation results from alternative quantile regression estimators' no 51º Encontro Nacional de Economia, no Rio de Janeiro/RJ, no período de 12 a 15 de dezembro de 2023."/>
    <x v="13"/>
    <s v="Aéreo"/>
    <s v="Não"/>
    <s v="Realizada"/>
    <s v="NÃO"/>
    <s v="Sem informação"/>
    <n v="1660.58"/>
    <n v="0"/>
    <n v="1798.49"/>
    <n v="0"/>
    <d v="2023-09-27T00:00:00"/>
    <x v="7"/>
    <x v="0"/>
    <x v="0"/>
    <n v="1798.49"/>
    <n v="1660.58"/>
    <x v="2"/>
    <x v="0"/>
    <x v="1"/>
    <x v="0"/>
    <n v="717.39676463438343"/>
  </r>
  <r>
    <n v="2"/>
    <n v="19342620"/>
    <s v="001234/23"/>
    <s v="***.838.014-**"/>
    <s v="ANTONIO VINICIUS BARROS BARBOSA"/>
    <s v="PROFESSOR DO MAGISTERIO SUPERIOR"/>
    <s v="-1"/>
    <s v="Sem informação"/>
    <d v="2023-12-11T00:00:00"/>
    <d v="2023-12-15T00:00:00"/>
    <s v="Aprentação do artigo 'National Policy to Combat Violence Against Women: Evidence from Women's Police Stations no 51º Encontro Nacional de Economia, que acontecerá no Rio de Janeiro (RJ) entre os dias 12 e 15/12/2023."/>
    <x v="13"/>
    <s v="Aéreo"/>
    <s v="Não"/>
    <s v="Realizada"/>
    <s v="NÃO"/>
    <s v="Sem informação"/>
    <n v="1660.58"/>
    <n v="0"/>
    <n v="1713.3899999999999"/>
    <n v="0"/>
    <d v="2023-10-05T00:00:00"/>
    <x v="7"/>
    <x v="0"/>
    <x v="0"/>
    <n v="1713.3899999999999"/>
    <n v="1660.58"/>
    <x v="2"/>
    <x v="0"/>
    <x v="1"/>
    <x v="0"/>
    <n v="717.39676463438343"/>
  </r>
  <r>
    <n v="2"/>
    <n v="19440954"/>
    <s v="001621/23"/>
    <s v="***.567.773-**"/>
    <s v="BERLA MOREIRA DE MORAES"/>
    <s v="PROFESSOR DO MAGISTERIO SUPERIOR"/>
    <s v="CD-0002"/>
    <s v="Cargo Comissionado de Direção"/>
    <d v="2023-12-11T00:00:00"/>
    <d v="2023-12-14T00:00:00"/>
    <s v="Representar a PROEX no 52° FORPROEX"/>
    <x v="25"/>
    <s v="Aéreo"/>
    <s v="Sim"/>
    <s v="Realizada"/>
    <s v="NÃO"/>
    <s v="Sem informação"/>
    <n v="1332.87"/>
    <n v="0"/>
    <n v="2835.52"/>
    <n v="0"/>
    <d v="2023-11-06T00:00:00"/>
    <x v="2"/>
    <x v="0"/>
    <x v="0"/>
    <n v="2835.52"/>
    <n v="1332.87"/>
    <x v="1"/>
    <x v="1"/>
    <x v="1"/>
    <x v="0"/>
    <n v="685.86915713728922"/>
  </r>
  <r>
    <n v="2"/>
    <n v="19517028"/>
    <s v="001718/23"/>
    <s v=""/>
    <s v="ADRIANA RODRIGUES DA SILVA MARQUES"/>
    <s v="PROFESSOR DO MAGISTERIO SUPERIOR"/>
    <s v="-1"/>
    <s v="Sem informação"/>
    <d v="2023-12-11T00:00:00"/>
    <d v="2023-12-23T00:00:00"/>
    <s v="Colaboração científica: Andamento ao projeto de pesquisa 'União Esquemática de duas cônicas no espaço projetivo' com os professores Fernando Antonio Xavier de Souza e Jacqueline Fabiola Rojas Arancibia ambos do Departamento de Matemática UFPB Campus I."/>
    <x v="15"/>
    <s v="Aéreo"/>
    <s v="Sim"/>
    <s v="Realizada"/>
    <s v="NÃO"/>
    <s v="Sem informação"/>
    <n v="4058.65"/>
    <n v="0"/>
    <n v="2827.52"/>
    <n v="0"/>
    <d v="2023-11-17T00:00:00"/>
    <x v="0"/>
    <x v="0"/>
    <x v="0"/>
    <n v="2827.52"/>
    <n v="4058.65"/>
    <x v="6"/>
    <x v="0"/>
    <x v="1"/>
    <x v="0"/>
    <n v="710.03317019409144"/>
  </r>
  <r>
    <n v="2"/>
    <n v="19447516"/>
    <s v="001930/23"/>
    <s v="***.066.004-**"/>
    <s v="THALES FERREIRA DIONISIO DA SILVA"/>
    <s v="ASSISTENTE EM ADMINISTRAçãO"/>
    <s v="-1"/>
    <s v="Sem informação"/>
    <d v="2023-12-12T00:00:00"/>
    <d v="2023-12-16T00:00:00"/>
    <s v="Capacitação do servidor para atuar nas fases da licitação. Curso: Planejamento das Contratações com enfoque na Elaboração do Estudo Técnico Preliminar (ETP) e Termo de Referência (TR)"/>
    <x v="3"/>
    <s v="Aéreo"/>
    <s v="Sim"/>
    <s v="Realizada"/>
    <s v="SIM"/>
    <s v="apenas nesta semana recebemos a confirmação de realização do curso."/>
    <n v="1509.95"/>
    <n v="0"/>
    <n v="2030.6799999999998"/>
    <n v="0"/>
    <d v="2023-12-01T00:00:00"/>
    <x v="7"/>
    <x v="0"/>
    <x v="0"/>
    <n v="2030.6799999999998"/>
    <n v="1509.95"/>
    <x v="4"/>
    <x v="1"/>
    <x v="0"/>
    <x v="0"/>
    <n v="271.05605715809952"/>
  </r>
  <r>
    <n v="2"/>
    <n v="19452055"/>
    <s v="001929/23"/>
    <s v="***.450.394-**"/>
    <s v="KEISEMBERG RIBEIRO TRAVASSOS"/>
    <s v="ADMINISTRADOR"/>
    <s v="-1"/>
    <s v="Sem informação"/>
    <d v="2023-12-12T00:00:00"/>
    <d v="2023-12-16T00:00:00"/>
    <s v="Conhecer a nova legislação, entender normas e assimilar aspectos práticos para que possam aplicar e repassar os novos procedimentos aos mais de 60 secretários e coordenadores dos programas de pós graduação da UFPB."/>
    <x v="69"/>
    <s v="Aéreo"/>
    <s v="Não"/>
    <s v="Realizada"/>
    <s v="SIM"/>
    <s v="Organizadora do evento demorou a confirmar a realização, devido ao número de inscritos."/>
    <n v="1509.95"/>
    <n v="0"/>
    <n v="696.27"/>
    <n v="0"/>
    <d v="2023-12-02T00:00:00"/>
    <x v="7"/>
    <x v="0"/>
    <x v="0"/>
    <n v="696.27"/>
    <n v="1509.95"/>
    <x v="4"/>
    <x v="1"/>
    <x v="0"/>
    <x v="0"/>
    <n v="249.63735945779732"/>
  </r>
  <r>
    <n v="2"/>
    <n v="19454075"/>
    <s v="001612/23"/>
    <s v="***.818.974-**"/>
    <s v="JORGE LUIZ MARIANO DA SILVA"/>
    <s v="PROFESSOR DO MAGISTERIO SUPERIOR"/>
    <s v="-1"/>
    <s v="Sem informação"/>
    <d v="2023-12-12T00:00:00"/>
    <d v="2023-12-16T00:00:00"/>
    <s v="Participação como apresentador e debatedor de trabalho no 51º Encontro de Economia da ANPEC."/>
    <x v="13"/>
    <s v="Aéreo"/>
    <s v="Sim"/>
    <s v="Realizada"/>
    <s v="NÃO"/>
    <s v="Sem informação"/>
    <n v="0"/>
    <n v="0"/>
    <n v="1671.49"/>
    <n v="0"/>
    <d v="2023-10-27T00:00:00"/>
    <x v="7"/>
    <x v="0"/>
    <x v="0"/>
    <n v="1671.49"/>
    <n v="0"/>
    <x v="2"/>
    <x v="0"/>
    <x v="1"/>
    <x v="0"/>
    <n v="717.39676463438343"/>
  </r>
  <r>
    <n v="2"/>
    <n v="19578420"/>
    <s v="001833/23"/>
    <s v="***.051.554-**"/>
    <s v="VALDINEY VELOSO GOUVEIA"/>
    <s v="PROFESSOR DO MAGISTERIO SUPERIOR"/>
    <s v="CD-0001"/>
    <s v="Cargo Comissionado de Direção"/>
    <d v="2023-12-12T00:00:00"/>
    <d v="2023-12-14T00:00:00"/>
    <s v="Participar da 164ª Reunião Extraordinária do Conselho Pleno da ANDIFES, a ser realizada nos dias 13 a 14 de dezembro de 2023, em Brasília/DF"/>
    <x v="1"/>
    <s v="Aéreo"/>
    <s v="Não"/>
    <s v="Realizada"/>
    <s v="NÃO"/>
    <s v="Sem informação"/>
    <n v="1088.99"/>
    <n v="0"/>
    <n v="2617.1999999999998"/>
    <n v="0"/>
    <d v="2023-11-27T00:00:00"/>
    <x v="3"/>
    <x v="0"/>
    <x v="0"/>
    <n v="2617.1999999999998"/>
    <n v="1088.99"/>
    <x v="3"/>
    <x v="1"/>
    <x v="0"/>
    <x v="0"/>
    <n v="626.66401501165365"/>
  </r>
  <r>
    <n v="2"/>
    <n v="19285122"/>
    <s v="001081/23"/>
    <s v="***.840.565-**"/>
    <s v="EDITE MARIA DA SILVA DE FARIA"/>
    <s v=""/>
    <s v="-1"/>
    <s v="Sem informação"/>
    <d v="2023-12-13T00:00:00"/>
    <d v="2023-12-16T00:00:00"/>
    <s v="Participação na Banca de Defesa de Tese de Ronnie Wesley Sinésio Moura e apresentação da Palestra: 'O Legado de Paulo Freire e Cartografia de Saberes na EJA: entre utopias e inéditos viáveis'."/>
    <x v="3"/>
    <s v="Aéreo"/>
    <s v="Não"/>
    <s v="Realizada"/>
    <s v="NÃO"/>
    <s v="Sem informação"/>
    <n v="1254.22"/>
    <n v="0"/>
    <n v="1390.18"/>
    <n v="0"/>
    <d v="2023-09-15T00:00:00"/>
    <x v="2"/>
    <x v="0"/>
    <x v="0"/>
    <n v="1390.18"/>
    <n v="1254.22"/>
    <x v="0"/>
    <x v="2"/>
    <x v="0"/>
    <x v="0"/>
    <n v="271.05605715809952"/>
  </r>
  <r>
    <n v="2"/>
    <n v="19355222"/>
    <s v="001303/23"/>
    <s v="***.705.159-**"/>
    <s v="BARBARA GALLELI DIAS"/>
    <s v="PROFESSOR DO MAGISTERIO SUPERIOR"/>
    <s v="-1"/>
    <s v="Sem informação"/>
    <d v="2023-12-13T00:00:00"/>
    <d v="2023-12-16T00:00:00"/>
    <s v="Realização a convite para realizar oficina intitulada ATLAS.ti, conforme convite em anexo."/>
    <x v="9"/>
    <s v="Aéreo"/>
    <s v="Não"/>
    <s v="Realizada"/>
    <s v="NÃO"/>
    <s v="Sem informação"/>
    <n v="1198.8399999999999"/>
    <n v="0"/>
    <n v="2125.88"/>
    <n v="0"/>
    <d v="2023-10-17T00:00:00"/>
    <x v="2"/>
    <x v="0"/>
    <x v="0"/>
    <n v="2125.88"/>
    <n v="1198.8399999999999"/>
    <x v="4"/>
    <x v="0"/>
    <x v="1"/>
    <x v="0"/>
    <n v="929.57892259546873"/>
  </r>
  <r>
    <n v="2"/>
    <n v="19445293"/>
    <s v="001649/23"/>
    <s v="***.527.983-**"/>
    <s v="MONICA MAGALHAES CAVALCANTE"/>
    <s v="PROFESSOR DO MAGISTERIO SUPERIOR"/>
    <s v="-1"/>
    <s v="Sem informação"/>
    <d v="2023-12-13T00:00:00"/>
    <d v="2023-12-14T00:00:00"/>
    <s v="Ministrar a conferência de abertura no VIII Seminário de Pesquisas do PROFLETRAS."/>
    <x v="56"/>
    <s v="Aéreo"/>
    <s v="Não"/>
    <s v="Realizada"/>
    <s v="NÃO"/>
    <s v="Sem informação"/>
    <n v="486.53"/>
    <n v="0"/>
    <n v="759.15000000000009"/>
    <n v="0"/>
    <d v="2023-11-06T00:00:00"/>
    <x v="8"/>
    <x v="0"/>
    <x v="0"/>
    <n v="759.15000000000009"/>
    <n v="486.53"/>
    <x v="2"/>
    <x v="0"/>
    <x v="0"/>
    <x v="0"/>
    <n v="229.54725538241348"/>
  </r>
  <r>
    <n v="2"/>
    <n v="19321397"/>
    <s v="001183/23"/>
    <s v="***.802.237-**"/>
    <s v="ERICK ALMEIDA ESMERINO"/>
    <s v="PROFESSOR DO MAGISTERIO SUPERIOR"/>
    <s v="FUC-0001"/>
    <s v="FUC-0001"/>
    <d v="2023-12-17T00:00:00"/>
    <d v="2023-12-19T00:00:00"/>
    <s v="Palestrante do Ciclo de palestras de PPGCTA: Analise Sensorial - Técnicas aplicadas e participação na avaliação dos projetos da disciplina de seminários II ."/>
    <x v="13"/>
    <s v="Aéreo"/>
    <s v="Não"/>
    <s v="Realizada"/>
    <s v="NÃO"/>
    <s v="Sem informação"/>
    <n v="95"/>
    <n v="0"/>
    <n v="1981.29"/>
    <n v="0"/>
    <d v="2023-09-26T00:00:00"/>
    <x v="3"/>
    <x v="0"/>
    <x v="0"/>
    <n v="1981.29"/>
    <n v="95"/>
    <x v="2"/>
    <x v="0"/>
    <x v="1"/>
    <x v="0"/>
    <n v="717.39676463438343"/>
  </r>
  <r>
    <n v="2"/>
    <n v="19323168"/>
    <s v="001194/23"/>
    <s v="***.274.509-**"/>
    <s v="TATIANA COLOMBO PIMENTEL"/>
    <s v="PROFESSOR ENS BASICO TECN TECNOLOGICO"/>
    <s v="-1"/>
    <s v="Sem informação"/>
    <d v="2023-12-17T00:00:00"/>
    <d v="2023-12-19T00:00:00"/>
    <s v="Palestrante do Ciclo de palestras de PPGCTA: Analise Sensorial - Técnicas aplicadas e participação na avaliação dos projetos da disciplina de seminários II"/>
    <x v="26"/>
    <s v="Aéreo"/>
    <s v="Não"/>
    <s v="Realizada"/>
    <s v="NÃO"/>
    <s v="Sem informação"/>
    <n v="95"/>
    <n v="0"/>
    <n v="3139"/>
    <n v="0"/>
    <d v="2023-09-26T00:00:00"/>
    <x v="3"/>
    <x v="0"/>
    <x v="0"/>
    <n v="3139"/>
    <n v="95"/>
    <x v="2"/>
    <x v="0"/>
    <x v="1"/>
    <x v="0"/>
    <n v="941.13832416862624"/>
  </r>
  <r>
    <n v="2"/>
    <n v="19342313"/>
    <s v="001244/23"/>
    <s v="***.259.354-**"/>
    <s v="MARCOS DOS SANTOS LIMA"/>
    <s v="PROFESSOR ENS BASICO TECN TECNOLOGICO"/>
    <s v="-1"/>
    <s v="Sem informação"/>
    <d v="2023-12-17T00:00:00"/>
    <d v="2023-12-19T00:00:00"/>
    <s v="Participação do 'Ciclo de paletras de PPGCTA: Analise Sensorial - Técnicas aplicadas' e da avaliação dos projetos da disciplina de seminários I e II do PPGCTA"/>
    <x v="0"/>
    <s v="Aéreo"/>
    <s v="Sim"/>
    <s v="Realizada"/>
    <s v="NÃO"/>
    <s v="Sem informação"/>
    <n v="887.73"/>
    <n v="0"/>
    <n v="2362.7799999999997"/>
    <n v="0"/>
    <d v="2023-10-02T00:00:00"/>
    <x v="3"/>
    <x v="0"/>
    <x v="0"/>
    <n v="2362.7799999999997"/>
    <n v="887.73"/>
    <x v="2"/>
    <x v="0"/>
    <x v="0"/>
    <x v="0"/>
    <n v="243.48676308327464"/>
  </r>
  <r>
    <n v="2"/>
    <n v="19432095"/>
    <s v="001571/23"/>
    <s v="***.418.406-**"/>
    <s v="ALICE MARA SERRA"/>
    <s v="PROFESSOR DO MAGISTERIO SUPERIOR"/>
    <s v="-1"/>
    <s v="Sem informação"/>
    <d v="2023-12-17T00:00:00"/>
    <d v="2023-12-21T00:00:00"/>
    <s v="Participar do evento A Fenomenologia e seus outros, como apresentadora e debatedora."/>
    <x v="23"/>
    <s v="Aéreo"/>
    <s v="Não"/>
    <s v="Realizada"/>
    <s v="NÃO"/>
    <s v="Sem informação"/>
    <n v="887.73"/>
    <n v="0"/>
    <n v="2647.89"/>
    <n v="0"/>
    <d v="2023-10-26T00:00:00"/>
    <x v="7"/>
    <x v="0"/>
    <x v="0"/>
    <n v="2647.89"/>
    <n v="887.73"/>
    <x v="2"/>
    <x v="0"/>
    <x v="0"/>
    <x v="0"/>
    <n v="627.18210071654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37A0E7-D409-46ED-990C-40E5428124C0}" name="Duração das viagens (dias)" cacheId="11" applyNumberFormats="0" applyBorderFormats="0" applyFontFormats="0" applyPatternFormats="0" applyAlignmentFormats="0" applyWidthHeightFormats="1" dataCaption="Valores" updatedVersion="8" minRefreshableVersion="3" useAutoFormatting="1" itemPrintTitles="1" createdVersion="8" indent="0" outline="1" outlineData="1" chartFormat="43">
  <location ref="X1:Y3"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numFmtId="168" showAll="0"/>
    <pivotField showAll="0"/>
    <pivotField showAll="0"/>
    <pivotField showAll="0"/>
    <pivotField showAll="0"/>
    <pivotField axis="axisRow" dataField="1" showAll="0">
      <items count="21">
        <item x="17"/>
        <item x="8"/>
        <item sd="0" x="3"/>
        <item sd="0" x="2"/>
        <item sd="0" x="7"/>
        <item sd="0" x="4"/>
        <item sd="0" x="6"/>
        <item sd="0" x="11"/>
        <item sd="0" x="5"/>
        <item sd="0" x="10"/>
        <item sd="0" x="14"/>
        <item sd="0" x="12"/>
        <item sd="0" x="0"/>
        <item sd="0" x="1"/>
        <item sd="0" x="13"/>
        <item sd="0" x="9"/>
        <item sd="0" m="1" x="19"/>
        <item sd="0" m="1" x="18"/>
        <item sd="0" x="16"/>
        <item sd="0" x="15"/>
        <item t="default" sd="0"/>
      </items>
    </pivotField>
    <pivotField showAll="0"/>
    <pivotField numFmtId="1" showAll="0"/>
    <pivotField numFmtId="166" showAll="0"/>
    <pivotField numFmtId="44" showAll="0"/>
    <pivotField showAll="0"/>
    <pivotField axis="axisRow" showAll="0">
      <items count="6">
        <item m="1" x="4"/>
        <item sd="0" x="1"/>
        <item x="0"/>
        <item x="2"/>
        <item x="3"/>
        <item t="default"/>
      </items>
    </pivotField>
    <pivotField axis="axisRow" multipleItemSelectionAllowed="1" showAll="0">
      <items count="5">
        <item sd="0" x="0"/>
        <item sd="0" m="1" x="3"/>
        <item sd="0" x="1"/>
        <item x="2"/>
        <item t="default"/>
      </items>
    </pivotField>
    <pivotField showAll="0">
      <items count="3">
        <item x="0"/>
        <item m="1" x="1"/>
        <item t="default"/>
      </items>
    </pivotField>
    <pivotField numFmtId="43" showAll="0"/>
    <pivotField axis="axisRow" showAll="0">
      <items count="4">
        <item n="Até 1 dia" sd="0" x="0"/>
        <item n="Entre 2 e 5 dias" h="1" sd="0" x="1"/>
        <item n="Mais de 5 dias" h="1" sd="0" x="2"/>
        <item t="default"/>
      </items>
    </pivotField>
  </pivotFields>
  <rowFields count="4">
    <field x="32"/>
    <field x="22"/>
    <field x="29"/>
    <field x="28"/>
  </rowFields>
  <rowItems count="2">
    <i>
      <x/>
    </i>
    <i t="grand">
      <x/>
    </i>
  </rowItems>
  <colItems count="1">
    <i/>
  </colItems>
  <dataFields count="1">
    <dataField name="Contagem de Dias de viagem" fld="22" subtotal="count" baseField="29" baseItem="2"/>
  </dataFields>
  <chartFormats count="1">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6950B-8F64-498F-94AF-8DB08E766824}" name="Viagens por motivos" cacheId="1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2">
  <location ref="H1:I5"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showAll="0"/>
    <pivotField numFmtId="166" showAll="0"/>
    <pivotField numFmtId="44" showAll="0"/>
    <pivotField axis="axisRow" dataField="1" showAll="0" measureFilter="1" sortType="descending">
      <items count="10">
        <item sd="0" m="1" x="8"/>
        <item sd="0" x="0"/>
        <item sd="0" x="1"/>
        <item sd="0" x="2"/>
        <item sd="0" x="3"/>
        <item sd="0" x="4"/>
        <item sd="0" x="5"/>
        <item sd="0" x="6"/>
        <item sd="0" x="7"/>
        <item t="default" sd="0"/>
      </items>
      <autoSortScope>
        <pivotArea dataOnly="0" outline="0" fieldPosition="0">
          <references count="1">
            <reference field="4294967294" count="1" selected="0">
              <x v="0"/>
            </reference>
          </references>
        </pivotArea>
      </autoSortScope>
    </pivotField>
    <pivotField showAll="0">
      <items count="6">
        <item x="0"/>
        <item x="3"/>
        <item x="2"/>
        <item m="1" x="4"/>
        <item x="1"/>
        <item t="default"/>
      </items>
    </pivotField>
    <pivotField axis="axisRow" showAll="0">
      <items count="5">
        <item x="0"/>
        <item x="1"/>
        <item m="1" x="3"/>
        <item x="2"/>
        <item t="default"/>
      </items>
    </pivotField>
    <pivotField showAll="0">
      <items count="3">
        <item x="0"/>
        <item m="1" x="1"/>
        <item t="default"/>
      </items>
    </pivotField>
    <pivotField numFmtId="43" showAll="0"/>
    <pivotField showAll="0">
      <items count="4">
        <item x="0"/>
        <item h="1" x="1"/>
        <item h="1" x="2"/>
        <item t="default"/>
      </items>
    </pivotField>
  </pivotFields>
  <rowFields count="2">
    <field x="27"/>
    <field x="29"/>
  </rowFields>
  <rowItems count="4">
    <i>
      <x v="3"/>
    </i>
    <i>
      <x v="2"/>
    </i>
    <i>
      <x v="4"/>
    </i>
    <i t="grand">
      <x/>
    </i>
  </rowItems>
  <colItems count="1">
    <i/>
  </colItems>
  <dataFields count="1">
    <dataField name="Contagem de Motivo da Viagem" fld="27" subtotal="count" baseField="0" baseItem="0"/>
  </dataFields>
  <chartFormats count="9">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7"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7" count="1" selected="0">
            <x v="0"/>
          </reference>
        </references>
      </pivotArea>
    </chartFormat>
    <chartFormat chart="4" format="8">
      <pivotArea type="data" outline="0" fieldPosition="0">
        <references count="2">
          <reference field="4294967294" count="1" selected="0">
            <x v="0"/>
          </reference>
          <reference field="27" count="1" selected="0">
            <x v="3"/>
          </reference>
        </references>
      </pivotArea>
    </chartFormat>
    <chartFormat chart="4" format="9">
      <pivotArea type="data" outline="0" fieldPosition="0">
        <references count="2">
          <reference field="4294967294" count="1" selected="0">
            <x v="0"/>
          </reference>
          <reference field="27" count="1" selected="0">
            <x v="2"/>
          </reference>
        </references>
      </pivotArea>
    </chartFormat>
    <chartFormat chart="4" format="10">
      <pivotArea type="data" outline="0" fieldPosition="0">
        <references count="2">
          <reference field="4294967294" count="1" selected="0">
            <x v="0"/>
          </reference>
          <reference field="27" count="1" selected="0">
            <x v="4"/>
          </reference>
        </references>
      </pivotArea>
    </chartFormat>
    <chartFormat chart="4" format="11">
      <pivotArea type="data" outline="0" fieldPosition="0">
        <references count="2">
          <reference field="4294967294" count="1" selected="0">
            <x v="0"/>
          </reference>
          <reference field="27" count="1" selected="0">
            <x v="1"/>
          </reference>
        </references>
      </pivotArea>
    </chartFormat>
    <chartFormat chart="4" format="12">
      <pivotArea type="data" outline="0" fieldPosition="0">
        <references count="2">
          <reference field="4294967294" count="1" selected="0">
            <x v="0"/>
          </reference>
          <reference field="27" count="1" selected="0">
            <x v="5"/>
          </reference>
        </references>
      </pivotArea>
    </chartFormat>
  </chartFormats>
  <pivotTableStyleInfo name="PivotStyleLight16" showRowHeaders="1" showColHeaders="1" showRowStripes="0" showColStripes="0" showLastColumn="1"/>
  <filters count="1">
    <filter fld="2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3672D-63B4-4FDF-BA20-69F000F053F7}" name="Escalas" cacheId="1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N1:O5"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axis="axisRow" dataField="1" showAll="0">
      <items count="3">
        <item x="0"/>
        <item x="1"/>
        <item t="default"/>
      </items>
    </pivotField>
    <pivotField numFmtId="166" showAll="0"/>
    <pivotField numFmtId="44" showAll="0"/>
    <pivotField showAll="0"/>
    <pivotField axis="axisRow" showAll="0">
      <items count="6">
        <item sd="0" m="1" x="4"/>
        <item sd="0" x="1"/>
        <item sd="0" x="0"/>
        <item sd="0" x="2"/>
        <item sd="0" x="3"/>
        <item t="default"/>
      </items>
    </pivotField>
    <pivotField showAll="0">
      <items count="5">
        <item x="0"/>
        <item x="1"/>
        <item m="1" x="3"/>
        <item x="2"/>
        <item t="default"/>
      </items>
    </pivotField>
    <pivotField showAll="0">
      <items count="3">
        <item x="0"/>
        <item m="1" x="1"/>
        <item t="default"/>
      </items>
    </pivotField>
    <pivotField numFmtId="43" showAll="0"/>
    <pivotField showAll="0">
      <items count="4">
        <item x="0"/>
        <item h="1" x="1"/>
        <item h="1" x="2"/>
        <item t="default"/>
      </items>
    </pivotField>
  </pivotFields>
  <rowFields count="2">
    <field x="28"/>
    <field x="24"/>
  </rowFields>
  <rowItems count="4">
    <i>
      <x v="1"/>
    </i>
    <i>
      <x v="2"/>
    </i>
    <i>
      <x v="3"/>
    </i>
    <i t="grand">
      <x/>
    </i>
  </rowItems>
  <colItems count="1">
    <i/>
  </colItems>
  <dataFields count="1">
    <dataField name="Soma de Voo com Escala"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A5E99-A334-4783-8CB1-431BC7C120A8}" name="Viagens urgentes sj" cacheId="11" applyNumberFormats="0" applyBorderFormats="0" applyFontFormats="0" applyPatternFormats="0" applyAlignmentFormats="0" applyWidthHeightFormats="1" dataCaption="Valores" missingCaption="0" updatedVersion="8" minRefreshableVersion="3" itemPrintTitles="1" createdVersion="8" indent="0" outline="1" outlineData="1" multipleFieldFilters="0">
  <location ref="AA1:AB3"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numFmtId="168" showAll="0"/>
    <pivotField numFmtId="168" showAll="0"/>
    <pivotField numFmtId="168" showAll="0"/>
    <pivotField numFmtId="168"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numFmtId="1" showAll="0"/>
    <pivotField numFmtId="166" showAll="0"/>
    <pivotField numFmtId="44" showAll="0"/>
    <pivotField showAll="0"/>
    <pivotField showAll="0">
      <items count="6">
        <item x="0"/>
        <item x="3"/>
        <item x="2"/>
        <item m="1" x="4"/>
        <item x="1"/>
        <item t="default"/>
      </items>
    </pivotField>
    <pivotField showAll="0">
      <items count="5">
        <item x="0"/>
        <item x="1"/>
        <item m="1" x="3"/>
        <item x="2"/>
        <item t="default"/>
      </items>
    </pivotField>
    <pivotField axis="axisRow" dataField="1" showAll="0">
      <items count="3">
        <item x="0"/>
        <item m="1" x="1"/>
        <item t="default"/>
      </items>
    </pivotField>
    <pivotField numFmtId="43" showAll="0"/>
    <pivotField showAll="0" defaultSubtotal="0">
      <items count="3">
        <item x="0"/>
        <item h="1" x="1"/>
        <item h="1" x="2"/>
      </items>
    </pivotField>
  </pivotFields>
  <rowFields count="1">
    <field x="30"/>
  </rowFields>
  <rowItems count="2">
    <i>
      <x/>
    </i>
    <i t="grand">
      <x/>
    </i>
  </rowItems>
  <colItems count="1">
    <i/>
  </colItems>
  <dataFields count="1">
    <dataField name="Contagem de Viagem Urgente sem justificativa"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99CCC-F329-4B17-BF9B-7B1AE9B69932}" name="Custos" cacheId="1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Q1:S4" firstHeaderRow="0"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showAll="0"/>
    <pivotField dataField="1" numFmtId="166" showAll="0"/>
    <pivotField dataField="1" numFmtId="44" showAll="0"/>
    <pivotField showAll="0"/>
    <pivotField axis="axisRow" showAll="0">
      <items count="6">
        <item x="1"/>
        <item m="1" x="4"/>
        <item x="0"/>
        <item x="2"/>
        <item x="3"/>
        <item t="default"/>
      </items>
    </pivotField>
    <pivotField axis="axisRow" showAll="0">
      <items count="5">
        <item sd="0" x="1"/>
        <item sd="0" m="1" x="3"/>
        <item sd="0" x="0"/>
        <item sd="0" x="2"/>
        <item t="default" sd="0"/>
      </items>
    </pivotField>
    <pivotField showAll="0">
      <items count="3">
        <item x="0"/>
        <item m="1" x="1"/>
        <item t="default"/>
      </items>
    </pivotField>
    <pivotField numFmtId="43" showAll="0"/>
    <pivotField showAll="0">
      <items count="4">
        <item x="0"/>
        <item h="1" x="1"/>
        <item h="1" x="2"/>
        <item t="default"/>
      </items>
    </pivotField>
  </pivotFields>
  <rowFields count="2">
    <field x="29"/>
    <field x="28"/>
  </rowFields>
  <rowItems count="3">
    <i>
      <x/>
    </i>
    <i>
      <x v="2"/>
    </i>
    <i t="grand">
      <x/>
    </i>
  </rowItems>
  <colFields count="1">
    <field x="-2"/>
  </colFields>
  <colItems count="2">
    <i>
      <x/>
    </i>
    <i i="1">
      <x v="1"/>
    </i>
  </colItems>
  <dataFields count="2">
    <dataField name="Soma de Custo da passagem" fld="25" baseField="0" baseItem="0"/>
    <dataField name="Soma de Outros custo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2B7B2-D69C-4AE0-834C-95B0034EAA9D}" name="Emissões e Distância"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1:C4" firstHeaderRow="0"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dataField="1" showAll="0"/>
    <pivotField showAll="0"/>
    <pivotField showAll="0"/>
    <pivotField showAll="0"/>
    <pivotField showAll="0"/>
    <pivotField showAll="0"/>
    <pivotField numFmtId="168" showAll="0"/>
    <pivotField numFmtId="168" showAll="0"/>
    <pivotField numFmtId="168" showAll="0"/>
    <pivotField numFmtId="168" showAll="0"/>
    <pivotField numFmtId="14"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numFmtId="1" showAll="0"/>
    <pivotField numFmtId="166" showAll="0"/>
    <pivotField numFmtId="44" showAll="0"/>
    <pivotField showAll="0"/>
    <pivotField showAll="0"/>
    <pivotField axis="axisRow" showAll="0">
      <items count="5">
        <item x="2"/>
        <item x="0"/>
        <item x="1"/>
        <item m="1" x="3"/>
        <item t="default"/>
      </items>
    </pivotField>
    <pivotField showAll="0"/>
    <pivotField dataField="1" numFmtId="43" showAll="0"/>
    <pivotField showAll="0" defaultSubtotal="0">
      <items count="3">
        <item x="0"/>
        <item h="1" x="1"/>
        <item h="1" x="2"/>
      </items>
    </pivotField>
  </pivotFields>
  <rowFields count="1">
    <field x="29"/>
  </rowFields>
  <rowItems count="3">
    <i>
      <x v="1"/>
    </i>
    <i>
      <x v="2"/>
    </i>
    <i t="grand">
      <x/>
    </i>
  </rowItems>
  <colFields count="1">
    <field x="-2"/>
  </colFields>
  <colItems count="2">
    <i>
      <x/>
    </i>
    <i i="1">
      <x v="1"/>
    </i>
  </colItems>
  <dataFields count="2">
    <dataField name="Soma de Distância (km)" fld="11" baseField="0" baseItem="0"/>
    <dataField name="Soma de Emissões" fld="31" baseField="0" baseItem="0"/>
  </dataFields>
  <chartFormats count="2">
    <chartFormat chart="19" format="15"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8D4C5-1912-4149-98E7-41EF02ED4EDC}" name="Tabela dinâmica1"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D1:AE2"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axis="axisRow" dataField="1" showAll="0">
      <items count="74">
        <item x="19"/>
        <item x="16"/>
        <item x="54"/>
        <item x="62"/>
        <item x="2"/>
        <item x="56"/>
        <item x="0"/>
        <item x="69"/>
        <item x="3"/>
        <item x="57"/>
        <item x="59"/>
        <item x="34"/>
        <item x="66"/>
        <item x="14"/>
        <item x="21"/>
        <item x="61"/>
        <item x="7"/>
        <item x="36"/>
        <item x="67"/>
        <item x="71"/>
        <item x="72"/>
        <item x="20"/>
        <item x="43"/>
        <item x="28"/>
        <item x="37"/>
        <item x="55"/>
        <item x="5"/>
        <item x="27"/>
        <item x="33"/>
        <item x="63"/>
        <item x="60"/>
        <item x="50"/>
        <item x="48"/>
        <item x="1"/>
        <item x="23"/>
        <item x="70"/>
        <item x="29"/>
        <item x="25"/>
        <item x="15"/>
        <item x="35"/>
        <item x="32"/>
        <item x="13"/>
        <item x="47"/>
        <item x="64"/>
        <item x="46"/>
        <item x="39"/>
        <item x="31"/>
        <item x="4"/>
        <item x="24"/>
        <item x="10"/>
        <item x="65"/>
        <item x="42"/>
        <item x="11"/>
        <item x="9"/>
        <item x="26"/>
        <item x="51"/>
        <item x="8"/>
        <item x="22"/>
        <item x="18"/>
        <item x="12"/>
        <item x="40"/>
        <item x="58"/>
        <item x="49"/>
        <item x="44"/>
        <item x="30"/>
        <item x="52"/>
        <item x="45"/>
        <item x="17"/>
        <item x="41"/>
        <item x="6"/>
        <item x="53"/>
        <item x="68"/>
        <item x="38"/>
        <item t="default"/>
      </items>
    </pivotField>
    <pivotField showAll="0"/>
    <pivotField showAll="0"/>
    <pivotField showAll="0"/>
    <pivotField showAll="0"/>
    <pivotField showAll="0"/>
    <pivotField numFmtId="168" showAll="0"/>
    <pivotField numFmtId="168" showAll="0"/>
    <pivotField numFmtId="168" showAll="0"/>
    <pivotField numFmtId="168" showAll="0"/>
    <pivotField numFmtId="14"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numFmtId="1" showAll="0"/>
    <pivotField numFmtId="166" showAll="0"/>
    <pivotField numFmtId="44" showAll="0"/>
    <pivotField showAll="0"/>
    <pivotField showAll="0">
      <items count="6">
        <item x="0"/>
        <item x="3"/>
        <item x="2"/>
        <item m="1" x="4"/>
        <item x="1"/>
        <item t="default"/>
      </items>
    </pivotField>
    <pivotField showAll="0">
      <items count="5">
        <item x="0"/>
        <item x="1"/>
        <item m="1" x="3"/>
        <item x="2"/>
        <item t="default"/>
      </items>
    </pivotField>
    <pivotField showAll="0">
      <items count="3">
        <item x="0"/>
        <item m="1" x="1"/>
        <item t="default"/>
      </items>
    </pivotField>
    <pivotField numFmtId="43" showAll="0"/>
    <pivotField showAll="0" defaultSubtotal="0">
      <items count="3">
        <item x="0"/>
        <item h="1" x="1"/>
        <item h="1" x="2"/>
      </items>
    </pivotField>
  </pivotFields>
  <rowFields count="1">
    <field x="11"/>
  </rowFields>
  <rowItems count="1">
    <i t="grand">
      <x/>
    </i>
  </rowItems>
  <colItems count="1">
    <i/>
  </colItems>
  <dataFields count="1">
    <dataField name="Contagem de Distância (km)" fld="11" subtotal="count" baseField="11" baseItem="0"/>
  </dataFields>
  <pivotTableStyleInfo name="PivotStyleLight16" showRowHeaders="1" showColHeaders="1" showRowStripes="0" showColStripes="0" showLastColumn="1"/>
  <filters count="1">
    <filter fld="11" type="captionLessThan" evalOrder="-1" id="5" stringValue1="600">
      <autoFilter ref="A1">
        <filterColumn colId="0">
          <customFilters>
            <customFilter operator="lessThan" val="6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4A8F9F-E6F4-47A6-B10D-985306354CDC}" name="Classes de voo"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U1:V4"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axis="axisRow" dataField="1" showAll="0">
      <items count="2">
        <item x="0"/>
        <item t="default"/>
      </items>
    </pivotField>
    <pivotField showAll="0"/>
    <pivotField numFmtId="166" showAll="0"/>
    <pivotField numFmtId="44" showAll="0"/>
    <pivotField showAll="0"/>
    <pivotField axis="axisRow" showAll="0">
      <items count="6">
        <item x="1"/>
        <item m="1" x="4"/>
        <item x="0"/>
        <item x="2"/>
        <item x="3"/>
        <item t="default"/>
      </items>
    </pivotField>
    <pivotField axis="axisRow" showAll="0">
      <items count="5">
        <item sd="0" x="1"/>
        <item sd="0" m="1" x="3"/>
        <item sd="0" x="0"/>
        <item sd="0" x="2"/>
        <item t="default"/>
      </items>
    </pivotField>
    <pivotField showAll="0">
      <items count="3">
        <item x="0"/>
        <item m="1" x="1"/>
        <item t="default"/>
      </items>
    </pivotField>
    <pivotField numFmtId="43" showAll="0"/>
    <pivotField showAll="0">
      <items count="4">
        <item x="0"/>
        <item h="1" x="1"/>
        <item h="1" x="2"/>
        <item t="default"/>
      </items>
    </pivotField>
  </pivotFields>
  <rowFields count="3">
    <field x="29"/>
    <field x="28"/>
    <field x="23"/>
  </rowFields>
  <rowItems count="3">
    <i>
      <x/>
    </i>
    <i>
      <x v="2"/>
    </i>
    <i t="grand">
      <x/>
    </i>
  </rowItems>
  <colItems count="1">
    <i/>
  </colItems>
  <dataFields count="1">
    <dataField name="Contagem de Classe" fld="23"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C5A605-6332-4997-9D14-1213694E24CA}" name="Viagens por vínculo" cacheId="1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32">
  <location ref="K1:L5"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showAll="0"/>
    <pivotField numFmtId="166" showAll="0"/>
    <pivotField numFmtId="44" showAll="0"/>
    <pivotField showAll="0"/>
    <pivotField axis="axisRow" dataField="1" showAll="0">
      <items count="6">
        <item sd="0" x="1"/>
        <item sd="0" m="1" x="4"/>
        <item sd="0" x="0"/>
        <item sd="0" x="2"/>
        <item sd="0" x="3"/>
        <item t="default"/>
      </items>
    </pivotField>
    <pivotField axis="axisRow" showAll="0">
      <items count="5">
        <item sd="0" x="0"/>
        <item sd="0" x="1"/>
        <item sd="0" m="1" x="3"/>
        <item x="2"/>
        <item t="default"/>
      </items>
    </pivotField>
    <pivotField showAll="0">
      <items count="3">
        <item x="0"/>
        <item m="1" x="1"/>
        <item t="default"/>
      </items>
    </pivotField>
    <pivotField numFmtId="43" showAll="0"/>
    <pivotField showAll="0">
      <items count="4">
        <item x="0"/>
        <item h="1" x="1"/>
        <item h="1" x="2"/>
        <item t="default"/>
      </items>
    </pivotField>
  </pivotFields>
  <rowFields count="2">
    <field x="28"/>
    <field x="29"/>
  </rowFields>
  <rowItems count="4">
    <i>
      <x/>
    </i>
    <i>
      <x v="2"/>
    </i>
    <i>
      <x v="3"/>
    </i>
    <i t="grand">
      <x/>
    </i>
  </rowItems>
  <colItems count="1">
    <i/>
  </colItems>
  <dataFields count="1">
    <dataField name="Contagem de Vínculo Institucional " fld="28" subtotal="count" baseField="0" baseItem="0"/>
  </dataField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8" count="1" selected="0">
            <x v="0"/>
          </reference>
        </references>
      </pivotArea>
    </chartFormat>
    <chartFormat chart="5" format="8">
      <pivotArea type="data" outline="0" fieldPosition="0">
        <references count="2">
          <reference field="4294967294" count="1" selected="0">
            <x v="0"/>
          </reference>
          <reference field="28" count="1" selected="0">
            <x v="1"/>
          </reference>
        </references>
      </pivotArea>
    </chartFormat>
    <chartFormat chart="5" format="9">
      <pivotArea type="data" outline="0" fieldPosition="0">
        <references count="2">
          <reference field="4294967294" count="1" selected="0">
            <x v="0"/>
          </reference>
          <reference field="28" count="1" selected="0">
            <x v="2"/>
          </reference>
        </references>
      </pivotArea>
    </chartFormat>
    <chartFormat chart="5" format="10">
      <pivotArea type="data" outline="0" fieldPosition="0">
        <references count="2">
          <reference field="4294967294" count="1" selected="0">
            <x v="0"/>
          </reference>
          <reference field="28" count="1" selected="0">
            <x v="3"/>
          </reference>
        </references>
      </pivotArea>
    </chartFormat>
    <chartFormat chart="5" format="11">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7F531D-DE97-4065-A267-A458C6039CDC}" name="Tabela dinâmica2"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G1:AH4"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dataField="1" showAll="0"/>
    <pivotField showAll="0"/>
    <pivotField showAll="0"/>
    <pivotField numFmtId="168" showAll="0"/>
    <pivotField numFmtId="168" showAll="0"/>
    <pivotField numFmtId="168" showAll="0"/>
    <pivotField numFmtId="168" showAll="0"/>
    <pivotField numFmtId="14"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numFmtId="1" showAll="0"/>
    <pivotField numFmtId="166" showAll="0"/>
    <pivotField numFmtId="44" showAll="0"/>
    <pivotField showAll="0"/>
    <pivotField showAll="0">
      <items count="6">
        <item x="0"/>
        <item x="3"/>
        <item x="2"/>
        <item m="1" x="4"/>
        <item x="1"/>
        <item t="default"/>
      </items>
    </pivotField>
    <pivotField axis="axisRow" showAll="0">
      <items count="5">
        <item x="0"/>
        <item x="1"/>
        <item m="1" x="3"/>
        <item x="2"/>
        <item t="default"/>
      </items>
    </pivotField>
    <pivotField showAll="0">
      <items count="3">
        <item x="0"/>
        <item m="1" x="1"/>
        <item t="default"/>
      </items>
    </pivotField>
    <pivotField numFmtId="43" showAll="0"/>
    <pivotField showAll="0" defaultSubtotal="0">
      <items count="3">
        <item x="0"/>
        <item h="1" x="1"/>
        <item h="1" x="2"/>
      </items>
    </pivotField>
  </pivotFields>
  <rowFields count="1">
    <field x="29"/>
  </rowFields>
  <rowItems count="3">
    <i>
      <x/>
    </i>
    <i>
      <x v="1"/>
    </i>
    <i t="grand">
      <x/>
    </i>
  </rowItems>
  <colItems count="1">
    <i/>
  </colItems>
  <dataFields count="1">
    <dataField name="Contagem de Situação"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6DE92D-6399-4003-A0D5-07A38703A1B1}" name="Emissões por função" cacheId="1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29">
  <location ref="E1:F5" firstHeaderRow="1" firstDataRow="1" firstDataCol="1"/>
  <pivotFields count="33">
    <pivotField showAll="0"/>
    <pivotField showAll="0"/>
    <pivotField showAll="0"/>
    <pivotField showAll="0"/>
    <pivotField showAll="0"/>
    <pivotField showAll="0"/>
    <pivotField showAll="0"/>
    <pivotField showAll="0"/>
    <pivotField numFmtId="14" showAll="0"/>
    <pivotField numFmtId="1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items count="21">
        <item x="17"/>
        <item x="8"/>
        <item x="3"/>
        <item x="2"/>
        <item x="7"/>
        <item x="4"/>
        <item x="6"/>
        <item x="11"/>
        <item x="5"/>
        <item x="10"/>
        <item x="14"/>
        <item x="12"/>
        <item x="0"/>
        <item x="1"/>
        <item x="13"/>
        <item x="9"/>
        <item m="1" x="19"/>
        <item m="1" x="18"/>
        <item x="16"/>
        <item x="15"/>
        <item t="default"/>
      </items>
    </pivotField>
    <pivotField showAll="0"/>
    <pivotField showAll="0"/>
    <pivotField numFmtId="166" showAll="0"/>
    <pivotField numFmtId="44" showAll="0"/>
    <pivotField showAll="0"/>
    <pivotField axis="axisRow" showAll="0">
      <items count="6">
        <item x="1"/>
        <item m="1" x="4"/>
        <item x="0"/>
        <item x="2"/>
        <item x="3"/>
        <item t="default"/>
      </items>
    </pivotField>
    <pivotField showAll="0">
      <items count="5">
        <item x="0"/>
        <item x="1"/>
        <item m="1" x="3"/>
        <item x="2"/>
        <item t="default"/>
      </items>
    </pivotField>
    <pivotField showAll="0">
      <items count="3">
        <item x="0"/>
        <item m="1" x="1"/>
        <item t="default"/>
      </items>
    </pivotField>
    <pivotField dataField="1" numFmtId="43" showAll="0"/>
    <pivotField showAll="0">
      <items count="4">
        <item x="0"/>
        <item h="1" x="1"/>
        <item h="1" x="2"/>
        <item t="default"/>
      </items>
    </pivotField>
  </pivotFields>
  <rowFields count="1">
    <field x="28"/>
  </rowFields>
  <rowItems count="4">
    <i>
      <x/>
    </i>
    <i>
      <x v="2"/>
    </i>
    <i>
      <x v="3"/>
    </i>
    <i t="grand">
      <x/>
    </i>
  </rowItems>
  <colItems count="1">
    <i/>
  </colItems>
  <dataFields count="1">
    <dataField name="Soma de Emissões" fld="31" baseField="0" baseItem="0"/>
  </dataFields>
  <formats count="2">
    <format dxfId="1">
      <pivotArea collapsedLevelsAreSubtotals="1" fieldPosition="0">
        <references count="1">
          <reference field="28" count="0"/>
        </references>
      </pivotArea>
    </format>
    <format dxfId="0">
      <pivotArea grandRow="1" outline="0" collapsedLevelsAreSubtotals="1" fieldPosition="0"/>
    </format>
  </format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8" count="1" selected="0">
            <x v="1"/>
          </reference>
        </references>
      </pivotArea>
    </chartFormat>
    <chartFormat chart="5" format="9">
      <pivotArea type="data" outline="0" fieldPosition="0">
        <references count="2">
          <reference field="4294967294" count="1" selected="0">
            <x v="0"/>
          </reference>
          <reference field="28" count="1" selected="0">
            <x v="0"/>
          </reference>
        </references>
      </pivotArea>
    </chartFormat>
    <chartFormat chart="5" format="10">
      <pivotArea type="data" outline="0" fieldPosition="0">
        <references count="2">
          <reference field="4294967294" count="1" selected="0">
            <x v="0"/>
          </reference>
          <reference field="28" count="1" selected="0">
            <x v="2"/>
          </reference>
        </references>
      </pivotArea>
    </chartFormat>
    <chartFormat chart="5" format="11">
      <pivotArea type="data" outline="0" fieldPosition="0">
        <references count="2">
          <reference field="4294967294" count="1" selected="0">
            <x v="0"/>
          </reference>
          <reference field="28" count="1" selected="0">
            <x v="3"/>
          </reference>
        </references>
      </pivotArea>
    </chartFormat>
    <chartFormat chart="5" format="12">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Vínculo_Institucional" xr10:uid="{2D84DD4B-0719-4674-B3DA-F3F1B4B79078}" sourceName="Vínculo Institucional ">
  <pivotTables>
    <pivotTable tabId="11" name="Classes de voo"/>
    <pivotTable tabId="11" name="Custos"/>
    <pivotTable tabId="11" name="Duração das viagens (dias)"/>
    <pivotTable tabId="11" name="Emissões por função"/>
    <pivotTable tabId="11" name="Escalas"/>
    <pivotTable tabId="11" name="Tabela dinâmica1"/>
    <pivotTable tabId="11" name="Tabela dinâmica2"/>
    <pivotTable tabId="11" name="Viagens por motivos"/>
    <pivotTable tabId="11" name="Viagens por vínculo"/>
    <pivotTable tabId="11" name="Viagens urgentes sj"/>
  </pivotTables>
  <data>
    <tabular pivotCacheId="1277760056" showMissing="0">
      <items count="5">
        <i x="0" s="1"/>
        <i x="2" s="1"/>
        <i x="1" s="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ias_de_viagem2" xr10:uid="{8AE3D986-8652-44B8-9040-6E845A58F866}" sourceName="Dias de viagem2">
  <pivotTables>
    <pivotTable tabId="11" name="Duração das viagens (dias)"/>
    <pivotTable tabId="11" name="Classes de voo"/>
    <pivotTable tabId="11" name="Custos"/>
    <pivotTable tabId="11" name="Emissões por função"/>
    <pivotTable tabId="11" name="Escalas"/>
    <pivotTable tabId="11" name="Tabela dinâmica1"/>
    <pivotTable tabId="11" name="Tabela dinâmica2"/>
    <pivotTable tabId="11" name="Viagens por motivos"/>
    <pivotTable tabId="11" name="Viagens por vínculo"/>
    <pivotTable tabId="11" name="Viagens urgentes sj"/>
    <pivotTable tabId="11" name="Emissões e Distância"/>
  </pivotTables>
  <data>
    <tabular pivotCacheId="1277760056">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Viagem_Urgente_sem_justificativa" xr10:uid="{789E4EC5-0AC6-408A-A3AC-110F25384082}" sourceName="Viagem Urgente sem justificativa">
  <pivotTables>
    <pivotTable tabId="11" name="Viagens urgentes sj"/>
    <pivotTable tabId="11" name="Classes de voo"/>
    <pivotTable tabId="11" name="Custos"/>
    <pivotTable tabId="11" name="Duração das viagens (dias)"/>
    <pivotTable tabId="11" name="Emissões por função"/>
    <pivotTable tabId="11" name="Escalas"/>
    <pivotTable tabId="11" name="Tabela dinâmica1"/>
    <pivotTable tabId="11" name="Tabela dinâmica2"/>
    <pivotTable tabId="11" name="Viagens por motivos"/>
    <pivotTable tabId="11" name="Viagens por vínculo"/>
  </pivotTables>
  <data>
    <tabular pivotCacheId="1277760056">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sh__dmh_ou_dlh" xr10:uid="{DB01A019-D7ED-4DBC-A6D0-79C8E1556156}" sourceName="dsh, dmh ou dlh">
  <pivotTables>
    <pivotTable tabId="11" name="Classes de voo"/>
    <pivotTable tabId="11" name="Custos"/>
    <pivotTable tabId="11" name="Duração das viagens (dias)"/>
    <pivotTable tabId="11" name="Emissões por função"/>
    <pivotTable tabId="11" name="Escalas"/>
    <pivotTable tabId="11" name="Tabela dinâmica1"/>
    <pivotTable tabId="11" name="Tabela dinâmica2"/>
    <pivotTable tabId="11" name="Viagens por motivos"/>
    <pivotTable tabId="11" name="Viagens por vínculo"/>
    <pivotTable tabId="11" name="Viagens urgentes sj"/>
    <pivotTable tabId="11" name="Emissões e Distância"/>
  </pivotTables>
  <data>
    <tabular pivotCacheId="1277760056" sortOrder="descending">
      <items count="4">
        <i x="1" s="1"/>
        <i x="0" s="1"/>
        <i x="2"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ínculo Institucional " xr10:uid="{30EF6A5A-D83E-400F-853E-34FCC43209F1}" cache="SegmentaçãodeDados_Vínculo_Institucional" caption="Vínculo Institucional " columnCount="4" style="SlicerStyleOther1 2 editado" rowHeight="234950"/>
  <slicer name="Dias de viagem2" xr10:uid="{35D982F5-FBED-42DB-BAC2-03F730342A90}" cache="SegmentaçãodeDados_Dias_de_viagem2" caption="Dias de viagem" columnCount="3" style="SlicerStyleOther1 2 editado" rowHeight="234950"/>
  <slicer name="Viagem Urgente sem justificativa" xr10:uid="{AFC7FC95-7F00-4C42-8946-3FE530868001}" cache="SegmentaçãodeDados_Viagem_Urgente_sem_justificativa" caption="Viagem Urgente sem justificativa" columnCount="2" style="SlicerStyleOther1 2 editado" rowHeight="234950"/>
  <slicer name="dsh, dmh ou dlh" xr10:uid="{00076B54-F0CD-4991-AA00-5D30CD249B3E}" cache="SegmentaçãodeDados_dsh__dmh_ou_dlh" caption="Distância" columnCount="3" style="SlicerStyleOther1 2 editado"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Z1" dT="2023-12-13T18:16:38.95" personId="{BDB145EB-D25C-4BD9-BD89-FF650C7C7A05}" id="{4181D1B7-BD1B-4C09-9B5A-237922279D9A}">
    <text xml:space="preserve">Porcentagem de viagens por servidor:
Viagens aéreas realizadas por servidores em função administrativa, em relação ao total de voos </text>
  </threadedComment>
  <threadedComment ref="BA1" dT="2023-12-13T18:17:00.10" personId="{BDB145EB-D25C-4BD9-BD89-FF650C7C7A05}" id="{A89A0B59-4CAB-4703-A7E8-029238CE7EF2}">
    <text>Porcentagem de viagens por professor:
Viagens aéreas realizadas por servidores em função acadêmica, em relação ao total de voos</text>
  </threadedComment>
  <threadedComment ref="BB1" dT="2023-12-13T18:17:17.22" personId="{BDB145EB-D25C-4BD9-BD89-FF650C7C7A05}" id="{023C203D-6AD1-45D5-B726-1E546BD36B29}">
    <text>Porcentagem de viagens por estudante:
Viagens aéreas realizadas por estudantes, em relação ao total de voos</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3-12-12T13:41:35.52" personId="{BDB145EB-D25C-4BD9-BD89-FF650C7C7A05}" id="{3792A6BB-8099-4DA3-901B-2BE932D9C9C1}">
    <text>Destinos mais longes no Brasil -AC, mas também é range para Dakar, no continente africano</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3F3A-D1A4-4665-BE71-5CBA2B47A821}">
  <dimension ref="A1:AI823"/>
  <sheetViews>
    <sheetView topLeftCell="Z1" zoomScale="102" workbookViewId="0">
      <selection activeCell="AG5" sqref="AG5"/>
    </sheetView>
  </sheetViews>
  <sheetFormatPr defaultRowHeight="14.4" x14ac:dyDescent="0.3"/>
  <cols>
    <col min="1" max="1" width="12.6640625" bestFit="1" customWidth="1"/>
    <col min="2" max="2" width="33.6640625" bestFit="1" customWidth="1"/>
    <col min="3" max="3" width="17.5546875" bestFit="1" customWidth="1"/>
    <col min="4" max="4" width="14.88671875" bestFit="1" customWidth="1"/>
    <col min="5" max="5" width="38.5546875" bestFit="1" customWidth="1"/>
    <col min="6" max="6" width="44.44140625" bestFit="1" customWidth="1"/>
    <col min="7" max="7" width="17.5546875" bestFit="1" customWidth="1"/>
    <col min="8" max="8" width="15.6640625" bestFit="1" customWidth="1"/>
    <col min="9" max="9" width="21.6640625" bestFit="1" customWidth="1"/>
    <col min="10" max="10" width="21" bestFit="1" customWidth="1"/>
    <col min="11" max="11" width="17" bestFit="1" customWidth="1"/>
    <col min="12" max="12" width="14.77734375" bestFit="1" customWidth="1"/>
    <col min="13" max="13" width="14.6640625" bestFit="1" customWidth="1"/>
    <col min="14" max="14" width="10.5546875" bestFit="1" customWidth="1"/>
    <col min="15" max="16" width="15.5546875" bestFit="1" customWidth="1"/>
    <col min="17" max="17" width="10.6640625" bestFit="1" customWidth="1"/>
    <col min="18" max="18" width="14" bestFit="1" customWidth="1"/>
    <col min="19" max="19" width="12" bestFit="1" customWidth="1"/>
    <col min="20" max="20" width="15.109375" bestFit="1" customWidth="1"/>
    <col min="21" max="21" width="16.109375" bestFit="1" customWidth="1"/>
    <col min="22" max="22" width="26.5546875" bestFit="1" customWidth="1"/>
    <col min="23" max="23" width="15.5546875" bestFit="1" customWidth="1"/>
    <col min="24" max="24" width="21.6640625" bestFit="1" customWidth="1"/>
    <col min="25" max="26" width="21.6640625" customWidth="1"/>
    <col min="27" max="27" width="30.5546875" bestFit="1" customWidth="1"/>
    <col min="28" max="28" width="40.6640625" bestFit="1" customWidth="1"/>
    <col min="29" max="29" width="23.109375" bestFit="1" customWidth="1"/>
    <col min="30" max="30" width="23.109375" customWidth="1"/>
    <col min="31" max="31" width="20.33203125" bestFit="1" customWidth="1"/>
    <col min="32" max="32" width="9.33203125" bestFit="1" customWidth="1"/>
    <col min="33" max="33" width="12.33203125" bestFit="1" customWidth="1"/>
  </cols>
  <sheetData>
    <row r="1" spans="1:35" x14ac:dyDescent="0.3">
      <c r="A1" t="s">
        <v>1783</v>
      </c>
      <c r="B1" t="s">
        <v>1757</v>
      </c>
      <c r="C1" t="s">
        <v>1758</v>
      </c>
      <c r="D1" t="s">
        <v>1759</v>
      </c>
      <c r="E1" t="s">
        <v>1760</v>
      </c>
      <c r="F1" t="s">
        <v>1761</v>
      </c>
      <c r="G1" t="s">
        <v>1762</v>
      </c>
      <c r="H1" t="s">
        <v>1763</v>
      </c>
      <c r="I1" t="s">
        <v>1764</v>
      </c>
      <c r="J1" t="s">
        <v>1765</v>
      </c>
      <c r="K1" t="s">
        <v>1766</v>
      </c>
      <c r="L1" t="s">
        <v>1767</v>
      </c>
      <c r="M1" t="s">
        <v>1768</v>
      </c>
      <c r="N1" t="s">
        <v>1769</v>
      </c>
      <c r="O1" t="s">
        <v>1770</v>
      </c>
      <c r="P1" t="s">
        <v>1771</v>
      </c>
      <c r="Q1" t="s">
        <v>1772</v>
      </c>
      <c r="R1" t="s">
        <v>1773</v>
      </c>
      <c r="S1" t="s">
        <v>184</v>
      </c>
      <c r="T1" t="s">
        <v>1774</v>
      </c>
      <c r="U1" t="s">
        <v>1775</v>
      </c>
      <c r="V1" t="s">
        <v>106</v>
      </c>
      <c r="W1" t="s">
        <v>1776</v>
      </c>
      <c r="X1" t="s">
        <v>1777</v>
      </c>
      <c r="Y1" t="s">
        <v>1778</v>
      </c>
      <c r="Z1" t="s">
        <v>1779</v>
      </c>
      <c r="AA1" t="s">
        <v>1780</v>
      </c>
      <c r="AB1" t="s">
        <v>1781</v>
      </c>
      <c r="AC1" t="s">
        <v>1782</v>
      </c>
      <c r="AD1" s="112" t="s">
        <v>0</v>
      </c>
      <c r="AE1" s="111" t="s">
        <v>3</v>
      </c>
      <c r="AF1" s="111" t="s">
        <v>67</v>
      </c>
      <c r="AG1" s="112" t="s">
        <v>1791</v>
      </c>
    </row>
    <row r="2" spans="1:35" x14ac:dyDescent="0.3">
      <c r="A2">
        <f>COUNTIF($B$2:B2,B2)</f>
        <v>1</v>
      </c>
      <c r="B2">
        <v>19001658</v>
      </c>
      <c r="C2" t="s">
        <v>158</v>
      </c>
      <c r="D2" t="s">
        <v>252</v>
      </c>
      <c r="E2" t="s">
        <v>159</v>
      </c>
      <c r="F2" t="s">
        <v>198</v>
      </c>
      <c r="G2" t="s">
        <v>207</v>
      </c>
      <c r="H2" t="s">
        <v>204</v>
      </c>
      <c r="I2" s="49">
        <v>45109</v>
      </c>
      <c r="J2" s="49">
        <v>45121</v>
      </c>
      <c r="K2" t="s">
        <v>253</v>
      </c>
      <c r="L2" s="49">
        <v>45109</v>
      </c>
      <c r="M2" s="49">
        <v>45121</v>
      </c>
      <c r="N2" t="s">
        <v>160</v>
      </c>
      <c r="O2" t="s">
        <v>107</v>
      </c>
      <c r="P2">
        <f>VLOOKUP(N2,[1]ID_Cidades!$A$1:$E$5900,2,FALSE)</f>
        <v>301428</v>
      </c>
      <c r="Q2">
        <f>VLOOKUP(O2,[1]ID_Cidades!$A$1:$E$5900,2,FALSE)</f>
        <v>295765</v>
      </c>
      <c r="R2">
        <f t="shared" ref="R2:R65" si="0">P2*Q2</f>
        <v>89151852420</v>
      </c>
      <c r="S2" s="42">
        <f>VLOOKUP(R2,'[1]GCD base'!$A$1:$M$200,7,FALSE)</f>
        <v>665.73965859999998</v>
      </c>
      <c r="T2" t="s">
        <v>109</v>
      </c>
      <c r="U2" t="s">
        <v>205</v>
      </c>
      <c r="V2" t="s">
        <v>202</v>
      </c>
      <c r="W2" t="s">
        <v>210</v>
      </c>
      <c r="X2" t="s">
        <v>230</v>
      </c>
      <c r="Y2">
        <v>4058.65</v>
      </c>
      <c r="Z2">
        <v>0</v>
      </c>
      <c r="AA2">
        <v>2260.9899999999998</v>
      </c>
      <c r="AB2">
        <v>0</v>
      </c>
      <c r="AC2" s="49">
        <v>45097</v>
      </c>
      <c r="AD2" s="116" t="s">
        <v>10</v>
      </c>
      <c r="AE2" s="113" t="str" cm="1">
        <f t="array" ref="AE2">_xlfn.IFS(S2&lt;=Constantes!$G$2,"Muito Curta (evitável)",S2&lt;=Constantes!$H$2,"Curta Distância",S2&gt;Constantes!$H$2,"Longa Distância")</f>
        <v>Curta Distância</v>
      </c>
      <c r="AF2" s="114">
        <f>IFERROR(VLOOKUP(AE2,Constantes!$A$1:$E$5,MATCH(AD2,Constantes!$A$1:$E$1,0),0),"")</f>
        <v>0.18286935436241611</v>
      </c>
      <c r="AG2" s="115">
        <f>AF2*S2</f>
        <v>121.74338154163732</v>
      </c>
    </row>
    <row r="3" spans="1:35" x14ac:dyDescent="0.3">
      <c r="A3">
        <f>COUNTIF($B$2:B3,B3)</f>
        <v>2</v>
      </c>
      <c r="B3">
        <v>19001658</v>
      </c>
      <c r="C3" t="s">
        <v>158</v>
      </c>
      <c r="D3" t="s">
        <v>252</v>
      </c>
      <c r="E3" t="s">
        <v>159</v>
      </c>
      <c r="F3" t="s">
        <v>198</v>
      </c>
      <c r="G3" t="s">
        <v>207</v>
      </c>
      <c r="H3" t="s">
        <v>204</v>
      </c>
      <c r="I3" s="49">
        <v>45109</v>
      </c>
      <c r="J3" s="49">
        <v>45121</v>
      </c>
      <c r="K3" t="s">
        <v>253</v>
      </c>
      <c r="L3" s="49">
        <v>45121</v>
      </c>
      <c r="M3" s="49">
        <v>45121</v>
      </c>
      <c r="N3" t="s">
        <v>107</v>
      </c>
      <c r="O3" t="s">
        <v>160</v>
      </c>
      <c r="P3">
        <f>VLOOKUP(N3,[1]ID_Cidades!$A$1:$E$5900,2,FALSE)</f>
        <v>295765</v>
      </c>
      <c r="Q3">
        <f>VLOOKUP(O3,[1]ID_Cidades!$A$1:$E$5900,2,FALSE)</f>
        <v>301428</v>
      </c>
      <c r="R3">
        <f t="shared" si="0"/>
        <v>89151852420</v>
      </c>
      <c r="S3" s="42">
        <f>VLOOKUP(R3,'[1]GCD base'!$A$1:$M$200,7,FALSE)</f>
        <v>665.73965859999998</v>
      </c>
      <c r="T3" t="s">
        <v>109</v>
      </c>
      <c r="U3" t="s">
        <v>201</v>
      </c>
      <c r="V3" t="s">
        <v>202</v>
      </c>
      <c r="W3" t="s">
        <v>210</v>
      </c>
      <c r="X3" t="s">
        <v>230</v>
      </c>
      <c r="Y3">
        <v>0</v>
      </c>
      <c r="Z3">
        <v>0</v>
      </c>
      <c r="AA3">
        <v>2619.9899999999998</v>
      </c>
      <c r="AB3">
        <v>0</v>
      </c>
      <c r="AC3" s="49">
        <v>45097</v>
      </c>
      <c r="AD3" s="116" t="s">
        <v>10</v>
      </c>
      <c r="AE3" s="113" t="str" cm="1">
        <f t="array" ref="AE3">_xlfn.IFS(S3&lt;=Constantes!$G$2,"Muito Curta (evitável)",S3&lt;=Constantes!$H$2,"Curta Distância",S3&gt;Constantes!$H$2,"Longa Distância")</f>
        <v>Curta Distância</v>
      </c>
      <c r="AF3" s="114">
        <f>IFERROR(VLOOKUP(AE3,Constantes!$A$1:$E$5,MATCH(AD3,Constantes!$A$1:$E$1,0),0),"")</f>
        <v>0.18286935436241611</v>
      </c>
      <c r="AG3" s="115">
        <f t="shared" ref="AG3:AG66" si="1">AF3*S3</f>
        <v>121.74338154163732</v>
      </c>
    </row>
    <row r="4" spans="1:35" x14ac:dyDescent="0.3">
      <c r="A4">
        <f>COUNTIF($B$2:B4,B4)</f>
        <v>1</v>
      </c>
      <c r="B4">
        <v>19016293</v>
      </c>
      <c r="C4" t="s">
        <v>161</v>
      </c>
      <c r="D4" t="s">
        <v>264</v>
      </c>
      <c r="E4" t="s">
        <v>162</v>
      </c>
      <c r="F4" t="s">
        <v>198</v>
      </c>
      <c r="G4" t="s">
        <v>207</v>
      </c>
      <c r="H4" t="s">
        <v>204</v>
      </c>
      <c r="I4" s="49">
        <v>45109</v>
      </c>
      <c r="J4" s="49">
        <v>45122</v>
      </c>
      <c r="K4" t="s">
        <v>253</v>
      </c>
      <c r="L4" s="49">
        <v>45122</v>
      </c>
      <c r="M4" s="49">
        <v>45122</v>
      </c>
      <c r="N4" t="s">
        <v>107</v>
      </c>
      <c r="O4" t="s">
        <v>110</v>
      </c>
      <c r="P4">
        <f>VLOOKUP(N4,[1]ID_Cidades!$A$1:$E$5900,2,FALSE)</f>
        <v>295765</v>
      </c>
      <c r="Q4">
        <f>VLOOKUP(O4,[1]ID_Cidades!$A$1:$E$5900,2,FALSE)</f>
        <v>295763</v>
      </c>
      <c r="R4">
        <f t="shared" si="0"/>
        <v>87476343695</v>
      </c>
      <c r="S4" s="42">
        <f>VLOOKUP(R4,'[1]GCD base'!$A$1:$M$200,7,FALSE)</f>
        <v>1713.419991</v>
      </c>
      <c r="T4" t="s">
        <v>109</v>
      </c>
      <c r="U4" t="s">
        <v>201</v>
      </c>
      <c r="V4" t="s">
        <v>202</v>
      </c>
      <c r="W4" t="s">
        <v>210</v>
      </c>
      <c r="X4" t="s">
        <v>230</v>
      </c>
      <c r="Y4">
        <v>4399.67</v>
      </c>
      <c r="Z4">
        <v>0</v>
      </c>
      <c r="AA4">
        <v>1639.97</v>
      </c>
      <c r="AB4">
        <v>0</v>
      </c>
      <c r="AC4" s="49">
        <v>45097</v>
      </c>
      <c r="AD4" s="116" t="s">
        <v>10</v>
      </c>
      <c r="AE4" s="113" t="str" cm="1">
        <f t="array" ref="AE4">_xlfn.IFS(S4&lt;=Constantes!$G$2,"Muito Curta (evitável)",S4&lt;=Constantes!$H$2,"Curta Distância",S4&gt;Constantes!$H$2,"Longa Distância")</f>
        <v>Curta Distância</v>
      </c>
      <c r="AF4" s="114">
        <f>IFERROR(VLOOKUP(AE4,Constantes!$A$1:$E$5,MATCH(AD4,Constantes!$A$1:$E$1,0),0),"")</f>
        <v>0.18286935436241611</v>
      </c>
      <c r="AG4" s="115">
        <f t="shared" si="1"/>
        <v>313.33200750582682</v>
      </c>
    </row>
    <row r="5" spans="1:35" x14ac:dyDescent="0.3">
      <c r="A5">
        <f>COUNTIF($B$2:B5,B5)</f>
        <v>2</v>
      </c>
      <c r="B5">
        <v>19016293</v>
      </c>
      <c r="C5" t="s">
        <v>161</v>
      </c>
      <c r="D5" t="s">
        <v>264</v>
      </c>
      <c r="E5" t="s">
        <v>162</v>
      </c>
      <c r="F5" t="s">
        <v>198</v>
      </c>
      <c r="G5" t="s">
        <v>207</v>
      </c>
      <c r="H5" t="s">
        <v>204</v>
      </c>
      <c r="I5" s="49">
        <v>45109</v>
      </c>
      <c r="J5" s="49">
        <v>45122</v>
      </c>
      <c r="K5" t="s">
        <v>253</v>
      </c>
      <c r="L5" s="49">
        <v>45109</v>
      </c>
      <c r="M5" s="49">
        <v>45122</v>
      </c>
      <c r="N5" t="s">
        <v>110</v>
      </c>
      <c r="O5" t="s">
        <v>107</v>
      </c>
      <c r="P5">
        <f>VLOOKUP(N5,[1]ID_Cidades!$A$1:$E$5900,2,FALSE)</f>
        <v>295763</v>
      </c>
      <c r="Q5">
        <f>VLOOKUP(O5,[1]ID_Cidades!$A$1:$E$5900,2,FALSE)</f>
        <v>295765</v>
      </c>
      <c r="R5">
        <f t="shared" si="0"/>
        <v>87476343695</v>
      </c>
      <c r="S5" s="42">
        <f>VLOOKUP(R5,'[1]GCD base'!$A$1:$M$200,7,FALSE)</f>
        <v>1713.419991</v>
      </c>
      <c r="T5" t="s">
        <v>109</v>
      </c>
      <c r="U5" t="s">
        <v>205</v>
      </c>
      <c r="V5" t="s">
        <v>202</v>
      </c>
      <c r="W5" t="s">
        <v>210</v>
      </c>
      <c r="X5" t="s">
        <v>230</v>
      </c>
      <c r="Y5">
        <v>0</v>
      </c>
      <c r="Z5">
        <v>0</v>
      </c>
      <c r="AA5">
        <v>950.99</v>
      </c>
      <c r="AB5">
        <v>0</v>
      </c>
      <c r="AC5" s="49">
        <v>45097</v>
      </c>
      <c r="AD5" s="116" t="s">
        <v>10</v>
      </c>
      <c r="AE5" s="113" t="str" cm="1">
        <f t="array" ref="AE5">_xlfn.IFS(S5&lt;=Constantes!$G$2,"Muito Curta (evitável)",S5&lt;=Constantes!$H$2,"Curta Distância",S5&gt;Constantes!$H$2,"Longa Distância")</f>
        <v>Curta Distância</v>
      </c>
      <c r="AF5" s="114">
        <f>IFERROR(VLOOKUP(AE5,Constantes!$A$1:$E$5,MATCH(AD5,Constantes!$A$1:$E$1,0),0),"")</f>
        <v>0.18286935436241611</v>
      </c>
      <c r="AG5" s="115">
        <f t="shared" si="1"/>
        <v>313.33200750582682</v>
      </c>
    </row>
    <row r="6" spans="1:35" x14ac:dyDescent="0.3">
      <c r="A6">
        <f>COUNTIF($B$2:B6,B6)</f>
        <v>1</v>
      </c>
      <c r="B6">
        <v>19019910</v>
      </c>
      <c r="C6" t="s">
        <v>163</v>
      </c>
      <c r="D6" t="s">
        <v>265</v>
      </c>
      <c r="E6" t="s">
        <v>164</v>
      </c>
      <c r="F6" t="s">
        <v>198</v>
      </c>
      <c r="G6" t="s">
        <v>207</v>
      </c>
      <c r="H6" t="s">
        <v>204</v>
      </c>
      <c r="I6" s="49">
        <v>45109</v>
      </c>
      <c r="J6" s="49">
        <v>45122</v>
      </c>
      <c r="K6" t="s">
        <v>253</v>
      </c>
      <c r="L6" s="49">
        <v>45109</v>
      </c>
      <c r="M6" s="49">
        <v>45122</v>
      </c>
      <c r="N6" t="s">
        <v>121</v>
      </c>
      <c r="O6" t="s">
        <v>107</v>
      </c>
      <c r="P6">
        <f>VLOOKUP(N6,[1]ID_Cidades!$A$1:$E$5900,2,FALSE)</f>
        <v>314439</v>
      </c>
      <c r="Q6">
        <f>VLOOKUP(O6,[1]ID_Cidades!$A$1:$E$5900,2,FALSE)</f>
        <v>295765</v>
      </c>
      <c r="R6">
        <f t="shared" si="0"/>
        <v>93000050835</v>
      </c>
      <c r="S6" s="42">
        <f>VLOOKUP(R6,'[1]GCD base'!$A$1:$M$200,7,FALSE)</f>
        <v>546.23643000000004</v>
      </c>
      <c r="T6" t="s">
        <v>109</v>
      </c>
      <c r="U6" t="s">
        <v>205</v>
      </c>
      <c r="V6" t="s">
        <v>202</v>
      </c>
      <c r="W6" t="s">
        <v>210</v>
      </c>
      <c r="X6" t="s">
        <v>230</v>
      </c>
      <c r="Y6">
        <v>4399.67</v>
      </c>
      <c r="Z6">
        <v>0</v>
      </c>
      <c r="AA6">
        <v>1112.6099999999999</v>
      </c>
      <c r="AB6">
        <v>0</v>
      </c>
      <c r="AC6" s="49">
        <v>45098</v>
      </c>
      <c r="AD6" s="116" t="s">
        <v>10</v>
      </c>
      <c r="AE6" s="113" t="str" cm="1">
        <f t="array" ref="AE6">_xlfn.IFS(S6&lt;=Constantes!$G$2,"Muito Curta (evitável)",S6&lt;=Constantes!$H$2,"Curta Distância",S6&gt;Constantes!$H$2,"Longa Distância")</f>
        <v>Muito Curta (evitável)</v>
      </c>
      <c r="AF6" s="114">
        <f>IFERROR(VLOOKUP(AE6,Constantes!$A$1:$E$5,MATCH(AD6,Constantes!$A$1:$E$1,0),0),"")</f>
        <v>0.27257678523489931</v>
      </c>
      <c r="AG6" s="115">
        <f t="shared" si="1"/>
        <v>148.89137006758813</v>
      </c>
      <c r="AI6">
        <f>COUNTIF(AE:AE,"Muito Curta (evitável)")</f>
        <v>53</v>
      </c>
    </row>
    <row r="7" spans="1:35" x14ac:dyDescent="0.3">
      <c r="A7">
        <f>COUNTIF($B$2:B7,B7)</f>
        <v>2</v>
      </c>
      <c r="B7">
        <v>19019910</v>
      </c>
      <c r="C7" t="s">
        <v>163</v>
      </c>
      <c r="D7" t="s">
        <v>265</v>
      </c>
      <c r="E7" t="s">
        <v>164</v>
      </c>
      <c r="F7" t="s">
        <v>198</v>
      </c>
      <c r="G7" t="s">
        <v>207</v>
      </c>
      <c r="H7" t="s">
        <v>204</v>
      </c>
      <c r="I7" s="49">
        <v>45109</v>
      </c>
      <c r="J7" s="49">
        <v>45122</v>
      </c>
      <c r="K7" t="s">
        <v>253</v>
      </c>
      <c r="L7" s="49">
        <v>45122</v>
      </c>
      <c r="M7" s="49">
        <v>45122</v>
      </c>
      <c r="N7" t="s">
        <v>107</v>
      </c>
      <c r="O7" t="s">
        <v>121</v>
      </c>
      <c r="P7">
        <f>VLOOKUP(N7,[1]ID_Cidades!$A$1:$E$5900,2,FALSE)</f>
        <v>295765</v>
      </c>
      <c r="Q7">
        <f>VLOOKUP(O7,[1]ID_Cidades!$A$1:$E$5900,2,FALSE)</f>
        <v>314439</v>
      </c>
      <c r="R7">
        <f t="shared" si="0"/>
        <v>93000050835</v>
      </c>
      <c r="S7" s="42">
        <f>VLOOKUP(R7,'[1]GCD base'!$A$1:$M$200,7,FALSE)</f>
        <v>546.23643000000004</v>
      </c>
      <c r="T7" t="s">
        <v>109</v>
      </c>
      <c r="U7" t="s">
        <v>201</v>
      </c>
      <c r="V7" t="s">
        <v>202</v>
      </c>
      <c r="W7" t="s">
        <v>210</v>
      </c>
      <c r="X7" t="s">
        <v>230</v>
      </c>
      <c r="Y7">
        <v>0</v>
      </c>
      <c r="Z7">
        <v>0</v>
      </c>
      <c r="AA7">
        <v>597.09</v>
      </c>
      <c r="AB7">
        <v>0</v>
      </c>
      <c r="AC7" s="49">
        <v>45098</v>
      </c>
      <c r="AD7" s="116" t="s">
        <v>10</v>
      </c>
      <c r="AE7" s="113" t="str" cm="1">
        <f t="array" ref="AE7">_xlfn.IFS(S7&lt;=Constantes!$G$2,"Muito Curta (evitável)",S7&lt;=Constantes!$H$2,"Curta Distância",S7&gt;Constantes!$H$2,"Longa Distância")</f>
        <v>Muito Curta (evitável)</v>
      </c>
      <c r="AF7" s="114">
        <f>IFERROR(VLOOKUP(AE7,Constantes!$A$1:$E$5,MATCH(AD7,Constantes!$A$1:$E$1,0),0),"")</f>
        <v>0.27257678523489931</v>
      </c>
      <c r="AG7" s="115">
        <f t="shared" si="1"/>
        <v>148.89137006758813</v>
      </c>
    </row>
    <row r="8" spans="1:35" x14ac:dyDescent="0.3">
      <c r="A8">
        <f>COUNTIF($B$2:B8,B8)</f>
        <v>1</v>
      </c>
      <c r="B8">
        <v>19041737</v>
      </c>
      <c r="C8" t="s">
        <v>288</v>
      </c>
      <c r="D8" t="s">
        <v>224</v>
      </c>
      <c r="E8" t="s">
        <v>136</v>
      </c>
      <c r="F8" t="s">
        <v>198</v>
      </c>
      <c r="G8" t="s">
        <v>199</v>
      </c>
      <c r="H8" t="s">
        <v>200</v>
      </c>
      <c r="I8" s="49">
        <v>45110</v>
      </c>
      <c r="J8" s="49">
        <v>45113</v>
      </c>
      <c r="K8" t="s">
        <v>289</v>
      </c>
      <c r="L8" s="49">
        <v>45110</v>
      </c>
      <c r="M8" s="49">
        <v>45113</v>
      </c>
      <c r="N8" t="s">
        <v>107</v>
      </c>
      <c r="O8" t="s">
        <v>115</v>
      </c>
      <c r="P8">
        <f>VLOOKUP(N8,[1]ID_Cidades!$A$1:$E$5900,2,FALSE)</f>
        <v>295765</v>
      </c>
      <c r="Q8">
        <f>VLOOKUP(O8,[1]ID_Cidades!$A$1:$E$5900,2,FALSE)</f>
        <v>295770</v>
      </c>
      <c r="R8">
        <f t="shared" si="0"/>
        <v>87478414050</v>
      </c>
      <c r="S8" s="42">
        <f>VLOOKUP(R8,'[1]GCD base'!$A$1:$M$200,7,FALSE)</f>
        <v>741.11941309999997</v>
      </c>
      <c r="T8" t="s">
        <v>109</v>
      </c>
      <c r="U8" t="s">
        <v>205</v>
      </c>
      <c r="V8" t="s">
        <v>202</v>
      </c>
      <c r="W8" t="s">
        <v>210</v>
      </c>
      <c r="X8" t="s">
        <v>290</v>
      </c>
      <c r="Y8">
        <v>1720.73</v>
      </c>
      <c r="Z8">
        <v>0</v>
      </c>
      <c r="AA8">
        <v>2590.09</v>
      </c>
      <c r="AB8">
        <v>0</v>
      </c>
      <c r="AC8" s="49">
        <v>45104</v>
      </c>
      <c r="AD8" s="116" t="s">
        <v>10</v>
      </c>
      <c r="AE8" s="113" t="str" cm="1">
        <f t="array" ref="AE8">_xlfn.IFS(S8&lt;=Constantes!$G$2,"Muito Curta (evitável)",S8&lt;=Constantes!$H$2,"Curta Distância",S8&gt;Constantes!$H$2,"Longa Distância")</f>
        <v>Curta Distância</v>
      </c>
      <c r="AF8" s="114">
        <f>IFERROR(VLOOKUP(AE8,Constantes!$A$1:$E$5,MATCH(AD8,Constantes!$A$1:$E$1,0),0),"")</f>
        <v>0.18286935436241611</v>
      </c>
      <c r="AG8" s="115">
        <f t="shared" si="1"/>
        <v>135.52802857904976</v>
      </c>
    </row>
    <row r="9" spans="1:35" x14ac:dyDescent="0.3">
      <c r="A9">
        <f>COUNTIF($B$2:B9,B9)</f>
        <v>2</v>
      </c>
      <c r="B9">
        <v>19041737</v>
      </c>
      <c r="C9" t="s">
        <v>288</v>
      </c>
      <c r="D9" t="s">
        <v>224</v>
      </c>
      <c r="E9" t="s">
        <v>136</v>
      </c>
      <c r="F9" t="s">
        <v>198</v>
      </c>
      <c r="G9" t="s">
        <v>199</v>
      </c>
      <c r="H9" t="s">
        <v>200</v>
      </c>
      <c r="I9" s="49">
        <v>45110</v>
      </c>
      <c r="J9" s="49">
        <v>45113</v>
      </c>
      <c r="K9" t="s">
        <v>289</v>
      </c>
      <c r="L9" s="49">
        <v>45113</v>
      </c>
      <c r="M9" s="49">
        <v>45113</v>
      </c>
      <c r="N9" t="s">
        <v>115</v>
      </c>
      <c r="O9" t="s">
        <v>107</v>
      </c>
      <c r="P9">
        <f>VLOOKUP(N9,[1]ID_Cidades!$A$1:$E$5900,2,FALSE)</f>
        <v>295770</v>
      </c>
      <c r="Q9">
        <f>VLOOKUP(O9,[1]ID_Cidades!$A$1:$E$5900,2,FALSE)</f>
        <v>295765</v>
      </c>
      <c r="R9">
        <f t="shared" si="0"/>
        <v>87478414050</v>
      </c>
      <c r="S9" s="42">
        <f>VLOOKUP(R9,'[1]GCD base'!$A$1:$M$200,7,FALSE)</f>
        <v>741.11941309999997</v>
      </c>
      <c r="T9" t="s">
        <v>109</v>
      </c>
      <c r="U9" t="s">
        <v>201</v>
      </c>
      <c r="V9" t="s">
        <v>202</v>
      </c>
      <c r="W9" t="s">
        <v>210</v>
      </c>
      <c r="X9" t="s">
        <v>290</v>
      </c>
      <c r="Y9">
        <v>0</v>
      </c>
      <c r="Z9">
        <v>0</v>
      </c>
      <c r="AA9">
        <v>1104.3599999999999</v>
      </c>
      <c r="AB9">
        <v>0</v>
      </c>
      <c r="AC9" s="49">
        <v>45104</v>
      </c>
      <c r="AD9" s="116" t="s">
        <v>10</v>
      </c>
      <c r="AE9" s="113" t="str" cm="1">
        <f t="array" ref="AE9">_xlfn.IFS(S9&lt;=Constantes!$G$2,"Muito Curta (evitável)",S9&lt;=Constantes!$H$2,"Curta Distância",S9&gt;Constantes!$H$2,"Longa Distância")</f>
        <v>Curta Distância</v>
      </c>
      <c r="AF9" s="114">
        <f>IFERROR(VLOOKUP(AE9,Constantes!$A$1:$E$5,MATCH(AD9,Constantes!$A$1:$E$1,0),0),"")</f>
        <v>0.18286935436241611</v>
      </c>
      <c r="AG9" s="115">
        <f t="shared" si="1"/>
        <v>135.52802857904976</v>
      </c>
    </row>
    <row r="10" spans="1:35" x14ac:dyDescent="0.3">
      <c r="A10">
        <f>COUNTIF($B$2:B10,B10)</f>
        <v>1</v>
      </c>
      <c r="B10">
        <v>19041166</v>
      </c>
      <c r="C10" t="s">
        <v>279</v>
      </c>
      <c r="D10" t="s">
        <v>280</v>
      </c>
      <c r="E10" t="s">
        <v>281</v>
      </c>
      <c r="F10" t="s">
        <v>218</v>
      </c>
      <c r="G10" t="s">
        <v>207</v>
      </c>
      <c r="H10" t="s">
        <v>204</v>
      </c>
      <c r="I10" s="49">
        <v>45112</v>
      </c>
      <c r="J10" s="49">
        <v>45114</v>
      </c>
      <c r="K10" t="s">
        <v>282</v>
      </c>
      <c r="L10" s="49">
        <v>45114</v>
      </c>
      <c r="M10" s="49">
        <v>45114</v>
      </c>
      <c r="N10" t="s">
        <v>107</v>
      </c>
      <c r="O10" t="s">
        <v>117</v>
      </c>
      <c r="P10">
        <f>VLOOKUP(N10,[1]ID_Cidades!$A$1:$E$5900,2,FALSE)</f>
        <v>295765</v>
      </c>
      <c r="Q10">
        <f>VLOOKUP(O10,[1]ID_Cidades!$A$1:$E$5900,2,FALSE)</f>
        <v>295779</v>
      </c>
      <c r="R10">
        <f t="shared" si="0"/>
        <v>87481075935</v>
      </c>
      <c r="S10" s="42">
        <f>VLOOKUP(R10,'[1]GCD base'!$A$1:$M$200,7,FALSE)</f>
        <v>2189.9742419999998</v>
      </c>
      <c r="T10" t="s">
        <v>109</v>
      </c>
      <c r="U10" t="s">
        <v>201</v>
      </c>
      <c r="V10" t="s">
        <v>202</v>
      </c>
      <c r="W10" t="s">
        <v>210</v>
      </c>
      <c r="X10" t="s">
        <v>283</v>
      </c>
      <c r="Y10">
        <v>947.55</v>
      </c>
      <c r="Z10">
        <v>0</v>
      </c>
      <c r="AA10">
        <v>1265.73</v>
      </c>
      <c r="AB10">
        <v>0</v>
      </c>
      <c r="AC10" s="49">
        <v>45105</v>
      </c>
      <c r="AD10" s="116" t="s">
        <v>10</v>
      </c>
      <c r="AE10" s="113" t="str" cm="1">
        <f t="array" ref="AE10">_xlfn.IFS(S10&lt;=Constantes!$G$2,"Muito Curta (evitável)",S10&lt;=Constantes!$H$2,"Curta Distância",S10&gt;Constantes!$H$2,"Longa Distância")</f>
        <v>Curta Distância</v>
      </c>
      <c r="AF10" s="114">
        <f>IFERROR(VLOOKUP(AE10,Constantes!$A$1:$E$5,MATCH(AD10,Constantes!$A$1:$E$1,0),0),"")</f>
        <v>0.18286935436241611</v>
      </c>
      <c r="AG10" s="115">
        <f t="shared" si="1"/>
        <v>400.47917570486158</v>
      </c>
    </row>
    <row r="11" spans="1:35" x14ac:dyDescent="0.3">
      <c r="A11">
        <f>COUNTIF($B$2:B11,B11)</f>
        <v>2</v>
      </c>
      <c r="B11">
        <v>19041166</v>
      </c>
      <c r="C11" t="s">
        <v>279</v>
      </c>
      <c r="D11" t="s">
        <v>280</v>
      </c>
      <c r="E11" t="s">
        <v>281</v>
      </c>
      <c r="F11" t="s">
        <v>218</v>
      </c>
      <c r="G11" t="s">
        <v>207</v>
      </c>
      <c r="H11" t="s">
        <v>204</v>
      </c>
      <c r="I11" s="49">
        <v>45112</v>
      </c>
      <c r="J11" s="49">
        <v>45114</v>
      </c>
      <c r="K11" t="s">
        <v>282</v>
      </c>
      <c r="L11" s="49">
        <v>45112</v>
      </c>
      <c r="M11" s="49">
        <v>45114</v>
      </c>
      <c r="N11" t="s">
        <v>117</v>
      </c>
      <c r="O11" t="s">
        <v>107</v>
      </c>
      <c r="P11">
        <f>VLOOKUP(N11,[1]ID_Cidades!$A$1:$E$5900,2,FALSE)</f>
        <v>295779</v>
      </c>
      <c r="Q11">
        <f>VLOOKUP(O11,[1]ID_Cidades!$A$1:$E$5900,2,FALSE)</f>
        <v>295765</v>
      </c>
      <c r="R11">
        <f t="shared" si="0"/>
        <v>87481075935</v>
      </c>
      <c r="S11" s="42">
        <f>VLOOKUP(R11,'[1]GCD base'!$A$1:$M$200,7,FALSE)</f>
        <v>2189.9742419999998</v>
      </c>
      <c r="T11" t="s">
        <v>109</v>
      </c>
      <c r="U11" t="s">
        <v>205</v>
      </c>
      <c r="V11" t="s">
        <v>202</v>
      </c>
      <c r="W11" t="s">
        <v>210</v>
      </c>
      <c r="X11" t="s">
        <v>283</v>
      </c>
      <c r="Y11">
        <v>0</v>
      </c>
      <c r="Z11">
        <v>0</v>
      </c>
      <c r="AA11">
        <v>1882.09</v>
      </c>
      <c r="AB11">
        <v>0</v>
      </c>
      <c r="AC11" s="49">
        <v>45105</v>
      </c>
      <c r="AD11" s="116" t="s">
        <v>10</v>
      </c>
      <c r="AE11" s="113" t="str" cm="1">
        <f t="array" ref="AE11">_xlfn.IFS(S11&lt;=Constantes!$G$2,"Muito Curta (evitável)",S11&lt;=Constantes!$H$2,"Curta Distância",S11&gt;Constantes!$H$2,"Longa Distância")</f>
        <v>Curta Distância</v>
      </c>
      <c r="AF11" s="114">
        <f>IFERROR(VLOOKUP(AE11,Constantes!$A$1:$E$5,MATCH(AD11,Constantes!$A$1:$E$1,0),0),"")</f>
        <v>0.18286935436241611</v>
      </c>
      <c r="AG11" s="115">
        <f t="shared" si="1"/>
        <v>400.47917570486158</v>
      </c>
    </row>
    <row r="12" spans="1:35" x14ac:dyDescent="0.3">
      <c r="A12">
        <f>COUNTIF($B$2:B12,B12)</f>
        <v>1</v>
      </c>
      <c r="B12">
        <v>19062585</v>
      </c>
      <c r="C12" t="s">
        <v>311</v>
      </c>
      <c r="D12" t="s">
        <v>312</v>
      </c>
      <c r="E12" t="s">
        <v>313</v>
      </c>
      <c r="F12" t="s">
        <v>198</v>
      </c>
      <c r="G12" t="s">
        <v>233</v>
      </c>
      <c r="H12" t="s">
        <v>233</v>
      </c>
      <c r="I12" s="49">
        <v>45117</v>
      </c>
      <c r="J12" s="49">
        <v>45122</v>
      </c>
      <c r="K12" t="s">
        <v>314</v>
      </c>
      <c r="L12" s="49">
        <v>45117</v>
      </c>
      <c r="M12" s="49">
        <v>45122</v>
      </c>
      <c r="N12" t="s">
        <v>107</v>
      </c>
      <c r="O12" t="s">
        <v>315</v>
      </c>
      <c r="P12">
        <f>VLOOKUP(N12,[1]ID_Cidades!$A$1:$E$5900,2,FALSE)</f>
        <v>295765</v>
      </c>
      <c r="Q12">
        <f>VLOOKUP(O12,[1]ID_Cidades!$A$1:$E$5900,2,FALSE)</f>
        <v>300439</v>
      </c>
      <c r="R12">
        <f t="shared" si="0"/>
        <v>88859340835</v>
      </c>
      <c r="S12" s="42">
        <f>VLOOKUP(R12,'[1]GCD base'!$A$1:$M$200,7,FALSE)</f>
        <v>1631.4561289999999</v>
      </c>
      <c r="T12" t="s">
        <v>109</v>
      </c>
      <c r="U12" t="s">
        <v>205</v>
      </c>
      <c r="V12" t="s">
        <v>202</v>
      </c>
      <c r="W12" t="s">
        <v>210</v>
      </c>
      <c r="X12" t="s">
        <v>316</v>
      </c>
      <c r="Y12">
        <v>1821.06</v>
      </c>
      <c r="Z12">
        <v>0</v>
      </c>
      <c r="AA12">
        <v>5292.78</v>
      </c>
      <c r="AB12">
        <v>0</v>
      </c>
      <c r="AC12" s="49">
        <v>45113</v>
      </c>
      <c r="AD12" s="116" t="s">
        <v>10</v>
      </c>
      <c r="AE12" s="113" t="str" cm="1">
        <f t="array" ref="AE12">_xlfn.IFS(S12&lt;=Constantes!$G$2,"Muito Curta (evitável)",S12&lt;=Constantes!$H$2,"Curta Distância",S12&gt;Constantes!$H$2,"Longa Distância")</f>
        <v>Curta Distância</v>
      </c>
      <c r="AF12" s="114">
        <f>IFERROR(VLOOKUP(AE12,Constantes!$A$1:$E$5,MATCH(AD12,Constantes!$A$1:$E$1,0),0),"")</f>
        <v>0.18286935436241611</v>
      </c>
      <c r="AG12" s="115">
        <f t="shared" si="1"/>
        <v>298.34332898083665</v>
      </c>
    </row>
    <row r="13" spans="1:35" x14ac:dyDescent="0.3">
      <c r="A13">
        <f>COUNTIF($B$2:B13,B13)</f>
        <v>2</v>
      </c>
      <c r="B13">
        <v>19062585</v>
      </c>
      <c r="C13" t="s">
        <v>311</v>
      </c>
      <c r="D13" t="s">
        <v>312</v>
      </c>
      <c r="E13" t="s">
        <v>313</v>
      </c>
      <c r="F13" t="s">
        <v>198</v>
      </c>
      <c r="G13" t="s">
        <v>233</v>
      </c>
      <c r="H13" t="s">
        <v>233</v>
      </c>
      <c r="I13" s="49">
        <v>45117</v>
      </c>
      <c r="J13" s="49">
        <v>45122</v>
      </c>
      <c r="K13" t="s">
        <v>314</v>
      </c>
      <c r="L13" s="49">
        <v>45122</v>
      </c>
      <c r="M13" s="49">
        <v>45122</v>
      </c>
      <c r="N13" t="s">
        <v>315</v>
      </c>
      <c r="O13" t="s">
        <v>107</v>
      </c>
      <c r="P13">
        <f>VLOOKUP(N13,[1]ID_Cidades!$A$1:$E$5900,2,FALSE)</f>
        <v>300439</v>
      </c>
      <c r="Q13">
        <f>VLOOKUP(O13,[1]ID_Cidades!$A$1:$E$5900,2,FALSE)</f>
        <v>295765</v>
      </c>
      <c r="R13">
        <f t="shared" si="0"/>
        <v>88859340835</v>
      </c>
      <c r="S13" s="42">
        <f>VLOOKUP(R13,'[1]GCD base'!$A$1:$M$200,7,FALSE)</f>
        <v>1631.4561289999999</v>
      </c>
      <c r="T13" t="s">
        <v>109</v>
      </c>
      <c r="U13" t="s">
        <v>201</v>
      </c>
      <c r="V13" t="s">
        <v>202</v>
      </c>
      <c r="W13" t="s">
        <v>210</v>
      </c>
      <c r="X13" t="s">
        <v>316</v>
      </c>
      <c r="Y13">
        <v>0</v>
      </c>
      <c r="Z13">
        <v>0</v>
      </c>
      <c r="AA13">
        <v>0</v>
      </c>
      <c r="AB13">
        <v>0</v>
      </c>
      <c r="AC13">
        <v>0</v>
      </c>
      <c r="AD13" s="116" t="s">
        <v>10</v>
      </c>
      <c r="AE13" s="113" t="str" cm="1">
        <f t="array" ref="AE13">_xlfn.IFS(S13&lt;=Constantes!$G$2,"Muito Curta (evitável)",S13&lt;=Constantes!$H$2,"Curta Distância",S13&gt;Constantes!$H$2,"Longa Distância")</f>
        <v>Curta Distância</v>
      </c>
      <c r="AF13" s="114">
        <f>IFERROR(VLOOKUP(AE13,Constantes!$A$1:$E$5,MATCH(AD13,Constantes!$A$1:$E$1,0),0),"")</f>
        <v>0.18286935436241611</v>
      </c>
      <c r="AG13" s="115">
        <f t="shared" si="1"/>
        <v>298.34332898083665</v>
      </c>
    </row>
    <row r="14" spans="1:35" x14ac:dyDescent="0.3">
      <c r="A14">
        <f>COUNTIF($B$2:B14,B14)</f>
        <v>1</v>
      </c>
      <c r="B14">
        <v>19065213</v>
      </c>
      <c r="C14" t="s">
        <v>317</v>
      </c>
      <c r="D14" t="s">
        <v>318</v>
      </c>
      <c r="E14" t="s">
        <v>319</v>
      </c>
      <c r="F14" t="s">
        <v>198</v>
      </c>
      <c r="G14" t="s">
        <v>207</v>
      </c>
      <c r="H14" t="s">
        <v>204</v>
      </c>
      <c r="I14" s="49">
        <v>45117</v>
      </c>
      <c r="J14" s="49">
        <v>45122</v>
      </c>
      <c r="K14" t="s">
        <v>320</v>
      </c>
      <c r="L14" s="49">
        <v>45117</v>
      </c>
      <c r="M14" s="49">
        <v>45122</v>
      </c>
      <c r="N14" t="s">
        <v>107</v>
      </c>
      <c r="O14" t="s">
        <v>315</v>
      </c>
      <c r="P14">
        <f>VLOOKUP(N14,[1]ID_Cidades!$A$1:$E$5900,2,FALSE)</f>
        <v>295765</v>
      </c>
      <c r="Q14">
        <f>VLOOKUP(O14,[1]ID_Cidades!$A$1:$E$5900,2,FALSE)</f>
        <v>300439</v>
      </c>
      <c r="R14">
        <f t="shared" si="0"/>
        <v>88859340835</v>
      </c>
      <c r="S14" s="42">
        <f>VLOOKUP(R14,'[1]GCD base'!$A$1:$M$200,7,FALSE)</f>
        <v>1631.4561289999999</v>
      </c>
      <c r="T14" t="s">
        <v>109</v>
      </c>
      <c r="U14" t="s">
        <v>205</v>
      </c>
      <c r="V14" t="s">
        <v>202</v>
      </c>
      <c r="W14" t="s">
        <v>210</v>
      </c>
      <c r="X14" t="s">
        <v>321</v>
      </c>
      <c r="Y14">
        <v>1821.06</v>
      </c>
      <c r="Z14">
        <v>0</v>
      </c>
      <c r="AA14">
        <v>5292.78</v>
      </c>
      <c r="AB14">
        <v>0</v>
      </c>
      <c r="AC14" s="49">
        <v>45114</v>
      </c>
      <c r="AD14" s="116" t="s">
        <v>10</v>
      </c>
      <c r="AE14" s="113" t="str" cm="1">
        <f t="array" ref="AE14">_xlfn.IFS(S14&lt;=Constantes!$G$2,"Muito Curta (evitável)",S14&lt;=Constantes!$H$2,"Curta Distância",S14&gt;Constantes!$H$2,"Longa Distância")</f>
        <v>Curta Distância</v>
      </c>
      <c r="AF14" s="114">
        <f>IFERROR(VLOOKUP(AE14,Constantes!$A$1:$E$5,MATCH(AD14,Constantes!$A$1:$E$1,0),0),"")</f>
        <v>0.18286935436241611</v>
      </c>
      <c r="AG14" s="115">
        <f t="shared" si="1"/>
        <v>298.34332898083665</v>
      </c>
    </row>
    <row r="15" spans="1:35" x14ac:dyDescent="0.3">
      <c r="A15">
        <f>COUNTIF($B$2:B15,B15)</f>
        <v>2</v>
      </c>
      <c r="B15">
        <v>19065213</v>
      </c>
      <c r="C15" t="s">
        <v>317</v>
      </c>
      <c r="D15" t="s">
        <v>318</v>
      </c>
      <c r="E15" t="s">
        <v>319</v>
      </c>
      <c r="F15" t="s">
        <v>198</v>
      </c>
      <c r="G15" t="s">
        <v>207</v>
      </c>
      <c r="H15" t="s">
        <v>204</v>
      </c>
      <c r="I15" s="49">
        <v>45117</v>
      </c>
      <c r="J15" s="49">
        <v>45122</v>
      </c>
      <c r="K15" t="s">
        <v>320</v>
      </c>
      <c r="L15" s="49">
        <v>45122</v>
      </c>
      <c r="M15" s="49">
        <v>45122</v>
      </c>
      <c r="N15" t="s">
        <v>315</v>
      </c>
      <c r="O15" t="s">
        <v>107</v>
      </c>
      <c r="P15">
        <f>VLOOKUP(N15,[1]ID_Cidades!$A$1:$E$5900,2,FALSE)</f>
        <v>300439</v>
      </c>
      <c r="Q15">
        <f>VLOOKUP(O15,[1]ID_Cidades!$A$1:$E$5900,2,FALSE)</f>
        <v>295765</v>
      </c>
      <c r="R15">
        <f t="shared" si="0"/>
        <v>88859340835</v>
      </c>
      <c r="S15" s="42">
        <f>VLOOKUP(R15,'[1]GCD base'!$A$1:$M$200,7,FALSE)</f>
        <v>1631.4561289999999</v>
      </c>
      <c r="T15" t="s">
        <v>109</v>
      </c>
      <c r="U15" t="s">
        <v>201</v>
      </c>
      <c r="V15" t="s">
        <v>202</v>
      </c>
      <c r="W15" t="s">
        <v>210</v>
      </c>
      <c r="X15" t="s">
        <v>321</v>
      </c>
      <c r="Y15">
        <v>0</v>
      </c>
      <c r="Z15">
        <v>0</v>
      </c>
      <c r="AA15">
        <v>0</v>
      </c>
      <c r="AB15">
        <v>0</v>
      </c>
      <c r="AC15">
        <v>0</v>
      </c>
      <c r="AD15" s="116" t="s">
        <v>10</v>
      </c>
      <c r="AE15" s="113" t="str" cm="1">
        <f t="array" ref="AE15">_xlfn.IFS(S15&lt;=Constantes!$G$2,"Muito Curta (evitável)",S15&lt;=Constantes!$H$2,"Curta Distância",S15&gt;Constantes!$H$2,"Longa Distância")</f>
        <v>Curta Distância</v>
      </c>
      <c r="AF15" s="114">
        <f>IFERROR(VLOOKUP(AE15,Constantes!$A$1:$E$5,MATCH(AD15,Constantes!$A$1:$E$1,0),0),"")</f>
        <v>0.18286935436241611</v>
      </c>
      <c r="AG15" s="115">
        <f t="shared" si="1"/>
        <v>298.34332898083665</v>
      </c>
    </row>
    <row r="16" spans="1:35" x14ac:dyDescent="0.3">
      <c r="A16">
        <f>COUNTIF($B$2:B16,B16)</f>
        <v>1</v>
      </c>
      <c r="B16">
        <v>19012122</v>
      </c>
      <c r="C16" t="s">
        <v>258</v>
      </c>
      <c r="D16" t="s">
        <v>259</v>
      </c>
      <c r="E16" t="s">
        <v>260</v>
      </c>
      <c r="F16" t="s">
        <v>198</v>
      </c>
      <c r="G16" t="s">
        <v>233</v>
      </c>
      <c r="H16" t="s">
        <v>233</v>
      </c>
      <c r="I16" s="49">
        <v>45118</v>
      </c>
      <c r="J16" s="49">
        <v>45123</v>
      </c>
      <c r="K16" t="s">
        <v>261</v>
      </c>
      <c r="L16" s="49">
        <v>45122</v>
      </c>
      <c r="M16" s="49">
        <v>45123</v>
      </c>
      <c r="N16" t="s">
        <v>262</v>
      </c>
      <c r="O16" t="s">
        <v>107</v>
      </c>
      <c r="P16">
        <f>VLOOKUP(N16,[1]ID_Cidades!$A$1:$E$5900,2,FALSE)</f>
        <v>305806</v>
      </c>
      <c r="Q16">
        <f>VLOOKUP(O16,[1]ID_Cidades!$A$1:$E$5900,2,FALSE)</f>
        <v>295765</v>
      </c>
      <c r="R16">
        <f t="shared" si="0"/>
        <v>90446711590</v>
      </c>
      <c r="S16" s="42">
        <f>VLOOKUP(R16,'[1]GCD base'!$A$1:$M$200,7,FALSE)</f>
        <v>4701.6614410000002</v>
      </c>
      <c r="T16" t="s">
        <v>109</v>
      </c>
      <c r="U16" t="s">
        <v>201</v>
      </c>
      <c r="V16" t="s">
        <v>202</v>
      </c>
      <c r="W16" t="s">
        <v>210</v>
      </c>
      <c r="X16" t="s">
        <v>263</v>
      </c>
      <c r="Y16">
        <v>4252.24</v>
      </c>
      <c r="Z16">
        <v>0</v>
      </c>
      <c r="AA16">
        <v>6690.84</v>
      </c>
      <c r="AB16">
        <v>0</v>
      </c>
      <c r="AC16" s="49">
        <v>45113</v>
      </c>
      <c r="AD16" s="116" t="s">
        <v>10</v>
      </c>
      <c r="AE16" s="113" t="str" cm="1">
        <f t="array" ref="AE16">_xlfn.IFS(S16&lt;=Constantes!$G$2,"Muito Curta (evitável)",S16&lt;=Constantes!$H$2,"Curta Distância",S16&gt;Constantes!$H$2,"Longa Distância")</f>
        <v>Longa Distância</v>
      </c>
      <c r="AF16" s="114">
        <f>IFERROR(VLOOKUP(AE16,Constantes!$A$1:$E$5,MATCH(AD16,Constantes!$A$1:$E$1,0),0),"")</f>
        <v>0.20010828053691276</v>
      </c>
      <c r="AG16" s="115">
        <f t="shared" si="1"/>
        <v>940.84138662521354</v>
      </c>
    </row>
    <row r="17" spans="1:33" x14ac:dyDescent="0.3">
      <c r="A17">
        <f>COUNTIF($B$2:B17,B17)</f>
        <v>2</v>
      </c>
      <c r="B17">
        <v>19012122</v>
      </c>
      <c r="C17" t="s">
        <v>258</v>
      </c>
      <c r="D17" t="s">
        <v>259</v>
      </c>
      <c r="E17" t="s">
        <v>260</v>
      </c>
      <c r="F17" t="s">
        <v>198</v>
      </c>
      <c r="G17" t="s">
        <v>233</v>
      </c>
      <c r="H17" t="s">
        <v>233</v>
      </c>
      <c r="I17" s="49">
        <v>45118</v>
      </c>
      <c r="J17" s="49">
        <v>45123</v>
      </c>
      <c r="K17" t="s">
        <v>261</v>
      </c>
      <c r="L17" s="49">
        <v>45118</v>
      </c>
      <c r="M17" s="49">
        <v>45122</v>
      </c>
      <c r="N17" t="s">
        <v>107</v>
      </c>
      <c r="O17" t="s">
        <v>262</v>
      </c>
      <c r="P17">
        <f>VLOOKUP(N17,[1]ID_Cidades!$A$1:$E$5900,2,FALSE)</f>
        <v>295765</v>
      </c>
      <c r="Q17">
        <f>VLOOKUP(O17,[1]ID_Cidades!$A$1:$E$5900,2,FALSE)</f>
        <v>305806</v>
      </c>
      <c r="R17">
        <f t="shared" si="0"/>
        <v>90446711590</v>
      </c>
      <c r="S17" s="42">
        <f>VLOOKUP(R17,'[1]GCD base'!$A$1:$M$200,7,FALSE)</f>
        <v>4701.6614410000002</v>
      </c>
      <c r="T17" t="s">
        <v>109</v>
      </c>
      <c r="U17" t="s">
        <v>205</v>
      </c>
      <c r="V17" t="s">
        <v>202</v>
      </c>
      <c r="W17" t="s">
        <v>210</v>
      </c>
      <c r="X17" t="s">
        <v>263</v>
      </c>
      <c r="Y17">
        <v>0</v>
      </c>
      <c r="Z17">
        <v>0</v>
      </c>
      <c r="AA17">
        <v>0</v>
      </c>
      <c r="AB17">
        <v>0</v>
      </c>
      <c r="AC17">
        <v>0</v>
      </c>
      <c r="AD17" s="116" t="s">
        <v>10</v>
      </c>
      <c r="AE17" s="113" t="str" cm="1">
        <f t="array" ref="AE17">_xlfn.IFS(S17&lt;=Constantes!$G$2,"Muito Curta (evitável)",S17&lt;=Constantes!$H$2,"Curta Distância",S17&gt;Constantes!$H$2,"Longa Distância")</f>
        <v>Longa Distância</v>
      </c>
      <c r="AF17" s="114">
        <f>IFERROR(VLOOKUP(AE17,Constantes!$A$1:$E$5,MATCH(AD17,Constantes!$A$1:$E$1,0),0),"")</f>
        <v>0.20010828053691276</v>
      </c>
      <c r="AG17" s="115">
        <f t="shared" si="1"/>
        <v>940.84138662521354</v>
      </c>
    </row>
    <row r="18" spans="1:33" x14ac:dyDescent="0.3">
      <c r="A18">
        <f>COUNTIF($B$2:B18,B18)</f>
        <v>1</v>
      </c>
      <c r="B18">
        <v>18932951</v>
      </c>
      <c r="C18" t="s">
        <v>147</v>
      </c>
      <c r="D18" t="s">
        <v>238</v>
      </c>
      <c r="E18" t="s">
        <v>148</v>
      </c>
      <c r="F18" t="s">
        <v>198</v>
      </c>
      <c r="G18" t="s">
        <v>207</v>
      </c>
      <c r="H18" t="s">
        <v>204</v>
      </c>
      <c r="I18" s="49">
        <v>45120</v>
      </c>
      <c r="J18" s="49">
        <v>45128</v>
      </c>
      <c r="K18" t="s">
        <v>239</v>
      </c>
      <c r="L18" s="49">
        <v>45128</v>
      </c>
      <c r="M18" s="49">
        <v>45128</v>
      </c>
      <c r="N18" t="s">
        <v>128</v>
      </c>
      <c r="O18" t="s">
        <v>107</v>
      </c>
      <c r="P18">
        <f>VLOOKUP(N18,[1]ID_Cidades!$A$1:$E$5900,2,FALSE)</f>
        <v>295771</v>
      </c>
      <c r="Q18">
        <f>VLOOKUP(O18,[1]ID_Cidades!$A$1:$E$5900,2,FALSE)</f>
        <v>295765</v>
      </c>
      <c r="R18">
        <f t="shared" si="0"/>
        <v>87478709815</v>
      </c>
      <c r="S18" s="42">
        <f>VLOOKUP(R18,'[1]GCD base'!$A$1:$M$200,7,FALSE)</f>
        <v>1147.346953</v>
      </c>
      <c r="T18" t="s">
        <v>109</v>
      </c>
      <c r="U18" t="s">
        <v>201</v>
      </c>
      <c r="V18" t="s">
        <v>202</v>
      </c>
      <c r="W18" t="s">
        <v>203</v>
      </c>
      <c r="X18" t="s">
        <v>204</v>
      </c>
      <c r="Y18">
        <v>2784.3</v>
      </c>
      <c r="Z18">
        <v>0</v>
      </c>
      <c r="AA18">
        <v>1641.29</v>
      </c>
      <c r="AB18">
        <v>0</v>
      </c>
      <c r="AC18" s="49">
        <v>45083</v>
      </c>
      <c r="AD18" s="116" t="s">
        <v>10</v>
      </c>
      <c r="AE18" s="113" t="str" cm="1">
        <f t="array" ref="AE18">_xlfn.IFS(S18&lt;=Constantes!$G$2,"Muito Curta (evitável)",S18&lt;=Constantes!$H$2,"Curta Distância",S18&gt;Constantes!$H$2,"Longa Distância")</f>
        <v>Curta Distância</v>
      </c>
      <c r="AF18" s="114">
        <f>IFERROR(VLOOKUP(AE18,Constantes!$A$1:$E$5,MATCH(AD18,Constantes!$A$1:$E$1,0),0),"")</f>
        <v>0.18286935436241611</v>
      </c>
      <c r="AG18" s="115">
        <f t="shared" si="1"/>
        <v>209.81459652479538</v>
      </c>
    </row>
    <row r="19" spans="1:33" x14ac:dyDescent="0.3">
      <c r="A19">
        <f>COUNTIF($B$2:B19,B19)</f>
        <v>2</v>
      </c>
      <c r="B19">
        <v>18932951</v>
      </c>
      <c r="C19" t="s">
        <v>147</v>
      </c>
      <c r="D19" t="s">
        <v>238</v>
      </c>
      <c r="E19" t="s">
        <v>148</v>
      </c>
      <c r="F19" t="s">
        <v>198</v>
      </c>
      <c r="G19" t="s">
        <v>207</v>
      </c>
      <c r="H19" t="s">
        <v>204</v>
      </c>
      <c r="I19" s="49">
        <v>45120</v>
      </c>
      <c r="J19" s="49">
        <v>45128</v>
      </c>
      <c r="K19" t="s">
        <v>239</v>
      </c>
      <c r="L19" s="49">
        <v>45120</v>
      </c>
      <c r="M19" s="49">
        <v>45128</v>
      </c>
      <c r="N19" t="s">
        <v>107</v>
      </c>
      <c r="O19" t="s">
        <v>128</v>
      </c>
      <c r="P19">
        <f>VLOOKUP(N19,[1]ID_Cidades!$A$1:$E$5900,2,FALSE)</f>
        <v>295765</v>
      </c>
      <c r="Q19">
        <f>VLOOKUP(O19,[1]ID_Cidades!$A$1:$E$5900,2,FALSE)</f>
        <v>295771</v>
      </c>
      <c r="R19">
        <f t="shared" si="0"/>
        <v>87478709815</v>
      </c>
      <c r="S19" s="42">
        <f>VLOOKUP(R19,'[1]GCD base'!$A$1:$M$200,7,FALSE)</f>
        <v>1147.346953</v>
      </c>
      <c r="T19" t="s">
        <v>109</v>
      </c>
      <c r="U19" t="s">
        <v>205</v>
      </c>
      <c r="V19" t="s">
        <v>202</v>
      </c>
      <c r="W19" t="s">
        <v>203</v>
      </c>
      <c r="X19" t="s">
        <v>204</v>
      </c>
      <c r="Y19">
        <v>0</v>
      </c>
      <c r="Z19">
        <v>0</v>
      </c>
      <c r="AA19">
        <v>1643.09</v>
      </c>
      <c r="AB19">
        <v>0</v>
      </c>
      <c r="AC19" s="49">
        <v>45083</v>
      </c>
      <c r="AD19" s="116" t="s">
        <v>10</v>
      </c>
      <c r="AE19" s="113" t="str" cm="1">
        <f t="array" ref="AE19">_xlfn.IFS(S19&lt;=Constantes!$G$2,"Muito Curta (evitável)",S19&lt;=Constantes!$H$2,"Curta Distância",S19&gt;Constantes!$H$2,"Longa Distância")</f>
        <v>Curta Distância</v>
      </c>
      <c r="AF19" s="114">
        <f>IFERROR(VLOOKUP(AE19,Constantes!$A$1:$E$5,MATCH(AD19,Constantes!$A$1:$E$1,0),0),"")</f>
        <v>0.18286935436241611</v>
      </c>
      <c r="AG19" s="115">
        <f t="shared" si="1"/>
        <v>209.81459652479538</v>
      </c>
    </row>
    <row r="20" spans="1:33" x14ac:dyDescent="0.3">
      <c r="A20">
        <f>COUNTIF($B$2:B20,B20)</f>
        <v>1</v>
      </c>
      <c r="B20">
        <v>19032444</v>
      </c>
      <c r="C20" t="s">
        <v>166</v>
      </c>
      <c r="D20" t="s">
        <v>268</v>
      </c>
      <c r="E20" t="s">
        <v>167</v>
      </c>
      <c r="F20" t="s">
        <v>218</v>
      </c>
      <c r="G20" t="s">
        <v>207</v>
      </c>
      <c r="H20" t="s">
        <v>204</v>
      </c>
      <c r="I20" s="49">
        <v>45120</v>
      </c>
      <c r="J20" s="49">
        <v>45125</v>
      </c>
      <c r="K20" t="s">
        <v>269</v>
      </c>
      <c r="L20" s="49">
        <v>45124</v>
      </c>
      <c r="M20" s="49">
        <v>45125</v>
      </c>
      <c r="N20" t="s">
        <v>127</v>
      </c>
      <c r="O20" t="s">
        <v>107</v>
      </c>
      <c r="P20">
        <f>VLOOKUP(N20,[1]ID_Cidades!$A$1:$E$5900,2,FALSE)</f>
        <v>301205</v>
      </c>
      <c r="Q20">
        <f>VLOOKUP(O20,[1]ID_Cidades!$A$1:$E$5900,2,FALSE)</f>
        <v>295765</v>
      </c>
      <c r="R20">
        <f t="shared" si="0"/>
        <v>89085896825</v>
      </c>
      <c r="S20" s="42">
        <f>VLOOKUP(R20,'[1]GCD base'!$A$1:$M$200,7,FALSE)</f>
        <v>2588.8989320000001</v>
      </c>
      <c r="T20" t="s">
        <v>109</v>
      </c>
      <c r="U20" t="s">
        <v>201</v>
      </c>
      <c r="V20" t="s">
        <v>202</v>
      </c>
      <c r="W20" t="s">
        <v>210</v>
      </c>
      <c r="X20" t="s">
        <v>270</v>
      </c>
      <c r="Y20">
        <v>0</v>
      </c>
      <c r="Z20">
        <v>0</v>
      </c>
      <c r="AA20">
        <v>932.37</v>
      </c>
      <c r="AB20">
        <v>0</v>
      </c>
      <c r="AC20" s="49">
        <v>45103</v>
      </c>
      <c r="AD20" s="116" t="s">
        <v>10</v>
      </c>
      <c r="AE20" s="113" t="str" cm="1">
        <f t="array" ref="AE20">_xlfn.IFS(S20&lt;=Constantes!$G$2,"Muito Curta (evitável)",S20&lt;=Constantes!$H$2,"Curta Distância",S20&gt;Constantes!$H$2,"Longa Distância")</f>
        <v>Curta Distância</v>
      </c>
      <c r="AF20" s="114">
        <f>IFERROR(VLOOKUP(AE20,Constantes!$A$1:$E$5,MATCH(AD20,Constantes!$A$1:$E$1,0),0),"")</f>
        <v>0.18286935436241611</v>
      </c>
      <c r="AG20" s="115">
        <f t="shared" si="1"/>
        <v>473.43027620438863</v>
      </c>
    </row>
    <row r="21" spans="1:33" x14ac:dyDescent="0.3">
      <c r="A21">
        <f>COUNTIF($B$2:B21,B21)</f>
        <v>2</v>
      </c>
      <c r="B21">
        <v>19032444</v>
      </c>
      <c r="C21" t="s">
        <v>166</v>
      </c>
      <c r="D21" t="s">
        <v>268</v>
      </c>
      <c r="E21" t="s">
        <v>167</v>
      </c>
      <c r="F21" t="s">
        <v>218</v>
      </c>
      <c r="G21" t="s">
        <v>207</v>
      </c>
      <c r="H21" t="s">
        <v>204</v>
      </c>
      <c r="I21" s="49">
        <v>45120</v>
      </c>
      <c r="J21" s="49">
        <v>45125</v>
      </c>
      <c r="K21" t="s">
        <v>269</v>
      </c>
      <c r="L21" s="49">
        <v>45120</v>
      </c>
      <c r="M21" s="49">
        <v>45120</v>
      </c>
      <c r="N21" t="s">
        <v>107</v>
      </c>
      <c r="O21" t="s">
        <v>127</v>
      </c>
      <c r="P21">
        <f>VLOOKUP(N21,[1]ID_Cidades!$A$1:$E$5900,2,FALSE)</f>
        <v>295765</v>
      </c>
      <c r="Q21">
        <f>VLOOKUP(O21,[1]ID_Cidades!$A$1:$E$5900,2,FALSE)</f>
        <v>301205</v>
      </c>
      <c r="R21">
        <f t="shared" si="0"/>
        <v>89085896825</v>
      </c>
      <c r="S21" s="42">
        <f>VLOOKUP(R21,'[1]GCD base'!$A$1:$M$200,7,FALSE)</f>
        <v>2588.8989320000001</v>
      </c>
      <c r="T21" t="s">
        <v>109</v>
      </c>
      <c r="U21" t="s">
        <v>201</v>
      </c>
      <c r="V21" t="s">
        <v>202</v>
      </c>
      <c r="W21" t="s">
        <v>210</v>
      </c>
      <c r="X21" t="s">
        <v>270</v>
      </c>
      <c r="Y21">
        <v>0</v>
      </c>
      <c r="Z21">
        <v>0</v>
      </c>
      <c r="AA21">
        <v>1080.0899999999999</v>
      </c>
      <c r="AB21">
        <v>0</v>
      </c>
      <c r="AC21" s="49">
        <v>45103</v>
      </c>
      <c r="AD21" s="116" t="s">
        <v>10</v>
      </c>
      <c r="AE21" s="113" t="str" cm="1">
        <f t="array" ref="AE21">_xlfn.IFS(S21&lt;=Constantes!$G$2,"Muito Curta (evitável)",S21&lt;=Constantes!$H$2,"Curta Distância",S21&gt;Constantes!$H$2,"Longa Distância")</f>
        <v>Curta Distância</v>
      </c>
      <c r="AF21" s="114">
        <f>IFERROR(VLOOKUP(AE21,Constantes!$A$1:$E$5,MATCH(AD21,Constantes!$A$1:$E$1,0),0),"")</f>
        <v>0.18286935436241611</v>
      </c>
      <c r="AG21" s="115">
        <f t="shared" si="1"/>
        <v>473.43027620438863</v>
      </c>
    </row>
    <row r="22" spans="1:33" x14ac:dyDescent="0.3">
      <c r="A22">
        <f>COUNTIF($B$2:B22,B22)</f>
        <v>1</v>
      </c>
      <c r="B22">
        <v>19098667</v>
      </c>
      <c r="C22" t="s">
        <v>394</v>
      </c>
      <c r="D22" t="s">
        <v>395</v>
      </c>
      <c r="E22" t="s">
        <v>396</v>
      </c>
      <c r="F22" t="s">
        <v>198</v>
      </c>
      <c r="G22" t="s">
        <v>207</v>
      </c>
      <c r="H22" t="s">
        <v>204</v>
      </c>
      <c r="I22" s="49">
        <v>45129</v>
      </c>
      <c r="J22" s="49">
        <v>45134</v>
      </c>
      <c r="K22" t="s">
        <v>397</v>
      </c>
      <c r="L22" s="49">
        <v>45134</v>
      </c>
      <c r="M22" s="49">
        <v>45134</v>
      </c>
      <c r="N22" t="s">
        <v>118</v>
      </c>
      <c r="O22" t="s">
        <v>107</v>
      </c>
      <c r="P22">
        <f>VLOOKUP(N22,[1]ID_Cidades!$A$1:$E$5900,2,FALSE)</f>
        <v>295780</v>
      </c>
      <c r="Q22">
        <f>VLOOKUP(O22,[1]ID_Cidades!$A$1:$E$5900,2,FALSE)</f>
        <v>295765</v>
      </c>
      <c r="R22">
        <f t="shared" si="0"/>
        <v>87481371700</v>
      </c>
      <c r="S22" s="42">
        <f>VLOOKUP(R22,'[1]GCD base'!$A$1:$M$200,7,FALSE)</f>
        <v>2541.6476309999998</v>
      </c>
      <c r="T22" t="s">
        <v>109</v>
      </c>
      <c r="U22" t="s">
        <v>201</v>
      </c>
      <c r="V22" t="s">
        <v>202</v>
      </c>
      <c r="W22" t="s">
        <v>210</v>
      </c>
      <c r="X22" t="s">
        <v>398</v>
      </c>
      <c r="Y22">
        <v>1850.97</v>
      </c>
      <c r="Z22">
        <v>0</v>
      </c>
      <c r="AA22">
        <v>1193.5899999999999</v>
      </c>
      <c r="AB22">
        <v>0</v>
      </c>
      <c r="AC22" s="49">
        <v>45125</v>
      </c>
      <c r="AD22" s="116" t="s">
        <v>10</v>
      </c>
      <c r="AE22" s="113" t="str" cm="1">
        <f t="array" ref="AE22">_xlfn.IFS(S22&lt;=Constantes!$G$2,"Muito Curta (evitável)",S22&lt;=Constantes!$H$2,"Curta Distância",S22&gt;Constantes!$H$2,"Longa Distância")</f>
        <v>Curta Distância</v>
      </c>
      <c r="AF22" s="114">
        <f>IFERROR(VLOOKUP(AE22,Constantes!$A$1:$E$5,MATCH(AD22,Constantes!$A$1:$E$1,0),0),"")</f>
        <v>0.18286935436241611</v>
      </c>
      <c r="AG22" s="115">
        <f t="shared" si="1"/>
        <v>464.78946129773436</v>
      </c>
    </row>
    <row r="23" spans="1:33" x14ac:dyDescent="0.3">
      <c r="A23">
        <f>COUNTIF($B$2:B23,B23)</f>
        <v>2</v>
      </c>
      <c r="B23">
        <v>19098667</v>
      </c>
      <c r="C23" t="s">
        <v>394</v>
      </c>
      <c r="D23" t="s">
        <v>395</v>
      </c>
      <c r="E23" t="s">
        <v>396</v>
      </c>
      <c r="F23" t="s">
        <v>198</v>
      </c>
      <c r="G23" t="s">
        <v>207</v>
      </c>
      <c r="H23" t="s">
        <v>204</v>
      </c>
      <c r="I23" s="49">
        <v>45129</v>
      </c>
      <c r="J23" s="49">
        <v>45134</v>
      </c>
      <c r="K23" t="s">
        <v>397</v>
      </c>
      <c r="L23" s="49">
        <v>45129</v>
      </c>
      <c r="M23" s="49">
        <v>45134</v>
      </c>
      <c r="N23" t="s">
        <v>107</v>
      </c>
      <c r="O23" t="s">
        <v>118</v>
      </c>
      <c r="P23">
        <f>VLOOKUP(N23,[1]ID_Cidades!$A$1:$E$5900,2,FALSE)</f>
        <v>295765</v>
      </c>
      <c r="Q23">
        <f>VLOOKUP(O23,[1]ID_Cidades!$A$1:$E$5900,2,FALSE)</f>
        <v>295780</v>
      </c>
      <c r="R23">
        <f t="shared" si="0"/>
        <v>87481371700</v>
      </c>
      <c r="S23" s="42">
        <f>VLOOKUP(R23,'[1]GCD base'!$A$1:$M$200,7,FALSE)</f>
        <v>2541.6476309999998</v>
      </c>
      <c r="T23" t="s">
        <v>109</v>
      </c>
      <c r="U23" t="s">
        <v>205</v>
      </c>
      <c r="V23" t="s">
        <v>202</v>
      </c>
      <c r="W23" t="s">
        <v>210</v>
      </c>
      <c r="X23" t="s">
        <v>398</v>
      </c>
      <c r="Y23">
        <v>0</v>
      </c>
      <c r="Z23">
        <v>0</v>
      </c>
      <c r="AA23">
        <v>1466.89</v>
      </c>
      <c r="AB23">
        <v>0</v>
      </c>
      <c r="AC23" s="49">
        <v>45125</v>
      </c>
      <c r="AD23" s="116" t="s">
        <v>10</v>
      </c>
      <c r="AE23" s="113" t="str" cm="1">
        <f t="array" ref="AE23">_xlfn.IFS(S23&lt;=Constantes!$G$2,"Muito Curta (evitável)",S23&lt;=Constantes!$H$2,"Curta Distância",S23&gt;Constantes!$H$2,"Longa Distância")</f>
        <v>Curta Distância</v>
      </c>
      <c r="AF23" s="114">
        <f>IFERROR(VLOOKUP(AE23,Constantes!$A$1:$E$5,MATCH(AD23,Constantes!$A$1:$E$1,0),0),"")</f>
        <v>0.18286935436241611</v>
      </c>
      <c r="AG23" s="115">
        <f t="shared" si="1"/>
        <v>464.78946129773436</v>
      </c>
    </row>
    <row r="24" spans="1:33" x14ac:dyDescent="0.3">
      <c r="A24">
        <f>COUNTIF($B$2:B24,B24)</f>
        <v>1</v>
      </c>
      <c r="B24">
        <v>18973156</v>
      </c>
      <c r="C24" t="s">
        <v>150</v>
      </c>
      <c r="D24" t="s">
        <v>246</v>
      </c>
      <c r="E24" t="s">
        <v>151</v>
      </c>
      <c r="F24" t="s">
        <v>198</v>
      </c>
      <c r="G24" t="s">
        <v>207</v>
      </c>
      <c r="H24" t="s">
        <v>204</v>
      </c>
      <c r="I24" s="49">
        <v>45130</v>
      </c>
      <c r="J24" s="49">
        <v>45135</v>
      </c>
      <c r="K24" t="s">
        <v>247</v>
      </c>
      <c r="L24" s="49">
        <v>45130</v>
      </c>
      <c r="M24" s="49">
        <v>45135</v>
      </c>
      <c r="N24" t="s">
        <v>107</v>
      </c>
      <c r="O24" t="s">
        <v>152</v>
      </c>
      <c r="P24">
        <f>VLOOKUP(N24,[1]ID_Cidades!$A$1:$E$5900,2,FALSE)</f>
        <v>295765</v>
      </c>
      <c r="Q24">
        <f>VLOOKUP(O24,[1]ID_Cidades!$A$1:$E$5900,2,FALSE)</f>
        <v>303909</v>
      </c>
      <c r="R24">
        <f t="shared" si="0"/>
        <v>89885645385</v>
      </c>
      <c r="S24" s="42">
        <f>VLOOKUP(R24,'[1]GCD base'!$A$1:$M$200,7,FALSE)</f>
        <v>2199.1675310000001</v>
      </c>
      <c r="T24" t="s">
        <v>109</v>
      </c>
      <c r="U24" t="s">
        <v>205</v>
      </c>
      <c r="V24" t="s">
        <v>202</v>
      </c>
      <c r="W24" t="s">
        <v>203</v>
      </c>
      <c r="X24" t="s">
        <v>204</v>
      </c>
      <c r="Y24">
        <v>1600.4</v>
      </c>
      <c r="Z24">
        <v>0</v>
      </c>
      <c r="AA24">
        <v>1346.02</v>
      </c>
      <c r="AB24">
        <v>0</v>
      </c>
      <c r="AC24" s="49">
        <v>45083</v>
      </c>
      <c r="AD24" s="116" t="s">
        <v>10</v>
      </c>
      <c r="AE24" s="113" t="str" cm="1">
        <f t="array" ref="AE24">_xlfn.IFS(S24&lt;=Constantes!$G$2,"Muito Curta (evitável)",S24&lt;=Constantes!$H$2,"Curta Distância",S24&gt;Constantes!$H$2,"Longa Distância")</f>
        <v>Curta Distância</v>
      </c>
      <c r="AF24" s="114">
        <f>IFERROR(VLOOKUP(AE24,Constantes!$A$1:$E$5,MATCH(AD24,Constantes!$A$1:$E$1,0),0),"")</f>
        <v>0.18286935436241611</v>
      </c>
      <c r="AG24" s="115">
        <f t="shared" si="1"/>
        <v>402.16034652875874</v>
      </c>
    </row>
    <row r="25" spans="1:33" x14ac:dyDescent="0.3">
      <c r="A25">
        <f>COUNTIF($B$2:B25,B25)</f>
        <v>2</v>
      </c>
      <c r="B25">
        <v>18973156</v>
      </c>
      <c r="C25" t="s">
        <v>150</v>
      </c>
      <c r="D25" t="s">
        <v>246</v>
      </c>
      <c r="E25" t="s">
        <v>151</v>
      </c>
      <c r="F25" t="s">
        <v>198</v>
      </c>
      <c r="G25" t="s">
        <v>207</v>
      </c>
      <c r="H25" t="s">
        <v>204</v>
      </c>
      <c r="I25" s="49">
        <v>45130</v>
      </c>
      <c r="J25" s="49">
        <v>45135</v>
      </c>
      <c r="K25" t="s">
        <v>247</v>
      </c>
      <c r="L25" s="49">
        <v>45135</v>
      </c>
      <c r="M25" s="49">
        <v>45135</v>
      </c>
      <c r="N25" t="s">
        <v>152</v>
      </c>
      <c r="O25" t="s">
        <v>107</v>
      </c>
      <c r="P25">
        <f>VLOOKUP(N25,[1]ID_Cidades!$A$1:$E$5900,2,FALSE)</f>
        <v>303909</v>
      </c>
      <c r="Q25">
        <f>VLOOKUP(O25,[1]ID_Cidades!$A$1:$E$5900,2,FALSE)</f>
        <v>295765</v>
      </c>
      <c r="R25">
        <f t="shared" si="0"/>
        <v>89885645385</v>
      </c>
      <c r="S25" s="42">
        <f>VLOOKUP(R25,'[1]GCD base'!$A$1:$M$200,7,FALSE)</f>
        <v>2199.1675310000001</v>
      </c>
      <c r="T25" t="s">
        <v>109</v>
      </c>
      <c r="U25" t="s">
        <v>201</v>
      </c>
      <c r="V25" t="s">
        <v>202</v>
      </c>
      <c r="W25" t="s">
        <v>203</v>
      </c>
      <c r="X25" t="s">
        <v>204</v>
      </c>
      <c r="Y25">
        <v>0</v>
      </c>
      <c r="Z25">
        <v>0</v>
      </c>
      <c r="AA25">
        <v>1485.59</v>
      </c>
      <c r="AB25">
        <v>0</v>
      </c>
      <c r="AC25" s="49">
        <v>45083</v>
      </c>
      <c r="AD25" s="116" t="s">
        <v>10</v>
      </c>
      <c r="AE25" s="113" t="str" cm="1">
        <f t="array" ref="AE25">_xlfn.IFS(S25&lt;=Constantes!$G$2,"Muito Curta (evitável)",S25&lt;=Constantes!$H$2,"Curta Distância",S25&gt;Constantes!$H$2,"Longa Distância")</f>
        <v>Curta Distância</v>
      </c>
      <c r="AF25" s="114">
        <f>IFERROR(VLOOKUP(AE25,Constantes!$A$1:$E$5,MATCH(AD25,Constantes!$A$1:$E$1,0),0),"")</f>
        <v>0.18286935436241611</v>
      </c>
      <c r="AG25" s="115">
        <f t="shared" si="1"/>
        <v>402.16034652875874</v>
      </c>
    </row>
    <row r="26" spans="1:33" x14ac:dyDescent="0.3">
      <c r="A26">
        <f>COUNTIF($B$2:B26,B26)</f>
        <v>1</v>
      </c>
      <c r="B26">
        <v>19040494</v>
      </c>
      <c r="C26" t="s">
        <v>271</v>
      </c>
      <c r="D26" t="s">
        <v>272</v>
      </c>
      <c r="E26" t="s">
        <v>273</v>
      </c>
      <c r="F26" t="s">
        <v>198</v>
      </c>
      <c r="G26" t="s">
        <v>211</v>
      </c>
      <c r="H26" t="s">
        <v>211</v>
      </c>
      <c r="I26" s="49">
        <v>45130</v>
      </c>
      <c r="J26" s="49">
        <v>45136</v>
      </c>
      <c r="K26" t="s">
        <v>274</v>
      </c>
      <c r="L26" s="49">
        <v>45130</v>
      </c>
      <c r="M26" s="49">
        <v>45136</v>
      </c>
      <c r="N26" t="s">
        <v>107</v>
      </c>
      <c r="O26" t="s">
        <v>275</v>
      </c>
      <c r="P26">
        <f>VLOOKUP(N26,[1]ID_Cidades!$A$1:$E$5900,2,FALSE)</f>
        <v>295765</v>
      </c>
      <c r="Q26">
        <f>VLOOKUP(O26,[1]ID_Cidades!$A$1:$E$5900,2,FALSE)</f>
        <v>304738</v>
      </c>
      <c r="R26">
        <f t="shared" si="0"/>
        <v>90130834570</v>
      </c>
      <c r="S26" s="42">
        <f>VLOOKUP(R26,'[1]GCD base'!$A$1:$M$200,7,FALSE)</f>
        <v>2496.4115670000001</v>
      </c>
      <c r="T26" t="s">
        <v>109</v>
      </c>
      <c r="U26" t="s">
        <v>205</v>
      </c>
      <c r="V26" t="s">
        <v>202</v>
      </c>
      <c r="W26" t="s">
        <v>203</v>
      </c>
      <c r="X26" t="s">
        <v>204</v>
      </c>
      <c r="Y26">
        <v>1901.3</v>
      </c>
      <c r="Z26">
        <v>0</v>
      </c>
      <c r="AA26">
        <v>1788.29</v>
      </c>
      <c r="AB26">
        <v>0</v>
      </c>
      <c r="AC26" s="49">
        <v>45106</v>
      </c>
      <c r="AD26" s="116" t="s">
        <v>10</v>
      </c>
      <c r="AE26" s="113" t="str" cm="1">
        <f t="array" ref="AE26">_xlfn.IFS(S26&lt;=Constantes!$G$2,"Muito Curta (evitável)",S26&lt;=Constantes!$H$2,"Curta Distância",S26&gt;Constantes!$H$2,"Longa Distância")</f>
        <v>Curta Distância</v>
      </c>
      <c r="AF26" s="114">
        <f>IFERROR(VLOOKUP(AE26,Constantes!$A$1:$E$5,MATCH(AD26,Constantes!$A$1:$E$1,0),0),"")</f>
        <v>0.18286935436241611</v>
      </c>
      <c r="AG26" s="115">
        <f t="shared" si="1"/>
        <v>456.51717148015751</v>
      </c>
    </row>
    <row r="27" spans="1:33" x14ac:dyDescent="0.3">
      <c r="A27">
        <f>COUNTIF($B$2:B27,B27)</f>
        <v>2</v>
      </c>
      <c r="B27">
        <v>19040494</v>
      </c>
      <c r="C27" t="s">
        <v>271</v>
      </c>
      <c r="D27" t="s">
        <v>272</v>
      </c>
      <c r="E27" t="s">
        <v>273</v>
      </c>
      <c r="F27" t="s">
        <v>198</v>
      </c>
      <c r="G27" t="s">
        <v>211</v>
      </c>
      <c r="H27" t="s">
        <v>211</v>
      </c>
      <c r="I27" s="49">
        <v>45130</v>
      </c>
      <c r="J27" s="49">
        <v>45136</v>
      </c>
      <c r="K27" t="s">
        <v>274</v>
      </c>
      <c r="L27" s="49">
        <v>45136</v>
      </c>
      <c r="M27" s="49">
        <v>45136</v>
      </c>
      <c r="N27" t="s">
        <v>275</v>
      </c>
      <c r="O27" t="s">
        <v>107</v>
      </c>
      <c r="P27">
        <f>VLOOKUP(N27,[1]ID_Cidades!$A$1:$E$5900,2,FALSE)</f>
        <v>304738</v>
      </c>
      <c r="Q27">
        <f>VLOOKUP(O27,[1]ID_Cidades!$A$1:$E$5900,2,FALSE)</f>
        <v>295765</v>
      </c>
      <c r="R27">
        <f t="shared" si="0"/>
        <v>90130834570</v>
      </c>
      <c r="S27" s="42">
        <f>VLOOKUP(R27,'[1]GCD base'!$A$1:$M$200,7,FALSE)</f>
        <v>2496.4115670000001</v>
      </c>
      <c r="T27" t="s">
        <v>109</v>
      </c>
      <c r="U27" t="s">
        <v>201</v>
      </c>
      <c r="V27" t="s">
        <v>202</v>
      </c>
      <c r="W27" t="s">
        <v>203</v>
      </c>
      <c r="X27" t="s">
        <v>204</v>
      </c>
      <c r="Y27">
        <v>0</v>
      </c>
      <c r="Z27">
        <v>0</v>
      </c>
      <c r="AA27">
        <v>1232.58</v>
      </c>
      <c r="AB27">
        <v>0</v>
      </c>
      <c r="AC27" s="49">
        <v>45106</v>
      </c>
      <c r="AD27" s="116" t="s">
        <v>10</v>
      </c>
      <c r="AE27" s="113" t="str" cm="1">
        <f t="array" ref="AE27">_xlfn.IFS(S27&lt;=Constantes!$G$2,"Muito Curta (evitável)",S27&lt;=Constantes!$H$2,"Curta Distância",S27&gt;Constantes!$H$2,"Longa Distância")</f>
        <v>Curta Distância</v>
      </c>
      <c r="AF27" s="114">
        <f>IFERROR(VLOOKUP(AE27,Constantes!$A$1:$E$5,MATCH(AD27,Constantes!$A$1:$E$1,0),0),"")</f>
        <v>0.18286935436241611</v>
      </c>
      <c r="AG27" s="115">
        <f t="shared" si="1"/>
        <v>456.51717148015751</v>
      </c>
    </row>
    <row r="28" spans="1:33" x14ac:dyDescent="0.3">
      <c r="A28">
        <f>COUNTIF($B$2:B28,B28)</f>
        <v>1</v>
      </c>
      <c r="B28">
        <v>19040802</v>
      </c>
      <c r="C28" t="s">
        <v>276</v>
      </c>
      <c r="D28" t="s">
        <v>277</v>
      </c>
      <c r="E28" t="s">
        <v>278</v>
      </c>
      <c r="F28" t="s">
        <v>198</v>
      </c>
      <c r="G28" t="s">
        <v>207</v>
      </c>
      <c r="H28" t="s">
        <v>204</v>
      </c>
      <c r="I28" s="49">
        <v>45130</v>
      </c>
      <c r="J28" s="49">
        <v>45136</v>
      </c>
      <c r="K28" t="s">
        <v>274</v>
      </c>
      <c r="L28" s="49">
        <v>45130</v>
      </c>
      <c r="M28" s="49">
        <v>45136</v>
      </c>
      <c r="N28" t="s">
        <v>107</v>
      </c>
      <c r="O28" t="s">
        <v>275</v>
      </c>
      <c r="P28">
        <f>VLOOKUP(N28,[1]ID_Cidades!$A$1:$E$5900,2,FALSE)</f>
        <v>295765</v>
      </c>
      <c r="Q28">
        <f>VLOOKUP(O28,[1]ID_Cidades!$A$1:$E$5900,2,FALSE)</f>
        <v>304738</v>
      </c>
      <c r="R28">
        <f t="shared" si="0"/>
        <v>90130834570</v>
      </c>
      <c r="S28" s="42">
        <f>VLOOKUP(R28,'[1]GCD base'!$A$1:$M$200,7,FALSE)</f>
        <v>2496.4115670000001</v>
      </c>
      <c r="T28" t="s">
        <v>109</v>
      </c>
      <c r="U28" t="s">
        <v>205</v>
      </c>
      <c r="V28" t="s">
        <v>202</v>
      </c>
      <c r="W28" t="s">
        <v>203</v>
      </c>
      <c r="X28" t="s">
        <v>204</v>
      </c>
      <c r="Y28">
        <v>1901.3</v>
      </c>
      <c r="Z28">
        <v>0</v>
      </c>
      <c r="AA28">
        <v>1787.18</v>
      </c>
      <c r="AB28">
        <v>0</v>
      </c>
      <c r="AC28" s="49">
        <v>45104</v>
      </c>
      <c r="AD28" s="116" t="s">
        <v>10</v>
      </c>
      <c r="AE28" s="113" t="str" cm="1">
        <f t="array" ref="AE28">_xlfn.IFS(S28&lt;=Constantes!$G$2,"Muito Curta (evitável)",S28&lt;=Constantes!$H$2,"Curta Distância",S28&gt;Constantes!$H$2,"Longa Distância")</f>
        <v>Curta Distância</v>
      </c>
      <c r="AF28" s="114">
        <f>IFERROR(VLOOKUP(AE28,Constantes!$A$1:$E$5,MATCH(AD28,Constantes!$A$1:$E$1,0),0),"")</f>
        <v>0.18286935436241611</v>
      </c>
      <c r="AG28" s="115">
        <f t="shared" si="1"/>
        <v>456.51717148015751</v>
      </c>
    </row>
    <row r="29" spans="1:33" x14ac:dyDescent="0.3">
      <c r="A29">
        <f>COUNTIF($B$2:B29,B29)</f>
        <v>2</v>
      </c>
      <c r="B29">
        <v>19040802</v>
      </c>
      <c r="C29" t="s">
        <v>276</v>
      </c>
      <c r="D29" t="s">
        <v>277</v>
      </c>
      <c r="E29" t="s">
        <v>278</v>
      </c>
      <c r="F29" t="s">
        <v>198</v>
      </c>
      <c r="G29" t="s">
        <v>207</v>
      </c>
      <c r="H29" t="s">
        <v>204</v>
      </c>
      <c r="I29" s="49">
        <v>45130</v>
      </c>
      <c r="J29" s="49">
        <v>45136</v>
      </c>
      <c r="K29" t="s">
        <v>274</v>
      </c>
      <c r="L29" s="49">
        <v>45136</v>
      </c>
      <c r="M29" s="49">
        <v>45136</v>
      </c>
      <c r="N29" t="s">
        <v>275</v>
      </c>
      <c r="O29" t="s">
        <v>107</v>
      </c>
      <c r="P29">
        <f>VLOOKUP(N29,[1]ID_Cidades!$A$1:$E$5900,2,FALSE)</f>
        <v>304738</v>
      </c>
      <c r="Q29">
        <f>VLOOKUP(O29,[1]ID_Cidades!$A$1:$E$5900,2,FALSE)</f>
        <v>295765</v>
      </c>
      <c r="R29">
        <f t="shared" si="0"/>
        <v>90130834570</v>
      </c>
      <c r="S29" s="42">
        <f>VLOOKUP(R29,'[1]GCD base'!$A$1:$M$200,7,FALSE)</f>
        <v>2496.4115670000001</v>
      </c>
      <c r="T29" t="s">
        <v>109</v>
      </c>
      <c r="U29" t="s">
        <v>201</v>
      </c>
      <c r="V29" t="s">
        <v>202</v>
      </c>
      <c r="W29" t="s">
        <v>203</v>
      </c>
      <c r="X29" t="s">
        <v>204</v>
      </c>
      <c r="Y29">
        <v>0</v>
      </c>
      <c r="Z29">
        <v>0</v>
      </c>
      <c r="AA29">
        <v>1955.79</v>
      </c>
      <c r="AB29">
        <v>0</v>
      </c>
      <c r="AC29" s="49">
        <v>45104</v>
      </c>
      <c r="AD29" s="116" t="s">
        <v>10</v>
      </c>
      <c r="AE29" s="113" t="str" cm="1">
        <f t="array" ref="AE29">_xlfn.IFS(S29&lt;=Constantes!$G$2,"Muito Curta (evitável)",S29&lt;=Constantes!$H$2,"Curta Distância",S29&gt;Constantes!$H$2,"Longa Distância")</f>
        <v>Curta Distância</v>
      </c>
      <c r="AF29" s="114">
        <f>IFERROR(VLOOKUP(AE29,Constantes!$A$1:$E$5,MATCH(AD29,Constantes!$A$1:$E$1,0),0),"")</f>
        <v>0.18286935436241611</v>
      </c>
      <c r="AG29" s="115">
        <f t="shared" si="1"/>
        <v>456.51717148015751</v>
      </c>
    </row>
    <row r="30" spans="1:33" x14ac:dyDescent="0.3">
      <c r="A30">
        <f>COUNTIF($B$2:B30,B30)</f>
        <v>1</v>
      </c>
      <c r="B30">
        <v>19045645</v>
      </c>
      <c r="C30" t="s">
        <v>294</v>
      </c>
      <c r="D30" t="s">
        <v>295</v>
      </c>
      <c r="E30" t="s">
        <v>296</v>
      </c>
      <c r="F30" t="s">
        <v>198</v>
      </c>
      <c r="G30" t="s">
        <v>207</v>
      </c>
      <c r="H30" t="s">
        <v>204</v>
      </c>
      <c r="I30" s="49">
        <v>45130</v>
      </c>
      <c r="J30" s="49">
        <v>45136</v>
      </c>
      <c r="K30" t="s">
        <v>297</v>
      </c>
      <c r="L30" s="49">
        <v>45136</v>
      </c>
      <c r="M30" s="49">
        <v>45136</v>
      </c>
      <c r="N30" t="s">
        <v>275</v>
      </c>
      <c r="O30" t="s">
        <v>107</v>
      </c>
      <c r="P30">
        <f>VLOOKUP(N30,[1]ID_Cidades!$A$1:$E$5900,2,FALSE)</f>
        <v>304738</v>
      </c>
      <c r="Q30">
        <f>VLOOKUP(O30,[1]ID_Cidades!$A$1:$E$5900,2,FALSE)</f>
        <v>295765</v>
      </c>
      <c r="R30">
        <f t="shared" si="0"/>
        <v>90130834570</v>
      </c>
      <c r="S30" s="42">
        <f>VLOOKUP(R30,'[1]GCD base'!$A$1:$M$200,7,FALSE)</f>
        <v>2496.4115670000001</v>
      </c>
      <c r="T30" t="s">
        <v>109</v>
      </c>
      <c r="U30" t="s">
        <v>201</v>
      </c>
      <c r="V30" t="s">
        <v>202</v>
      </c>
      <c r="W30" t="s">
        <v>203</v>
      </c>
      <c r="X30" t="s">
        <v>204</v>
      </c>
      <c r="Y30">
        <v>1901.3</v>
      </c>
      <c r="Z30">
        <v>0</v>
      </c>
      <c r="AA30">
        <v>1232.58</v>
      </c>
      <c r="AB30">
        <v>0</v>
      </c>
      <c r="AC30" s="49">
        <v>45106</v>
      </c>
      <c r="AD30" s="116" t="s">
        <v>10</v>
      </c>
      <c r="AE30" s="113" t="str" cm="1">
        <f t="array" ref="AE30">_xlfn.IFS(S30&lt;=Constantes!$G$2,"Muito Curta (evitável)",S30&lt;=Constantes!$H$2,"Curta Distância",S30&gt;Constantes!$H$2,"Longa Distância")</f>
        <v>Curta Distância</v>
      </c>
      <c r="AF30" s="114">
        <f>IFERROR(VLOOKUP(AE30,Constantes!$A$1:$E$5,MATCH(AD30,Constantes!$A$1:$E$1,0),0),"")</f>
        <v>0.18286935436241611</v>
      </c>
      <c r="AG30" s="115">
        <f t="shared" si="1"/>
        <v>456.51717148015751</v>
      </c>
    </row>
    <row r="31" spans="1:33" x14ac:dyDescent="0.3">
      <c r="A31">
        <f>COUNTIF($B$2:B31,B31)</f>
        <v>2</v>
      </c>
      <c r="B31">
        <v>19045645</v>
      </c>
      <c r="C31" t="s">
        <v>294</v>
      </c>
      <c r="D31" t="s">
        <v>295</v>
      </c>
      <c r="E31" t="s">
        <v>296</v>
      </c>
      <c r="F31" t="s">
        <v>198</v>
      </c>
      <c r="G31" t="s">
        <v>207</v>
      </c>
      <c r="H31" t="s">
        <v>204</v>
      </c>
      <c r="I31" s="49">
        <v>45130</v>
      </c>
      <c r="J31" s="49">
        <v>45136</v>
      </c>
      <c r="K31" t="s">
        <v>297</v>
      </c>
      <c r="L31" s="49">
        <v>45130</v>
      </c>
      <c r="M31" s="49">
        <v>45136</v>
      </c>
      <c r="N31" t="s">
        <v>107</v>
      </c>
      <c r="O31" t="s">
        <v>275</v>
      </c>
      <c r="P31">
        <f>VLOOKUP(N31,[1]ID_Cidades!$A$1:$E$5900,2,FALSE)</f>
        <v>295765</v>
      </c>
      <c r="Q31">
        <f>VLOOKUP(O31,[1]ID_Cidades!$A$1:$E$5900,2,FALSE)</f>
        <v>304738</v>
      </c>
      <c r="R31">
        <f t="shared" si="0"/>
        <v>90130834570</v>
      </c>
      <c r="S31" s="42">
        <f>VLOOKUP(R31,'[1]GCD base'!$A$1:$M$200,7,FALSE)</f>
        <v>2496.4115670000001</v>
      </c>
      <c r="T31" t="s">
        <v>109</v>
      </c>
      <c r="U31" t="s">
        <v>205</v>
      </c>
      <c r="V31" t="s">
        <v>202</v>
      </c>
      <c r="W31" t="s">
        <v>203</v>
      </c>
      <c r="X31" t="s">
        <v>204</v>
      </c>
      <c r="Y31">
        <v>0</v>
      </c>
      <c r="Z31">
        <v>0</v>
      </c>
      <c r="AA31">
        <v>1788.29</v>
      </c>
      <c r="AB31">
        <v>0</v>
      </c>
      <c r="AC31" s="49">
        <v>45106</v>
      </c>
      <c r="AD31" s="116" t="s">
        <v>10</v>
      </c>
      <c r="AE31" s="113" t="str" cm="1">
        <f t="array" ref="AE31">_xlfn.IFS(S31&lt;=Constantes!$G$2,"Muito Curta (evitável)",S31&lt;=Constantes!$H$2,"Curta Distância",S31&gt;Constantes!$H$2,"Longa Distância")</f>
        <v>Curta Distância</v>
      </c>
      <c r="AF31" s="114">
        <f>IFERROR(VLOOKUP(AE31,Constantes!$A$1:$E$5,MATCH(AD31,Constantes!$A$1:$E$1,0),0),"")</f>
        <v>0.18286935436241611</v>
      </c>
      <c r="AG31" s="115">
        <f t="shared" si="1"/>
        <v>456.51717148015751</v>
      </c>
    </row>
    <row r="32" spans="1:33" x14ac:dyDescent="0.3">
      <c r="A32">
        <f>COUNTIF($B$2:B32,B32)</f>
        <v>1</v>
      </c>
      <c r="B32">
        <v>19104129</v>
      </c>
      <c r="C32" t="s">
        <v>421</v>
      </c>
      <c r="D32" t="s">
        <v>422</v>
      </c>
      <c r="E32" t="s">
        <v>423</v>
      </c>
      <c r="F32" t="s">
        <v>214</v>
      </c>
      <c r="G32" t="s">
        <v>207</v>
      </c>
      <c r="H32" t="s">
        <v>204</v>
      </c>
      <c r="I32" s="49">
        <v>45130</v>
      </c>
      <c r="J32" s="49">
        <v>45135</v>
      </c>
      <c r="K32" t="s">
        <v>424</v>
      </c>
      <c r="L32" s="49">
        <v>45130</v>
      </c>
      <c r="M32" s="49">
        <v>45135</v>
      </c>
      <c r="N32" t="s">
        <v>107</v>
      </c>
      <c r="O32" t="s">
        <v>110</v>
      </c>
      <c r="P32">
        <f>VLOOKUP(N32,[1]ID_Cidades!$A$1:$E$5900,2,FALSE)</f>
        <v>295765</v>
      </c>
      <c r="Q32">
        <f>VLOOKUP(O32,[1]ID_Cidades!$A$1:$E$5900,2,FALSE)</f>
        <v>295763</v>
      </c>
      <c r="R32">
        <f t="shared" si="0"/>
        <v>87476343695</v>
      </c>
      <c r="S32" s="42">
        <f>VLOOKUP(R32,'[1]GCD base'!$A$1:$M$200,7,FALSE)</f>
        <v>1713.419991</v>
      </c>
      <c r="T32" t="s">
        <v>109</v>
      </c>
      <c r="U32" t="s">
        <v>205</v>
      </c>
      <c r="V32" t="s">
        <v>202</v>
      </c>
      <c r="W32" t="s">
        <v>210</v>
      </c>
      <c r="X32" t="s">
        <v>425</v>
      </c>
      <c r="Y32">
        <v>2041.72</v>
      </c>
      <c r="Z32">
        <v>0</v>
      </c>
      <c r="AA32">
        <v>2113.17</v>
      </c>
      <c r="AB32">
        <v>0</v>
      </c>
      <c r="AC32" s="49">
        <v>45126</v>
      </c>
      <c r="AD32" s="116" t="s">
        <v>10</v>
      </c>
      <c r="AE32" s="113" t="str" cm="1">
        <f t="array" ref="AE32">_xlfn.IFS(S32&lt;=Constantes!$G$2,"Muito Curta (evitável)",S32&lt;=Constantes!$H$2,"Curta Distância",S32&gt;Constantes!$H$2,"Longa Distância")</f>
        <v>Curta Distância</v>
      </c>
      <c r="AF32" s="114">
        <f>IFERROR(VLOOKUP(AE32,Constantes!$A$1:$E$5,MATCH(AD32,Constantes!$A$1:$E$1,0),0),"")</f>
        <v>0.18286935436241611</v>
      </c>
      <c r="AG32" s="115">
        <f t="shared" si="1"/>
        <v>313.33200750582682</v>
      </c>
    </row>
    <row r="33" spans="1:33" x14ac:dyDescent="0.3">
      <c r="A33">
        <f>COUNTIF($B$2:B33,B33)</f>
        <v>2</v>
      </c>
      <c r="B33">
        <v>19104129</v>
      </c>
      <c r="C33" t="s">
        <v>421</v>
      </c>
      <c r="D33" t="s">
        <v>422</v>
      </c>
      <c r="E33" t="s">
        <v>423</v>
      </c>
      <c r="F33" t="s">
        <v>214</v>
      </c>
      <c r="G33" t="s">
        <v>207</v>
      </c>
      <c r="H33" t="s">
        <v>204</v>
      </c>
      <c r="I33" s="49">
        <v>45130</v>
      </c>
      <c r="J33" s="49">
        <v>45135</v>
      </c>
      <c r="K33" t="s">
        <v>424</v>
      </c>
      <c r="L33" s="49">
        <v>45135</v>
      </c>
      <c r="M33" s="49">
        <v>45135</v>
      </c>
      <c r="N33" t="s">
        <v>110</v>
      </c>
      <c r="O33" t="s">
        <v>107</v>
      </c>
      <c r="P33">
        <f>VLOOKUP(N33,[1]ID_Cidades!$A$1:$E$5900,2,FALSE)</f>
        <v>295763</v>
      </c>
      <c r="Q33">
        <f>VLOOKUP(O33,[1]ID_Cidades!$A$1:$E$5900,2,FALSE)</f>
        <v>295765</v>
      </c>
      <c r="R33">
        <f t="shared" si="0"/>
        <v>87476343695</v>
      </c>
      <c r="S33" s="42">
        <f>VLOOKUP(R33,'[1]GCD base'!$A$1:$M$200,7,FALSE)</f>
        <v>1713.419991</v>
      </c>
      <c r="T33" t="s">
        <v>109</v>
      </c>
      <c r="U33" t="s">
        <v>201</v>
      </c>
      <c r="V33" t="s">
        <v>202</v>
      </c>
      <c r="W33" t="s">
        <v>210</v>
      </c>
      <c r="X33" t="s">
        <v>425</v>
      </c>
      <c r="Y33">
        <v>0</v>
      </c>
      <c r="Z33">
        <v>0</v>
      </c>
      <c r="AA33">
        <v>2569.89</v>
      </c>
      <c r="AB33">
        <v>0</v>
      </c>
      <c r="AC33" s="49">
        <v>45126</v>
      </c>
      <c r="AD33" s="116" t="s">
        <v>10</v>
      </c>
      <c r="AE33" s="113" t="str" cm="1">
        <f t="array" ref="AE33">_xlfn.IFS(S33&lt;=Constantes!$G$2,"Muito Curta (evitável)",S33&lt;=Constantes!$H$2,"Curta Distância",S33&gt;Constantes!$H$2,"Longa Distância")</f>
        <v>Curta Distância</v>
      </c>
      <c r="AF33" s="114">
        <f>IFERROR(VLOOKUP(AE33,Constantes!$A$1:$E$5,MATCH(AD33,Constantes!$A$1:$E$1,0),0),"")</f>
        <v>0.18286935436241611</v>
      </c>
      <c r="AG33" s="115">
        <f t="shared" si="1"/>
        <v>313.33200750582682</v>
      </c>
    </row>
    <row r="34" spans="1:33" x14ac:dyDescent="0.3">
      <c r="A34">
        <f>COUNTIF($B$2:B34,B34)</f>
        <v>1</v>
      </c>
      <c r="B34">
        <v>19024524</v>
      </c>
      <c r="C34" t="s">
        <v>165</v>
      </c>
      <c r="D34" t="s">
        <v>208</v>
      </c>
      <c r="E34" t="s">
        <v>132</v>
      </c>
      <c r="F34" t="s">
        <v>198</v>
      </c>
      <c r="G34" t="s">
        <v>209</v>
      </c>
      <c r="H34" t="s">
        <v>200</v>
      </c>
      <c r="I34" s="49">
        <v>45131</v>
      </c>
      <c r="J34" s="49">
        <v>45136</v>
      </c>
      <c r="K34" t="s">
        <v>266</v>
      </c>
      <c r="L34" s="49">
        <v>45135</v>
      </c>
      <c r="M34" s="49">
        <v>45136</v>
      </c>
      <c r="N34" t="s">
        <v>118</v>
      </c>
      <c r="O34" t="s">
        <v>107</v>
      </c>
      <c r="P34">
        <f>VLOOKUP(N34,[1]ID_Cidades!$A$1:$E$5900,2,FALSE)</f>
        <v>295780</v>
      </c>
      <c r="Q34">
        <f>VLOOKUP(O34,[1]ID_Cidades!$A$1:$E$5900,2,FALSE)</f>
        <v>295765</v>
      </c>
      <c r="R34">
        <f t="shared" si="0"/>
        <v>87481371700</v>
      </c>
      <c r="S34" s="42">
        <f>VLOOKUP(R34,'[1]GCD base'!$A$1:$M$200,7,FALSE)</f>
        <v>2541.6476309999998</v>
      </c>
      <c r="T34" t="s">
        <v>109</v>
      </c>
      <c r="U34" t="s">
        <v>201</v>
      </c>
      <c r="V34" t="s">
        <v>202</v>
      </c>
      <c r="W34" t="s">
        <v>210</v>
      </c>
      <c r="X34" t="s">
        <v>267</v>
      </c>
      <c r="Y34">
        <v>2078.6799999999998</v>
      </c>
      <c r="Z34">
        <v>0</v>
      </c>
      <c r="AA34">
        <v>623.57000000000005</v>
      </c>
      <c r="AB34">
        <v>0</v>
      </c>
      <c r="AC34" s="49">
        <v>45104</v>
      </c>
      <c r="AD34" s="116" t="s">
        <v>10</v>
      </c>
      <c r="AE34" s="113" t="str" cm="1">
        <f t="array" ref="AE34">_xlfn.IFS(S34&lt;=Constantes!$G$2,"Muito Curta (evitável)",S34&lt;=Constantes!$H$2,"Curta Distância",S34&gt;Constantes!$H$2,"Longa Distância")</f>
        <v>Curta Distância</v>
      </c>
      <c r="AF34" s="114">
        <f>IFERROR(VLOOKUP(AE34,Constantes!$A$1:$E$5,MATCH(AD34,Constantes!$A$1:$E$1,0),0),"")</f>
        <v>0.18286935436241611</v>
      </c>
      <c r="AG34" s="115">
        <f t="shared" si="1"/>
        <v>464.78946129773436</v>
      </c>
    </row>
    <row r="35" spans="1:33" x14ac:dyDescent="0.3">
      <c r="A35">
        <f>COUNTIF($B$2:B35,B35)</f>
        <v>2</v>
      </c>
      <c r="B35">
        <v>19024524</v>
      </c>
      <c r="C35" t="s">
        <v>165</v>
      </c>
      <c r="D35" t="s">
        <v>208</v>
      </c>
      <c r="E35" t="s">
        <v>132</v>
      </c>
      <c r="F35" t="s">
        <v>198</v>
      </c>
      <c r="G35" t="s">
        <v>209</v>
      </c>
      <c r="H35" t="s">
        <v>200</v>
      </c>
      <c r="I35" s="49">
        <v>45131</v>
      </c>
      <c r="J35" s="49">
        <v>45136</v>
      </c>
      <c r="K35" t="s">
        <v>266</v>
      </c>
      <c r="L35" s="49">
        <v>45131</v>
      </c>
      <c r="M35" s="49">
        <v>45135</v>
      </c>
      <c r="N35" t="s">
        <v>107</v>
      </c>
      <c r="O35" t="s">
        <v>118</v>
      </c>
      <c r="P35">
        <f>VLOOKUP(N35,[1]ID_Cidades!$A$1:$E$5900,2,FALSE)</f>
        <v>295765</v>
      </c>
      <c r="Q35">
        <f>VLOOKUP(O35,[1]ID_Cidades!$A$1:$E$5900,2,FALSE)</f>
        <v>295780</v>
      </c>
      <c r="R35">
        <f t="shared" si="0"/>
        <v>87481371700</v>
      </c>
      <c r="S35" s="42">
        <f>VLOOKUP(R35,'[1]GCD base'!$A$1:$M$200,7,FALSE)</f>
        <v>2541.6476309999998</v>
      </c>
      <c r="T35" t="s">
        <v>109</v>
      </c>
      <c r="U35" t="s">
        <v>205</v>
      </c>
      <c r="V35" t="s">
        <v>202</v>
      </c>
      <c r="W35" t="s">
        <v>210</v>
      </c>
      <c r="X35" t="s">
        <v>267</v>
      </c>
      <c r="Y35">
        <v>0</v>
      </c>
      <c r="Z35">
        <v>0</v>
      </c>
      <c r="AA35">
        <v>937.99</v>
      </c>
      <c r="AB35">
        <v>0</v>
      </c>
      <c r="AC35" s="49">
        <v>45098</v>
      </c>
      <c r="AD35" s="116" t="s">
        <v>10</v>
      </c>
      <c r="AE35" s="113" t="str" cm="1">
        <f t="array" ref="AE35">_xlfn.IFS(S35&lt;=Constantes!$G$2,"Muito Curta (evitável)",S35&lt;=Constantes!$H$2,"Curta Distância",S35&gt;Constantes!$H$2,"Longa Distância")</f>
        <v>Curta Distância</v>
      </c>
      <c r="AF35" s="114">
        <f>IFERROR(VLOOKUP(AE35,Constantes!$A$1:$E$5,MATCH(AD35,Constantes!$A$1:$E$1,0),0),"")</f>
        <v>0.18286935436241611</v>
      </c>
      <c r="AG35" s="115">
        <f t="shared" si="1"/>
        <v>464.78946129773436</v>
      </c>
    </row>
    <row r="36" spans="1:33" x14ac:dyDescent="0.3">
      <c r="A36">
        <f>COUNTIF($B$2:B36,B36)</f>
        <v>1</v>
      </c>
      <c r="B36">
        <v>19100577</v>
      </c>
      <c r="C36" t="s">
        <v>403</v>
      </c>
      <c r="D36" t="s">
        <v>404</v>
      </c>
      <c r="E36" t="s">
        <v>405</v>
      </c>
      <c r="F36" t="s">
        <v>406</v>
      </c>
      <c r="G36" t="s">
        <v>207</v>
      </c>
      <c r="H36" t="s">
        <v>204</v>
      </c>
      <c r="I36" s="49">
        <v>45131</v>
      </c>
      <c r="J36" s="49">
        <v>45136</v>
      </c>
      <c r="K36" t="s">
        <v>407</v>
      </c>
      <c r="L36" s="49">
        <v>45135</v>
      </c>
      <c r="M36" s="49">
        <v>45136</v>
      </c>
      <c r="N36" t="s">
        <v>110</v>
      </c>
      <c r="O36" t="s">
        <v>107</v>
      </c>
      <c r="P36">
        <f>VLOOKUP(N36,[1]ID_Cidades!$A$1:$E$5900,2,FALSE)</f>
        <v>295763</v>
      </c>
      <c r="Q36">
        <f>VLOOKUP(O36,[1]ID_Cidades!$A$1:$E$5900,2,FALSE)</f>
        <v>295765</v>
      </c>
      <c r="R36">
        <f t="shared" si="0"/>
        <v>87476343695</v>
      </c>
      <c r="S36" s="42">
        <f>VLOOKUP(R36,'[1]GCD base'!$A$1:$M$200,7,FALSE)</f>
        <v>1713.419991</v>
      </c>
      <c r="T36" t="s">
        <v>109</v>
      </c>
      <c r="U36" t="s">
        <v>201</v>
      </c>
      <c r="V36" t="s">
        <v>202</v>
      </c>
      <c r="W36" t="s">
        <v>210</v>
      </c>
      <c r="X36" t="s">
        <v>408</v>
      </c>
      <c r="Y36">
        <v>1814.09</v>
      </c>
      <c r="Z36">
        <v>0</v>
      </c>
      <c r="AA36">
        <v>2462.59</v>
      </c>
      <c r="AB36">
        <v>0</v>
      </c>
      <c r="AC36" s="49">
        <v>45127</v>
      </c>
      <c r="AD36" s="116" t="s">
        <v>10</v>
      </c>
      <c r="AE36" s="113" t="str" cm="1">
        <f t="array" ref="AE36">_xlfn.IFS(S36&lt;=Constantes!$G$2,"Muito Curta (evitável)",S36&lt;=Constantes!$H$2,"Curta Distância",S36&gt;Constantes!$H$2,"Longa Distância")</f>
        <v>Curta Distância</v>
      </c>
      <c r="AF36" s="114">
        <f>IFERROR(VLOOKUP(AE36,Constantes!$A$1:$E$5,MATCH(AD36,Constantes!$A$1:$E$1,0),0),"")</f>
        <v>0.18286935436241611</v>
      </c>
      <c r="AG36" s="115">
        <f t="shared" si="1"/>
        <v>313.33200750582682</v>
      </c>
    </row>
    <row r="37" spans="1:33" x14ac:dyDescent="0.3">
      <c r="A37">
        <f>COUNTIF($B$2:B37,B37)</f>
        <v>2</v>
      </c>
      <c r="B37">
        <v>19100577</v>
      </c>
      <c r="C37" t="s">
        <v>403</v>
      </c>
      <c r="D37" t="s">
        <v>404</v>
      </c>
      <c r="E37" t="s">
        <v>405</v>
      </c>
      <c r="F37" t="s">
        <v>406</v>
      </c>
      <c r="G37" t="s">
        <v>207</v>
      </c>
      <c r="H37" t="s">
        <v>204</v>
      </c>
      <c r="I37" s="49">
        <v>45131</v>
      </c>
      <c r="J37" s="49">
        <v>45136</v>
      </c>
      <c r="K37" t="s">
        <v>407</v>
      </c>
      <c r="L37" s="49">
        <v>45131</v>
      </c>
      <c r="M37" s="49">
        <v>45135</v>
      </c>
      <c r="N37" t="s">
        <v>107</v>
      </c>
      <c r="O37" t="s">
        <v>110</v>
      </c>
      <c r="P37">
        <f>VLOOKUP(N37,[1]ID_Cidades!$A$1:$E$5900,2,FALSE)</f>
        <v>295765</v>
      </c>
      <c r="Q37">
        <f>VLOOKUP(O37,[1]ID_Cidades!$A$1:$E$5900,2,FALSE)</f>
        <v>295763</v>
      </c>
      <c r="R37">
        <f t="shared" si="0"/>
        <v>87476343695</v>
      </c>
      <c r="S37" s="42">
        <f>VLOOKUP(R37,'[1]GCD base'!$A$1:$M$200,7,FALSE)</f>
        <v>1713.419991</v>
      </c>
      <c r="T37" t="s">
        <v>109</v>
      </c>
      <c r="U37" t="s">
        <v>205</v>
      </c>
      <c r="V37" t="s">
        <v>202</v>
      </c>
      <c r="W37" t="s">
        <v>210</v>
      </c>
      <c r="X37" t="s">
        <v>408</v>
      </c>
      <c r="Y37">
        <v>0</v>
      </c>
      <c r="Z37">
        <v>0</v>
      </c>
      <c r="AA37">
        <v>837.67</v>
      </c>
      <c r="AB37">
        <v>0</v>
      </c>
      <c r="AC37" s="49">
        <v>45127</v>
      </c>
      <c r="AD37" s="116" t="s">
        <v>10</v>
      </c>
      <c r="AE37" s="113" t="str" cm="1">
        <f t="array" ref="AE37">_xlfn.IFS(S37&lt;=Constantes!$G$2,"Muito Curta (evitável)",S37&lt;=Constantes!$H$2,"Curta Distância",S37&gt;Constantes!$H$2,"Longa Distância")</f>
        <v>Curta Distância</v>
      </c>
      <c r="AF37" s="114">
        <f>IFERROR(VLOOKUP(AE37,Constantes!$A$1:$E$5,MATCH(AD37,Constantes!$A$1:$E$1,0),0),"")</f>
        <v>0.18286935436241611</v>
      </c>
      <c r="AG37" s="115">
        <f t="shared" si="1"/>
        <v>313.33200750582682</v>
      </c>
    </row>
    <row r="38" spans="1:33" x14ac:dyDescent="0.3">
      <c r="A38">
        <f>COUNTIF($B$2:B38,B38)</f>
        <v>1</v>
      </c>
      <c r="B38">
        <v>19104392</v>
      </c>
      <c r="C38" t="s">
        <v>426</v>
      </c>
      <c r="D38" t="s">
        <v>427</v>
      </c>
      <c r="E38" t="s">
        <v>428</v>
      </c>
      <c r="F38" t="s">
        <v>214</v>
      </c>
      <c r="G38" t="s">
        <v>207</v>
      </c>
      <c r="H38" t="s">
        <v>204</v>
      </c>
      <c r="I38" s="49">
        <v>45131</v>
      </c>
      <c r="J38" s="49">
        <v>45136</v>
      </c>
      <c r="K38" t="s">
        <v>407</v>
      </c>
      <c r="L38" s="49">
        <v>45135</v>
      </c>
      <c r="M38" s="49">
        <v>45136</v>
      </c>
      <c r="N38" t="s">
        <v>110</v>
      </c>
      <c r="O38" t="s">
        <v>107</v>
      </c>
      <c r="P38">
        <f>VLOOKUP(N38,[1]ID_Cidades!$A$1:$E$5900,2,FALSE)</f>
        <v>295763</v>
      </c>
      <c r="Q38">
        <f>VLOOKUP(O38,[1]ID_Cidades!$A$1:$E$5900,2,FALSE)</f>
        <v>295765</v>
      </c>
      <c r="R38">
        <f t="shared" si="0"/>
        <v>87476343695</v>
      </c>
      <c r="S38" s="42">
        <f>VLOOKUP(R38,'[1]GCD base'!$A$1:$M$200,7,FALSE)</f>
        <v>1713.419991</v>
      </c>
      <c r="T38" t="s">
        <v>109</v>
      </c>
      <c r="U38" t="s">
        <v>201</v>
      </c>
      <c r="V38" t="s">
        <v>202</v>
      </c>
      <c r="W38" t="s">
        <v>210</v>
      </c>
      <c r="X38" t="s">
        <v>408</v>
      </c>
      <c r="Y38">
        <v>1981.54</v>
      </c>
      <c r="Z38">
        <v>0</v>
      </c>
      <c r="AA38">
        <v>837.67</v>
      </c>
      <c r="AB38">
        <v>0</v>
      </c>
      <c r="AC38" s="49">
        <v>45127</v>
      </c>
      <c r="AD38" s="116" t="s">
        <v>10</v>
      </c>
      <c r="AE38" s="113" t="str" cm="1">
        <f t="array" ref="AE38">_xlfn.IFS(S38&lt;=Constantes!$G$2,"Muito Curta (evitável)",S38&lt;=Constantes!$H$2,"Curta Distância",S38&gt;Constantes!$H$2,"Longa Distância")</f>
        <v>Curta Distância</v>
      </c>
      <c r="AF38" s="114">
        <f>IFERROR(VLOOKUP(AE38,Constantes!$A$1:$E$5,MATCH(AD38,Constantes!$A$1:$E$1,0),0),"")</f>
        <v>0.18286935436241611</v>
      </c>
      <c r="AG38" s="115">
        <f t="shared" si="1"/>
        <v>313.33200750582682</v>
      </c>
    </row>
    <row r="39" spans="1:33" x14ac:dyDescent="0.3">
      <c r="A39">
        <f>COUNTIF($B$2:B39,B39)</f>
        <v>2</v>
      </c>
      <c r="B39">
        <v>19104392</v>
      </c>
      <c r="C39" t="s">
        <v>426</v>
      </c>
      <c r="D39" t="s">
        <v>427</v>
      </c>
      <c r="E39" t="s">
        <v>428</v>
      </c>
      <c r="F39" t="s">
        <v>214</v>
      </c>
      <c r="G39" t="s">
        <v>207</v>
      </c>
      <c r="H39" t="s">
        <v>204</v>
      </c>
      <c r="I39" s="49">
        <v>45131</v>
      </c>
      <c r="J39" s="49">
        <v>45136</v>
      </c>
      <c r="K39" t="s">
        <v>407</v>
      </c>
      <c r="L39" s="49">
        <v>45131</v>
      </c>
      <c r="M39" s="49">
        <v>45135</v>
      </c>
      <c r="N39" t="s">
        <v>107</v>
      </c>
      <c r="O39" t="s">
        <v>110</v>
      </c>
      <c r="P39">
        <f>VLOOKUP(N39,[1]ID_Cidades!$A$1:$E$5900,2,FALSE)</f>
        <v>295765</v>
      </c>
      <c r="Q39">
        <f>VLOOKUP(O39,[1]ID_Cidades!$A$1:$E$5900,2,FALSE)</f>
        <v>295763</v>
      </c>
      <c r="R39">
        <f t="shared" si="0"/>
        <v>87476343695</v>
      </c>
      <c r="S39" s="42">
        <f>VLOOKUP(R39,'[1]GCD base'!$A$1:$M$200,7,FALSE)</f>
        <v>1713.419991</v>
      </c>
      <c r="T39" t="s">
        <v>109</v>
      </c>
      <c r="U39" t="s">
        <v>205</v>
      </c>
      <c r="V39" t="s">
        <v>202</v>
      </c>
      <c r="W39" t="s">
        <v>210</v>
      </c>
      <c r="X39" t="s">
        <v>408</v>
      </c>
      <c r="Y39">
        <v>0</v>
      </c>
      <c r="Z39">
        <v>0</v>
      </c>
      <c r="AA39">
        <v>2462.59</v>
      </c>
      <c r="AB39">
        <v>0</v>
      </c>
      <c r="AC39" s="49">
        <v>45127</v>
      </c>
      <c r="AD39" s="116" t="s">
        <v>10</v>
      </c>
      <c r="AE39" s="113" t="str" cm="1">
        <f t="array" ref="AE39">_xlfn.IFS(S39&lt;=Constantes!$G$2,"Muito Curta (evitável)",S39&lt;=Constantes!$H$2,"Curta Distância",S39&gt;Constantes!$H$2,"Longa Distância")</f>
        <v>Curta Distância</v>
      </c>
      <c r="AF39" s="114">
        <f>IFERROR(VLOOKUP(AE39,Constantes!$A$1:$E$5,MATCH(AD39,Constantes!$A$1:$E$1,0),0),"")</f>
        <v>0.18286935436241611</v>
      </c>
      <c r="AG39" s="115">
        <f t="shared" si="1"/>
        <v>313.33200750582682</v>
      </c>
    </row>
    <row r="40" spans="1:33" x14ac:dyDescent="0.3">
      <c r="A40">
        <f>COUNTIF($B$2:B40,B40)</f>
        <v>1</v>
      </c>
      <c r="B40">
        <v>18924776</v>
      </c>
      <c r="C40" t="s">
        <v>142</v>
      </c>
      <c r="D40" t="s">
        <v>236</v>
      </c>
      <c r="E40" t="s">
        <v>143</v>
      </c>
      <c r="F40" t="s">
        <v>198</v>
      </c>
      <c r="G40" t="s">
        <v>207</v>
      </c>
      <c r="H40" t="s">
        <v>204</v>
      </c>
      <c r="I40" s="49">
        <v>45132</v>
      </c>
      <c r="J40" s="49">
        <v>45135</v>
      </c>
      <c r="K40" t="s">
        <v>237</v>
      </c>
      <c r="L40" s="49">
        <v>45132</v>
      </c>
      <c r="M40" s="49">
        <v>45135</v>
      </c>
      <c r="N40" t="s">
        <v>107</v>
      </c>
      <c r="O40" t="s">
        <v>117</v>
      </c>
      <c r="P40">
        <f>VLOOKUP(N40,[1]ID_Cidades!$A$1:$E$5900,2,FALSE)</f>
        <v>295765</v>
      </c>
      <c r="Q40">
        <f>VLOOKUP(O40,[1]ID_Cidades!$A$1:$E$5900,2,FALSE)</f>
        <v>295779</v>
      </c>
      <c r="R40">
        <f t="shared" si="0"/>
        <v>87481075935</v>
      </c>
      <c r="S40" s="42">
        <f>VLOOKUP(R40,'[1]GCD base'!$A$1:$M$200,7,FALSE)</f>
        <v>2189.9742419999998</v>
      </c>
      <c r="T40" t="s">
        <v>109</v>
      </c>
      <c r="U40" t="s">
        <v>205</v>
      </c>
      <c r="V40" t="s">
        <v>202</v>
      </c>
      <c r="W40" t="s">
        <v>203</v>
      </c>
      <c r="X40" t="s">
        <v>204</v>
      </c>
      <c r="Y40">
        <v>1309.3499999999999</v>
      </c>
      <c r="Z40">
        <v>0</v>
      </c>
      <c r="AA40">
        <v>698.93</v>
      </c>
      <c r="AB40">
        <v>0</v>
      </c>
      <c r="AC40" s="49">
        <v>45065</v>
      </c>
      <c r="AD40" s="116" t="s">
        <v>10</v>
      </c>
      <c r="AE40" s="113" t="str" cm="1">
        <f t="array" ref="AE40">_xlfn.IFS(S40&lt;=Constantes!$G$2,"Muito Curta (evitável)",S40&lt;=Constantes!$H$2,"Curta Distância",S40&gt;Constantes!$H$2,"Longa Distância")</f>
        <v>Curta Distância</v>
      </c>
      <c r="AF40" s="114">
        <f>IFERROR(VLOOKUP(AE40,Constantes!$A$1:$E$5,MATCH(AD40,Constantes!$A$1:$E$1,0),0),"")</f>
        <v>0.18286935436241611</v>
      </c>
      <c r="AG40" s="115">
        <f t="shared" si="1"/>
        <v>400.47917570486158</v>
      </c>
    </row>
    <row r="41" spans="1:33" x14ac:dyDescent="0.3">
      <c r="A41">
        <f>COUNTIF($B$2:B41,B41)</f>
        <v>2</v>
      </c>
      <c r="B41">
        <v>18924776</v>
      </c>
      <c r="C41" t="s">
        <v>142</v>
      </c>
      <c r="D41" t="s">
        <v>236</v>
      </c>
      <c r="E41" t="s">
        <v>143</v>
      </c>
      <c r="F41" t="s">
        <v>198</v>
      </c>
      <c r="G41" t="s">
        <v>207</v>
      </c>
      <c r="H41" t="s">
        <v>204</v>
      </c>
      <c r="I41" s="49">
        <v>45132</v>
      </c>
      <c r="J41" s="49">
        <v>45135</v>
      </c>
      <c r="K41" t="s">
        <v>237</v>
      </c>
      <c r="L41" s="49">
        <v>45135</v>
      </c>
      <c r="M41" s="49">
        <v>45135</v>
      </c>
      <c r="N41" t="s">
        <v>117</v>
      </c>
      <c r="O41" t="s">
        <v>107</v>
      </c>
      <c r="P41">
        <f>VLOOKUP(N41,[1]ID_Cidades!$A$1:$E$5900,2,FALSE)</f>
        <v>295779</v>
      </c>
      <c r="Q41">
        <f>VLOOKUP(O41,[1]ID_Cidades!$A$1:$E$5900,2,FALSE)</f>
        <v>295765</v>
      </c>
      <c r="R41">
        <f t="shared" si="0"/>
        <v>87481075935</v>
      </c>
      <c r="S41" s="42">
        <f>VLOOKUP(R41,'[1]GCD base'!$A$1:$M$200,7,FALSE)</f>
        <v>2189.9742419999998</v>
      </c>
      <c r="T41" t="s">
        <v>109</v>
      </c>
      <c r="U41" t="s">
        <v>201</v>
      </c>
      <c r="V41" t="s">
        <v>202</v>
      </c>
      <c r="W41" t="s">
        <v>203</v>
      </c>
      <c r="X41" t="s">
        <v>204</v>
      </c>
      <c r="Y41">
        <v>0</v>
      </c>
      <c r="Z41">
        <v>0</v>
      </c>
      <c r="AA41">
        <v>854.29</v>
      </c>
      <c r="AB41">
        <v>0</v>
      </c>
      <c r="AC41" s="49">
        <v>45065</v>
      </c>
      <c r="AD41" s="116" t="s">
        <v>10</v>
      </c>
      <c r="AE41" s="113" t="str" cm="1">
        <f t="array" ref="AE41">_xlfn.IFS(S41&lt;=Constantes!$G$2,"Muito Curta (evitável)",S41&lt;=Constantes!$H$2,"Curta Distância",S41&gt;Constantes!$H$2,"Longa Distância")</f>
        <v>Curta Distância</v>
      </c>
      <c r="AF41" s="114">
        <f>IFERROR(VLOOKUP(AE41,Constantes!$A$1:$E$5,MATCH(AD41,Constantes!$A$1:$E$1,0),0),"")</f>
        <v>0.18286935436241611</v>
      </c>
      <c r="AG41" s="115">
        <f t="shared" si="1"/>
        <v>400.47917570486158</v>
      </c>
    </row>
    <row r="42" spans="1:33" x14ac:dyDescent="0.3">
      <c r="A42">
        <f>COUNTIF($B$2:B42,B42)</f>
        <v>1</v>
      </c>
      <c r="B42">
        <v>18940972</v>
      </c>
      <c r="C42" t="s">
        <v>144</v>
      </c>
      <c r="D42" t="s">
        <v>242</v>
      </c>
      <c r="E42" t="s">
        <v>145</v>
      </c>
      <c r="F42" t="s">
        <v>218</v>
      </c>
      <c r="G42" t="s">
        <v>207</v>
      </c>
      <c r="H42" t="s">
        <v>204</v>
      </c>
      <c r="I42" s="49">
        <v>45132</v>
      </c>
      <c r="J42" s="49">
        <v>45136</v>
      </c>
      <c r="K42" t="s">
        <v>243</v>
      </c>
      <c r="L42" s="49">
        <v>45136</v>
      </c>
      <c r="M42" s="49">
        <v>45136</v>
      </c>
      <c r="N42" t="s">
        <v>117</v>
      </c>
      <c r="O42" t="s">
        <v>107</v>
      </c>
      <c r="P42">
        <f>VLOOKUP(N42,[1]ID_Cidades!$A$1:$E$5900,2,FALSE)</f>
        <v>295779</v>
      </c>
      <c r="Q42">
        <f>VLOOKUP(O42,[1]ID_Cidades!$A$1:$E$5900,2,FALSE)</f>
        <v>295765</v>
      </c>
      <c r="R42">
        <f t="shared" si="0"/>
        <v>87481075935</v>
      </c>
      <c r="S42" s="42">
        <f>VLOOKUP(R42,'[1]GCD base'!$A$1:$M$200,7,FALSE)</f>
        <v>2189.9742419999998</v>
      </c>
      <c r="T42" t="s">
        <v>109</v>
      </c>
      <c r="U42" t="s">
        <v>201</v>
      </c>
      <c r="V42" t="s">
        <v>202</v>
      </c>
      <c r="W42" t="s">
        <v>203</v>
      </c>
      <c r="X42" t="s">
        <v>204</v>
      </c>
      <c r="Y42">
        <v>0</v>
      </c>
      <c r="Z42">
        <v>0</v>
      </c>
      <c r="AA42">
        <v>747.39</v>
      </c>
      <c r="AB42">
        <v>0</v>
      </c>
      <c r="AC42" s="49">
        <v>45071</v>
      </c>
      <c r="AD42" s="116" t="s">
        <v>10</v>
      </c>
      <c r="AE42" s="113" t="str" cm="1">
        <f t="array" ref="AE42">_xlfn.IFS(S42&lt;=Constantes!$G$2,"Muito Curta (evitável)",S42&lt;=Constantes!$H$2,"Curta Distância",S42&gt;Constantes!$H$2,"Longa Distância")</f>
        <v>Curta Distância</v>
      </c>
      <c r="AF42" s="114">
        <f>IFERROR(VLOOKUP(AE42,Constantes!$A$1:$E$5,MATCH(AD42,Constantes!$A$1:$E$1,0),0),"")</f>
        <v>0.18286935436241611</v>
      </c>
      <c r="AG42" s="115">
        <f t="shared" si="1"/>
        <v>400.47917570486158</v>
      </c>
    </row>
    <row r="43" spans="1:33" x14ac:dyDescent="0.3">
      <c r="A43">
        <f>COUNTIF($B$2:B43,B43)</f>
        <v>2</v>
      </c>
      <c r="B43">
        <v>18940972</v>
      </c>
      <c r="C43" t="s">
        <v>144</v>
      </c>
      <c r="D43" t="s">
        <v>242</v>
      </c>
      <c r="E43" t="s">
        <v>145</v>
      </c>
      <c r="F43" t="s">
        <v>218</v>
      </c>
      <c r="G43" t="s">
        <v>207</v>
      </c>
      <c r="H43" t="s">
        <v>204</v>
      </c>
      <c r="I43" s="49">
        <v>45132</v>
      </c>
      <c r="J43" s="49">
        <v>45136</v>
      </c>
      <c r="K43" t="s">
        <v>243</v>
      </c>
      <c r="L43" s="49">
        <v>45132</v>
      </c>
      <c r="M43" s="49">
        <v>45136</v>
      </c>
      <c r="N43" t="s">
        <v>107</v>
      </c>
      <c r="O43" t="s">
        <v>117</v>
      </c>
      <c r="P43">
        <f>VLOOKUP(N43,[1]ID_Cidades!$A$1:$E$5900,2,FALSE)</f>
        <v>295765</v>
      </c>
      <c r="Q43">
        <f>VLOOKUP(O43,[1]ID_Cidades!$A$1:$E$5900,2,FALSE)</f>
        <v>295779</v>
      </c>
      <c r="R43">
        <f t="shared" si="0"/>
        <v>87481075935</v>
      </c>
      <c r="S43" s="42">
        <f>VLOOKUP(R43,'[1]GCD base'!$A$1:$M$200,7,FALSE)</f>
        <v>2189.9742419999998</v>
      </c>
      <c r="T43" t="s">
        <v>109</v>
      </c>
      <c r="U43" t="s">
        <v>205</v>
      </c>
      <c r="V43" t="s">
        <v>202</v>
      </c>
      <c r="W43" t="s">
        <v>203</v>
      </c>
      <c r="X43" t="s">
        <v>204</v>
      </c>
      <c r="Y43">
        <v>0</v>
      </c>
      <c r="Z43">
        <v>0</v>
      </c>
      <c r="AA43">
        <v>731.93</v>
      </c>
      <c r="AB43">
        <v>0</v>
      </c>
      <c r="AC43" s="49">
        <v>45071</v>
      </c>
      <c r="AD43" s="116" t="s">
        <v>10</v>
      </c>
      <c r="AE43" s="113" t="str" cm="1">
        <f t="array" ref="AE43">_xlfn.IFS(S43&lt;=Constantes!$G$2,"Muito Curta (evitável)",S43&lt;=Constantes!$H$2,"Curta Distância",S43&gt;Constantes!$H$2,"Longa Distância")</f>
        <v>Curta Distância</v>
      </c>
      <c r="AF43" s="114">
        <f>IFERROR(VLOOKUP(AE43,Constantes!$A$1:$E$5,MATCH(AD43,Constantes!$A$1:$E$1,0),0),"")</f>
        <v>0.18286935436241611</v>
      </c>
      <c r="AG43" s="115">
        <f t="shared" si="1"/>
        <v>400.47917570486158</v>
      </c>
    </row>
    <row r="44" spans="1:33" x14ac:dyDescent="0.3">
      <c r="A44">
        <f>COUNTIF($B$2:B44,B44)</f>
        <v>1</v>
      </c>
      <c r="B44">
        <v>19006789</v>
      </c>
      <c r="C44" t="s">
        <v>254</v>
      </c>
      <c r="D44" t="s">
        <v>255</v>
      </c>
      <c r="E44" t="s">
        <v>256</v>
      </c>
      <c r="F44" t="s">
        <v>198</v>
      </c>
      <c r="G44" t="s">
        <v>233</v>
      </c>
      <c r="H44" t="s">
        <v>233</v>
      </c>
      <c r="I44" s="49">
        <v>45132</v>
      </c>
      <c r="J44" s="49">
        <v>45136</v>
      </c>
      <c r="K44" t="s">
        <v>257</v>
      </c>
      <c r="L44" s="49">
        <v>45132</v>
      </c>
      <c r="M44" s="49">
        <v>45135</v>
      </c>
      <c r="N44" t="s">
        <v>107</v>
      </c>
      <c r="O44" t="s">
        <v>117</v>
      </c>
      <c r="P44">
        <f>VLOOKUP(N44,[1]ID_Cidades!$A$1:$E$5900,2,FALSE)</f>
        <v>295765</v>
      </c>
      <c r="Q44">
        <f>VLOOKUP(O44,[1]ID_Cidades!$A$1:$E$5900,2,FALSE)</f>
        <v>295779</v>
      </c>
      <c r="R44">
        <f t="shared" si="0"/>
        <v>87481075935</v>
      </c>
      <c r="S44" s="42">
        <f>VLOOKUP(R44,'[1]GCD base'!$A$1:$M$200,7,FALSE)</f>
        <v>2189.9742419999998</v>
      </c>
      <c r="T44" t="s">
        <v>109</v>
      </c>
      <c r="U44" t="s">
        <v>205</v>
      </c>
      <c r="V44" t="s">
        <v>202</v>
      </c>
      <c r="W44" t="s">
        <v>203</v>
      </c>
      <c r="X44" t="s">
        <v>204</v>
      </c>
      <c r="Y44">
        <v>1690.49</v>
      </c>
      <c r="Z44">
        <v>0</v>
      </c>
      <c r="AA44">
        <v>1305.0899999999999</v>
      </c>
      <c r="AB44">
        <v>0</v>
      </c>
      <c r="AC44" s="49">
        <v>45117</v>
      </c>
      <c r="AD44" s="116" t="s">
        <v>10</v>
      </c>
      <c r="AE44" s="113" t="str" cm="1">
        <f t="array" ref="AE44">_xlfn.IFS(S44&lt;=Constantes!$G$2,"Muito Curta (evitável)",S44&lt;=Constantes!$H$2,"Curta Distância",S44&gt;Constantes!$H$2,"Longa Distância")</f>
        <v>Curta Distância</v>
      </c>
      <c r="AF44" s="114">
        <f>IFERROR(VLOOKUP(AE44,Constantes!$A$1:$E$5,MATCH(AD44,Constantes!$A$1:$E$1,0),0),"")</f>
        <v>0.18286935436241611</v>
      </c>
      <c r="AG44" s="115">
        <f t="shared" si="1"/>
        <v>400.47917570486158</v>
      </c>
    </row>
    <row r="45" spans="1:33" x14ac:dyDescent="0.3">
      <c r="A45">
        <f>COUNTIF($B$2:B45,B45)</f>
        <v>2</v>
      </c>
      <c r="B45">
        <v>19006789</v>
      </c>
      <c r="C45" t="s">
        <v>254</v>
      </c>
      <c r="D45" t="s">
        <v>255</v>
      </c>
      <c r="E45" t="s">
        <v>256</v>
      </c>
      <c r="F45" t="s">
        <v>198</v>
      </c>
      <c r="G45" t="s">
        <v>233</v>
      </c>
      <c r="H45" t="s">
        <v>233</v>
      </c>
      <c r="I45" s="49">
        <v>45132</v>
      </c>
      <c r="J45" s="49">
        <v>45136</v>
      </c>
      <c r="K45" t="s">
        <v>257</v>
      </c>
      <c r="L45" s="49">
        <v>45135</v>
      </c>
      <c r="M45" s="49">
        <v>45136</v>
      </c>
      <c r="N45" t="s">
        <v>117</v>
      </c>
      <c r="O45" t="s">
        <v>107</v>
      </c>
      <c r="P45">
        <f>VLOOKUP(N45,[1]ID_Cidades!$A$1:$E$5900,2,FALSE)</f>
        <v>295779</v>
      </c>
      <c r="Q45">
        <f>VLOOKUP(O45,[1]ID_Cidades!$A$1:$E$5900,2,FALSE)</f>
        <v>295765</v>
      </c>
      <c r="R45">
        <f t="shared" si="0"/>
        <v>87481075935</v>
      </c>
      <c r="S45" s="42">
        <f>VLOOKUP(R45,'[1]GCD base'!$A$1:$M$200,7,FALSE)</f>
        <v>2189.9742419999998</v>
      </c>
      <c r="T45" t="s">
        <v>109</v>
      </c>
      <c r="U45" t="s">
        <v>201</v>
      </c>
      <c r="V45" t="s">
        <v>202</v>
      </c>
      <c r="W45" t="s">
        <v>203</v>
      </c>
      <c r="X45" t="s">
        <v>204</v>
      </c>
      <c r="Y45">
        <v>0</v>
      </c>
      <c r="Z45">
        <v>0</v>
      </c>
      <c r="AA45">
        <v>798.83</v>
      </c>
      <c r="AB45">
        <v>0</v>
      </c>
      <c r="AC45" s="49">
        <v>45117</v>
      </c>
      <c r="AD45" s="116" t="s">
        <v>10</v>
      </c>
      <c r="AE45" s="113" t="str" cm="1">
        <f t="array" ref="AE45">_xlfn.IFS(S45&lt;=Constantes!$G$2,"Muito Curta (evitável)",S45&lt;=Constantes!$H$2,"Curta Distância",S45&gt;Constantes!$H$2,"Longa Distância")</f>
        <v>Curta Distância</v>
      </c>
      <c r="AF45" s="114">
        <f>IFERROR(VLOOKUP(AE45,Constantes!$A$1:$E$5,MATCH(AD45,Constantes!$A$1:$E$1,0),0),"")</f>
        <v>0.18286935436241611</v>
      </c>
      <c r="AG45" s="115">
        <f t="shared" si="1"/>
        <v>400.47917570486158</v>
      </c>
    </row>
    <row r="46" spans="1:33" x14ac:dyDescent="0.3">
      <c r="A46">
        <f>COUNTIF($B$2:B46,B46)</f>
        <v>1</v>
      </c>
      <c r="B46">
        <v>19052755</v>
      </c>
      <c r="C46" t="s">
        <v>298</v>
      </c>
      <c r="D46" t="s">
        <v>299</v>
      </c>
      <c r="E46" t="s">
        <v>300</v>
      </c>
      <c r="F46" t="s">
        <v>198</v>
      </c>
      <c r="G46" t="s">
        <v>233</v>
      </c>
      <c r="H46" t="s">
        <v>233</v>
      </c>
      <c r="I46" s="49">
        <v>45132</v>
      </c>
      <c r="J46" s="49">
        <v>45136</v>
      </c>
      <c r="K46" t="s">
        <v>301</v>
      </c>
      <c r="L46" s="49">
        <v>45132</v>
      </c>
      <c r="M46" s="49">
        <v>45135</v>
      </c>
      <c r="N46" t="s">
        <v>107</v>
      </c>
      <c r="O46" t="s">
        <v>117</v>
      </c>
      <c r="P46">
        <f>VLOOKUP(N46,[1]ID_Cidades!$A$1:$E$5900,2,FALSE)</f>
        <v>295765</v>
      </c>
      <c r="Q46">
        <f>VLOOKUP(O46,[1]ID_Cidades!$A$1:$E$5900,2,FALSE)</f>
        <v>295779</v>
      </c>
      <c r="R46">
        <f t="shared" si="0"/>
        <v>87481075935</v>
      </c>
      <c r="S46" s="42">
        <f>VLOOKUP(R46,'[1]GCD base'!$A$1:$M$200,7,FALSE)</f>
        <v>2189.9742419999998</v>
      </c>
      <c r="T46" t="s">
        <v>109</v>
      </c>
      <c r="U46" t="s">
        <v>205</v>
      </c>
      <c r="V46" t="s">
        <v>202</v>
      </c>
      <c r="W46" t="s">
        <v>203</v>
      </c>
      <c r="X46" t="s">
        <v>204</v>
      </c>
      <c r="Y46">
        <v>1690.49</v>
      </c>
      <c r="Z46">
        <v>0</v>
      </c>
      <c r="AA46">
        <v>1305.0899999999999</v>
      </c>
      <c r="AB46">
        <v>0</v>
      </c>
      <c r="AC46" s="49">
        <v>45117</v>
      </c>
      <c r="AD46" s="116" t="s">
        <v>10</v>
      </c>
      <c r="AE46" s="113" t="str" cm="1">
        <f t="array" ref="AE46">_xlfn.IFS(S46&lt;=Constantes!$G$2,"Muito Curta (evitável)",S46&lt;=Constantes!$H$2,"Curta Distância",S46&gt;Constantes!$H$2,"Longa Distância")</f>
        <v>Curta Distância</v>
      </c>
      <c r="AF46" s="114">
        <f>IFERROR(VLOOKUP(AE46,Constantes!$A$1:$E$5,MATCH(AD46,Constantes!$A$1:$E$1,0),0),"")</f>
        <v>0.18286935436241611</v>
      </c>
      <c r="AG46" s="115">
        <f t="shared" si="1"/>
        <v>400.47917570486158</v>
      </c>
    </row>
    <row r="47" spans="1:33" x14ac:dyDescent="0.3">
      <c r="A47">
        <f>COUNTIF($B$2:B47,B47)</f>
        <v>2</v>
      </c>
      <c r="B47">
        <v>19052755</v>
      </c>
      <c r="C47" t="s">
        <v>298</v>
      </c>
      <c r="D47" t="s">
        <v>299</v>
      </c>
      <c r="E47" t="s">
        <v>300</v>
      </c>
      <c r="F47" t="s">
        <v>198</v>
      </c>
      <c r="G47" t="s">
        <v>233</v>
      </c>
      <c r="H47" t="s">
        <v>233</v>
      </c>
      <c r="I47" s="49">
        <v>45132</v>
      </c>
      <c r="J47" s="49">
        <v>45136</v>
      </c>
      <c r="K47" t="s">
        <v>301</v>
      </c>
      <c r="L47" s="49">
        <v>45135</v>
      </c>
      <c r="M47" s="49">
        <v>45136</v>
      </c>
      <c r="N47" t="s">
        <v>117</v>
      </c>
      <c r="O47" t="s">
        <v>107</v>
      </c>
      <c r="P47">
        <f>VLOOKUP(N47,[1]ID_Cidades!$A$1:$E$5900,2,FALSE)</f>
        <v>295779</v>
      </c>
      <c r="Q47">
        <f>VLOOKUP(O47,[1]ID_Cidades!$A$1:$E$5900,2,FALSE)</f>
        <v>295765</v>
      </c>
      <c r="R47">
        <f t="shared" si="0"/>
        <v>87481075935</v>
      </c>
      <c r="S47" s="42">
        <f>VLOOKUP(R47,'[1]GCD base'!$A$1:$M$200,7,FALSE)</f>
        <v>2189.9742419999998</v>
      </c>
      <c r="T47" t="s">
        <v>109</v>
      </c>
      <c r="U47" t="s">
        <v>201</v>
      </c>
      <c r="V47" t="s">
        <v>202</v>
      </c>
      <c r="W47" t="s">
        <v>203</v>
      </c>
      <c r="X47" t="s">
        <v>204</v>
      </c>
      <c r="Y47">
        <v>0</v>
      </c>
      <c r="Z47">
        <v>0</v>
      </c>
      <c r="AA47">
        <v>798.83</v>
      </c>
      <c r="AB47">
        <v>0</v>
      </c>
      <c r="AC47" s="49">
        <v>45117</v>
      </c>
      <c r="AD47" s="116" t="s">
        <v>10</v>
      </c>
      <c r="AE47" s="113" t="str" cm="1">
        <f t="array" ref="AE47">_xlfn.IFS(S47&lt;=Constantes!$G$2,"Muito Curta (evitável)",S47&lt;=Constantes!$H$2,"Curta Distância",S47&gt;Constantes!$H$2,"Longa Distância")</f>
        <v>Curta Distância</v>
      </c>
      <c r="AF47" s="114">
        <f>IFERROR(VLOOKUP(AE47,Constantes!$A$1:$E$5,MATCH(AD47,Constantes!$A$1:$E$1,0),0),"")</f>
        <v>0.18286935436241611</v>
      </c>
      <c r="AG47" s="115">
        <f t="shared" si="1"/>
        <v>400.47917570486158</v>
      </c>
    </row>
    <row r="48" spans="1:33" x14ac:dyDescent="0.3">
      <c r="A48">
        <f>COUNTIF($B$2:B48,B48)</f>
        <v>1</v>
      </c>
      <c r="B48">
        <v>19052806</v>
      </c>
      <c r="C48" t="s">
        <v>302</v>
      </c>
      <c r="D48" t="s">
        <v>303</v>
      </c>
      <c r="E48" t="s">
        <v>304</v>
      </c>
      <c r="F48" t="s">
        <v>198</v>
      </c>
      <c r="G48" t="s">
        <v>207</v>
      </c>
      <c r="H48" t="s">
        <v>204</v>
      </c>
      <c r="I48" s="49">
        <v>45132</v>
      </c>
      <c r="J48" s="49">
        <v>45136</v>
      </c>
      <c r="K48" t="s">
        <v>257</v>
      </c>
      <c r="L48" s="49">
        <v>45135</v>
      </c>
      <c r="M48" s="49">
        <v>45136</v>
      </c>
      <c r="N48" t="s">
        <v>117</v>
      </c>
      <c r="O48" t="s">
        <v>107</v>
      </c>
      <c r="P48">
        <f>VLOOKUP(N48,[1]ID_Cidades!$A$1:$E$5900,2,FALSE)</f>
        <v>295779</v>
      </c>
      <c r="Q48">
        <f>VLOOKUP(O48,[1]ID_Cidades!$A$1:$E$5900,2,FALSE)</f>
        <v>295765</v>
      </c>
      <c r="R48">
        <f t="shared" si="0"/>
        <v>87481075935</v>
      </c>
      <c r="S48" s="42">
        <f>VLOOKUP(R48,'[1]GCD base'!$A$1:$M$200,7,FALSE)</f>
        <v>2189.9742419999998</v>
      </c>
      <c r="T48" t="s">
        <v>109</v>
      </c>
      <c r="U48" t="s">
        <v>201</v>
      </c>
      <c r="V48" t="s">
        <v>202</v>
      </c>
      <c r="W48" t="s">
        <v>203</v>
      </c>
      <c r="X48" t="s">
        <v>204</v>
      </c>
      <c r="Y48">
        <v>1690.49</v>
      </c>
      <c r="Z48">
        <v>0</v>
      </c>
      <c r="AA48">
        <v>1305.0899999999999</v>
      </c>
      <c r="AB48">
        <v>0</v>
      </c>
      <c r="AC48" s="49">
        <v>45117</v>
      </c>
      <c r="AD48" s="116" t="s">
        <v>10</v>
      </c>
      <c r="AE48" s="113" t="str" cm="1">
        <f t="array" ref="AE48">_xlfn.IFS(S48&lt;=Constantes!$G$2,"Muito Curta (evitável)",S48&lt;=Constantes!$H$2,"Curta Distância",S48&gt;Constantes!$H$2,"Longa Distância")</f>
        <v>Curta Distância</v>
      </c>
      <c r="AF48" s="114">
        <f>IFERROR(VLOOKUP(AE48,Constantes!$A$1:$E$5,MATCH(AD48,Constantes!$A$1:$E$1,0),0),"")</f>
        <v>0.18286935436241611</v>
      </c>
      <c r="AG48" s="115">
        <f t="shared" si="1"/>
        <v>400.47917570486158</v>
      </c>
    </row>
    <row r="49" spans="1:33" x14ac:dyDescent="0.3">
      <c r="A49">
        <f>COUNTIF($B$2:B49,B49)</f>
        <v>2</v>
      </c>
      <c r="B49">
        <v>19052806</v>
      </c>
      <c r="C49" t="s">
        <v>302</v>
      </c>
      <c r="D49" t="s">
        <v>303</v>
      </c>
      <c r="E49" t="s">
        <v>304</v>
      </c>
      <c r="F49" t="s">
        <v>198</v>
      </c>
      <c r="G49" t="s">
        <v>207</v>
      </c>
      <c r="H49" t="s">
        <v>204</v>
      </c>
      <c r="I49" s="49">
        <v>45132</v>
      </c>
      <c r="J49" s="49">
        <v>45136</v>
      </c>
      <c r="K49" t="s">
        <v>257</v>
      </c>
      <c r="L49" s="49">
        <v>45132</v>
      </c>
      <c r="M49" s="49">
        <v>45135</v>
      </c>
      <c r="N49" t="s">
        <v>107</v>
      </c>
      <c r="O49" t="s">
        <v>117</v>
      </c>
      <c r="P49">
        <f>VLOOKUP(N49,[1]ID_Cidades!$A$1:$E$5900,2,FALSE)</f>
        <v>295765</v>
      </c>
      <c r="Q49">
        <f>VLOOKUP(O49,[1]ID_Cidades!$A$1:$E$5900,2,FALSE)</f>
        <v>295779</v>
      </c>
      <c r="R49">
        <f t="shared" si="0"/>
        <v>87481075935</v>
      </c>
      <c r="S49" s="42">
        <f>VLOOKUP(R49,'[1]GCD base'!$A$1:$M$200,7,FALSE)</f>
        <v>2189.9742419999998</v>
      </c>
      <c r="T49" t="s">
        <v>109</v>
      </c>
      <c r="U49" t="s">
        <v>205</v>
      </c>
      <c r="V49" t="s">
        <v>202</v>
      </c>
      <c r="W49" t="s">
        <v>203</v>
      </c>
      <c r="X49" t="s">
        <v>204</v>
      </c>
      <c r="Y49">
        <v>0</v>
      </c>
      <c r="Z49">
        <v>0</v>
      </c>
      <c r="AA49">
        <v>798.83</v>
      </c>
      <c r="AB49">
        <v>0</v>
      </c>
      <c r="AC49" s="49">
        <v>45117</v>
      </c>
      <c r="AD49" s="116" t="s">
        <v>10</v>
      </c>
      <c r="AE49" s="113" t="str" cm="1">
        <f t="array" ref="AE49">_xlfn.IFS(S49&lt;=Constantes!$G$2,"Muito Curta (evitável)",S49&lt;=Constantes!$H$2,"Curta Distância",S49&gt;Constantes!$H$2,"Longa Distância")</f>
        <v>Curta Distância</v>
      </c>
      <c r="AF49" s="114">
        <f>IFERROR(VLOOKUP(AE49,Constantes!$A$1:$E$5,MATCH(AD49,Constantes!$A$1:$E$1,0),0),"")</f>
        <v>0.18286935436241611</v>
      </c>
      <c r="AG49" s="115">
        <f t="shared" si="1"/>
        <v>400.47917570486158</v>
      </c>
    </row>
    <row r="50" spans="1:33" x14ac:dyDescent="0.3">
      <c r="A50">
        <f>COUNTIF($B$2:B50,B50)</f>
        <v>1</v>
      </c>
      <c r="B50">
        <v>19073413</v>
      </c>
      <c r="C50" t="s">
        <v>350</v>
      </c>
      <c r="D50" t="s">
        <v>351</v>
      </c>
      <c r="E50" t="s">
        <v>352</v>
      </c>
      <c r="F50" t="s">
        <v>218</v>
      </c>
      <c r="G50" t="s">
        <v>207</v>
      </c>
      <c r="H50" t="s">
        <v>204</v>
      </c>
      <c r="I50" s="49">
        <v>45133</v>
      </c>
      <c r="J50" s="49">
        <v>45141</v>
      </c>
      <c r="K50" t="s">
        <v>353</v>
      </c>
      <c r="L50" s="49">
        <v>45141</v>
      </c>
      <c r="M50" s="49">
        <v>45141</v>
      </c>
      <c r="N50" t="s">
        <v>122</v>
      </c>
      <c r="O50" t="s">
        <v>107</v>
      </c>
      <c r="P50">
        <f>VLOOKUP(N50,[1]ID_Cidades!$A$1:$E$5900,2,FALSE)</f>
        <v>295781</v>
      </c>
      <c r="Q50">
        <f>VLOOKUP(O50,[1]ID_Cidades!$A$1:$E$5900,2,FALSE)</f>
        <v>295765</v>
      </c>
      <c r="R50">
        <f t="shared" si="0"/>
        <v>87481667465</v>
      </c>
      <c r="S50" s="42">
        <f>VLOOKUP(R50,'[1]GCD base'!$A$1:$M$200,7,FALSE)</f>
        <v>2695.5823350000001</v>
      </c>
      <c r="T50" t="s">
        <v>109</v>
      </c>
      <c r="U50" t="s">
        <v>201</v>
      </c>
      <c r="V50" t="s">
        <v>202</v>
      </c>
      <c r="W50" t="s">
        <v>210</v>
      </c>
      <c r="X50" t="s">
        <v>354</v>
      </c>
      <c r="Y50">
        <v>0</v>
      </c>
      <c r="Z50">
        <v>0</v>
      </c>
      <c r="AA50">
        <v>450.63</v>
      </c>
      <c r="AB50">
        <v>0</v>
      </c>
      <c r="AC50" s="49">
        <v>45119</v>
      </c>
      <c r="AD50" s="116" t="s">
        <v>10</v>
      </c>
      <c r="AE50" s="113" t="str" cm="1">
        <f t="array" ref="AE50">_xlfn.IFS(S50&lt;=Constantes!$G$2,"Muito Curta (evitável)",S50&lt;=Constantes!$H$2,"Curta Distância",S50&gt;Constantes!$H$2,"Longa Distância")</f>
        <v>Curta Distância</v>
      </c>
      <c r="AF50" s="114">
        <f>IFERROR(VLOOKUP(AE50,Constantes!$A$1:$E$5,MATCH(AD50,Constantes!$A$1:$E$1,0),0),"")</f>
        <v>0.18286935436241611</v>
      </c>
      <c r="AG50" s="115">
        <f t="shared" si="1"/>
        <v>492.93940123218408</v>
      </c>
    </row>
    <row r="51" spans="1:33" x14ac:dyDescent="0.3">
      <c r="A51">
        <f>COUNTIF($B$2:B51,B51)</f>
        <v>2</v>
      </c>
      <c r="B51">
        <v>19073413</v>
      </c>
      <c r="C51" t="s">
        <v>350</v>
      </c>
      <c r="D51" t="s">
        <v>351</v>
      </c>
      <c r="E51" t="s">
        <v>352</v>
      </c>
      <c r="F51" t="s">
        <v>218</v>
      </c>
      <c r="G51" t="s">
        <v>207</v>
      </c>
      <c r="H51" t="s">
        <v>204</v>
      </c>
      <c r="I51" s="49">
        <v>45133</v>
      </c>
      <c r="J51" s="49">
        <v>45141</v>
      </c>
      <c r="K51" t="s">
        <v>353</v>
      </c>
      <c r="L51" s="49">
        <v>45133</v>
      </c>
      <c r="M51" s="49">
        <v>45136</v>
      </c>
      <c r="N51" t="s">
        <v>107</v>
      </c>
      <c r="O51" t="s">
        <v>117</v>
      </c>
      <c r="P51">
        <f>VLOOKUP(N51,[1]ID_Cidades!$A$1:$E$5900,2,FALSE)</f>
        <v>295765</v>
      </c>
      <c r="Q51">
        <f>VLOOKUP(O51,[1]ID_Cidades!$A$1:$E$5900,2,FALSE)</f>
        <v>295779</v>
      </c>
      <c r="R51">
        <f t="shared" si="0"/>
        <v>87481075935</v>
      </c>
      <c r="S51" s="42">
        <f>VLOOKUP(R51,'[1]GCD base'!$A$1:$M$200,7,FALSE)</f>
        <v>2189.9742419999998</v>
      </c>
      <c r="T51" t="s">
        <v>109</v>
      </c>
      <c r="U51" t="s">
        <v>205</v>
      </c>
      <c r="V51" t="s">
        <v>202</v>
      </c>
      <c r="W51" t="s">
        <v>210</v>
      </c>
      <c r="X51" t="s">
        <v>354</v>
      </c>
      <c r="Y51">
        <v>0</v>
      </c>
      <c r="Z51">
        <v>0</v>
      </c>
      <c r="AA51">
        <v>1014.79</v>
      </c>
      <c r="AB51">
        <v>0</v>
      </c>
      <c r="AC51" s="49">
        <v>45119</v>
      </c>
      <c r="AD51" s="116" t="s">
        <v>10</v>
      </c>
      <c r="AE51" s="113" t="str" cm="1">
        <f t="array" ref="AE51">_xlfn.IFS(S51&lt;=Constantes!$G$2,"Muito Curta (evitável)",S51&lt;=Constantes!$H$2,"Curta Distância",S51&gt;Constantes!$H$2,"Longa Distância")</f>
        <v>Curta Distância</v>
      </c>
      <c r="AF51" s="114">
        <f>IFERROR(VLOOKUP(AE51,Constantes!$A$1:$E$5,MATCH(AD51,Constantes!$A$1:$E$1,0),0),"")</f>
        <v>0.18286935436241611</v>
      </c>
      <c r="AG51" s="115">
        <f t="shared" si="1"/>
        <v>400.47917570486158</v>
      </c>
    </row>
    <row r="52" spans="1:33" x14ac:dyDescent="0.3">
      <c r="A52">
        <f>COUNTIF($B$2:B52,B52)</f>
        <v>3</v>
      </c>
      <c r="B52">
        <v>19073413</v>
      </c>
      <c r="C52" t="s">
        <v>350</v>
      </c>
      <c r="D52" t="s">
        <v>351</v>
      </c>
      <c r="E52" t="s">
        <v>352</v>
      </c>
      <c r="F52" t="s">
        <v>218</v>
      </c>
      <c r="G52" t="s">
        <v>207</v>
      </c>
      <c r="H52" t="s">
        <v>204</v>
      </c>
      <c r="I52" s="49">
        <v>45133</v>
      </c>
      <c r="J52" s="49">
        <v>45141</v>
      </c>
      <c r="K52" t="s">
        <v>353</v>
      </c>
      <c r="L52" s="49">
        <v>45136</v>
      </c>
      <c r="M52" s="49">
        <v>45141</v>
      </c>
      <c r="N52" t="s">
        <v>117</v>
      </c>
      <c r="O52" t="s">
        <v>122</v>
      </c>
      <c r="P52">
        <f>VLOOKUP(N52,[1]ID_Cidades!$A$1:$E$5900,2,FALSE)</f>
        <v>295779</v>
      </c>
      <c r="Q52">
        <f>VLOOKUP(O52,[1]ID_Cidades!$A$1:$E$5900,2,FALSE)</f>
        <v>295781</v>
      </c>
      <c r="R52">
        <f t="shared" si="0"/>
        <v>87485808399</v>
      </c>
      <c r="S52" s="42">
        <f>VLOOKUP(R52,'[1]GCD base'!$A$1:$M$200,7,FALSE)</f>
        <v>515.90735040000004</v>
      </c>
      <c r="T52" t="s">
        <v>109</v>
      </c>
      <c r="U52" t="s">
        <v>205</v>
      </c>
      <c r="V52" t="s">
        <v>202</v>
      </c>
      <c r="W52" t="s">
        <v>210</v>
      </c>
      <c r="X52" t="s">
        <v>354</v>
      </c>
      <c r="Y52">
        <v>0</v>
      </c>
      <c r="Z52">
        <v>0</v>
      </c>
      <c r="AA52">
        <v>1127.07</v>
      </c>
      <c r="AB52">
        <v>0</v>
      </c>
      <c r="AC52" s="49">
        <v>45119</v>
      </c>
      <c r="AD52" s="116" t="s">
        <v>10</v>
      </c>
      <c r="AE52" s="113" t="str" cm="1">
        <f t="array" ref="AE52">_xlfn.IFS(S52&lt;=Constantes!$G$2,"Muito Curta (evitável)",S52&lt;=Constantes!$H$2,"Curta Distância",S52&gt;Constantes!$H$2,"Longa Distância")</f>
        <v>Muito Curta (evitável)</v>
      </c>
      <c r="AF52" s="114">
        <f>IFERROR(VLOOKUP(AE52,Constantes!$A$1:$E$5,MATCH(AD52,Constantes!$A$1:$E$1,0),0),"")</f>
        <v>0.27257678523489931</v>
      </c>
      <c r="AG52" s="115">
        <f t="shared" si="1"/>
        <v>140.62436705108675</v>
      </c>
    </row>
    <row r="53" spans="1:33" x14ac:dyDescent="0.3">
      <c r="A53">
        <f>COUNTIF($B$2:B53,B53)</f>
        <v>1</v>
      </c>
      <c r="B53">
        <v>19119044</v>
      </c>
      <c r="C53" t="s">
        <v>458</v>
      </c>
      <c r="D53" t="s">
        <v>459</v>
      </c>
      <c r="E53" t="s">
        <v>460</v>
      </c>
      <c r="F53" t="s">
        <v>218</v>
      </c>
      <c r="G53" t="s">
        <v>207</v>
      </c>
      <c r="H53" t="s">
        <v>204</v>
      </c>
      <c r="I53" s="49">
        <v>45141</v>
      </c>
      <c r="J53" s="49">
        <v>45145</v>
      </c>
      <c r="K53" t="s">
        <v>461</v>
      </c>
      <c r="L53" s="49">
        <v>45144</v>
      </c>
      <c r="M53" s="49">
        <v>45145</v>
      </c>
      <c r="N53" t="s">
        <v>117</v>
      </c>
      <c r="O53" t="s">
        <v>107</v>
      </c>
      <c r="P53">
        <f>VLOOKUP(N53,[1]ID_Cidades!$A$1:$E$5900,2,FALSE)</f>
        <v>295779</v>
      </c>
      <c r="Q53">
        <f>VLOOKUP(O53,[1]ID_Cidades!$A$1:$E$5900,2,FALSE)</f>
        <v>295765</v>
      </c>
      <c r="R53">
        <f t="shared" si="0"/>
        <v>87481075935</v>
      </c>
      <c r="S53" s="42">
        <f>VLOOKUP(R53,'[1]GCD base'!$A$1:$M$200,7,FALSE)</f>
        <v>2189.9742419999998</v>
      </c>
      <c r="T53" t="s">
        <v>109</v>
      </c>
      <c r="U53" t="s">
        <v>201</v>
      </c>
      <c r="V53" t="s">
        <v>202</v>
      </c>
      <c r="W53" t="s">
        <v>210</v>
      </c>
      <c r="X53" t="s">
        <v>462</v>
      </c>
      <c r="Y53">
        <v>0</v>
      </c>
      <c r="Z53">
        <v>0</v>
      </c>
      <c r="AA53">
        <v>1061.29</v>
      </c>
      <c r="AB53">
        <v>0</v>
      </c>
      <c r="AC53" s="49">
        <v>45134</v>
      </c>
      <c r="AD53" s="116" t="s">
        <v>10</v>
      </c>
      <c r="AE53" s="113" t="str" cm="1">
        <f t="array" ref="AE53">_xlfn.IFS(S53&lt;=Constantes!$G$2,"Muito Curta (evitável)",S53&lt;=Constantes!$H$2,"Curta Distância",S53&gt;Constantes!$H$2,"Longa Distância")</f>
        <v>Curta Distância</v>
      </c>
      <c r="AF53" s="114">
        <f>IFERROR(VLOOKUP(AE53,Constantes!$A$1:$E$5,MATCH(AD53,Constantes!$A$1:$E$1,0),0),"")</f>
        <v>0.18286935436241611</v>
      </c>
      <c r="AG53" s="115">
        <f t="shared" si="1"/>
        <v>400.47917570486158</v>
      </c>
    </row>
    <row r="54" spans="1:33" x14ac:dyDescent="0.3">
      <c r="A54">
        <f>COUNTIF($B$2:B54,B54)</f>
        <v>2</v>
      </c>
      <c r="B54">
        <v>19119044</v>
      </c>
      <c r="C54" t="s">
        <v>458</v>
      </c>
      <c r="D54" t="s">
        <v>459</v>
      </c>
      <c r="E54" t="s">
        <v>460</v>
      </c>
      <c r="F54" t="s">
        <v>218</v>
      </c>
      <c r="G54" t="s">
        <v>207</v>
      </c>
      <c r="H54" t="s">
        <v>204</v>
      </c>
      <c r="I54" s="49">
        <v>45141</v>
      </c>
      <c r="J54" s="49">
        <v>45145</v>
      </c>
      <c r="K54" t="s">
        <v>461</v>
      </c>
      <c r="L54" s="49">
        <v>45141</v>
      </c>
      <c r="M54" s="49">
        <v>45144</v>
      </c>
      <c r="N54" t="s">
        <v>107</v>
      </c>
      <c r="O54" t="s">
        <v>117</v>
      </c>
      <c r="P54">
        <f>VLOOKUP(N54,[1]ID_Cidades!$A$1:$E$5900,2,FALSE)</f>
        <v>295765</v>
      </c>
      <c r="Q54">
        <f>VLOOKUP(O54,[1]ID_Cidades!$A$1:$E$5900,2,FALSE)</f>
        <v>295779</v>
      </c>
      <c r="R54">
        <f t="shared" si="0"/>
        <v>87481075935</v>
      </c>
      <c r="S54" s="42">
        <f>VLOOKUP(R54,'[1]GCD base'!$A$1:$M$200,7,FALSE)</f>
        <v>2189.9742419999998</v>
      </c>
      <c r="T54" t="s">
        <v>109</v>
      </c>
      <c r="U54" t="s">
        <v>205</v>
      </c>
      <c r="V54" t="s">
        <v>202</v>
      </c>
      <c r="W54" t="s">
        <v>210</v>
      </c>
      <c r="X54" t="s">
        <v>462</v>
      </c>
      <c r="Y54">
        <v>0</v>
      </c>
      <c r="Z54">
        <v>0</v>
      </c>
      <c r="AA54">
        <v>947.93</v>
      </c>
      <c r="AB54">
        <v>0</v>
      </c>
      <c r="AC54" s="49">
        <v>45134</v>
      </c>
      <c r="AD54" s="116" t="s">
        <v>10</v>
      </c>
      <c r="AE54" s="113" t="str" cm="1">
        <f t="array" ref="AE54">_xlfn.IFS(S54&lt;=Constantes!$G$2,"Muito Curta (evitável)",S54&lt;=Constantes!$H$2,"Curta Distância",S54&gt;Constantes!$H$2,"Longa Distância")</f>
        <v>Curta Distância</v>
      </c>
      <c r="AF54" s="114">
        <f>IFERROR(VLOOKUP(AE54,Constantes!$A$1:$E$5,MATCH(AD54,Constantes!$A$1:$E$1,0),0),"")</f>
        <v>0.18286935436241611</v>
      </c>
      <c r="AG54" s="115">
        <f t="shared" si="1"/>
        <v>400.47917570486158</v>
      </c>
    </row>
    <row r="55" spans="1:33" x14ac:dyDescent="0.3">
      <c r="A55">
        <f>COUNTIF($B$2:B55,B55)</f>
        <v>1</v>
      </c>
      <c r="B55">
        <v>19119322</v>
      </c>
      <c r="C55" t="s">
        <v>465</v>
      </c>
      <c r="D55" t="s">
        <v>466</v>
      </c>
      <c r="E55" t="s">
        <v>467</v>
      </c>
      <c r="F55" t="s">
        <v>218</v>
      </c>
      <c r="G55" t="s">
        <v>207</v>
      </c>
      <c r="H55" t="s">
        <v>204</v>
      </c>
      <c r="I55" s="49">
        <v>45141</v>
      </c>
      <c r="J55" s="49">
        <v>45144</v>
      </c>
      <c r="K55" t="s">
        <v>461</v>
      </c>
      <c r="L55" s="49">
        <v>45141</v>
      </c>
      <c r="M55" s="49">
        <v>45144</v>
      </c>
      <c r="N55" t="s">
        <v>107</v>
      </c>
      <c r="O55" t="s">
        <v>117</v>
      </c>
      <c r="P55">
        <f>VLOOKUP(N55,[1]ID_Cidades!$A$1:$E$5900,2,FALSE)</f>
        <v>295765</v>
      </c>
      <c r="Q55">
        <f>VLOOKUP(O55,[1]ID_Cidades!$A$1:$E$5900,2,FALSE)</f>
        <v>295779</v>
      </c>
      <c r="R55">
        <f t="shared" si="0"/>
        <v>87481075935</v>
      </c>
      <c r="S55" s="42">
        <f>VLOOKUP(R55,'[1]GCD base'!$A$1:$M$200,7,FALSE)</f>
        <v>2189.9742419999998</v>
      </c>
      <c r="T55" t="s">
        <v>109</v>
      </c>
      <c r="U55" t="s">
        <v>205</v>
      </c>
      <c r="V55" t="s">
        <v>202</v>
      </c>
      <c r="W55" t="s">
        <v>210</v>
      </c>
      <c r="X55" t="s">
        <v>462</v>
      </c>
      <c r="Y55">
        <v>0</v>
      </c>
      <c r="Z55">
        <v>0</v>
      </c>
      <c r="AA55">
        <v>1061.29</v>
      </c>
      <c r="AB55">
        <v>0</v>
      </c>
      <c r="AC55" s="49">
        <v>45134</v>
      </c>
      <c r="AD55" s="116" t="s">
        <v>10</v>
      </c>
      <c r="AE55" s="113" t="str" cm="1">
        <f t="array" ref="AE55">_xlfn.IFS(S55&lt;=Constantes!$G$2,"Muito Curta (evitável)",S55&lt;=Constantes!$H$2,"Curta Distância",S55&gt;Constantes!$H$2,"Longa Distância")</f>
        <v>Curta Distância</v>
      </c>
      <c r="AF55" s="114">
        <f>IFERROR(VLOOKUP(AE55,Constantes!$A$1:$E$5,MATCH(AD55,Constantes!$A$1:$E$1,0),0),"")</f>
        <v>0.18286935436241611</v>
      </c>
      <c r="AG55" s="115">
        <f t="shared" si="1"/>
        <v>400.47917570486158</v>
      </c>
    </row>
    <row r="56" spans="1:33" x14ac:dyDescent="0.3">
      <c r="A56">
        <f>COUNTIF($B$2:B56,B56)</f>
        <v>2</v>
      </c>
      <c r="B56">
        <v>19119322</v>
      </c>
      <c r="C56" t="s">
        <v>465</v>
      </c>
      <c r="D56" t="s">
        <v>466</v>
      </c>
      <c r="E56" t="s">
        <v>467</v>
      </c>
      <c r="F56" t="s">
        <v>218</v>
      </c>
      <c r="G56" t="s">
        <v>207</v>
      </c>
      <c r="H56" t="s">
        <v>204</v>
      </c>
      <c r="I56" s="49">
        <v>45141</v>
      </c>
      <c r="J56" s="49">
        <v>45144</v>
      </c>
      <c r="K56" t="s">
        <v>461</v>
      </c>
      <c r="L56" s="49">
        <v>45144</v>
      </c>
      <c r="M56" s="49">
        <v>45144</v>
      </c>
      <c r="N56" t="s">
        <v>117</v>
      </c>
      <c r="O56" t="s">
        <v>107</v>
      </c>
      <c r="P56">
        <f>VLOOKUP(N56,[1]ID_Cidades!$A$1:$E$5900,2,FALSE)</f>
        <v>295779</v>
      </c>
      <c r="Q56">
        <f>VLOOKUP(O56,[1]ID_Cidades!$A$1:$E$5900,2,FALSE)</f>
        <v>295765</v>
      </c>
      <c r="R56">
        <f t="shared" si="0"/>
        <v>87481075935</v>
      </c>
      <c r="S56" s="42">
        <f>VLOOKUP(R56,'[1]GCD base'!$A$1:$M$200,7,FALSE)</f>
        <v>2189.9742419999998</v>
      </c>
      <c r="T56" t="s">
        <v>109</v>
      </c>
      <c r="U56" t="s">
        <v>201</v>
      </c>
      <c r="V56" t="s">
        <v>202</v>
      </c>
      <c r="W56" t="s">
        <v>210</v>
      </c>
      <c r="X56" t="s">
        <v>462</v>
      </c>
      <c r="Y56">
        <v>0</v>
      </c>
      <c r="Z56">
        <v>0</v>
      </c>
      <c r="AA56">
        <v>947.93</v>
      </c>
      <c r="AB56">
        <v>0</v>
      </c>
      <c r="AC56" s="49">
        <v>45134</v>
      </c>
      <c r="AD56" s="116" t="s">
        <v>10</v>
      </c>
      <c r="AE56" s="113" t="str" cm="1">
        <f t="array" ref="AE56">_xlfn.IFS(S56&lt;=Constantes!$G$2,"Muito Curta (evitável)",S56&lt;=Constantes!$H$2,"Curta Distância",S56&gt;Constantes!$H$2,"Longa Distância")</f>
        <v>Curta Distância</v>
      </c>
      <c r="AF56" s="114">
        <f>IFERROR(VLOOKUP(AE56,Constantes!$A$1:$E$5,MATCH(AD56,Constantes!$A$1:$E$1,0),0),"")</f>
        <v>0.18286935436241611</v>
      </c>
      <c r="AG56" s="115">
        <f t="shared" si="1"/>
        <v>400.47917570486158</v>
      </c>
    </row>
    <row r="57" spans="1:33" x14ac:dyDescent="0.3">
      <c r="A57">
        <f>COUNTIF($B$2:B57,B57)</f>
        <v>1</v>
      </c>
      <c r="B57">
        <v>19109815</v>
      </c>
      <c r="C57" t="s">
        <v>447</v>
      </c>
      <c r="D57" t="s">
        <v>208</v>
      </c>
      <c r="E57" t="s">
        <v>132</v>
      </c>
      <c r="F57" t="s">
        <v>198</v>
      </c>
      <c r="G57" t="s">
        <v>209</v>
      </c>
      <c r="H57" t="s">
        <v>200</v>
      </c>
      <c r="I57" s="49">
        <v>45142</v>
      </c>
      <c r="J57" s="49">
        <v>45143</v>
      </c>
      <c r="K57" t="s">
        <v>448</v>
      </c>
      <c r="L57" s="49">
        <v>45142</v>
      </c>
      <c r="M57" s="49">
        <v>45143</v>
      </c>
      <c r="N57" t="s">
        <v>116</v>
      </c>
      <c r="O57" t="s">
        <v>107</v>
      </c>
      <c r="P57">
        <f>VLOOKUP(N57,[1]ID_Cidades!$A$1:$E$5900,2,FALSE)</f>
        <v>295778</v>
      </c>
      <c r="Q57">
        <f>VLOOKUP(O57,[1]ID_Cidades!$A$1:$E$5900,2,FALSE)</f>
        <v>295765</v>
      </c>
      <c r="R57">
        <f t="shared" si="0"/>
        <v>87480780170</v>
      </c>
      <c r="S57" s="42">
        <f>VLOOKUP(R57,'[1]GCD base'!$A$1:$M$200,7,FALSE)</f>
        <v>1961.5007860000001</v>
      </c>
      <c r="T57" t="s">
        <v>109</v>
      </c>
      <c r="U57" t="s">
        <v>201</v>
      </c>
      <c r="V57" t="s">
        <v>202</v>
      </c>
      <c r="W57" t="s">
        <v>210</v>
      </c>
      <c r="X57" t="s">
        <v>449</v>
      </c>
      <c r="Y57">
        <v>715.32</v>
      </c>
      <c r="Z57">
        <v>0</v>
      </c>
      <c r="AA57">
        <v>736.69</v>
      </c>
      <c r="AB57">
        <v>0</v>
      </c>
      <c r="AC57" s="49">
        <v>45128</v>
      </c>
      <c r="AD57" s="116" t="s">
        <v>10</v>
      </c>
      <c r="AE57" s="113" t="str" cm="1">
        <f t="array" ref="AE57">_xlfn.IFS(S57&lt;=Constantes!$G$2,"Muito Curta (evitável)",S57&lt;=Constantes!$H$2,"Curta Distância",S57&gt;Constantes!$H$2,"Longa Distância")</f>
        <v>Curta Distância</v>
      </c>
      <c r="AF57" s="114">
        <f>IFERROR(VLOOKUP(AE57,Constantes!$A$1:$E$5,MATCH(AD57,Constantes!$A$1:$E$1,0),0),"")</f>
        <v>0.18286935436241611</v>
      </c>
      <c r="AG57" s="115">
        <f t="shared" si="1"/>
        <v>358.69838231719172</v>
      </c>
    </row>
    <row r="58" spans="1:33" x14ac:dyDescent="0.3">
      <c r="A58">
        <f>COUNTIF($B$2:B58,B58)</f>
        <v>2</v>
      </c>
      <c r="B58">
        <v>19109815</v>
      </c>
      <c r="C58" t="s">
        <v>447</v>
      </c>
      <c r="D58" t="s">
        <v>208</v>
      </c>
      <c r="E58" t="s">
        <v>132</v>
      </c>
      <c r="F58" t="s">
        <v>198</v>
      </c>
      <c r="G58" t="s">
        <v>209</v>
      </c>
      <c r="H58" t="s">
        <v>200</v>
      </c>
      <c r="I58" s="49">
        <v>45142</v>
      </c>
      <c r="J58" s="49">
        <v>45143</v>
      </c>
      <c r="K58" t="s">
        <v>448</v>
      </c>
      <c r="L58" s="49">
        <v>45142</v>
      </c>
      <c r="M58" s="49">
        <v>45142</v>
      </c>
      <c r="N58" t="s">
        <v>107</v>
      </c>
      <c r="O58" t="s">
        <v>116</v>
      </c>
      <c r="P58">
        <f>VLOOKUP(N58,[1]ID_Cidades!$A$1:$E$5900,2,FALSE)</f>
        <v>295765</v>
      </c>
      <c r="Q58">
        <f>VLOOKUP(O58,[1]ID_Cidades!$A$1:$E$5900,2,FALSE)</f>
        <v>295778</v>
      </c>
      <c r="R58">
        <f t="shared" si="0"/>
        <v>87480780170</v>
      </c>
      <c r="S58" s="42">
        <f>VLOOKUP(R58,'[1]GCD base'!$A$1:$M$200,7,FALSE)</f>
        <v>1961.5007860000001</v>
      </c>
      <c r="T58" t="s">
        <v>109</v>
      </c>
      <c r="U58" t="s">
        <v>205</v>
      </c>
      <c r="V58" t="s">
        <v>202</v>
      </c>
      <c r="W58" t="s">
        <v>210</v>
      </c>
      <c r="X58" t="s">
        <v>449</v>
      </c>
      <c r="Y58">
        <v>0</v>
      </c>
      <c r="Z58">
        <v>0</v>
      </c>
      <c r="AA58">
        <v>733.4</v>
      </c>
      <c r="AB58">
        <v>0</v>
      </c>
      <c r="AC58" s="49">
        <v>45128</v>
      </c>
      <c r="AD58" s="116" t="s">
        <v>10</v>
      </c>
      <c r="AE58" s="113" t="str" cm="1">
        <f t="array" ref="AE58">_xlfn.IFS(S58&lt;=Constantes!$G$2,"Muito Curta (evitável)",S58&lt;=Constantes!$H$2,"Curta Distância",S58&gt;Constantes!$H$2,"Longa Distância")</f>
        <v>Curta Distância</v>
      </c>
      <c r="AF58" s="114">
        <f>IFERROR(VLOOKUP(AE58,Constantes!$A$1:$E$5,MATCH(AD58,Constantes!$A$1:$E$1,0),0),"")</f>
        <v>0.18286935436241611</v>
      </c>
      <c r="AG58" s="115">
        <f t="shared" si="1"/>
        <v>358.69838231719172</v>
      </c>
    </row>
    <row r="59" spans="1:33" x14ac:dyDescent="0.3">
      <c r="A59">
        <f>COUNTIF($B$2:B59,B59)</f>
        <v>1</v>
      </c>
      <c r="B59">
        <v>19076735</v>
      </c>
      <c r="C59" t="s">
        <v>355</v>
      </c>
      <c r="D59" t="s">
        <v>356</v>
      </c>
      <c r="E59" t="s">
        <v>357</v>
      </c>
      <c r="F59" t="s">
        <v>198</v>
      </c>
      <c r="G59" t="s">
        <v>233</v>
      </c>
      <c r="H59" t="s">
        <v>233</v>
      </c>
      <c r="I59" s="49">
        <v>45143</v>
      </c>
      <c r="J59" s="49">
        <v>45146</v>
      </c>
      <c r="K59" t="s">
        <v>358</v>
      </c>
      <c r="L59" s="49">
        <v>45143</v>
      </c>
      <c r="M59" s="49">
        <v>45146</v>
      </c>
      <c r="N59" t="s">
        <v>107</v>
      </c>
      <c r="O59" t="s">
        <v>115</v>
      </c>
      <c r="P59">
        <f>VLOOKUP(N59,[1]ID_Cidades!$A$1:$E$5900,2,FALSE)</f>
        <v>295765</v>
      </c>
      <c r="Q59">
        <f>VLOOKUP(O59,[1]ID_Cidades!$A$1:$E$5900,2,FALSE)</f>
        <v>295770</v>
      </c>
      <c r="R59">
        <f t="shared" si="0"/>
        <v>87478414050</v>
      </c>
      <c r="S59" s="42">
        <f>VLOOKUP(R59,'[1]GCD base'!$A$1:$M$200,7,FALSE)</f>
        <v>741.11941309999997</v>
      </c>
      <c r="T59" t="s">
        <v>109</v>
      </c>
      <c r="U59" t="s">
        <v>205</v>
      </c>
      <c r="V59" t="s">
        <v>202</v>
      </c>
      <c r="W59" t="s">
        <v>203</v>
      </c>
      <c r="X59" t="s">
        <v>204</v>
      </c>
      <c r="Y59">
        <v>1228.75</v>
      </c>
      <c r="Z59">
        <v>0</v>
      </c>
      <c r="AA59">
        <v>769.29</v>
      </c>
      <c r="AB59">
        <v>0</v>
      </c>
      <c r="AC59" s="49">
        <v>45117</v>
      </c>
      <c r="AD59" s="116" t="s">
        <v>10</v>
      </c>
      <c r="AE59" s="113" t="str" cm="1">
        <f t="array" ref="AE59">_xlfn.IFS(S59&lt;=Constantes!$G$2,"Muito Curta (evitável)",S59&lt;=Constantes!$H$2,"Curta Distância",S59&gt;Constantes!$H$2,"Longa Distância")</f>
        <v>Curta Distância</v>
      </c>
      <c r="AF59" s="114">
        <f>IFERROR(VLOOKUP(AE59,Constantes!$A$1:$E$5,MATCH(AD59,Constantes!$A$1:$E$1,0),0),"")</f>
        <v>0.18286935436241611</v>
      </c>
      <c r="AG59" s="115">
        <f t="shared" si="1"/>
        <v>135.52802857904976</v>
      </c>
    </row>
    <row r="60" spans="1:33" x14ac:dyDescent="0.3">
      <c r="A60">
        <f>COUNTIF($B$2:B60,B60)</f>
        <v>2</v>
      </c>
      <c r="B60">
        <v>19076735</v>
      </c>
      <c r="C60" t="s">
        <v>355</v>
      </c>
      <c r="D60" t="s">
        <v>356</v>
      </c>
      <c r="E60" t="s">
        <v>357</v>
      </c>
      <c r="F60" t="s">
        <v>198</v>
      </c>
      <c r="G60" t="s">
        <v>233</v>
      </c>
      <c r="H60" t="s">
        <v>233</v>
      </c>
      <c r="I60" s="49">
        <v>45143</v>
      </c>
      <c r="J60" s="49">
        <v>45146</v>
      </c>
      <c r="K60" t="s">
        <v>358</v>
      </c>
      <c r="L60" s="49">
        <v>45146</v>
      </c>
      <c r="M60" s="49">
        <v>45146</v>
      </c>
      <c r="N60" t="s">
        <v>115</v>
      </c>
      <c r="O60" t="s">
        <v>107</v>
      </c>
      <c r="P60">
        <f>VLOOKUP(N60,[1]ID_Cidades!$A$1:$E$5900,2,FALSE)</f>
        <v>295770</v>
      </c>
      <c r="Q60">
        <f>VLOOKUP(O60,[1]ID_Cidades!$A$1:$E$5900,2,FALSE)</f>
        <v>295765</v>
      </c>
      <c r="R60">
        <f t="shared" si="0"/>
        <v>87478414050</v>
      </c>
      <c r="S60" s="42">
        <f>VLOOKUP(R60,'[1]GCD base'!$A$1:$M$200,7,FALSE)</f>
        <v>741.11941309999997</v>
      </c>
      <c r="T60" t="s">
        <v>109</v>
      </c>
      <c r="U60" t="s">
        <v>201</v>
      </c>
      <c r="V60" t="s">
        <v>202</v>
      </c>
      <c r="W60" t="s">
        <v>203</v>
      </c>
      <c r="X60" t="s">
        <v>204</v>
      </c>
      <c r="Y60">
        <v>0</v>
      </c>
      <c r="Z60">
        <v>0</v>
      </c>
      <c r="AA60">
        <v>533.05999999999995</v>
      </c>
      <c r="AB60">
        <v>0</v>
      </c>
      <c r="AC60" s="49">
        <v>45117</v>
      </c>
      <c r="AD60" s="116" t="s">
        <v>10</v>
      </c>
      <c r="AE60" s="113" t="str" cm="1">
        <f t="array" ref="AE60">_xlfn.IFS(S60&lt;=Constantes!$G$2,"Muito Curta (evitável)",S60&lt;=Constantes!$H$2,"Curta Distância",S60&gt;Constantes!$H$2,"Longa Distância")</f>
        <v>Curta Distância</v>
      </c>
      <c r="AF60" s="114">
        <f>IFERROR(VLOOKUP(AE60,Constantes!$A$1:$E$5,MATCH(AD60,Constantes!$A$1:$E$1,0),0),"")</f>
        <v>0.18286935436241611</v>
      </c>
      <c r="AG60" s="115">
        <f t="shared" si="1"/>
        <v>135.52802857904976</v>
      </c>
    </row>
    <row r="61" spans="1:33" x14ac:dyDescent="0.3">
      <c r="A61">
        <f>COUNTIF($B$2:B61,B61)</f>
        <v>1</v>
      </c>
      <c r="B61">
        <v>19041175</v>
      </c>
      <c r="C61" t="s">
        <v>284</v>
      </c>
      <c r="D61" t="s">
        <v>285</v>
      </c>
      <c r="E61" t="s">
        <v>286</v>
      </c>
      <c r="F61" t="s">
        <v>218</v>
      </c>
      <c r="G61" t="s">
        <v>207</v>
      </c>
      <c r="H61" t="s">
        <v>204</v>
      </c>
      <c r="I61" s="49">
        <v>45144</v>
      </c>
      <c r="J61" s="49">
        <v>45159</v>
      </c>
      <c r="K61" t="s">
        <v>287</v>
      </c>
      <c r="L61" s="49">
        <v>45144</v>
      </c>
      <c r="M61" s="49">
        <v>45159</v>
      </c>
      <c r="N61" t="s">
        <v>115</v>
      </c>
      <c r="O61" t="s">
        <v>107</v>
      </c>
      <c r="P61">
        <f>VLOOKUP(N61,[1]ID_Cidades!$A$1:$E$5900,2,FALSE)</f>
        <v>295770</v>
      </c>
      <c r="Q61">
        <f>VLOOKUP(O61,[1]ID_Cidades!$A$1:$E$5900,2,FALSE)</f>
        <v>295765</v>
      </c>
      <c r="R61">
        <f t="shared" si="0"/>
        <v>87478414050</v>
      </c>
      <c r="S61" s="42">
        <f>VLOOKUP(R61,'[1]GCD base'!$A$1:$M$200,7,FALSE)</f>
        <v>741.11941309999997</v>
      </c>
      <c r="T61" t="s">
        <v>109</v>
      </c>
      <c r="U61" t="s">
        <v>205</v>
      </c>
      <c r="V61" t="s">
        <v>202</v>
      </c>
      <c r="W61" t="s">
        <v>203</v>
      </c>
      <c r="X61" t="s">
        <v>204</v>
      </c>
      <c r="Y61">
        <v>0</v>
      </c>
      <c r="Z61">
        <v>0</v>
      </c>
      <c r="AA61">
        <v>586.76</v>
      </c>
      <c r="AB61">
        <v>0</v>
      </c>
      <c r="AC61" s="49">
        <v>45111</v>
      </c>
      <c r="AD61" s="116" t="s">
        <v>10</v>
      </c>
      <c r="AE61" s="113" t="str" cm="1">
        <f t="array" ref="AE61">_xlfn.IFS(S61&lt;=Constantes!$G$2,"Muito Curta (evitável)",S61&lt;=Constantes!$H$2,"Curta Distância",S61&gt;Constantes!$H$2,"Longa Distância")</f>
        <v>Curta Distância</v>
      </c>
      <c r="AF61" s="114">
        <f>IFERROR(VLOOKUP(AE61,Constantes!$A$1:$E$5,MATCH(AD61,Constantes!$A$1:$E$1,0),0),"")</f>
        <v>0.18286935436241611</v>
      </c>
      <c r="AG61" s="115">
        <f t="shared" si="1"/>
        <v>135.52802857904976</v>
      </c>
    </row>
    <row r="62" spans="1:33" x14ac:dyDescent="0.3">
      <c r="A62">
        <f>COUNTIF($B$2:B62,B62)</f>
        <v>2</v>
      </c>
      <c r="B62">
        <v>19041175</v>
      </c>
      <c r="C62" t="s">
        <v>284</v>
      </c>
      <c r="D62" t="s">
        <v>285</v>
      </c>
      <c r="E62" t="s">
        <v>286</v>
      </c>
      <c r="F62" t="s">
        <v>218</v>
      </c>
      <c r="G62" t="s">
        <v>207</v>
      </c>
      <c r="H62" t="s">
        <v>204</v>
      </c>
      <c r="I62" s="49">
        <v>45144</v>
      </c>
      <c r="J62" s="49">
        <v>45159</v>
      </c>
      <c r="K62" t="s">
        <v>287</v>
      </c>
      <c r="L62" s="49">
        <v>45159</v>
      </c>
      <c r="M62" s="49">
        <v>45159</v>
      </c>
      <c r="N62" t="s">
        <v>107</v>
      </c>
      <c r="O62" t="s">
        <v>115</v>
      </c>
      <c r="P62">
        <f>VLOOKUP(N62,[1]ID_Cidades!$A$1:$E$5900,2,FALSE)</f>
        <v>295765</v>
      </c>
      <c r="Q62">
        <f>VLOOKUP(O62,[1]ID_Cidades!$A$1:$E$5900,2,FALSE)</f>
        <v>295770</v>
      </c>
      <c r="R62">
        <f t="shared" si="0"/>
        <v>87478414050</v>
      </c>
      <c r="S62" s="42">
        <f>VLOOKUP(R62,'[1]GCD base'!$A$1:$M$200,7,FALSE)</f>
        <v>741.11941309999997</v>
      </c>
      <c r="T62" t="s">
        <v>109</v>
      </c>
      <c r="U62" t="s">
        <v>201</v>
      </c>
      <c r="V62" t="s">
        <v>202</v>
      </c>
      <c r="W62" t="s">
        <v>203</v>
      </c>
      <c r="X62" t="s">
        <v>204</v>
      </c>
      <c r="Y62">
        <v>0</v>
      </c>
      <c r="Z62">
        <v>0</v>
      </c>
      <c r="AA62">
        <v>591.39</v>
      </c>
      <c r="AB62">
        <v>0</v>
      </c>
      <c r="AC62" s="49">
        <v>45111</v>
      </c>
      <c r="AD62" s="116" t="s">
        <v>10</v>
      </c>
      <c r="AE62" s="113" t="str" cm="1">
        <f t="array" ref="AE62">_xlfn.IFS(S62&lt;=Constantes!$G$2,"Muito Curta (evitável)",S62&lt;=Constantes!$H$2,"Curta Distância",S62&gt;Constantes!$H$2,"Longa Distância")</f>
        <v>Curta Distância</v>
      </c>
      <c r="AF62" s="114">
        <f>IFERROR(VLOOKUP(AE62,Constantes!$A$1:$E$5,MATCH(AD62,Constantes!$A$1:$E$1,0),0),"")</f>
        <v>0.18286935436241611</v>
      </c>
      <c r="AG62" s="115">
        <f t="shared" si="1"/>
        <v>135.52802857904976</v>
      </c>
    </row>
    <row r="63" spans="1:33" x14ac:dyDescent="0.3">
      <c r="A63">
        <f>COUNTIF($B$2:B63,B63)</f>
        <v>1</v>
      </c>
      <c r="B63">
        <v>19044799</v>
      </c>
      <c r="C63" t="s">
        <v>291</v>
      </c>
      <c r="D63" t="s">
        <v>292</v>
      </c>
      <c r="E63" t="s">
        <v>293</v>
      </c>
      <c r="F63" t="s">
        <v>218</v>
      </c>
      <c r="G63" t="s">
        <v>207</v>
      </c>
      <c r="H63" t="s">
        <v>204</v>
      </c>
      <c r="I63" s="49">
        <v>45144</v>
      </c>
      <c r="J63" s="49">
        <v>45159</v>
      </c>
      <c r="K63" t="s">
        <v>287</v>
      </c>
      <c r="L63" s="49">
        <v>45159</v>
      </c>
      <c r="M63" s="49">
        <v>45159</v>
      </c>
      <c r="N63" t="s">
        <v>107</v>
      </c>
      <c r="O63" t="s">
        <v>116</v>
      </c>
      <c r="P63">
        <f>VLOOKUP(N63,[1]ID_Cidades!$A$1:$E$5900,2,FALSE)</f>
        <v>295765</v>
      </c>
      <c r="Q63">
        <f>VLOOKUP(O63,[1]ID_Cidades!$A$1:$E$5900,2,FALSE)</f>
        <v>295778</v>
      </c>
      <c r="R63">
        <f t="shared" si="0"/>
        <v>87480780170</v>
      </c>
      <c r="S63" s="42">
        <f>VLOOKUP(R63,'[1]GCD base'!$A$1:$M$200,7,FALSE)</f>
        <v>1961.5007860000001</v>
      </c>
      <c r="T63" t="s">
        <v>109</v>
      </c>
      <c r="U63" t="s">
        <v>201</v>
      </c>
      <c r="V63" t="s">
        <v>202</v>
      </c>
      <c r="W63" t="s">
        <v>203</v>
      </c>
      <c r="X63" t="s">
        <v>204</v>
      </c>
      <c r="Y63">
        <v>5380.81</v>
      </c>
      <c r="Z63">
        <v>0</v>
      </c>
      <c r="AA63">
        <v>910.8</v>
      </c>
      <c r="AB63">
        <v>0</v>
      </c>
      <c r="AC63" s="49">
        <v>45112</v>
      </c>
      <c r="AD63" s="116" t="s">
        <v>10</v>
      </c>
      <c r="AE63" s="113" t="str" cm="1">
        <f t="array" ref="AE63">_xlfn.IFS(S63&lt;=Constantes!$G$2,"Muito Curta (evitável)",S63&lt;=Constantes!$H$2,"Curta Distância",S63&gt;Constantes!$H$2,"Longa Distância")</f>
        <v>Curta Distância</v>
      </c>
      <c r="AF63" s="114">
        <f>IFERROR(VLOOKUP(AE63,Constantes!$A$1:$E$5,MATCH(AD63,Constantes!$A$1:$E$1,0),0),"")</f>
        <v>0.18286935436241611</v>
      </c>
      <c r="AG63" s="115">
        <f t="shared" si="1"/>
        <v>358.69838231719172</v>
      </c>
    </row>
    <row r="64" spans="1:33" x14ac:dyDescent="0.3">
      <c r="A64">
        <f>COUNTIF($B$2:B64,B64)</f>
        <v>2</v>
      </c>
      <c r="B64">
        <v>19044799</v>
      </c>
      <c r="C64" t="s">
        <v>291</v>
      </c>
      <c r="D64" t="s">
        <v>292</v>
      </c>
      <c r="E64" t="s">
        <v>293</v>
      </c>
      <c r="F64" t="s">
        <v>218</v>
      </c>
      <c r="G64" t="s">
        <v>207</v>
      </c>
      <c r="H64" t="s">
        <v>204</v>
      </c>
      <c r="I64" s="49">
        <v>45144</v>
      </c>
      <c r="J64" s="49">
        <v>45159</v>
      </c>
      <c r="K64" t="s">
        <v>287</v>
      </c>
      <c r="L64" s="49">
        <v>45144</v>
      </c>
      <c r="M64" s="49">
        <v>45159</v>
      </c>
      <c r="N64" t="s">
        <v>116</v>
      </c>
      <c r="O64" t="s">
        <v>107</v>
      </c>
      <c r="P64">
        <f>VLOOKUP(N64,[1]ID_Cidades!$A$1:$E$5900,2,FALSE)</f>
        <v>295778</v>
      </c>
      <c r="Q64">
        <f>VLOOKUP(O64,[1]ID_Cidades!$A$1:$E$5900,2,FALSE)</f>
        <v>295765</v>
      </c>
      <c r="R64">
        <f t="shared" si="0"/>
        <v>87480780170</v>
      </c>
      <c r="S64" s="42">
        <f>VLOOKUP(R64,'[1]GCD base'!$A$1:$M$200,7,FALSE)</f>
        <v>1961.5007860000001</v>
      </c>
      <c r="T64" t="s">
        <v>109</v>
      </c>
      <c r="U64" t="s">
        <v>205</v>
      </c>
      <c r="V64" t="s">
        <v>202</v>
      </c>
      <c r="W64" t="s">
        <v>203</v>
      </c>
      <c r="X64" t="s">
        <v>204</v>
      </c>
      <c r="Y64">
        <v>0</v>
      </c>
      <c r="Z64">
        <v>0</v>
      </c>
      <c r="AA64">
        <v>805.69</v>
      </c>
      <c r="AB64">
        <v>0</v>
      </c>
      <c r="AC64" s="49">
        <v>45112</v>
      </c>
      <c r="AD64" s="116" t="s">
        <v>10</v>
      </c>
      <c r="AE64" s="113" t="str" cm="1">
        <f t="array" ref="AE64">_xlfn.IFS(S64&lt;=Constantes!$G$2,"Muito Curta (evitável)",S64&lt;=Constantes!$H$2,"Curta Distância",S64&gt;Constantes!$H$2,"Longa Distância")</f>
        <v>Curta Distância</v>
      </c>
      <c r="AF64" s="114">
        <f>IFERROR(VLOOKUP(AE64,Constantes!$A$1:$E$5,MATCH(AD64,Constantes!$A$1:$E$1,0),0),"")</f>
        <v>0.18286935436241611</v>
      </c>
      <c r="AG64" s="115">
        <f t="shared" si="1"/>
        <v>358.69838231719172</v>
      </c>
    </row>
    <row r="65" spans="1:33" x14ac:dyDescent="0.3">
      <c r="A65">
        <f>COUNTIF($B$2:B65,B65)</f>
        <v>1</v>
      </c>
      <c r="B65">
        <v>19052875</v>
      </c>
      <c r="C65" t="s">
        <v>307</v>
      </c>
      <c r="D65" t="s">
        <v>255</v>
      </c>
      <c r="E65" t="s">
        <v>256</v>
      </c>
      <c r="F65" t="s">
        <v>198</v>
      </c>
      <c r="G65" t="s">
        <v>233</v>
      </c>
      <c r="H65" t="s">
        <v>233</v>
      </c>
      <c r="I65" s="49">
        <v>45144</v>
      </c>
      <c r="J65" s="49">
        <v>45146</v>
      </c>
      <c r="K65" t="s">
        <v>308</v>
      </c>
      <c r="L65" s="49">
        <v>45146</v>
      </c>
      <c r="M65" s="49">
        <v>45146</v>
      </c>
      <c r="N65" t="s">
        <v>115</v>
      </c>
      <c r="O65" t="s">
        <v>107</v>
      </c>
      <c r="P65">
        <f>VLOOKUP(N65,[1]ID_Cidades!$A$1:$E$5900,2,FALSE)</f>
        <v>295770</v>
      </c>
      <c r="Q65">
        <f>VLOOKUP(O65,[1]ID_Cidades!$A$1:$E$5900,2,FALSE)</f>
        <v>295765</v>
      </c>
      <c r="R65">
        <f t="shared" si="0"/>
        <v>87478414050</v>
      </c>
      <c r="S65" s="42">
        <f>VLOOKUP(R65,'[1]GCD base'!$A$1:$M$200,7,FALSE)</f>
        <v>741.11941309999997</v>
      </c>
      <c r="T65" t="s">
        <v>109</v>
      </c>
      <c r="U65" t="s">
        <v>201</v>
      </c>
      <c r="V65" t="s">
        <v>202</v>
      </c>
      <c r="W65" t="s">
        <v>203</v>
      </c>
      <c r="X65" t="s">
        <v>204</v>
      </c>
      <c r="Y65">
        <v>887.73</v>
      </c>
      <c r="Z65">
        <v>0</v>
      </c>
      <c r="AA65">
        <v>452.36</v>
      </c>
      <c r="AB65">
        <v>0</v>
      </c>
      <c r="AC65" s="49">
        <v>45118</v>
      </c>
      <c r="AD65" s="116" t="s">
        <v>10</v>
      </c>
      <c r="AE65" s="113" t="str" cm="1">
        <f t="array" ref="AE65">_xlfn.IFS(S65&lt;=Constantes!$G$2,"Muito Curta (evitável)",S65&lt;=Constantes!$H$2,"Curta Distância",S65&gt;Constantes!$H$2,"Longa Distância")</f>
        <v>Curta Distância</v>
      </c>
      <c r="AF65" s="114">
        <f>IFERROR(VLOOKUP(AE65,Constantes!$A$1:$E$5,MATCH(AD65,Constantes!$A$1:$E$1,0),0),"")</f>
        <v>0.18286935436241611</v>
      </c>
      <c r="AG65" s="115">
        <f t="shared" si="1"/>
        <v>135.52802857904976</v>
      </c>
    </row>
    <row r="66" spans="1:33" x14ac:dyDescent="0.3">
      <c r="A66">
        <f>COUNTIF($B$2:B66,B66)</f>
        <v>2</v>
      </c>
      <c r="B66">
        <v>19052875</v>
      </c>
      <c r="C66" t="s">
        <v>307</v>
      </c>
      <c r="D66" t="s">
        <v>255</v>
      </c>
      <c r="E66" t="s">
        <v>256</v>
      </c>
      <c r="F66" t="s">
        <v>198</v>
      </c>
      <c r="G66" t="s">
        <v>233</v>
      </c>
      <c r="H66" t="s">
        <v>233</v>
      </c>
      <c r="I66" s="49">
        <v>45144</v>
      </c>
      <c r="J66" s="49">
        <v>45146</v>
      </c>
      <c r="K66" t="s">
        <v>308</v>
      </c>
      <c r="L66" s="49">
        <v>45144</v>
      </c>
      <c r="M66" s="49">
        <v>45146</v>
      </c>
      <c r="N66" t="s">
        <v>107</v>
      </c>
      <c r="O66" t="s">
        <v>115</v>
      </c>
      <c r="P66">
        <f>VLOOKUP(N66,[1]ID_Cidades!$A$1:$E$5900,2,FALSE)</f>
        <v>295765</v>
      </c>
      <c r="Q66">
        <f>VLOOKUP(O66,[1]ID_Cidades!$A$1:$E$5900,2,FALSE)</f>
        <v>295770</v>
      </c>
      <c r="R66">
        <f t="shared" ref="R66:R129" si="2">P66*Q66</f>
        <v>87478414050</v>
      </c>
      <c r="S66" s="42">
        <f>VLOOKUP(R66,'[1]GCD base'!$A$1:$M$200,7,FALSE)</f>
        <v>741.11941309999997</v>
      </c>
      <c r="T66" t="s">
        <v>109</v>
      </c>
      <c r="U66" t="s">
        <v>205</v>
      </c>
      <c r="V66" t="s">
        <v>202</v>
      </c>
      <c r="W66" t="s">
        <v>203</v>
      </c>
      <c r="X66" t="s">
        <v>204</v>
      </c>
      <c r="Y66">
        <v>0</v>
      </c>
      <c r="Z66">
        <v>0</v>
      </c>
      <c r="AA66">
        <v>502.39</v>
      </c>
      <c r="AB66">
        <v>0</v>
      </c>
      <c r="AC66" s="49">
        <v>45118</v>
      </c>
      <c r="AD66" s="116" t="s">
        <v>10</v>
      </c>
      <c r="AE66" s="113" t="str" cm="1">
        <f t="array" ref="AE66">_xlfn.IFS(S66&lt;=Constantes!$G$2,"Muito Curta (evitável)",S66&lt;=Constantes!$H$2,"Curta Distância",S66&gt;Constantes!$H$2,"Longa Distância")</f>
        <v>Curta Distância</v>
      </c>
      <c r="AF66" s="114">
        <f>IFERROR(VLOOKUP(AE66,Constantes!$A$1:$E$5,MATCH(AD66,Constantes!$A$1:$E$1,0),0),"")</f>
        <v>0.18286935436241611</v>
      </c>
      <c r="AG66" s="115">
        <f t="shared" si="1"/>
        <v>135.52802857904976</v>
      </c>
    </row>
    <row r="67" spans="1:33" x14ac:dyDescent="0.3">
      <c r="A67">
        <f>COUNTIF($B$2:B67,B67)</f>
        <v>1</v>
      </c>
      <c r="B67">
        <v>19086266</v>
      </c>
      <c r="C67" t="s">
        <v>383</v>
      </c>
      <c r="D67" t="s">
        <v>339</v>
      </c>
      <c r="E67" t="s">
        <v>340</v>
      </c>
      <c r="F67" t="s">
        <v>198</v>
      </c>
      <c r="G67" t="s">
        <v>207</v>
      </c>
      <c r="H67" t="s">
        <v>204</v>
      </c>
      <c r="I67" s="49">
        <v>45144</v>
      </c>
      <c r="J67" s="49">
        <v>45146</v>
      </c>
      <c r="K67" t="s">
        <v>384</v>
      </c>
      <c r="L67" s="49">
        <v>45144</v>
      </c>
      <c r="M67" s="49">
        <v>45146</v>
      </c>
      <c r="N67" t="s">
        <v>107</v>
      </c>
      <c r="O67" t="s">
        <v>115</v>
      </c>
      <c r="P67">
        <f>VLOOKUP(N67,[1]ID_Cidades!$A$1:$E$5900,2,FALSE)</f>
        <v>295765</v>
      </c>
      <c r="Q67">
        <f>VLOOKUP(O67,[1]ID_Cidades!$A$1:$E$5900,2,FALSE)</f>
        <v>295770</v>
      </c>
      <c r="R67">
        <f t="shared" si="2"/>
        <v>87478414050</v>
      </c>
      <c r="S67" s="42">
        <f>VLOOKUP(R67,'[1]GCD base'!$A$1:$M$200,7,FALSE)</f>
        <v>741.11941309999997</v>
      </c>
      <c r="T67" t="s">
        <v>109</v>
      </c>
      <c r="U67" t="s">
        <v>205</v>
      </c>
      <c r="V67" t="s">
        <v>202</v>
      </c>
      <c r="W67" t="s">
        <v>203</v>
      </c>
      <c r="X67" t="s">
        <v>204</v>
      </c>
      <c r="Y67">
        <v>887.73</v>
      </c>
      <c r="Z67">
        <v>0</v>
      </c>
      <c r="AA67">
        <v>764.66</v>
      </c>
      <c r="AB67">
        <v>0</v>
      </c>
      <c r="AC67" s="49">
        <v>45119</v>
      </c>
      <c r="AD67" s="116" t="s">
        <v>10</v>
      </c>
      <c r="AE67" s="113" t="str" cm="1">
        <f t="array" ref="AE67">_xlfn.IFS(S67&lt;=Constantes!$G$2,"Muito Curta (evitável)",S67&lt;=Constantes!$H$2,"Curta Distância",S67&gt;Constantes!$H$2,"Longa Distância")</f>
        <v>Curta Distância</v>
      </c>
      <c r="AF67" s="114">
        <f>IFERROR(VLOOKUP(AE67,Constantes!$A$1:$E$5,MATCH(AD67,Constantes!$A$1:$E$1,0),0),"")</f>
        <v>0.18286935436241611</v>
      </c>
      <c r="AG67" s="115">
        <f t="shared" ref="AG67:AG130" si="3">AF67*S67</f>
        <v>135.52802857904976</v>
      </c>
    </row>
    <row r="68" spans="1:33" x14ac:dyDescent="0.3">
      <c r="A68">
        <f>COUNTIF($B$2:B68,B68)</f>
        <v>2</v>
      </c>
      <c r="B68">
        <v>19086266</v>
      </c>
      <c r="C68" t="s">
        <v>383</v>
      </c>
      <c r="D68" t="s">
        <v>339</v>
      </c>
      <c r="E68" t="s">
        <v>340</v>
      </c>
      <c r="F68" t="s">
        <v>198</v>
      </c>
      <c r="G68" t="s">
        <v>207</v>
      </c>
      <c r="H68" t="s">
        <v>204</v>
      </c>
      <c r="I68" s="49">
        <v>45144</v>
      </c>
      <c r="J68" s="49">
        <v>45146</v>
      </c>
      <c r="K68" t="s">
        <v>384</v>
      </c>
      <c r="L68" s="49">
        <v>45146</v>
      </c>
      <c r="M68" s="49">
        <v>45146</v>
      </c>
      <c r="N68" t="s">
        <v>115</v>
      </c>
      <c r="O68" t="s">
        <v>107</v>
      </c>
      <c r="P68">
        <f>VLOOKUP(N68,[1]ID_Cidades!$A$1:$E$5900,2,FALSE)</f>
        <v>295770</v>
      </c>
      <c r="Q68">
        <f>VLOOKUP(O68,[1]ID_Cidades!$A$1:$E$5900,2,FALSE)</f>
        <v>295765</v>
      </c>
      <c r="R68">
        <f t="shared" si="2"/>
        <v>87478414050</v>
      </c>
      <c r="S68" s="42">
        <f>VLOOKUP(R68,'[1]GCD base'!$A$1:$M$200,7,FALSE)</f>
        <v>741.11941309999997</v>
      </c>
      <c r="T68" t="s">
        <v>109</v>
      </c>
      <c r="U68" t="s">
        <v>201</v>
      </c>
      <c r="V68" t="s">
        <v>202</v>
      </c>
      <c r="W68" t="s">
        <v>203</v>
      </c>
      <c r="X68" t="s">
        <v>204</v>
      </c>
      <c r="Y68">
        <v>0</v>
      </c>
      <c r="Z68">
        <v>0</v>
      </c>
      <c r="AA68">
        <v>769.29</v>
      </c>
      <c r="AB68">
        <v>0</v>
      </c>
      <c r="AC68" s="49">
        <v>45119</v>
      </c>
      <c r="AD68" s="116" t="s">
        <v>10</v>
      </c>
      <c r="AE68" s="113" t="str" cm="1">
        <f t="array" ref="AE68">_xlfn.IFS(S68&lt;=Constantes!$G$2,"Muito Curta (evitável)",S68&lt;=Constantes!$H$2,"Curta Distância",S68&gt;Constantes!$H$2,"Longa Distância")</f>
        <v>Curta Distância</v>
      </c>
      <c r="AF68" s="114">
        <f>IFERROR(VLOOKUP(AE68,Constantes!$A$1:$E$5,MATCH(AD68,Constantes!$A$1:$E$1,0),0),"")</f>
        <v>0.18286935436241611</v>
      </c>
      <c r="AG68" s="115">
        <f t="shared" si="3"/>
        <v>135.52802857904976</v>
      </c>
    </row>
    <row r="69" spans="1:33" x14ac:dyDescent="0.3">
      <c r="A69">
        <f>COUNTIF($B$2:B69,B69)</f>
        <v>1</v>
      </c>
      <c r="B69">
        <v>19105380</v>
      </c>
      <c r="C69" t="s">
        <v>429</v>
      </c>
      <c r="D69" t="s">
        <v>430</v>
      </c>
      <c r="E69" t="s">
        <v>431</v>
      </c>
      <c r="F69" t="s">
        <v>218</v>
      </c>
      <c r="G69" t="s">
        <v>207</v>
      </c>
      <c r="H69" t="s">
        <v>204</v>
      </c>
      <c r="I69" s="49">
        <v>45144</v>
      </c>
      <c r="J69" s="49">
        <v>45147</v>
      </c>
      <c r="K69" t="s">
        <v>432</v>
      </c>
      <c r="L69" s="49">
        <v>45147</v>
      </c>
      <c r="M69" s="49">
        <v>45147</v>
      </c>
      <c r="N69" t="s">
        <v>107</v>
      </c>
      <c r="O69" t="s">
        <v>116</v>
      </c>
      <c r="P69">
        <f>VLOOKUP(N69,[1]ID_Cidades!$A$1:$E$5900,2,FALSE)</f>
        <v>295765</v>
      </c>
      <c r="Q69">
        <f>VLOOKUP(O69,[1]ID_Cidades!$A$1:$E$5900,2,FALSE)</f>
        <v>295778</v>
      </c>
      <c r="R69">
        <f t="shared" si="2"/>
        <v>87480780170</v>
      </c>
      <c r="S69" s="42">
        <f>VLOOKUP(R69,'[1]GCD base'!$A$1:$M$200,7,FALSE)</f>
        <v>1961.5007860000001</v>
      </c>
      <c r="T69" t="s">
        <v>109</v>
      </c>
      <c r="U69" t="s">
        <v>201</v>
      </c>
      <c r="V69" t="s">
        <v>202</v>
      </c>
      <c r="W69" t="s">
        <v>210</v>
      </c>
      <c r="X69" t="s">
        <v>433</v>
      </c>
      <c r="Y69">
        <v>1288.57</v>
      </c>
      <c r="Z69">
        <v>0</v>
      </c>
      <c r="AA69">
        <v>782.79</v>
      </c>
      <c r="AB69">
        <v>0</v>
      </c>
      <c r="AC69" s="49">
        <v>45132</v>
      </c>
      <c r="AD69" s="116" t="s">
        <v>10</v>
      </c>
      <c r="AE69" s="113" t="str" cm="1">
        <f t="array" ref="AE69">_xlfn.IFS(S69&lt;=Constantes!$G$2,"Muito Curta (evitável)",S69&lt;=Constantes!$H$2,"Curta Distância",S69&gt;Constantes!$H$2,"Longa Distância")</f>
        <v>Curta Distância</v>
      </c>
      <c r="AF69" s="114">
        <f>IFERROR(VLOOKUP(AE69,Constantes!$A$1:$E$5,MATCH(AD69,Constantes!$A$1:$E$1,0),0),"")</f>
        <v>0.18286935436241611</v>
      </c>
      <c r="AG69" s="115">
        <f t="shared" si="3"/>
        <v>358.69838231719172</v>
      </c>
    </row>
    <row r="70" spans="1:33" x14ac:dyDescent="0.3">
      <c r="A70">
        <f>COUNTIF($B$2:B70,B70)</f>
        <v>2</v>
      </c>
      <c r="B70">
        <v>19105380</v>
      </c>
      <c r="C70" t="s">
        <v>429</v>
      </c>
      <c r="D70" t="s">
        <v>430</v>
      </c>
      <c r="E70" t="s">
        <v>431</v>
      </c>
      <c r="F70" t="s">
        <v>218</v>
      </c>
      <c r="G70" t="s">
        <v>207</v>
      </c>
      <c r="H70" t="s">
        <v>204</v>
      </c>
      <c r="I70" s="49">
        <v>45144</v>
      </c>
      <c r="J70" s="49">
        <v>45147</v>
      </c>
      <c r="K70" t="s">
        <v>432</v>
      </c>
      <c r="L70" s="49">
        <v>45144</v>
      </c>
      <c r="M70" s="49">
        <v>45147</v>
      </c>
      <c r="N70" t="s">
        <v>116</v>
      </c>
      <c r="O70" t="s">
        <v>107</v>
      </c>
      <c r="P70">
        <f>VLOOKUP(N70,[1]ID_Cidades!$A$1:$E$5900,2,FALSE)</f>
        <v>295778</v>
      </c>
      <c r="Q70">
        <f>VLOOKUP(O70,[1]ID_Cidades!$A$1:$E$5900,2,FALSE)</f>
        <v>295765</v>
      </c>
      <c r="R70">
        <f t="shared" si="2"/>
        <v>87480780170</v>
      </c>
      <c r="S70" s="42">
        <f>VLOOKUP(R70,'[1]GCD base'!$A$1:$M$200,7,FALSE)</f>
        <v>1961.5007860000001</v>
      </c>
      <c r="T70" t="s">
        <v>109</v>
      </c>
      <c r="U70" t="s">
        <v>205</v>
      </c>
      <c r="V70" t="s">
        <v>202</v>
      </c>
      <c r="W70" t="s">
        <v>210</v>
      </c>
      <c r="X70" t="s">
        <v>433</v>
      </c>
      <c r="Y70">
        <v>0</v>
      </c>
      <c r="Z70">
        <v>0</v>
      </c>
      <c r="AA70">
        <v>930.99</v>
      </c>
      <c r="AB70">
        <v>0</v>
      </c>
      <c r="AC70" s="49">
        <v>45132</v>
      </c>
      <c r="AD70" s="116" t="s">
        <v>10</v>
      </c>
      <c r="AE70" s="113" t="str" cm="1">
        <f t="array" ref="AE70">_xlfn.IFS(S70&lt;=Constantes!$G$2,"Muito Curta (evitável)",S70&lt;=Constantes!$H$2,"Curta Distância",S70&gt;Constantes!$H$2,"Longa Distância")</f>
        <v>Curta Distância</v>
      </c>
      <c r="AF70" s="114">
        <f>IFERROR(VLOOKUP(AE70,Constantes!$A$1:$E$5,MATCH(AD70,Constantes!$A$1:$E$1,0),0),"")</f>
        <v>0.18286935436241611</v>
      </c>
      <c r="AG70" s="115">
        <f t="shared" si="3"/>
        <v>358.69838231719172</v>
      </c>
    </row>
    <row r="71" spans="1:33" x14ac:dyDescent="0.3">
      <c r="A71">
        <f>COUNTIF($B$2:B71,B71)</f>
        <v>1</v>
      </c>
      <c r="B71">
        <v>19109127</v>
      </c>
      <c r="C71" t="s">
        <v>443</v>
      </c>
      <c r="D71" t="s">
        <v>444</v>
      </c>
      <c r="E71" t="s">
        <v>445</v>
      </c>
      <c r="F71" t="s">
        <v>198</v>
      </c>
      <c r="G71" t="s">
        <v>207</v>
      </c>
      <c r="H71" t="s">
        <v>204</v>
      </c>
      <c r="I71" s="49">
        <v>45144</v>
      </c>
      <c r="J71" s="49">
        <v>45148</v>
      </c>
      <c r="K71" t="s">
        <v>446</v>
      </c>
      <c r="L71" s="49">
        <v>45144</v>
      </c>
      <c r="M71" s="49">
        <v>45144</v>
      </c>
      <c r="N71" t="s">
        <v>117</v>
      </c>
      <c r="O71" t="s">
        <v>112</v>
      </c>
      <c r="P71">
        <f>VLOOKUP(N71,[1]ID_Cidades!$A$1:$E$5900,2,FALSE)</f>
        <v>295779</v>
      </c>
      <c r="Q71">
        <f>VLOOKUP(O71,[1]ID_Cidades!$A$1:$E$5900,2,FALSE)</f>
        <v>295766</v>
      </c>
      <c r="R71">
        <f t="shared" si="2"/>
        <v>87481371714</v>
      </c>
      <c r="S71" s="42">
        <f>VLOOKUP(R71,'[1]GCD base'!$A$1:$M$200,7,FALSE)</f>
        <v>2100.4987289999999</v>
      </c>
      <c r="T71" t="s">
        <v>109</v>
      </c>
      <c r="U71" t="s">
        <v>201</v>
      </c>
      <c r="V71" t="s">
        <v>202</v>
      </c>
      <c r="W71" t="s">
        <v>210</v>
      </c>
      <c r="X71" t="s">
        <v>446</v>
      </c>
      <c r="Y71">
        <v>1449.05</v>
      </c>
      <c r="Z71">
        <v>0</v>
      </c>
      <c r="AA71">
        <v>0</v>
      </c>
      <c r="AB71">
        <v>0</v>
      </c>
      <c r="AC71">
        <v>0</v>
      </c>
      <c r="AD71" s="116" t="s">
        <v>10</v>
      </c>
      <c r="AE71" s="113" t="str" cm="1">
        <f t="array" ref="AE71">_xlfn.IFS(S71&lt;=Constantes!$G$2,"Muito Curta (evitável)",S71&lt;=Constantes!$H$2,"Curta Distância",S71&gt;Constantes!$H$2,"Longa Distância")</f>
        <v>Curta Distância</v>
      </c>
      <c r="AF71" s="114">
        <f>IFERROR(VLOOKUP(AE71,Constantes!$A$1:$E$5,MATCH(AD71,Constantes!$A$1:$E$1,0),0),"")</f>
        <v>0.18286935436241611</v>
      </c>
      <c r="AG71" s="115">
        <f t="shared" si="3"/>
        <v>384.11684641130563</v>
      </c>
    </row>
    <row r="72" spans="1:33" x14ac:dyDescent="0.3">
      <c r="A72">
        <f>COUNTIF($B$2:B72,B72)</f>
        <v>1</v>
      </c>
      <c r="B72">
        <v>19132757</v>
      </c>
      <c r="C72" t="s">
        <v>487</v>
      </c>
      <c r="D72" t="s">
        <v>488</v>
      </c>
      <c r="E72" t="s">
        <v>489</v>
      </c>
      <c r="F72" t="s">
        <v>198</v>
      </c>
      <c r="G72" t="s">
        <v>207</v>
      </c>
      <c r="H72" t="s">
        <v>204</v>
      </c>
      <c r="I72" s="49">
        <v>45144</v>
      </c>
      <c r="J72" s="49">
        <v>45156</v>
      </c>
      <c r="K72" t="s">
        <v>490</v>
      </c>
      <c r="L72" s="49">
        <v>45156</v>
      </c>
      <c r="M72" s="49">
        <v>45156</v>
      </c>
      <c r="N72" t="s">
        <v>107</v>
      </c>
      <c r="O72" t="s">
        <v>491</v>
      </c>
      <c r="P72">
        <f>VLOOKUP(N72,[1]ID_Cidades!$A$1:$E$5900,2,FALSE)</f>
        <v>295765</v>
      </c>
      <c r="Q72">
        <f>VLOOKUP(O72,[1]ID_Cidades!$A$1:$E$5900,2,FALSE)</f>
        <v>303403</v>
      </c>
      <c r="R72">
        <f t="shared" si="2"/>
        <v>89735988295</v>
      </c>
      <c r="S72" s="42">
        <f>VLOOKUP(R72,'[1]GCD base'!$A$1:$M$200,7,FALSE)</f>
        <v>1941.3673020000001</v>
      </c>
      <c r="T72" t="s">
        <v>109</v>
      </c>
      <c r="U72" t="s">
        <v>201</v>
      </c>
      <c r="V72" t="s">
        <v>202</v>
      </c>
      <c r="W72" t="s">
        <v>210</v>
      </c>
      <c r="X72" t="s">
        <v>226</v>
      </c>
      <c r="Y72">
        <v>4058.65</v>
      </c>
      <c r="Z72">
        <v>0</v>
      </c>
      <c r="AA72">
        <v>2507.42</v>
      </c>
      <c r="AB72">
        <v>0</v>
      </c>
      <c r="AC72" s="49">
        <v>45141</v>
      </c>
      <c r="AD72" s="116" t="s">
        <v>10</v>
      </c>
      <c r="AE72" s="113" t="str" cm="1">
        <f t="array" ref="AE72">_xlfn.IFS(S72&lt;=Constantes!$G$2,"Muito Curta (evitável)",S72&lt;=Constantes!$H$2,"Curta Distância",S72&gt;Constantes!$H$2,"Longa Distância")</f>
        <v>Curta Distância</v>
      </c>
      <c r="AF72" s="114">
        <f>IFERROR(VLOOKUP(AE72,Constantes!$A$1:$E$5,MATCH(AD72,Constantes!$A$1:$E$1,0),0),"")</f>
        <v>0.18286935436241611</v>
      </c>
      <c r="AG72" s="115">
        <f t="shared" si="3"/>
        <v>355.01658509704572</v>
      </c>
    </row>
    <row r="73" spans="1:33" x14ac:dyDescent="0.3">
      <c r="A73">
        <f>COUNTIF($B$2:B73,B73)</f>
        <v>2</v>
      </c>
      <c r="B73">
        <v>19132757</v>
      </c>
      <c r="C73" t="s">
        <v>487</v>
      </c>
      <c r="D73" t="s">
        <v>488</v>
      </c>
      <c r="E73" t="s">
        <v>489</v>
      </c>
      <c r="F73" t="s">
        <v>198</v>
      </c>
      <c r="G73" t="s">
        <v>207</v>
      </c>
      <c r="H73" t="s">
        <v>204</v>
      </c>
      <c r="I73" s="49">
        <v>45144</v>
      </c>
      <c r="J73" s="49">
        <v>45156</v>
      </c>
      <c r="K73" t="s">
        <v>490</v>
      </c>
      <c r="L73" s="49">
        <v>45144</v>
      </c>
      <c r="M73" s="49">
        <v>45156</v>
      </c>
      <c r="N73" t="s">
        <v>491</v>
      </c>
      <c r="O73" t="s">
        <v>107</v>
      </c>
      <c r="P73">
        <f>VLOOKUP(N73,[1]ID_Cidades!$A$1:$E$5900,2,FALSE)</f>
        <v>303403</v>
      </c>
      <c r="Q73">
        <f>VLOOKUP(O73,[1]ID_Cidades!$A$1:$E$5900,2,FALSE)</f>
        <v>295765</v>
      </c>
      <c r="R73">
        <f t="shared" si="2"/>
        <v>89735988295</v>
      </c>
      <c r="S73" s="42">
        <f>VLOOKUP(R73,'[1]GCD base'!$A$1:$M$200,7,FALSE)</f>
        <v>1941.3673020000001</v>
      </c>
      <c r="T73" t="s">
        <v>109</v>
      </c>
      <c r="U73" t="s">
        <v>205</v>
      </c>
      <c r="V73" t="s">
        <v>202</v>
      </c>
      <c r="W73" t="s">
        <v>210</v>
      </c>
      <c r="X73" t="s">
        <v>226</v>
      </c>
      <c r="Y73">
        <v>0</v>
      </c>
      <c r="Z73">
        <v>0</v>
      </c>
      <c r="AA73">
        <v>1810.59</v>
      </c>
      <c r="AB73">
        <v>0</v>
      </c>
      <c r="AC73" s="49">
        <v>45141</v>
      </c>
      <c r="AD73" s="116" t="s">
        <v>10</v>
      </c>
      <c r="AE73" s="113" t="str" cm="1">
        <f t="array" ref="AE73">_xlfn.IFS(S73&lt;=Constantes!$G$2,"Muito Curta (evitável)",S73&lt;=Constantes!$H$2,"Curta Distância",S73&gt;Constantes!$H$2,"Longa Distância")</f>
        <v>Curta Distância</v>
      </c>
      <c r="AF73" s="114">
        <f>IFERROR(VLOOKUP(AE73,Constantes!$A$1:$E$5,MATCH(AD73,Constantes!$A$1:$E$1,0),0),"")</f>
        <v>0.18286935436241611</v>
      </c>
      <c r="AG73" s="115">
        <f t="shared" si="3"/>
        <v>355.01658509704572</v>
      </c>
    </row>
    <row r="74" spans="1:33" x14ac:dyDescent="0.3">
      <c r="A74">
        <f>COUNTIF($B$2:B74,B74)</f>
        <v>1</v>
      </c>
      <c r="B74">
        <v>18937420</v>
      </c>
      <c r="C74" t="s">
        <v>153</v>
      </c>
      <c r="D74" t="s">
        <v>240</v>
      </c>
      <c r="E74" t="s">
        <v>154</v>
      </c>
      <c r="F74" t="s">
        <v>218</v>
      </c>
      <c r="G74" t="s">
        <v>207</v>
      </c>
      <c r="H74" t="s">
        <v>204</v>
      </c>
      <c r="I74" s="49">
        <v>45146</v>
      </c>
      <c r="J74" s="49">
        <v>45158</v>
      </c>
      <c r="K74" t="s">
        <v>241</v>
      </c>
      <c r="L74" s="49">
        <v>45146</v>
      </c>
      <c r="M74" s="49">
        <v>45158</v>
      </c>
      <c r="N74" t="s">
        <v>116</v>
      </c>
      <c r="O74" t="s">
        <v>107</v>
      </c>
      <c r="P74">
        <f>VLOOKUP(N74,[1]ID_Cidades!$A$1:$E$5900,2,FALSE)</f>
        <v>295778</v>
      </c>
      <c r="Q74">
        <f>VLOOKUP(O74,[1]ID_Cidades!$A$1:$E$5900,2,FALSE)</f>
        <v>295765</v>
      </c>
      <c r="R74">
        <f t="shared" si="2"/>
        <v>87480780170</v>
      </c>
      <c r="S74" s="42">
        <f>VLOOKUP(R74,'[1]GCD base'!$A$1:$M$200,7,FALSE)</f>
        <v>1961.5007860000001</v>
      </c>
      <c r="T74" t="s">
        <v>109</v>
      </c>
      <c r="U74" t="s">
        <v>205</v>
      </c>
      <c r="V74" t="s">
        <v>202</v>
      </c>
      <c r="W74" t="s">
        <v>203</v>
      </c>
      <c r="X74" t="s">
        <v>204</v>
      </c>
      <c r="Y74">
        <v>0</v>
      </c>
      <c r="Z74">
        <v>0</v>
      </c>
      <c r="AA74">
        <v>932.99</v>
      </c>
      <c r="AB74">
        <v>0</v>
      </c>
      <c r="AC74" s="49">
        <v>45089</v>
      </c>
      <c r="AD74" s="116" t="s">
        <v>10</v>
      </c>
      <c r="AE74" s="113" t="str" cm="1">
        <f t="array" ref="AE74">_xlfn.IFS(S74&lt;=Constantes!$G$2,"Muito Curta (evitável)",S74&lt;=Constantes!$H$2,"Curta Distância",S74&gt;Constantes!$H$2,"Longa Distância")</f>
        <v>Curta Distância</v>
      </c>
      <c r="AF74" s="114">
        <f>IFERROR(VLOOKUP(AE74,Constantes!$A$1:$E$5,MATCH(AD74,Constantes!$A$1:$E$1,0),0),"")</f>
        <v>0.18286935436241611</v>
      </c>
      <c r="AG74" s="115">
        <f t="shared" si="3"/>
        <v>358.69838231719172</v>
      </c>
    </row>
    <row r="75" spans="1:33" x14ac:dyDescent="0.3">
      <c r="A75">
        <f>COUNTIF($B$2:B75,B75)</f>
        <v>2</v>
      </c>
      <c r="B75">
        <v>18937420</v>
      </c>
      <c r="C75" t="s">
        <v>153</v>
      </c>
      <c r="D75" t="s">
        <v>240</v>
      </c>
      <c r="E75" t="s">
        <v>154</v>
      </c>
      <c r="F75" t="s">
        <v>218</v>
      </c>
      <c r="G75" t="s">
        <v>207</v>
      </c>
      <c r="H75" t="s">
        <v>204</v>
      </c>
      <c r="I75" s="49">
        <v>45146</v>
      </c>
      <c r="J75" s="49">
        <v>45158</v>
      </c>
      <c r="K75" t="s">
        <v>241</v>
      </c>
      <c r="L75" s="49">
        <v>45158</v>
      </c>
      <c r="M75" s="49">
        <v>45158</v>
      </c>
      <c r="N75" t="s">
        <v>107</v>
      </c>
      <c r="O75" t="s">
        <v>116</v>
      </c>
      <c r="P75">
        <f>VLOOKUP(N75,[1]ID_Cidades!$A$1:$E$5900,2,FALSE)</f>
        <v>295765</v>
      </c>
      <c r="Q75">
        <f>VLOOKUP(O75,[1]ID_Cidades!$A$1:$E$5900,2,FALSE)</f>
        <v>295778</v>
      </c>
      <c r="R75">
        <f t="shared" si="2"/>
        <v>87480780170</v>
      </c>
      <c r="S75" s="42">
        <f>VLOOKUP(R75,'[1]GCD base'!$A$1:$M$200,7,FALSE)</f>
        <v>1961.5007860000001</v>
      </c>
      <c r="T75" t="s">
        <v>109</v>
      </c>
      <c r="U75" t="s">
        <v>201</v>
      </c>
      <c r="V75" t="s">
        <v>202</v>
      </c>
      <c r="W75" t="s">
        <v>203</v>
      </c>
      <c r="X75" t="s">
        <v>204</v>
      </c>
      <c r="Y75">
        <v>0</v>
      </c>
      <c r="Z75">
        <v>0</v>
      </c>
      <c r="AA75">
        <v>816.29</v>
      </c>
      <c r="AB75">
        <v>0</v>
      </c>
      <c r="AC75" s="49">
        <v>45089</v>
      </c>
      <c r="AD75" s="116" t="s">
        <v>10</v>
      </c>
      <c r="AE75" s="113" t="str" cm="1">
        <f t="array" ref="AE75">_xlfn.IFS(S75&lt;=Constantes!$G$2,"Muito Curta (evitável)",S75&lt;=Constantes!$H$2,"Curta Distância",S75&gt;Constantes!$H$2,"Longa Distância")</f>
        <v>Curta Distância</v>
      </c>
      <c r="AF75" s="114">
        <f>IFERROR(VLOOKUP(AE75,Constantes!$A$1:$E$5,MATCH(AD75,Constantes!$A$1:$E$1,0),0),"")</f>
        <v>0.18286935436241611</v>
      </c>
      <c r="AG75" s="115">
        <f t="shared" si="3"/>
        <v>358.69838231719172</v>
      </c>
    </row>
    <row r="76" spans="1:33" x14ac:dyDescent="0.3">
      <c r="A76">
        <f>COUNTIF($B$2:B76,B76)</f>
        <v>1</v>
      </c>
      <c r="B76">
        <v>19092693</v>
      </c>
      <c r="C76" t="s">
        <v>385</v>
      </c>
      <c r="D76" t="s">
        <v>386</v>
      </c>
      <c r="E76" t="s">
        <v>387</v>
      </c>
      <c r="F76" t="s">
        <v>388</v>
      </c>
      <c r="G76" t="s">
        <v>217</v>
      </c>
      <c r="H76" t="s">
        <v>217</v>
      </c>
      <c r="I76" s="49">
        <v>45146</v>
      </c>
      <c r="J76" s="49">
        <v>45149</v>
      </c>
      <c r="K76" t="s">
        <v>389</v>
      </c>
      <c r="L76" s="49">
        <v>45146</v>
      </c>
      <c r="M76" s="49">
        <v>45149</v>
      </c>
      <c r="N76" t="s">
        <v>107</v>
      </c>
      <c r="O76" t="s">
        <v>110</v>
      </c>
      <c r="P76">
        <f>VLOOKUP(N76,[1]ID_Cidades!$A$1:$E$5900,2,FALSE)</f>
        <v>295765</v>
      </c>
      <c r="Q76">
        <f>VLOOKUP(O76,[1]ID_Cidades!$A$1:$E$5900,2,FALSE)</f>
        <v>295763</v>
      </c>
      <c r="R76">
        <f t="shared" si="2"/>
        <v>87476343695</v>
      </c>
      <c r="S76" s="42">
        <f>VLOOKUP(R76,'[1]GCD base'!$A$1:$M$200,7,FALSE)</f>
        <v>1713.419991</v>
      </c>
      <c r="T76" t="s">
        <v>109</v>
      </c>
      <c r="U76" t="s">
        <v>205</v>
      </c>
      <c r="V76" t="s">
        <v>202</v>
      </c>
      <c r="W76" t="s">
        <v>203</v>
      </c>
      <c r="X76" t="s">
        <v>204</v>
      </c>
      <c r="Y76">
        <v>1214.3499999999999</v>
      </c>
      <c r="Z76">
        <v>0</v>
      </c>
      <c r="AA76">
        <v>2376.2600000000002</v>
      </c>
      <c r="AB76">
        <v>0</v>
      </c>
      <c r="AC76" s="49">
        <v>45131</v>
      </c>
      <c r="AD76" s="116" t="s">
        <v>10</v>
      </c>
      <c r="AE76" s="113" t="str" cm="1">
        <f t="array" ref="AE76">_xlfn.IFS(S76&lt;=Constantes!$G$2,"Muito Curta (evitável)",S76&lt;=Constantes!$H$2,"Curta Distância",S76&gt;Constantes!$H$2,"Longa Distância")</f>
        <v>Curta Distância</v>
      </c>
      <c r="AF76" s="114">
        <f>IFERROR(VLOOKUP(AE76,Constantes!$A$1:$E$5,MATCH(AD76,Constantes!$A$1:$E$1,0),0),"")</f>
        <v>0.18286935436241611</v>
      </c>
      <c r="AG76" s="115">
        <f t="shared" si="3"/>
        <v>313.33200750582682</v>
      </c>
    </row>
    <row r="77" spans="1:33" x14ac:dyDescent="0.3">
      <c r="A77">
        <f>COUNTIF($B$2:B77,B77)</f>
        <v>2</v>
      </c>
      <c r="B77">
        <v>19092693</v>
      </c>
      <c r="C77" t="s">
        <v>385</v>
      </c>
      <c r="D77" t="s">
        <v>386</v>
      </c>
      <c r="E77" t="s">
        <v>387</v>
      </c>
      <c r="F77" t="s">
        <v>388</v>
      </c>
      <c r="G77" t="s">
        <v>217</v>
      </c>
      <c r="H77" t="s">
        <v>217</v>
      </c>
      <c r="I77" s="49">
        <v>45146</v>
      </c>
      <c r="J77" s="49">
        <v>45149</v>
      </c>
      <c r="K77" t="s">
        <v>389</v>
      </c>
      <c r="L77" s="49">
        <v>45149</v>
      </c>
      <c r="M77" s="49">
        <v>45149</v>
      </c>
      <c r="N77" t="s">
        <v>110</v>
      </c>
      <c r="O77" t="s">
        <v>107</v>
      </c>
      <c r="P77">
        <f>VLOOKUP(N77,[1]ID_Cidades!$A$1:$E$5900,2,FALSE)</f>
        <v>295763</v>
      </c>
      <c r="Q77">
        <f>VLOOKUP(O77,[1]ID_Cidades!$A$1:$E$5900,2,FALSE)</f>
        <v>295765</v>
      </c>
      <c r="R77">
        <f t="shared" si="2"/>
        <v>87476343695</v>
      </c>
      <c r="S77" s="42">
        <f>VLOOKUP(R77,'[1]GCD base'!$A$1:$M$200,7,FALSE)</f>
        <v>1713.419991</v>
      </c>
      <c r="T77" t="s">
        <v>109</v>
      </c>
      <c r="U77" t="s">
        <v>201</v>
      </c>
      <c r="V77" t="s">
        <v>202</v>
      </c>
      <c r="W77" t="s">
        <v>203</v>
      </c>
      <c r="X77" t="s">
        <v>204</v>
      </c>
      <c r="Y77">
        <v>0</v>
      </c>
      <c r="Z77">
        <v>0</v>
      </c>
      <c r="AA77">
        <v>0</v>
      </c>
      <c r="AB77">
        <v>0</v>
      </c>
      <c r="AC77">
        <v>0</v>
      </c>
      <c r="AD77" s="116" t="s">
        <v>10</v>
      </c>
      <c r="AE77" s="113" t="str" cm="1">
        <f t="array" ref="AE77">_xlfn.IFS(S77&lt;=Constantes!$G$2,"Muito Curta (evitável)",S77&lt;=Constantes!$H$2,"Curta Distância",S77&gt;Constantes!$H$2,"Longa Distância")</f>
        <v>Curta Distância</v>
      </c>
      <c r="AF77" s="114">
        <f>IFERROR(VLOOKUP(AE77,Constantes!$A$1:$E$5,MATCH(AD77,Constantes!$A$1:$E$1,0),0),"")</f>
        <v>0.18286935436241611</v>
      </c>
      <c r="AG77" s="115">
        <f t="shared" si="3"/>
        <v>313.33200750582682</v>
      </c>
    </row>
    <row r="78" spans="1:33" x14ac:dyDescent="0.3">
      <c r="A78">
        <f>COUNTIF($B$2:B78,B78)</f>
        <v>1</v>
      </c>
      <c r="B78">
        <v>19127610</v>
      </c>
      <c r="C78" t="s">
        <v>480</v>
      </c>
      <c r="D78" t="s">
        <v>248</v>
      </c>
      <c r="E78" t="s">
        <v>149</v>
      </c>
      <c r="F78" t="s">
        <v>249</v>
      </c>
      <c r="G78" t="s">
        <v>221</v>
      </c>
      <c r="H78" t="s">
        <v>200</v>
      </c>
      <c r="I78" s="49">
        <v>45146</v>
      </c>
      <c r="J78" s="49">
        <v>45150</v>
      </c>
      <c r="K78" t="s">
        <v>481</v>
      </c>
      <c r="L78" s="49">
        <v>45146</v>
      </c>
      <c r="M78" s="49">
        <v>45150</v>
      </c>
      <c r="N78" t="s">
        <v>107</v>
      </c>
      <c r="O78" t="s">
        <v>371</v>
      </c>
      <c r="P78">
        <f>VLOOKUP(N78,[1]ID_Cidades!$A$1:$E$5900,2,FALSE)</f>
        <v>295765</v>
      </c>
      <c r="Q78">
        <f>VLOOKUP(O78,[1]ID_Cidades!$A$1:$E$5900,2,FALSE)</f>
        <v>295768</v>
      </c>
      <c r="R78">
        <f t="shared" si="2"/>
        <v>87477822520</v>
      </c>
      <c r="S78" s="42">
        <f>VLOOKUP(R78,'[1]GCD base'!$A$1:$M$200,7,FALSE)</f>
        <v>279.06946140000002</v>
      </c>
      <c r="T78" t="s">
        <v>109</v>
      </c>
      <c r="U78" t="s">
        <v>205</v>
      </c>
      <c r="V78" t="s">
        <v>202</v>
      </c>
      <c r="W78" t="s">
        <v>210</v>
      </c>
      <c r="X78" t="s">
        <v>482</v>
      </c>
      <c r="Y78">
        <v>1509.95</v>
      </c>
      <c r="Z78">
        <v>0</v>
      </c>
      <c r="AA78">
        <v>731.19</v>
      </c>
      <c r="AB78">
        <v>0</v>
      </c>
      <c r="AC78" s="49">
        <v>45134</v>
      </c>
      <c r="AD78" s="116" t="s">
        <v>10</v>
      </c>
      <c r="AE78" s="113" t="str" cm="1">
        <f t="array" ref="AE78">_xlfn.IFS(S78&lt;=Constantes!$G$2,"Muito Curta (evitável)",S78&lt;=Constantes!$H$2,"Curta Distância",S78&gt;Constantes!$H$2,"Longa Distância")</f>
        <v>Muito Curta (evitável)</v>
      </c>
      <c r="AF78" s="114">
        <f>IFERROR(VLOOKUP(AE78,Constantes!$A$1:$E$5,MATCH(AD78,Constantes!$A$1:$E$1,0),0),"")</f>
        <v>0.27257678523489931</v>
      </c>
      <c r="AG78" s="115">
        <f t="shared" si="3"/>
        <v>76.067856645646827</v>
      </c>
    </row>
    <row r="79" spans="1:33" x14ac:dyDescent="0.3">
      <c r="A79">
        <f>COUNTIF($B$2:B79,B79)</f>
        <v>2</v>
      </c>
      <c r="B79">
        <v>19127610</v>
      </c>
      <c r="C79" t="s">
        <v>480</v>
      </c>
      <c r="D79" t="s">
        <v>248</v>
      </c>
      <c r="E79" t="s">
        <v>149</v>
      </c>
      <c r="F79" t="s">
        <v>249</v>
      </c>
      <c r="G79" t="s">
        <v>221</v>
      </c>
      <c r="H79" t="s">
        <v>200</v>
      </c>
      <c r="I79" s="49">
        <v>45146</v>
      </c>
      <c r="J79" s="49">
        <v>45150</v>
      </c>
      <c r="K79" t="s">
        <v>481</v>
      </c>
      <c r="L79" s="49">
        <v>45150</v>
      </c>
      <c r="M79" s="49">
        <v>45150</v>
      </c>
      <c r="N79" t="s">
        <v>371</v>
      </c>
      <c r="O79" t="s">
        <v>107</v>
      </c>
      <c r="P79">
        <f>VLOOKUP(N79,[1]ID_Cidades!$A$1:$E$5900,2,FALSE)</f>
        <v>295768</v>
      </c>
      <c r="Q79">
        <f>VLOOKUP(O79,[1]ID_Cidades!$A$1:$E$5900,2,FALSE)</f>
        <v>295765</v>
      </c>
      <c r="R79">
        <f t="shared" si="2"/>
        <v>87477822520</v>
      </c>
      <c r="S79" s="42">
        <f>VLOOKUP(R79,'[1]GCD base'!$A$1:$M$200,7,FALSE)</f>
        <v>279.06946140000002</v>
      </c>
      <c r="T79" t="s">
        <v>109</v>
      </c>
      <c r="U79" t="s">
        <v>201</v>
      </c>
      <c r="V79" t="s">
        <v>202</v>
      </c>
      <c r="W79" t="s">
        <v>210</v>
      </c>
      <c r="X79" t="s">
        <v>482</v>
      </c>
      <c r="Y79">
        <v>0</v>
      </c>
      <c r="Z79">
        <v>0</v>
      </c>
      <c r="AA79">
        <v>635.29</v>
      </c>
      <c r="AB79">
        <v>0</v>
      </c>
      <c r="AC79" s="49">
        <v>45134</v>
      </c>
      <c r="AD79" s="116" t="s">
        <v>10</v>
      </c>
      <c r="AE79" s="113" t="str" cm="1">
        <f t="array" ref="AE79">_xlfn.IFS(S79&lt;=Constantes!$G$2,"Muito Curta (evitável)",S79&lt;=Constantes!$H$2,"Curta Distância",S79&gt;Constantes!$H$2,"Longa Distância")</f>
        <v>Muito Curta (evitável)</v>
      </c>
      <c r="AF79" s="114">
        <f>IFERROR(VLOOKUP(AE79,Constantes!$A$1:$E$5,MATCH(AD79,Constantes!$A$1:$E$1,0),0),"")</f>
        <v>0.27257678523489931</v>
      </c>
      <c r="AG79" s="115">
        <f t="shared" si="3"/>
        <v>76.067856645646827</v>
      </c>
    </row>
    <row r="80" spans="1:33" x14ac:dyDescent="0.3">
      <c r="A80">
        <f>COUNTIF($B$2:B80,B80)</f>
        <v>1</v>
      </c>
      <c r="B80">
        <v>18942342</v>
      </c>
      <c r="C80" t="s">
        <v>157</v>
      </c>
      <c r="D80" t="s">
        <v>244</v>
      </c>
      <c r="E80" t="s">
        <v>131</v>
      </c>
      <c r="F80" t="s">
        <v>218</v>
      </c>
      <c r="G80" t="s">
        <v>207</v>
      </c>
      <c r="H80" t="s">
        <v>204</v>
      </c>
      <c r="I80" s="49">
        <v>45149</v>
      </c>
      <c r="J80" s="49">
        <v>45158</v>
      </c>
      <c r="K80" t="s">
        <v>245</v>
      </c>
      <c r="L80" s="49">
        <v>45149</v>
      </c>
      <c r="M80" s="49">
        <v>45158</v>
      </c>
      <c r="N80" t="s">
        <v>119</v>
      </c>
      <c r="O80" t="s">
        <v>107</v>
      </c>
      <c r="P80">
        <f>VLOOKUP(N80,[1]ID_Cidades!$A$1:$E$5900,2,FALSE)</f>
        <v>295786</v>
      </c>
      <c r="Q80">
        <f>VLOOKUP(O80,[1]ID_Cidades!$A$1:$E$5900,2,FALSE)</f>
        <v>295765</v>
      </c>
      <c r="R80">
        <f t="shared" si="2"/>
        <v>87483146290</v>
      </c>
      <c r="S80" s="42">
        <f>VLOOKUP(R80,'[1]GCD base'!$A$1:$M$200,7,FALSE)</f>
        <v>3054.7955320000001</v>
      </c>
      <c r="T80" t="s">
        <v>109</v>
      </c>
      <c r="U80" t="s">
        <v>205</v>
      </c>
      <c r="V80" t="s">
        <v>202</v>
      </c>
      <c r="W80" t="s">
        <v>203</v>
      </c>
      <c r="X80" t="s">
        <v>204</v>
      </c>
      <c r="Y80">
        <v>0</v>
      </c>
      <c r="Z80">
        <v>0</v>
      </c>
      <c r="AA80">
        <v>1217.0899999999999</v>
      </c>
      <c r="AB80">
        <v>0</v>
      </c>
      <c r="AC80" s="49">
        <v>45093</v>
      </c>
      <c r="AD80" s="116" t="s">
        <v>10</v>
      </c>
      <c r="AE80" s="113" t="str" cm="1">
        <f t="array" ref="AE80">_xlfn.IFS(S80&lt;=Constantes!$G$2,"Muito Curta (evitável)",S80&lt;=Constantes!$H$2,"Curta Distância",S80&gt;Constantes!$H$2,"Longa Distância")</f>
        <v>Curta Distância</v>
      </c>
      <c r="AF80" s="114">
        <f>IFERROR(VLOOKUP(AE80,Constantes!$A$1:$E$5,MATCH(AD80,Constantes!$A$1:$E$1,0),0),"")</f>
        <v>0.18286935436241611</v>
      </c>
      <c r="AG80" s="115">
        <f t="shared" si="3"/>
        <v>558.62848664603348</v>
      </c>
    </row>
    <row r="81" spans="1:33" x14ac:dyDescent="0.3">
      <c r="A81">
        <f>COUNTIF($B$2:B81,B81)</f>
        <v>2</v>
      </c>
      <c r="B81">
        <v>18942342</v>
      </c>
      <c r="C81" t="s">
        <v>157</v>
      </c>
      <c r="D81" t="s">
        <v>244</v>
      </c>
      <c r="E81" t="s">
        <v>131</v>
      </c>
      <c r="F81" t="s">
        <v>218</v>
      </c>
      <c r="G81" t="s">
        <v>207</v>
      </c>
      <c r="H81" t="s">
        <v>204</v>
      </c>
      <c r="I81" s="49">
        <v>45149</v>
      </c>
      <c r="J81" s="49">
        <v>45158</v>
      </c>
      <c r="K81" t="s">
        <v>245</v>
      </c>
      <c r="L81" s="49">
        <v>45158</v>
      </c>
      <c r="M81" s="49">
        <v>45158</v>
      </c>
      <c r="N81" t="s">
        <v>107</v>
      </c>
      <c r="O81" t="s">
        <v>119</v>
      </c>
      <c r="P81">
        <f>VLOOKUP(N81,[1]ID_Cidades!$A$1:$E$5900,2,FALSE)</f>
        <v>295765</v>
      </c>
      <c r="Q81">
        <f>VLOOKUP(O81,[1]ID_Cidades!$A$1:$E$5900,2,FALSE)</f>
        <v>295786</v>
      </c>
      <c r="R81">
        <f t="shared" si="2"/>
        <v>87483146290</v>
      </c>
      <c r="S81" s="42">
        <f>VLOOKUP(R81,'[1]GCD base'!$A$1:$M$200,7,FALSE)</f>
        <v>3054.7955320000001</v>
      </c>
      <c r="T81" t="s">
        <v>109</v>
      </c>
      <c r="U81" t="s">
        <v>201</v>
      </c>
      <c r="V81" t="s">
        <v>202</v>
      </c>
      <c r="W81" t="s">
        <v>203</v>
      </c>
      <c r="X81" t="s">
        <v>204</v>
      </c>
      <c r="Y81">
        <v>0</v>
      </c>
      <c r="Z81">
        <v>0</v>
      </c>
      <c r="AA81">
        <v>858.83</v>
      </c>
      <c r="AB81">
        <v>0</v>
      </c>
      <c r="AC81" s="49">
        <v>45093</v>
      </c>
      <c r="AD81" s="116" t="s">
        <v>10</v>
      </c>
      <c r="AE81" s="113" t="str" cm="1">
        <f t="array" ref="AE81">_xlfn.IFS(S81&lt;=Constantes!$G$2,"Muito Curta (evitável)",S81&lt;=Constantes!$H$2,"Curta Distância",S81&gt;Constantes!$H$2,"Longa Distância")</f>
        <v>Curta Distância</v>
      </c>
      <c r="AF81" s="114">
        <f>IFERROR(VLOOKUP(AE81,Constantes!$A$1:$E$5,MATCH(AD81,Constantes!$A$1:$E$1,0),0),"")</f>
        <v>0.18286935436241611</v>
      </c>
      <c r="AG81" s="115">
        <f t="shared" si="3"/>
        <v>558.62848664603348</v>
      </c>
    </row>
    <row r="82" spans="1:33" x14ac:dyDescent="0.3">
      <c r="A82">
        <f>COUNTIF($B$2:B82,B82)</f>
        <v>1</v>
      </c>
      <c r="B82">
        <v>19070440</v>
      </c>
      <c r="C82" t="s">
        <v>332</v>
      </c>
      <c r="D82" t="s">
        <v>333</v>
      </c>
      <c r="E82" t="s">
        <v>334</v>
      </c>
      <c r="F82" t="s">
        <v>198</v>
      </c>
      <c r="G82" t="s">
        <v>207</v>
      </c>
      <c r="H82" t="s">
        <v>204</v>
      </c>
      <c r="I82" s="49">
        <v>45151</v>
      </c>
      <c r="J82" s="49">
        <v>45156</v>
      </c>
      <c r="K82" t="s">
        <v>335</v>
      </c>
      <c r="L82" s="49">
        <v>45156</v>
      </c>
      <c r="M82" s="49">
        <v>45156</v>
      </c>
      <c r="N82" t="s">
        <v>122</v>
      </c>
      <c r="O82" t="s">
        <v>107</v>
      </c>
      <c r="P82">
        <f>VLOOKUP(N82,[1]ID_Cidades!$A$1:$E$5900,2,FALSE)</f>
        <v>295781</v>
      </c>
      <c r="Q82">
        <f>VLOOKUP(O82,[1]ID_Cidades!$A$1:$E$5900,2,FALSE)</f>
        <v>295765</v>
      </c>
      <c r="R82">
        <f t="shared" si="2"/>
        <v>87481667465</v>
      </c>
      <c r="S82" s="42">
        <f>VLOOKUP(R82,'[1]GCD base'!$A$1:$M$200,7,FALSE)</f>
        <v>2695.5823350000001</v>
      </c>
      <c r="T82" t="s">
        <v>109</v>
      </c>
      <c r="U82" t="s">
        <v>201</v>
      </c>
      <c r="V82" t="s">
        <v>202</v>
      </c>
      <c r="W82" t="s">
        <v>203</v>
      </c>
      <c r="X82" t="s">
        <v>204</v>
      </c>
      <c r="Y82">
        <v>1821.06</v>
      </c>
      <c r="Z82">
        <v>0</v>
      </c>
      <c r="AA82">
        <v>843.99</v>
      </c>
      <c r="AB82">
        <v>0</v>
      </c>
      <c r="AC82" s="49">
        <v>45120</v>
      </c>
      <c r="AD82" s="116" t="s">
        <v>10</v>
      </c>
      <c r="AE82" s="113" t="str" cm="1">
        <f t="array" ref="AE82">_xlfn.IFS(S82&lt;=Constantes!$G$2,"Muito Curta (evitável)",S82&lt;=Constantes!$H$2,"Curta Distância",S82&gt;Constantes!$H$2,"Longa Distância")</f>
        <v>Curta Distância</v>
      </c>
      <c r="AF82" s="114">
        <f>IFERROR(VLOOKUP(AE82,Constantes!$A$1:$E$5,MATCH(AD82,Constantes!$A$1:$E$1,0),0),"")</f>
        <v>0.18286935436241611</v>
      </c>
      <c r="AG82" s="115">
        <f t="shared" si="3"/>
        <v>492.93940123218408</v>
      </c>
    </row>
    <row r="83" spans="1:33" x14ac:dyDescent="0.3">
      <c r="A83">
        <f>COUNTIF($B$2:B83,B83)</f>
        <v>2</v>
      </c>
      <c r="B83">
        <v>19070440</v>
      </c>
      <c r="C83" t="s">
        <v>332</v>
      </c>
      <c r="D83" t="s">
        <v>333</v>
      </c>
      <c r="E83" t="s">
        <v>334</v>
      </c>
      <c r="F83" t="s">
        <v>198</v>
      </c>
      <c r="G83" t="s">
        <v>207</v>
      </c>
      <c r="H83" t="s">
        <v>204</v>
      </c>
      <c r="I83" s="49">
        <v>45151</v>
      </c>
      <c r="J83" s="49">
        <v>45156</v>
      </c>
      <c r="K83" t="s">
        <v>335</v>
      </c>
      <c r="L83" s="49">
        <v>45151</v>
      </c>
      <c r="M83" s="49">
        <v>45156</v>
      </c>
      <c r="N83" t="s">
        <v>107</v>
      </c>
      <c r="O83" t="s">
        <v>122</v>
      </c>
      <c r="P83">
        <f>VLOOKUP(N83,[1]ID_Cidades!$A$1:$E$5900,2,FALSE)</f>
        <v>295765</v>
      </c>
      <c r="Q83">
        <f>VLOOKUP(O83,[1]ID_Cidades!$A$1:$E$5900,2,FALSE)</f>
        <v>295781</v>
      </c>
      <c r="R83">
        <f t="shared" si="2"/>
        <v>87481667465</v>
      </c>
      <c r="S83" s="42">
        <f>VLOOKUP(R83,'[1]GCD base'!$A$1:$M$200,7,FALSE)</f>
        <v>2695.5823350000001</v>
      </c>
      <c r="T83" t="s">
        <v>109</v>
      </c>
      <c r="U83" t="s">
        <v>205</v>
      </c>
      <c r="V83" t="s">
        <v>202</v>
      </c>
      <c r="W83" t="s">
        <v>203</v>
      </c>
      <c r="X83" t="s">
        <v>204</v>
      </c>
      <c r="Y83">
        <v>0</v>
      </c>
      <c r="Z83">
        <v>0</v>
      </c>
      <c r="AA83">
        <v>845.47</v>
      </c>
      <c r="AB83">
        <v>0</v>
      </c>
      <c r="AC83" s="49">
        <v>45120</v>
      </c>
      <c r="AD83" s="116" t="s">
        <v>10</v>
      </c>
      <c r="AE83" s="113" t="str" cm="1">
        <f t="array" ref="AE83">_xlfn.IFS(S83&lt;=Constantes!$G$2,"Muito Curta (evitável)",S83&lt;=Constantes!$H$2,"Curta Distância",S83&gt;Constantes!$H$2,"Longa Distância")</f>
        <v>Curta Distância</v>
      </c>
      <c r="AF83" s="114">
        <f>IFERROR(VLOOKUP(AE83,Constantes!$A$1:$E$5,MATCH(AD83,Constantes!$A$1:$E$1,0),0),"")</f>
        <v>0.18286935436241611</v>
      </c>
      <c r="AG83" s="115">
        <f t="shared" si="3"/>
        <v>492.93940123218408</v>
      </c>
    </row>
    <row r="84" spans="1:33" x14ac:dyDescent="0.3">
      <c r="A84">
        <f>COUNTIF($B$2:B84,B84)</f>
        <v>1</v>
      </c>
      <c r="B84">
        <v>19164813</v>
      </c>
      <c r="C84" t="s">
        <v>566</v>
      </c>
      <c r="D84" t="s">
        <v>567</v>
      </c>
      <c r="E84" t="s">
        <v>568</v>
      </c>
      <c r="F84" t="s">
        <v>214</v>
      </c>
      <c r="G84" t="s">
        <v>207</v>
      </c>
      <c r="H84" t="s">
        <v>204</v>
      </c>
      <c r="I84" s="49">
        <v>45152</v>
      </c>
      <c r="J84" s="49">
        <v>45158</v>
      </c>
      <c r="K84" t="s">
        <v>569</v>
      </c>
      <c r="L84" s="49">
        <v>45158</v>
      </c>
      <c r="M84" s="49">
        <v>45158</v>
      </c>
      <c r="N84" t="s">
        <v>112</v>
      </c>
      <c r="O84" t="s">
        <v>371</v>
      </c>
      <c r="P84">
        <f>VLOOKUP(N84,[1]ID_Cidades!$A$1:$E$5900,2,FALSE)</f>
        <v>295766</v>
      </c>
      <c r="Q84">
        <f>VLOOKUP(O84,[1]ID_Cidades!$A$1:$E$5900,2,FALSE)</f>
        <v>295768</v>
      </c>
      <c r="R84">
        <f t="shared" si="2"/>
        <v>87478118288</v>
      </c>
      <c r="S84" s="42">
        <f>VLOOKUP(R84,'[1]GCD base'!$A$1:$M$200,7,FALSE)</f>
        <v>180.9798476</v>
      </c>
      <c r="T84" t="s">
        <v>109</v>
      </c>
      <c r="U84" t="s">
        <v>201</v>
      </c>
      <c r="V84" t="s">
        <v>202</v>
      </c>
      <c r="W84" t="s">
        <v>210</v>
      </c>
      <c r="X84" t="s">
        <v>216</v>
      </c>
      <c r="Y84">
        <v>2162.08</v>
      </c>
      <c r="Z84">
        <v>0</v>
      </c>
      <c r="AA84">
        <v>1241.79</v>
      </c>
      <c r="AB84">
        <v>0</v>
      </c>
      <c r="AC84" s="49">
        <v>45149</v>
      </c>
      <c r="AD84" s="116" t="s">
        <v>10</v>
      </c>
      <c r="AE84" s="113" t="str" cm="1">
        <f t="array" ref="AE84">_xlfn.IFS(S84&lt;=Constantes!$G$2,"Muito Curta (evitável)",S84&lt;=Constantes!$H$2,"Curta Distância",S84&gt;Constantes!$H$2,"Longa Distância")</f>
        <v>Muito Curta (evitável)</v>
      </c>
      <c r="AF84" s="114">
        <f>IFERROR(VLOOKUP(AE84,Constantes!$A$1:$E$5,MATCH(AD84,Constantes!$A$1:$E$1,0),0),"")</f>
        <v>0.27257678523489931</v>
      </c>
      <c r="AG84" s="115">
        <f t="shared" si="3"/>
        <v>49.330905051110008</v>
      </c>
    </row>
    <row r="85" spans="1:33" x14ac:dyDescent="0.3">
      <c r="A85">
        <f>COUNTIF($B$2:B85,B85)</f>
        <v>2</v>
      </c>
      <c r="B85">
        <v>19164813</v>
      </c>
      <c r="C85" t="s">
        <v>566</v>
      </c>
      <c r="D85" t="s">
        <v>567</v>
      </c>
      <c r="E85" t="s">
        <v>568</v>
      </c>
      <c r="F85" t="s">
        <v>214</v>
      </c>
      <c r="G85" t="s">
        <v>207</v>
      </c>
      <c r="H85" t="s">
        <v>204</v>
      </c>
      <c r="I85" s="49">
        <v>45152</v>
      </c>
      <c r="J85" s="49">
        <v>45158</v>
      </c>
      <c r="K85" t="s">
        <v>569</v>
      </c>
      <c r="L85" s="49">
        <v>45152</v>
      </c>
      <c r="M85" s="49">
        <v>45152</v>
      </c>
      <c r="N85" t="s">
        <v>371</v>
      </c>
      <c r="O85" t="s">
        <v>112</v>
      </c>
      <c r="P85">
        <f>VLOOKUP(N85,[1]ID_Cidades!$A$1:$E$5900,2,FALSE)</f>
        <v>295768</v>
      </c>
      <c r="Q85">
        <f>VLOOKUP(O85,[1]ID_Cidades!$A$1:$E$5900,2,FALSE)</f>
        <v>295766</v>
      </c>
      <c r="R85">
        <f t="shared" si="2"/>
        <v>87478118288</v>
      </c>
      <c r="S85" s="42">
        <f>VLOOKUP(R85,'[1]GCD base'!$A$1:$M$200,7,FALSE)</f>
        <v>180.9798476</v>
      </c>
      <c r="T85" t="s">
        <v>109</v>
      </c>
      <c r="U85" t="s">
        <v>201</v>
      </c>
      <c r="V85" t="s">
        <v>202</v>
      </c>
      <c r="W85" t="s">
        <v>210</v>
      </c>
      <c r="X85" t="s">
        <v>216</v>
      </c>
      <c r="Y85">
        <v>0</v>
      </c>
      <c r="Z85">
        <v>0</v>
      </c>
      <c r="AA85">
        <v>804.14</v>
      </c>
      <c r="AB85">
        <v>0</v>
      </c>
      <c r="AC85" s="49">
        <v>45149</v>
      </c>
      <c r="AD85" s="116" t="s">
        <v>10</v>
      </c>
      <c r="AE85" s="113" t="str" cm="1">
        <f t="array" ref="AE85">_xlfn.IFS(S85&lt;=Constantes!$G$2,"Muito Curta (evitável)",S85&lt;=Constantes!$H$2,"Curta Distância",S85&gt;Constantes!$H$2,"Longa Distância")</f>
        <v>Muito Curta (evitável)</v>
      </c>
      <c r="AF85" s="114">
        <f>IFERROR(VLOOKUP(AE85,Constantes!$A$1:$E$5,MATCH(AD85,Constantes!$A$1:$E$1,0),0),"")</f>
        <v>0.27257678523489931</v>
      </c>
      <c r="AG85" s="115">
        <f t="shared" si="3"/>
        <v>49.330905051110008</v>
      </c>
    </row>
    <row r="86" spans="1:33" x14ac:dyDescent="0.3">
      <c r="A86">
        <f>COUNTIF($B$2:B86,B86)</f>
        <v>1</v>
      </c>
      <c r="B86">
        <v>19165091</v>
      </c>
      <c r="C86" t="s">
        <v>570</v>
      </c>
      <c r="D86" t="s">
        <v>571</v>
      </c>
      <c r="E86" t="s">
        <v>572</v>
      </c>
      <c r="F86" t="s">
        <v>198</v>
      </c>
      <c r="G86" t="s">
        <v>207</v>
      </c>
      <c r="H86" t="s">
        <v>204</v>
      </c>
      <c r="I86" s="49">
        <v>45152</v>
      </c>
      <c r="J86" s="49">
        <v>45159</v>
      </c>
      <c r="K86" t="s">
        <v>573</v>
      </c>
      <c r="L86" s="49">
        <v>45158</v>
      </c>
      <c r="M86" s="49">
        <v>45159</v>
      </c>
      <c r="N86" t="s">
        <v>112</v>
      </c>
      <c r="O86" t="s">
        <v>574</v>
      </c>
      <c r="P86">
        <f>VLOOKUP(N86,[1]ID_Cidades!$A$1:$E$5900,2,FALSE)</f>
        <v>295766</v>
      </c>
      <c r="Q86">
        <f>VLOOKUP(O86,[1]ID_Cidades!$A$1:$E$5900,2,FALSE)</f>
        <v>301970</v>
      </c>
      <c r="R86">
        <f t="shared" si="2"/>
        <v>89312459020</v>
      </c>
      <c r="S86" s="42">
        <f>VLOOKUP(R86,'[1]GCD base'!$A$1:$M$200,7,FALSE)</f>
        <v>1413.465537</v>
      </c>
      <c r="T86" t="s">
        <v>109</v>
      </c>
      <c r="U86" t="s">
        <v>201</v>
      </c>
      <c r="V86" t="s">
        <v>202</v>
      </c>
      <c r="W86" t="s">
        <v>210</v>
      </c>
      <c r="X86" t="s">
        <v>216</v>
      </c>
      <c r="Y86">
        <v>2454.23</v>
      </c>
      <c r="Z86">
        <v>0</v>
      </c>
      <c r="AA86">
        <v>2958.49</v>
      </c>
      <c r="AB86">
        <v>0</v>
      </c>
      <c r="AC86" s="49">
        <v>45149</v>
      </c>
      <c r="AD86" s="116" t="s">
        <v>10</v>
      </c>
      <c r="AE86" s="113" t="str" cm="1">
        <f t="array" ref="AE86">_xlfn.IFS(S86&lt;=Constantes!$G$2,"Muito Curta (evitável)",S86&lt;=Constantes!$H$2,"Curta Distância",S86&gt;Constantes!$H$2,"Longa Distância")</f>
        <v>Curta Distância</v>
      </c>
      <c r="AF86" s="114">
        <f>IFERROR(VLOOKUP(AE86,Constantes!$A$1:$E$5,MATCH(AD86,Constantes!$A$1:$E$1,0),0),"")</f>
        <v>0.18286935436241611</v>
      </c>
      <c r="AG86" s="115">
        <f t="shared" si="3"/>
        <v>258.47953016471581</v>
      </c>
    </row>
    <row r="87" spans="1:33" x14ac:dyDescent="0.3">
      <c r="A87">
        <f>COUNTIF($B$2:B87,B87)</f>
        <v>2</v>
      </c>
      <c r="B87">
        <v>19165091</v>
      </c>
      <c r="C87" t="s">
        <v>570</v>
      </c>
      <c r="D87" t="s">
        <v>571</v>
      </c>
      <c r="E87" t="s">
        <v>572</v>
      </c>
      <c r="F87" t="s">
        <v>198</v>
      </c>
      <c r="G87" t="s">
        <v>207</v>
      </c>
      <c r="H87" t="s">
        <v>204</v>
      </c>
      <c r="I87" s="49">
        <v>45152</v>
      </c>
      <c r="J87" s="49">
        <v>45159</v>
      </c>
      <c r="K87" t="s">
        <v>573</v>
      </c>
      <c r="L87" s="49">
        <v>45152</v>
      </c>
      <c r="M87" s="49">
        <v>45152</v>
      </c>
      <c r="N87" t="s">
        <v>574</v>
      </c>
      <c r="O87" t="s">
        <v>112</v>
      </c>
      <c r="P87">
        <f>VLOOKUP(N87,[1]ID_Cidades!$A$1:$E$5900,2,FALSE)</f>
        <v>301970</v>
      </c>
      <c r="Q87">
        <f>VLOOKUP(O87,[1]ID_Cidades!$A$1:$E$5900,2,FALSE)</f>
        <v>295766</v>
      </c>
      <c r="R87">
        <f t="shared" si="2"/>
        <v>89312459020</v>
      </c>
      <c r="S87" s="42">
        <f>VLOOKUP(R87,'[1]GCD base'!$A$1:$M$200,7,FALSE)</f>
        <v>1413.465537</v>
      </c>
      <c r="T87" t="s">
        <v>109</v>
      </c>
      <c r="U87" t="s">
        <v>201</v>
      </c>
      <c r="V87" t="s">
        <v>202</v>
      </c>
      <c r="W87" t="s">
        <v>210</v>
      </c>
      <c r="X87" t="s">
        <v>216</v>
      </c>
      <c r="Y87">
        <v>0</v>
      </c>
      <c r="Z87">
        <v>0</v>
      </c>
      <c r="AA87">
        <v>1764.54</v>
      </c>
      <c r="AB87">
        <v>0</v>
      </c>
      <c r="AC87" s="49">
        <v>45149</v>
      </c>
      <c r="AD87" s="116" t="s">
        <v>10</v>
      </c>
      <c r="AE87" s="113" t="str" cm="1">
        <f t="array" ref="AE87">_xlfn.IFS(S87&lt;=Constantes!$G$2,"Muito Curta (evitável)",S87&lt;=Constantes!$H$2,"Curta Distância",S87&gt;Constantes!$H$2,"Longa Distância")</f>
        <v>Curta Distância</v>
      </c>
      <c r="AF87" s="114">
        <f>IFERROR(VLOOKUP(AE87,Constantes!$A$1:$E$5,MATCH(AD87,Constantes!$A$1:$E$1,0),0),"")</f>
        <v>0.18286935436241611</v>
      </c>
      <c r="AG87" s="115">
        <f t="shared" si="3"/>
        <v>258.47953016471581</v>
      </c>
    </row>
    <row r="88" spans="1:33" x14ac:dyDescent="0.3">
      <c r="A88">
        <f>COUNTIF($B$2:B88,B88)</f>
        <v>1</v>
      </c>
      <c r="B88">
        <v>19165330</v>
      </c>
      <c r="C88" t="s">
        <v>575</v>
      </c>
      <c r="D88" t="s">
        <v>576</v>
      </c>
      <c r="E88" t="s">
        <v>577</v>
      </c>
      <c r="F88" t="s">
        <v>198</v>
      </c>
      <c r="G88" t="s">
        <v>211</v>
      </c>
      <c r="H88" t="s">
        <v>211</v>
      </c>
      <c r="I88" s="49">
        <v>45152</v>
      </c>
      <c r="J88" s="49">
        <v>45158</v>
      </c>
      <c r="K88" t="s">
        <v>578</v>
      </c>
      <c r="L88" s="49">
        <v>45152</v>
      </c>
      <c r="M88" s="49">
        <v>45158</v>
      </c>
      <c r="N88" t="s">
        <v>110</v>
      </c>
      <c r="O88" t="s">
        <v>107</v>
      </c>
      <c r="P88">
        <f>VLOOKUP(N88,[1]ID_Cidades!$A$1:$E$5900,2,FALSE)</f>
        <v>295763</v>
      </c>
      <c r="Q88">
        <f>VLOOKUP(O88,[1]ID_Cidades!$A$1:$E$5900,2,FALSE)</f>
        <v>295765</v>
      </c>
      <c r="R88">
        <f t="shared" si="2"/>
        <v>87476343695</v>
      </c>
      <c r="S88" s="42">
        <f>VLOOKUP(R88,'[1]GCD base'!$A$1:$M$200,7,FALSE)</f>
        <v>1713.419991</v>
      </c>
      <c r="T88" t="s">
        <v>109</v>
      </c>
      <c r="U88" t="s">
        <v>205</v>
      </c>
      <c r="V88" t="s">
        <v>202</v>
      </c>
      <c r="W88" t="s">
        <v>210</v>
      </c>
      <c r="X88" t="s">
        <v>216</v>
      </c>
      <c r="Y88">
        <v>2162.08</v>
      </c>
      <c r="Z88">
        <v>0</v>
      </c>
      <c r="AA88">
        <v>2775.27</v>
      </c>
      <c r="AB88">
        <v>0</v>
      </c>
      <c r="AC88" s="49">
        <v>45149</v>
      </c>
      <c r="AD88" s="116" t="s">
        <v>10</v>
      </c>
      <c r="AE88" s="113" t="str" cm="1">
        <f t="array" ref="AE88">_xlfn.IFS(S88&lt;=Constantes!$G$2,"Muito Curta (evitável)",S88&lt;=Constantes!$H$2,"Curta Distância",S88&gt;Constantes!$H$2,"Longa Distância")</f>
        <v>Curta Distância</v>
      </c>
      <c r="AF88" s="114">
        <f>IFERROR(VLOOKUP(AE88,Constantes!$A$1:$E$5,MATCH(AD88,Constantes!$A$1:$E$1,0),0),"")</f>
        <v>0.18286935436241611</v>
      </c>
      <c r="AG88" s="115">
        <f t="shared" si="3"/>
        <v>313.33200750582682</v>
      </c>
    </row>
    <row r="89" spans="1:33" x14ac:dyDescent="0.3">
      <c r="A89">
        <f>COUNTIF($B$2:B89,B89)</f>
        <v>2</v>
      </c>
      <c r="B89">
        <v>19165330</v>
      </c>
      <c r="C89" t="s">
        <v>575</v>
      </c>
      <c r="D89" t="s">
        <v>576</v>
      </c>
      <c r="E89" t="s">
        <v>577</v>
      </c>
      <c r="F89" t="s">
        <v>198</v>
      </c>
      <c r="G89" t="s">
        <v>211</v>
      </c>
      <c r="H89" t="s">
        <v>211</v>
      </c>
      <c r="I89" s="49">
        <v>45152</v>
      </c>
      <c r="J89" s="49">
        <v>45158</v>
      </c>
      <c r="K89" t="s">
        <v>578</v>
      </c>
      <c r="L89" s="49">
        <v>45158</v>
      </c>
      <c r="M89" s="49">
        <v>45158</v>
      </c>
      <c r="N89" t="s">
        <v>107</v>
      </c>
      <c r="O89" t="s">
        <v>110</v>
      </c>
      <c r="P89">
        <f>VLOOKUP(N89,[1]ID_Cidades!$A$1:$E$5900,2,FALSE)</f>
        <v>295765</v>
      </c>
      <c r="Q89">
        <f>VLOOKUP(O89,[1]ID_Cidades!$A$1:$E$5900,2,FALSE)</f>
        <v>295763</v>
      </c>
      <c r="R89">
        <f t="shared" si="2"/>
        <v>87476343695</v>
      </c>
      <c r="S89" s="42">
        <f>VLOOKUP(R89,'[1]GCD base'!$A$1:$M$200,7,FALSE)</f>
        <v>1713.419991</v>
      </c>
      <c r="T89" t="s">
        <v>109</v>
      </c>
      <c r="U89" t="s">
        <v>201</v>
      </c>
      <c r="V89" t="s">
        <v>202</v>
      </c>
      <c r="W89" t="s">
        <v>210</v>
      </c>
      <c r="X89" t="s">
        <v>216</v>
      </c>
      <c r="Y89">
        <v>0</v>
      </c>
      <c r="Z89">
        <v>0</v>
      </c>
      <c r="AA89">
        <v>2216.9899999999998</v>
      </c>
      <c r="AB89">
        <v>0</v>
      </c>
      <c r="AC89" s="49">
        <v>45149</v>
      </c>
      <c r="AD89" s="116" t="s">
        <v>10</v>
      </c>
      <c r="AE89" s="113" t="str" cm="1">
        <f t="array" ref="AE89">_xlfn.IFS(S89&lt;=Constantes!$G$2,"Muito Curta (evitável)",S89&lt;=Constantes!$H$2,"Curta Distância",S89&gt;Constantes!$H$2,"Longa Distância")</f>
        <v>Curta Distância</v>
      </c>
      <c r="AF89" s="114">
        <f>IFERROR(VLOOKUP(AE89,Constantes!$A$1:$E$5,MATCH(AD89,Constantes!$A$1:$E$1,0),0),"")</f>
        <v>0.18286935436241611</v>
      </c>
      <c r="AG89" s="115">
        <f t="shared" si="3"/>
        <v>313.33200750582682</v>
      </c>
    </row>
    <row r="90" spans="1:33" x14ac:dyDescent="0.3">
      <c r="A90">
        <f>COUNTIF($B$2:B90,B90)</f>
        <v>1</v>
      </c>
      <c r="B90">
        <v>19145555</v>
      </c>
      <c r="C90" t="s">
        <v>510</v>
      </c>
      <c r="D90" t="s">
        <v>511</v>
      </c>
      <c r="E90" t="s">
        <v>512</v>
      </c>
      <c r="F90" t="s">
        <v>198</v>
      </c>
      <c r="G90" t="s">
        <v>207</v>
      </c>
      <c r="H90" t="s">
        <v>204</v>
      </c>
      <c r="I90" s="49">
        <v>45153</v>
      </c>
      <c r="J90" s="49">
        <v>45157</v>
      </c>
      <c r="K90" t="s">
        <v>513</v>
      </c>
      <c r="L90" s="49">
        <v>45153</v>
      </c>
      <c r="M90" s="49">
        <v>45157</v>
      </c>
      <c r="N90" t="s">
        <v>107</v>
      </c>
      <c r="O90" t="s">
        <v>514</v>
      </c>
      <c r="P90">
        <f>VLOOKUP(N90,[1]ID_Cidades!$A$1:$E$5900,2,FALSE)</f>
        <v>295765</v>
      </c>
      <c r="Q90">
        <f>VLOOKUP(O90,[1]ID_Cidades!$A$1:$E$5900,2,FALSE)</f>
        <v>301606</v>
      </c>
      <c r="R90">
        <f t="shared" si="2"/>
        <v>89204498590</v>
      </c>
      <c r="S90" s="42">
        <f>VLOOKUP(R90,'[1]GCD base'!$A$1:$M$200,7,FALSE)</f>
        <v>1081.5366429999999</v>
      </c>
      <c r="T90" t="s">
        <v>109</v>
      </c>
      <c r="U90" t="s">
        <v>205</v>
      </c>
      <c r="V90" t="s">
        <v>202</v>
      </c>
      <c r="W90" t="s">
        <v>210</v>
      </c>
      <c r="X90" t="s">
        <v>515</v>
      </c>
      <c r="Y90">
        <v>1329.41</v>
      </c>
      <c r="Z90">
        <v>0</v>
      </c>
      <c r="AA90">
        <v>1991.29</v>
      </c>
      <c r="AB90">
        <v>0</v>
      </c>
      <c r="AC90" s="49">
        <v>45147</v>
      </c>
      <c r="AD90" s="116" t="s">
        <v>10</v>
      </c>
      <c r="AE90" s="113" t="str" cm="1">
        <f t="array" ref="AE90">_xlfn.IFS(S90&lt;=Constantes!$G$2,"Muito Curta (evitável)",S90&lt;=Constantes!$H$2,"Curta Distância",S90&gt;Constantes!$H$2,"Longa Distância")</f>
        <v>Curta Distância</v>
      </c>
      <c r="AF90" s="114">
        <f>IFERROR(VLOOKUP(AE90,Constantes!$A$1:$E$5,MATCH(AD90,Constantes!$A$1:$E$1,0),0),"")</f>
        <v>0.18286935436241611</v>
      </c>
      <c r="AG90" s="115">
        <f t="shared" si="3"/>
        <v>197.77990762470492</v>
      </c>
    </row>
    <row r="91" spans="1:33" x14ac:dyDescent="0.3">
      <c r="A91">
        <f>COUNTIF($B$2:B91,B91)</f>
        <v>2</v>
      </c>
      <c r="B91">
        <v>19145555</v>
      </c>
      <c r="C91" t="s">
        <v>510</v>
      </c>
      <c r="D91" t="s">
        <v>511</v>
      </c>
      <c r="E91" t="s">
        <v>512</v>
      </c>
      <c r="F91" t="s">
        <v>198</v>
      </c>
      <c r="G91" t="s">
        <v>207</v>
      </c>
      <c r="H91" t="s">
        <v>204</v>
      </c>
      <c r="I91" s="49">
        <v>45153</v>
      </c>
      <c r="J91" s="49">
        <v>45157</v>
      </c>
      <c r="K91" t="s">
        <v>513</v>
      </c>
      <c r="L91" s="49">
        <v>45157</v>
      </c>
      <c r="M91" s="49">
        <v>45157</v>
      </c>
      <c r="N91" t="s">
        <v>514</v>
      </c>
      <c r="O91" t="s">
        <v>107</v>
      </c>
      <c r="P91">
        <f>VLOOKUP(N91,[1]ID_Cidades!$A$1:$E$5900,2,FALSE)</f>
        <v>301606</v>
      </c>
      <c r="Q91">
        <f>VLOOKUP(O91,[1]ID_Cidades!$A$1:$E$5900,2,FALSE)</f>
        <v>295765</v>
      </c>
      <c r="R91">
        <f t="shared" si="2"/>
        <v>89204498590</v>
      </c>
      <c r="S91" s="42">
        <f>VLOOKUP(R91,'[1]GCD base'!$A$1:$M$200,7,FALSE)</f>
        <v>1081.5366429999999</v>
      </c>
      <c r="T91" t="s">
        <v>109</v>
      </c>
      <c r="U91" t="s">
        <v>201</v>
      </c>
      <c r="V91" t="s">
        <v>202</v>
      </c>
      <c r="W91" t="s">
        <v>210</v>
      </c>
      <c r="X91" t="s">
        <v>515</v>
      </c>
      <c r="Y91">
        <v>0</v>
      </c>
      <c r="Z91">
        <v>0</v>
      </c>
      <c r="AA91">
        <v>1777.81</v>
      </c>
      <c r="AB91">
        <v>0</v>
      </c>
      <c r="AC91" s="49">
        <v>45147</v>
      </c>
      <c r="AD91" s="116" t="s">
        <v>10</v>
      </c>
      <c r="AE91" s="113" t="str" cm="1">
        <f t="array" ref="AE91">_xlfn.IFS(S91&lt;=Constantes!$G$2,"Muito Curta (evitável)",S91&lt;=Constantes!$H$2,"Curta Distância",S91&gt;Constantes!$H$2,"Longa Distância")</f>
        <v>Curta Distância</v>
      </c>
      <c r="AF91" s="114">
        <f>IFERROR(VLOOKUP(AE91,Constantes!$A$1:$E$5,MATCH(AD91,Constantes!$A$1:$E$1,0),0),"")</f>
        <v>0.18286935436241611</v>
      </c>
      <c r="AG91" s="115">
        <f t="shared" si="3"/>
        <v>197.77990762470492</v>
      </c>
    </row>
    <row r="92" spans="1:33" x14ac:dyDescent="0.3">
      <c r="A92">
        <f>COUNTIF($B$2:B92,B92)</f>
        <v>1</v>
      </c>
      <c r="B92">
        <v>19146238</v>
      </c>
      <c r="C92" t="s">
        <v>516</v>
      </c>
      <c r="D92" t="s">
        <v>517</v>
      </c>
      <c r="E92" t="s">
        <v>518</v>
      </c>
      <c r="F92" t="s">
        <v>198</v>
      </c>
      <c r="G92" t="s">
        <v>233</v>
      </c>
      <c r="H92" t="s">
        <v>233</v>
      </c>
      <c r="I92" s="49">
        <v>45153</v>
      </c>
      <c r="J92" s="49">
        <v>45157</v>
      </c>
      <c r="K92" t="s">
        <v>513</v>
      </c>
      <c r="L92" s="49">
        <v>45157</v>
      </c>
      <c r="M92" s="49">
        <v>45157</v>
      </c>
      <c r="N92" t="s">
        <v>514</v>
      </c>
      <c r="O92" t="s">
        <v>107</v>
      </c>
      <c r="P92">
        <f>VLOOKUP(N92,[1]ID_Cidades!$A$1:$E$5900,2,FALSE)</f>
        <v>301606</v>
      </c>
      <c r="Q92">
        <f>VLOOKUP(O92,[1]ID_Cidades!$A$1:$E$5900,2,FALSE)</f>
        <v>295765</v>
      </c>
      <c r="R92">
        <f t="shared" si="2"/>
        <v>89204498590</v>
      </c>
      <c r="S92" s="42">
        <f>VLOOKUP(R92,'[1]GCD base'!$A$1:$M$200,7,FALSE)</f>
        <v>1081.5366429999999</v>
      </c>
      <c r="T92" t="s">
        <v>109</v>
      </c>
      <c r="U92" t="s">
        <v>201</v>
      </c>
      <c r="V92" t="s">
        <v>202</v>
      </c>
      <c r="W92" t="s">
        <v>210</v>
      </c>
      <c r="X92" t="s">
        <v>519</v>
      </c>
      <c r="Y92">
        <v>1329.41</v>
      </c>
      <c r="Z92">
        <v>0</v>
      </c>
      <c r="AA92">
        <v>1777.81</v>
      </c>
      <c r="AB92">
        <v>0</v>
      </c>
      <c r="AC92" s="49">
        <v>45147</v>
      </c>
      <c r="AD92" s="116" t="s">
        <v>10</v>
      </c>
      <c r="AE92" s="113" t="str" cm="1">
        <f t="array" ref="AE92">_xlfn.IFS(S92&lt;=Constantes!$G$2,"Muito Curta (evitável)",S92&lt;=Constantes!$H$2,"Curta Distância",S92&gt;Constantes!$H$2,"Longa Distância")</f>
        <v>Curta Distância</v>
      </c>
      <c r="AF92" s="114">
        <f>IFERROR(VLOOKUP(AE92,Constantes!$A$1:$E$5,MATCH(AD92,Constantes!$A$1:$E$1,0),0),"")</f>
        <v>0.18286935436241611</v>
      </c>
      <c r="AG92" s="115">
        <f t="shared" si="3"/>
        <v>197.77990762470492</v>
      </c>
    </row>
    <row r="93" spans="1:33" x14ac:dyDescent="0.3">
      <c r="A93">
        <f>COUNTIF($B$2:B93,B93)</f>
        <v>2</v>
      </c>
      <c r="B93">
        <v>19146238</v>
      </c>
      <c r="C93" t="s">
        <v>516</v>
      </c>
      <c r="D93" t="s">
        <v>517</v>
      </c>
      <c r="E93" t="s">
        <v>518</v>
      </c>
      <c r="F93" t="s">
        <v>198</v>
      </c>
      <c r="G93" t="s">
        <v>233</v>
      </c>
      <c r="H93" t="s">
        <v>233</v>
      </c>
      <c r="I93" s="49">
        <v>45153</v>
      </c>
      <c r="J93" s="49">
        <v>45157</v>
      </c>
      <c r="K93" t="s">
        <v>513</v>
      </c>
      <c r="L93" s="49">
        <v>45153</v>
      </c>
      <c r="M93" s="49">
        <v>45157</v>
      </c>
      <c r="N93" t="s">
        <v>107</v>
      </c>
      <c r="O93" t="s">
        <v>514</v>
      </c>
      <c r="P93">
        <f>VLOOKUP(N93,[1]ID_Cidades!$A$1:$E$5900,2,FALSE)</f>
        <v>295765</v>
      </c>
      <c r="Q93">
        <f>VLOOKUP(O93,[1]ID_Cidades!$A$1:$E$5900,2,FALSE)</f>
        <v>301606</v>
      </c>
      <c r="R93">
        <f t="shared" si="2"/>
        <v>89204498590</v>
      </c>
      <c r="S93" s="42">
        <f>VLOOKUP(R93,'[1]GCD base'!$A$1:$M$200,7,FALSE)</f>
        <v>1081.5366429999999</v>
      </c>
      <c r="T93" t="s">
        <v>109</v>
      </c>
      <c r="U93" t="s">
        <v>205</v>
      </c>
      <c r="V93" t="s">
        <v>202</v>
      </c>
      <c r="W93" t="s">
        <v>210</v>
      </c>
      <c r="X93" t="s">
        <v>519</v>
      </c>
      <c r="Y93">
        <v>0</v>
      </c>
      <c r="Z93">
        <v>0</v>
      </c>
      <c r="AA93">
        <v>1991.29</v>
      </c>
      <c r="AB93">
        <v>0</v>
      </c>
      <c r="AC93" s="49">
        <v>45147</v>
      </c>
      <c r="AD93" s="116" t="s">
        <v>10</v>
      </c>
      <c r="AE93" s="113" t="str" cm="1">
        <f t="array" ref="AE93">_xlfn.IFS(S93&lt;=Constantes!$G$2,"Muito Curta (evitável)",S93&lt;=Constantes!$H$2,"Curta Distância",S93&gt;Constantes!$H$2,"Longa Distância")</f>
        <v>Curta Distância</v>
      </c>
      <c r="AF93" s="114">
        <f>IFERROR(VLOOKUP(AE93,Constantes!$A$1:$E$5,MATCH(AD93,Constantes!$A$1:$E$1,0),0),"")</f>
        <v>0.18286935436241611</v>
      </c>
      <c r="AG93" s="115">
        <f t="shared" si="3"/>
        <v>197.77990762470492</v>
      </c>
    </row>
    <row r="94" spans="1:33" x14ac:dyDescent="0.3">
      <c r="A94">
        <f>COUNTIF($B$2:B94,B94)</f>
        <v>1</v>
      </c>
      <c r="B94">
        <v>19147252</v>
      </c>
      <c r="C94" t="s">
        <v>520</v>
      </c>
      <c r="D94" t="s">
        <v>222</v>
      </c>
      <c r="E94" t="s">
        <v>137</v>
      </c>
      <c r="F94" t="s">
        <v>214</v>
      </c>
      <c r="G94" t="s">
        <v>207</v>
      </c>
      <c r="H94" t="s">
        <v>204</v>
      </c>
      <c r="I94" s="49">
        <v>45153</v>
      </c>
      <c r="J94" s="49">
        <v>45157</v>
      </c>
      <c r="K94" t="s">
        <v>521</v>
      </c>
      <c r="L94" s="49">
        <v>45157</v>
      </c>
      <c r="M94" s="49">
        <v>45157</v>
      </c>
      <c r="N94" t="s">
        <v>116</v>
      </c>
      <c r="O94" t="s">
        <v>107</v>
      </c>
      <c r="P94">
        <f>VLOOKUP(N94,[1]ID_Cidades!$A$1:$E$5900,2,FALSE)</f>
        <v>295778</v>
      </c>
      <c r="Q94">
        <f>VLOOKUP(O94,[1]ID_Cidades!$A$1:$E$5900,2,FALSE)</f>
        <v>295765</v>
      </c>
      <c r="R94">
        <f t="shared" si="2"/>
        <v>87480780170</v>
      </c>
      <c r="S94" s="42">
        <f>VLOOKUP(R94,'[1]GCD base'!$A$1:$M$200,7,FALSE)</f>
        <v>1961.5007860000001</v>
      </c>
      <c r="T94" t="s">
        <v>109</v>
      </c>
      <c r="U94" t="s">
        <v>201</v>
      </c>
      <c r="V94" t="s">
        <v>202</v>
      </c>
      <c r="W94" t="s">
        <v>210</v>
      </c>
      <c r="X94" t="s">
        <v>522</v>
      </c>
      <c r="Y94">
        <v>1690.49</v>
      </c>
      <c r="Z94">
        <v>0</v>
      </c>
      <c r="AA94">
        <v>1044.8900000000001</v>
      </c>
      <c r="AB94">
        <v>0</v>
      </c>
      <c r="AC94" s="49">
        <v>45145</v>
      </c>
      <c r="AD94" s="116" t="s">
        <v>10</v>
      </c>
      <c r="AE94" s="113" t="str" cm="1">
        <f t="array" ref="AE94">_xlfn.IFS(S94&lt;=Constantes!$G$2,"Muito Curta (evitável)",S94&lt;=Constantes!$H$2,"Curta Distância",S94&gt;Constantes!$H$2,"Longa Distância")</f>
        <v>Curta Distância</v>
      </c>
      <c r="AF94" s="114">
        <f>IFERROR(VLOOKUP(AE94,Constantes!$A$1:$E$5,MATCH(AD94,Constantes!$A$1:$E$1,0),0),"")</f>
        <v>0.18286935436241611</v>
      </c>
      <c r="AG94" s="115">
        <f t="shared" si="3"/>
        <v>358.69838231719172</v>
      </c>
    </row>
    <row r="95" spans="1:33" x14ac:dyDescent="0.3">
      <c r="A95">
        <f>COUNTIF($B$2:B95,B95)</f>
        <v>2</v>
      </c>
      <c r="B95">
        <v>19147252</v>
      </c>
      <c r="C95" t="s">
        <v>520</v>
      </c>
      <c r="D95" t="s">
        <v>222</v>
      </c>
      <c r="E95" t="s">
        <v>137</v>
      </c>
      <c r="F95" t="s">
        <v>214</v>
      </c>
      <c r="G95" t="s">
        <v>207</v>
      </c>
      <c r="H95" t="s">
        <v>204</v>
      </c>
      <c r="I95" s="49">
        <v>45153</v>
      </c>
      <c r="J95" s="49">
        <v>45157</v>
      </c>
      <c r="K95" t="s">
        <v>521</v>
      </c>
      <c r="L95" s="49">
        <v>45153</v>
      </c>
      <c r="M95" s="49">
        <v>45157</v>
      </c>
      <c r="N95" t="s">
        <v>107</v>
      </c>
      <c r="O95" t="s">
        <v>116</v>
      </c>
      <c r="P95">
        <f>VLOOKUP(N95,[1]ID_Cidades!$A$1:$E$5900,2,FALSE)</f>
        <v>295765</v>
      </c>
      <c r="Q95">
        <f>VLOOKUP(O95,[1]ID_Cidades!$A$1:$E$5900,2,FALSE)</f>
        <v>295778</v>
      </c>
      <c r="R95">
        <f t="shared" si="2"/>
        <v>87480780170</v>
      </c>
      <c r="S95" s="42">
        <f>VLOOKUP(R95,'[1]GCD base'!$A$1:$M$200,7,FALSE)</f>
        <v>1961.5007860000001</v>
      </c>
      <c r="T95" t="s">
        <v>109</v>
      </c>
      <c r="U95" t="s">
        <v>205</v>
      </c>
      <c r="V95" t="s">
        <v>202</v>
      </c>
      <c r="W95" t="s">
        <v>210</v>
      </c>
      <c r="X95" t="s">
        <v>522</v>
      </c>
      <c r="Y95">
        <v>0</v>
      </c>
      <c r="Z95">
        <v>0</v>
      </c>
      <c r="AA95">
        <v>802.99</v>
      </c>
      <c r="AB95">
        <v>0</v>
      </c>
      <c r="AC95" s="49">
        <v>45145</v>
      </c>
      <c r="AD95" s="116" t="s">
        <v>10</v>
      </c>
      <c r="AE95" s="113" t="str" cm="1">
        <f t="array" ref="AE95">_xlfn.IFS(S95&lt;=Constantes!$G$2,"Muito Curta (evitável)",S95&lt;=Constantes!$H$2,"Curta Distância",S95&gt;Constantes!$H$2,"Longa Distância")</f>
        <v>Curta Distância</v>
      </c>
      <c r="AF95" s="114">
        <f>IFERROR(VLOOKUP(AE95,Constantes!$A$1:$E$5,MATCH(AD95,Constantes!$A$1:$E$1,0),0),"")</f>
        <v>0.18286935436241611</v>
      </c>
      <c r="AG95" s="115">
        <f t="shared" si="3"/>
        <v>358.69838231719172</v>
      </c>
    </row>
    <row r="96" spans="1:33" x14ac:dyDescent="0.3">
      <c r="A96">
        <f>COUNTIF($B$2:B96,B96)</f>
        <v>1</v>
      </c>
      <c r="B96">
        <v>19167695</v>
      </c>
      <c r="C96" t="s">
        <v>601</v>
      </c>
      <c r="D96" t="s">
        <v>208</v>
      </c>
      <c r="E96" t="s">
        <v>132</v>
      </c>
      <c r="F96" t="s">
        <v>198</v>
      </c>
      <c r="G96" t="s">
        <v>209</v>
      </c>
      <c r="H96" t="s">
        <v>200</v>
      </c>
      <c r="I96" s="49">
        <v>45153</v>
      </c>
      <c r="J96" s="49">
        <v>45156</v>
      </c>
      <c r="K96" t="s">
        <v>602</v>
      </c>
      <c r="L96" s="49">
        <v>45153</v>
      </c>
      <c r="M96" s="49">
        <v>45156</v>
      </c>
      <c r="N96" t="s">
        <v>107</v>
      </c>
      <c r="O96" t="s">
        <v>110</v>
      </c>
      <c r="P96">
        <f>VLOOKUP(N96,[1]ID_Cidades!$A$1:$E$5900,2,FALSE)</f>
        <v>295765</v>
      </c>
      <c r="Q96">
        <f>VLOOKUP(O96,[1]ID_Cidades!$A$1:$E$5900,2,FALSE)</f>
        <v>295763</v>
      </c>
      <c r="R96">
        <f t="shared" si="2"/>
        <v>87476343695</v>
      </c>
      <c r="S96" s="42">
        <f>VLOOKUP(R96,'[1]GCD base'!$A$1:$M$200,7,FALSE)</f>
        <v>1713.419991</v>
      </c>
      <c r="T96" t="s">
        <v>109</v>
      </c>
      <c r="U96" t="s">
        <v>205</v>
      </c>
      <c r="V96" t="s">
        <v>202</v>
      </c>
      <c r="W96" t="s">
        <v>210</v>
      </c>
      <c r="X96" t="s">
        <v>603</v>
      </c>
      <c r="Y96">
        <v>1492.57</v>
      </c>
      <c r="Z96">
        <v>0</v>
      </c>
      <c r="AA96">
        <v>2130.4699999999998</v>
      </c>
      <c r="AB96">
        <v>0</v>
      </c>
      <c r="AC96" s="49">
        <v>45147</v>
      </c>
      <c r="AD96" s="116" t="s">
        <v>10</v>
      </c>
      <c r="AE96" s="113" t="str" cm="1">
        <f t="array" ref="AE96">_xlfn.IFS(S96&lt;=Constantes!$G$2,"Muito Curta (evitável)",S96&lt;=Constantes!$H$2,"Curta Distância",S96&gt;Constantes!$H$2,"Longa Distância")</f>
        <v>Curta Distância</v>
      </c>
      <c r="AF96" s="114">
        <f>IFERROR(VLOOKUP(AE96,Constantes!$A$1:$E$5,MATCH(AD96,Constantes!$A$1:$E$1,0),0),"")</f>
        <v>0.18286935436241611</v>
      </c>
      <c r="AG96" s="115">
        <f t="shared" si="3"/>
        <v>313.33200750582682</v>
      </c>
    </row>
    <row r="97" spans="1:33" x14ac:dyDescent="0.3">
      <c r="A97">
        <f>COUNTIF($B$2:B97,B97)</f>
        <v>2</v>
      </c>
      <c r="B97">
        <v>19167695</v>
      </c>
      <c r="C97" t="s">
        <v>601</v>
      </c>
      <c r="D97" t="s">
        <v>208</v>
      </c>
      <c r="E97" t="s">
        <v>132</v>
      </c>
      <c r="F97" t="s">
        <v>198</v>
      </c>
      <c r="G97" t="s">
        <v>209</v>
      </c>
      <c r="H97" t="s">
        <v>200</v>
      </c>
      <c r="I97" s="49">
        <v>45153</v>
      </c>
      <c r="J97" s="49">
        <v>45156</v>
      </c>
      <c r="K97" t="s">
        <v>602</v>
      </c>
      <c r="L97" s="49">
        <v>45156</v>
      </c>
      <c r="M97" s="49">
        <v>45156</v>
      </c>
      <c r="N97" t="s">
        <v>110</v>
      </c>
      <c r="O97" t="s">
        <v>107</v>
      </c>
      <c r="P97">
        <f>VLOOKUP(N97,[1]ID_Cidades!$A$1:$E$5900,2,FALSE)</f>
        <v>295763</v>
      </c>
      <c r="Q97">
        <f>VLOOKUP(O97,[1]ID_Cidades!$A$1:$E$5900,2,FALSE)</f>
        <v>295765</v>
      </c>
      <c r="R97">
        <f t="shared" si="2"/>
        <v>87476343695</v>
      </c>
      <c r="S97" s="42">
        <f>VLOOKUP(R97,'[1]GCD base'!$A$1:$M$200,7,FALSE)</f>
        <v>1713.419991</v>
      </c>
      <c r="T97" t="s">
        <v>109</v>
      </c>
      <c r="U97" t="s">
        <v>201</v>
      </c>
      <c r="V97" t="s">
        <v>202</v>
      </c>
      <c r="W97" t="s">
        <v>210</v>
      </c>
      <c r="X97" t="s">
        <v>603</v>
      </c>
      <c r="Y97">
        <v>0</v>
      </c>
      <c r="Z97">
        <v>0</v>
      </c>
      <c r="AA97">
        <v>2617.4899999999998</v>
      </c>
      <c r="AB97">
        <v>0</v>
      </c>
      <c r="AC97" s="49">
        <v>45147</v>
      </c>
      <c r="AD97" s="116" t="s">
        <v>10</v>
      </c>
      <c r="AE97" s="113" t="str" cm="1">
        <f t="array" ref="AE97">_xlfn.IFS(S97&lt;=Constantes!$G$2,"Muito Curta (evitável)",S97&lt;=Constantes!$H$2,"Curta Distância",S97&gt;Constantes!$H$2,"Longa Distância")</f>
        <v>Curta Distância</v>
      </c>
      <c r="AF97" s="114">
        <f>IFERROR(VLOOKUP(AE97,Constantes!$A$1:$E$5,MATCH(AD97,Constantes!$A$1:$E$1,0),0),"")</f>
        <v>0.18286935436241611</v>
      </c>
      <c r="AG97" s="115">
        <f t="shared" si="3"/>
        <v>313.33200750582682</v>
      </c>
    </row>
    <row r="98" spans="1:33" x14ac:dyDescent="0.3">
      <c r="A98">
        <f>COUNTIF($B$2:B98,B98)</f>
        <v>1</v>
      </c>
      <c r="B98">
        <v>19165790</v>
      </c>
      <c r="C98" t="s">
        <v>584</v>
      </c>
      <c r="D98" t="s">
        <v>585</v>
      </c>
      <c r="E98" t="s">
        <v>586</v>
      </c>
      <c r="F98" t="s">
        <v>587</v>
      </c>
      <c r="G98" t="s">
        <v>207</v>
      </c>
      <c r="H98" t="s">
        <v>204</v>
      </c>
      <c r="I98" s="49">
        <v>45158</v>
      </c>
      <c r="J98" s="49">
        <v>45164</v>
      </c>
      <c r="K98" t="s">
        <v>588</v>
      </c>
      <c r="L98" s="49">
        <v>45158</v>
      </c>
      <c r="M98" s="49">
        <v>45158</v>
      </c>
      <c r="N98" t="s">
        <v>112</v>
      </c>
      <c r="O98" t="s">
        <v>122</v>
      </c>
      <c r="P98">
        <f>VLOOKUP(N98,[1]ID_Cidades!$A$1:$E$5900,2,FALSE)</f>
        <v>295766</v>
      </c>
      <c r="Q98">
        <f>VLOOKUP(O98,[1]ID_Cidades!$A$1:$E$5900,2,FALSE)</f>
        <v>295781</v>
      </c>
      <c r="R98">
        <f t="shared" si="2"/>
        <v>87481963246</v>
      </c>
      <c r="S98" s="42">
        <f>VLOOKUP(R98,'[1]GCD base'!$A$1:$M$200,7,FALSE)</f>
        <v>2603.2603009999998</v>
      </c>
      <c r="T98" t="s">
        <v>109</v>
      </c>
      <c r="U98" t="s">
        <v>201</v>
      </c>
      <c r="V98" t="s">
        <v>202</v>
      </c>
      <c r="W98" t="s">
        <v>210</v>
      </c>
      <c r="X98" t="s">
        <v>589</v>
      </c>
      <c r="Y98">
        <v>1139.02</v>
      </c>
      <c r="Z98">
        <v>0</v>
      </c>
      <c r="AA98">
        <v>1457.24</v>
      </c>
      <c r="AB98">
        <v>0</v>
      </c>
      <c r="AC98" s="49">
        <v>45154</v>
      </c>
      <c r="AD98" s="116" t="s">
        <v>10</v>
      </c>
      <c r="AE98" s="113" t="str" cm="1">
        <f t="array" ref="AE98">_xlfn.IFS(S98&lt;=Constantes!$G$2,"Muito Curta (evitável)",S98&lt;=Constantes!$H$2,"Curta Distância",S98&gt;Constantes!$H$2,"Longa Distância")</f>
        <v>Curta Distância</v>
      </c>
      <c r="AF98" s="114">
        <f>IFERROR(VLOOKUP(AE98,Constantes!$A$1:$E$5,MATCH(AD98,Constantes!$A$1:$E$1,0),0),"")</f>
        <v>0.18286935436241611</v>
      </c>
      <c r="AG98" s="115">
        <f t="shared" si="3"/>
        <v>476.05653048117898</v>
      </c>
    </row>
    <row r="99" spans="1:33" x14ac:dyDescent="0.3">
      <c r="A99">
        <f>COUNTIF($B$2:B99,B99)</f>
        <v>2</v>
      </c>
      <c r="B99">
        <v>19165790</v>
      </c>
      <c r="C99" t="s">
        <v>584</v>
      </c>
      <c r="D99" t="s">
        <v>585</v>
      </c>
      <c r="E99" t="s">
        <v>586</v>
      </c>
      <c r="F99" t="s">
        <v>587</v>
      </c>
      <c r="G99" t="s">
        <v>207</v>
      </c>
      <c r="H99" t="s">
        <v>204</v>
      </c>
      <c r="I99" s="49">
        <v>45158</v>
      </c>
      <c r="J99" s="49">
        <v>45164</v>
      </c>
      <c r="K99" t="s">
        <v>588</v>
      </c>
      <c r="L99" s="49">
        <v>45164</v>
      </c>
      <c r="M99" s="49">
        <v>45164</v>
      </c>
      <c r="N99" t="s">
        <v>122</v>
      </c>
      <c r="O99" t="s">
        <v>112</v>
      </c>
      <c r="P99">
        <f>VLOOKUP(N99,[1]ID_Cidades!$A$1:$E$5900,2,FALSE)</f>
        <v>295781</v>
      </c>
      <c r="Q99">
        <f>VLOOKUP(O99,[1]ID_Cidades!$A$1:$E$5900,2,FALSE)</f>
        <v>295766</v>
      </c>
      <c r="R99">
        <f t="shared" si="2"/>
        <v>87481963246</v>
      </c>
      <c r="S99" s="42">
        <f>VLOOKUP(R99,'[1]GCD base'!$A$1:$M$200,7,FALSE)</f>
        <v>2603.2603009999998</v>
      </c>
      <c r="T99" t="s">
        <v>109</v>
      </c>
      <c r="U99" t="s">
        <v>201</v>
      </c>
      <c r="V99" t="s">
        <v>202</v>
      </c>
      <c r="W99" t="s">
        <v>210</v>
      </c>
      <c r="X99" t="s">
        <v>589</v>
      </c>
      <c r="Y99">
        <v>0</v>
      </c>
      <c r="Z99">
        <v>0</v>
      </c>
      <c r="AA99">
        <v>1089.47</v>
      </c>
      <c r="AB99">
        <v>0</v>
      </c>
      <c r="AC99" s="49">
        <v>45154</v>
      </c>
      <c r="AD99" s="116" t="s">
        <v>10</v>
      </c>
      <c r="AE99" s="113" t="str" cm="1">
        <f t="array" ref="AE99">_xlfn.IFS(S99&lt;=Constantes!$G$2,"Muito Curta (evitável)",S99&lt;=Constantes!$H$2,"Curta Distância",S99&gt;Constantes!$H$2,"Longa Distância")</f>
        <v>Curta Distância</v>
      </c>
      <c r="AF99" s="114">
        <f>IFERROR(VLOOKUP(AE99,Constantes!$A$1:$E$5,MATCH(AD99,Constantes!$A$1:$E$1,0),0),"")</f>
        <v>0.18286935436241611</v>
      </c>
      <c r="AG99" s="115">
        <f t="shared" si="3"/>
        <v>476.05653048117898</v>
      </c>
    </row>
    <row r="100" spans="1:33" x14ac:dyDescent="0.3">
      <c r="A100">
        <f>COUNTIF($B$2:B100,B100)</f>
        <v>1</v>
      </c>
      <c r="B100">
        <v>19188134</v>
      </c>
      <c r="C100" t="s">
        <v>643</v>
      </c>
      <c r="D100" t="s">
        <v>644</v>
      </c>
      <c r="E100" t="s">
        <v>645</v>
      </c>
      <c r="F100" t="s">
        <v>198</v>
      </c>
      <c r="G100" t="s">
        <v>215</v>
      </c>
      <c r="H100" t="s">
        <v>200</v>
      </c>
      <c r="I100" s="49">
        <v>45158</v>
      </c>
      <c r="J100" s="49">
        <v>45163</v>
      </c>
      <c r="K100" t="s">
        <v>646</v>
      </c>
      <c r="L100" s="49">
        <v>45158</v>
      </c>
      <c r="M100" s="49">
        <v>45158</v>
      </c>
      <c r="N100" t="s">
        <v>112</v>
      </c>
      <c r="O100" t="s">
        <v>122</v>
      </c>
      <c r="P100">
        <f>VLOOKUP(N100,[1]ID_Cidades!$A$1:$E$5900,2,FALSE)</f>
        <v>295766</v>
      </c>
      <c r="Q100">
        <f>VLOOKUP(O100,[1]ID_Cidades!$A$1:$E$5900,2,FALSE)</f>
        <v>295781</v>
      </c>
      <c r="R100">
        <f t="shared" si="2"/>
        <v>87481963246</v>
      </c>
      <c r="S100" s="42">
        <f>VLOOKUP(R100,'[1]GCD base'!$A$1:$M$200,7,FALSE)</f>
        <v>2603.2603009999998</v>
      </c>
      <c r="T100" t="s">
        <v>109</v>
      </c>
      <c r="U100" t="s">
        <v>201</v>
      </c>
      <c r="V100" t="s">
        <v>202</v>
      </c>
      <c r="W100" t="s">
        <v>210</v>
      </c>
      <c r="X100" t="s">
        <v>647</v>
      </c>
      <c r="Y100">
        <v>1109.03</v>
      </c>
      <c r="Z100">
        <v>0</v>
      </c>
      <c r="AA100">
        <v>801.17</v>
      </c>
      <c r="AB100">
        <v>0</v>
      </c>
      <c r="AC100" s="49">
        <v>45156</v>
      </c>
      <c r="AD100" s="116" t="s">
        <v>10</v>
      </c>
      <c r="AE100" s="113" t="str" cm="1">
        <f t="array" ref="AE100">_xlfn.IFS(S100&lt;=Constantes!$G$2,"Muito Curta (evitável)",S100&lt;=Constantes!$H$2,"Curta Distância",S100&gt;Constantes!$H$2,"Longa Distância")</f>
        <v>Curta Distância</v>
      </c>
      <c r="AF100" s="114">
        <f>IFERROR(VLOOKUP(AE100,Constantes!$A$1:$E$5,MATCH(AD100,Constantes!$A$1:$E$1,0),0),"")</f>
        <v>0.18286935436241611</v>
      </c>
      <c r="AG100" s="115">
        <f t="shared" si="3"/>
        <v>476.05653048117898</v>
      </c>
    </row>
    <row r="101" spans="1:33" x14ac:dyDescent="0.3">
      <c r="A101">
        <f>COUNTIF($B$2:B101,B101)</f>
        <v>2</v>
      </c>
      <c r="B101">
        <v>19188134</v>
      </c>
      <c r="C101" t="s">
        <v>643</v>
      </c>
      <c r="D101" t="s">
        <v>644</v>
      </c>
      <c r="E101" t="s">
        <v>645</v>
      </c>
      <c r="F101" t="s">
        <v>198</v>
      </c>
      <c r="G101" t="s">
        <v>215</v>
      </c>
      <c r="H101" t="s">
        <v>200</v>
      </c>
      <c r="I101" s="49">
        <v>45158</v>
      </c>
      <c r="J101" s="49">
        <v>45163</v>
      </c>
      <c r="K101" t="s">
        <v>646</v>
      </c>
      <c r="L101" s="49">
        <v>45163</v>
      </c>
      <c r="M101" s="49">
        <v>45163</v>
      </c>
      <c r="N101" t="s">
        <v>122</v>
      </c>
      <c r="O101" t="s">
        <v>112</v>
      </c>
      <c r="P101">
        <f>VLOOKUP(N101,[1]ID_Cidades!$A$1:$E$5900,2,FALSE)</f>
        <v>295781</v>
      </c>
      <c r="Q101">
        <f>VLOOKUP(O101,[1]ID_Cidades!$A$1:$E$5900,2,FALSE)</f>
        <v>295766</v>
      </c>
      <c r="R101">
        <f t="shared" si="2"/>
        <v>87481963246</v>
      </c>
      <c r="S101" s="42">
        <f>VLOOKUP(R101,'[1]GCD base'!$A$1:$M$200,7,FALSE)</f>
        <v>2603.2603009999998</v>
      </c>
      <c r="T101" t="s">
        <v>109</v>
      </c>
      <c r="U101" t="s">
        <v>201</v>
      </c>
      <c r="V101" t="s">
        <v>202</v>
      </c>
      <c r="W101" t="s">
        <v>210</v>
      </c>
      <c r="X101" t="s">
        <v>647</v>
      </c>
      <c r="Y101">
        <v>0</v>
      </c>
      <c r="Z101">
        <v>0</v>
      </c>
      <c r="AA101">
        <v>1398.94</v>
      </c>
      <c r="AB101">
        <v>0</v>
      </c>
      <c r="AC101" s="49">
        <v>45156</v>
      </c>
      <c r="AD101" s="116" t="s">
        <v>10</v>
      </c>
      <c r="AE101" s="113" t="str" cm="1">
        <f t="array" ref="AE101">_xlfn.IFS(S101&lt;=Constantes!$G$2,"Muito Curta (evitável)",S101&lt;=Constantes!$H$2,"Curta Distância",S101&gt;Constantes!$H$2,"Longa Distância")</f>
        <v>Curta Distância</v>
      </c>
      <c r="AF101" s="114">
        <f>IFERROR(VLOOKUP(AE101,Constantes!$A$1:$E$5,MATCH(AD101,Constantes!$A$1:$E$1,0),0),"")</f>
        <v>0.18286935436241611</v>
      </c>
      <c r="AG101" s="115">
        <f t="shared" si="3"/>
        <v>476.05653048117898</v>
      </c>
    </row>
    <row r="102" spans="1:33" x14ac:dyDescent="0.3">
      <c r="A102">
        <f>COUNTIF($B$2:B102,B102)</f>
        <v>1</v>
      </c>
      <c r="B102">
        <v>19128220</v>
      </c>
      <c r="C102" t="s">
        <v>483</v>
      </c>
      <c r="D102" t="s">
        <v>484</v>
      </c>
      <c r="E102" t="s">
        <v>485</v>
      </c>
      <c r="F102" t="s">
        <v>198</v>
      </c>
      <c r="G102" t="s">
        <v>207</v>
      </c>
      <c r="H102" t="s">
        <v>204</v>
      </c>
      <c r="I102" s="49">
        <v>45159</v>
      </c>
      <c r="J102" s="49">
        <v>45161</v>
      </c>
      <c r="K102" t="s">
        <v>486</v>
      </c>
      <c r="L102" s="49">
        <v>45159</v>
      </c>
      <c r="M102" s="49">
        <v>45161</v>
      </c>
      <c r="N102" t="s">
        <v>107</v>
      </c>
      <c r="O102" t="s">
        <v>115</v>
      </c>
      <c r="P102">
        <f>VLOOKUP(N102,[1]ID_Cidades!$A$1:$E$5900,2,FALSE)</f>
        <v>295765</v>
      </c>
      <c r="Q102">
        <f>VLOOKUP(O102,[1]ID_Cidades!$A$1:$E$5900,2,FALSE)</f>
        <v>295770</v>
      </c>
      <c r="R102">
        <f t="shared" si="2"/>
        <v>87478414050</v>
      </c>
      <c r="S102" s="42">
        <f>VLOOKUP(R102,'[1]GCD base'!$A$1:$M$200,7,FALSE)</f>
        <v>741.11941309999997</v>
      </c>
      <c r="T102" t="s">
        <v>109</v>
      </c>
      <c r="U102" t="s">
        <v>205</v>
      </c>
      <c r="V102" t="s">
        <v>202</v>
      </c>
      <c r="W102" t="s">
        <v>203</v>
      </c>
      <c r="X102" t="s">
        <v>204</v>
      </c>
      <c r="Y102">
        <v>857.82</v>
      </c>
      <c r="Z102">
        <v>0</v>
      </c>
      <c r="AA102">
        <v>615.19000000000005</v>
      </c>
      <c r="AB102">
        <v>0</v>
      </c>
      <c r="AC102" s="49">
        <v>45135</v>
      </c>
      <c r="AD102" s="116" t="s">
        <v>10</v>
      </c>
      <c r="AE102" s="113" t="str" cm="1">
        <f t="array" ref="AE102">_xlfn.IFS(S102&lt;=Constantes!$G$2,"Muito Curta (evitável)",S102&lt;=Constantes!$H$2,"Curta Distância",S102&gt;Constantes!$H$2,"Longa Distância")</f>
        <v>Curta Distância</v>
      </c>
      <c r="AF102" s="114">
        <f>IFERROR(VLOOKUP(AE102,Constantes!$A$1:$E$5,MATCH(AD102,Constantes!$A$1:$E$1,0),0),"")</f>
        <v>0.18286935436241611</v>
      </c>
      <c r="AG102" s="115">
        <f t="shared" si="3"/>
        <v>135.52802857904976</v>
      </c>
    </row>
    <row r="103" spans="1:33" x14ac:dyDescent="0.3">
      <c r="A103">
        <f>COUNTIF($B$2:B103,B103)</f>
        <v>2</v>
      </c>
      <c r="B103">
        <v>19128220</v>
      </c>
      <c r="C103" t="s">
        <v>483</v>
      </c>
      <c r="D103" t="s">
        <v>484</v>
      </c>
      <c r="E103" t="s">
        <v>485</v>
      </c>
      <c r="F103" t="s">
        <v>198</v>
      </c>
      <c r="G103" t="s">
        <v>207</v>
      </c>
      <c r="H103" t="s">
        <v>204</v>
      </c>
      <c r="I103" s="49">
        <v>45159</v>
      </c>
      <c r="J103" s="49">
        <v>45161</v>
      </c>
      <c r="K103" t="s">
        <v>486</v>
      </c>
      <c r="L103" s="49">
        <v>45161</v>
      </c>
      <c r="M103" s="49">
        <v>45161</v>
      </c>
      <c r="N103" t="s">
        <v>115</v>
      </c>
      <c r="O103" t="s">
        <v>107</v>
      </c>
      <c r="P103">
        <f>VLOOKUP(N103,[1]ID_Cidades!$A$1:$E$5900,2,FALSE)</f>
        <v>295770</v>
      </c>
      <c r="Q103">
        <f>VLOOKUP(O103,[1]ID_Cidades!$A$1:$E$5900,2,FALSE)</f>
        <v>295765</v>
      </c>
      <c r="R103">
        <f t="shared" si="2"/>
        <v>87478414050</v>
      </c>
      <c r="S103" s="42">
        <f>VLOOKUP(R103,'[1]GCD base'!$A$1:$M$200,7,FALSE)</f>
        <v>741.11941309999997</v>
      </c>
      <c r="T103" t="s">
        <v>109</v>
      </c>
      <c r="U103" t="s">
        <v>201</v>
      </c>
      <c r="V103" t="s">
        <v>202</v>
      </c>
      <c r="W103" t="s">
        <v>203</v>
      </c>
      <c r="X103" t="s">
        <v>204</v>
      </c>
      <c r="Y103">
        <v>0</v>
      </c>
      <c r="Z103">
        <v>0</v>
      </c>
      <c r="AA103">
        <v>610.55999999999995</v>
      </c>
      <c r="AB103">
        <v>0</v>
      </c>
      <c r="AC103" s="49">
        <v>45135</v>
      </c>
      <c r="AD103" s="116" t="s">
        <v>10</v>
      </c>
      <c r="AE103" s="113" t="str" cm="1">
        <f t="array" ref="AE103">_xlfn.IFS(S103&lt;=Constantes!$G$2,"Muito Curta (evitável)",S103&lt;=Constantes!$H$2,"Curta Distância",S103&gt;Constantes!$H$2,"Longa Distância")</f>
        <v>Curta Distância</v>
      </c>
      <c r="AF103" s="114">
        <f>IFERROR(VLOOKUP(AE103,Constantes!$A$1:$E$5,MATCH(AD103,Constantes!$A$1:$E$1,0),0),"")</f>
        <v>0.18286935436241611</v>
      </c>
      <c r="AG103" s="115">
        <f t="shared" si="3"/>
        <v>135.52802857904976</v>
      </c>
    </row>
    <row r="104" spans="1:33" x14ac:dyDescent="0.3">
      <c r="A104">
        <f>COUNTIF($B$2:B104,B104)</f>
        <v>1</v>
      </c>
      <c r="B104">
        <v>19157213</v>
      </c>
      <c r="C104" t="s">
        <v>527</v>
      </c>
      <c r="D104" t="s">
        <v>227</v>
      </c>
      <c r="E104" t="s">
        <v>111</v>
      </c>
      <c r="F104" t="s">
        <v>214</v>
      </c>
      <c r="G104" t="s">
        <v>215</v>
      </c>
      <c r="H104" t="s">
        <v>200</v>
      </c>
      <c r="I104" s="49">
        <v>45159</v>
      </c>
      <c r="J104" s="49">
        <v>45163</v>
      </c>
      <c r="K104" t="s">
        <v>528</v>
      </c>
      <c r="L104" s="49">
        <v>45159</v>
      </c>
      <c r="M104" s="49">
        <v>45163</v>
      </c>
      <c r="N104" t="s">
        <v>107</v>
      </c>
      <c r="O104" t="s">
        <v>110</v>
      </c>
      <c r="P104">
        <f>VLOOKUP(N104,[1]ID_Cidades!$A$1:$E$5900,2,FALSE)</f>
        <v>295765</v>
      </c>
      <c r="Q104">
        <f>VLOOKUP(O104,[1]ID_Cidades!$A$1:$E$5900,2,FALSE)</f>
        <v>295763</v>
      </c>
      <c r="R104">
        <f t="shared" si="2"/>
        <v>87476343695</v>
      </c>
      <c r="S104" s="42">
        <f>VLOOKUP(R104,'[1]GCD base'!$A$1:$M$200,7,FALSE)</f>
        <v>1713.419991</v>
      </c>
      <c r="T104" t="s">
        <v>109</v>
      </c>
      <c r="U104" t="s">
        <v>205</v>
      </c>
      <c r="V104" t="s">
        <v>202</v>
      </c>
      <c r="W104" t="s">
        <v>210</v>
      </c>
      <c r="X104" t="s">
        <v>529</v>
      </c>
      <c r="Y104">
        <v>1896.15</v>
      </c>
      <c r="Z104">
        <v>0</v>
      </c>
      <c r="AA104">
        <v>1084.51</v>
      </c>
      <c r="AB104">
        <v>0</v>
      </c>
      <c r="AC104" s="49">
        <v>45146</v>
      </c>
      <c r="AD104" s="116" t="s">
        <v>10</v>
      </c>
      <c r="AE104" s="113" t="str" cm="1">
        <f t="array" ref="AE104">_xlfn.IFS(S104&lt;=Constantes!$G$2,"Muito Curta (evitável)",S104&lt;=Constantes!$H$2,"Curta Distância",S104&gt;Constantes!$H$2,"Longa Distância")</f>
        <v>Curta Distância</v>
      </c>
      <c r="AF104" s="114">
        <f>IFERROR(VLOOKUP(AE104,Constantes!$A$1:$E$5,MATCH(AD104,Constantes!$A$1:$E$1,0),0),"")</f>
        <v>0.18286935436241611</v>
      </c>
      <c r="AG104" s="115">
        <f t="shared" si="3"/>
        <v>313.33200750582682</v>
      </c>
    </row>
    <row r="105" spans="1:33" x14ac:dyDescent="0.3">
      <c r="A105">
        <f>COUNTIF($B$2:B105,B105)</f>
        <v>2</v>
      </c>
      <c r="B105">
        <v>19157213</v>
      </c>
      <c r="C105" t="s">
        <v>527</v>
      </c>
      <c r="D105" t="s">
        <v>227</v>
      </c>
      <c r="E105" t="s">
        <v>111</v>
      </c>
      <c r="F105" t="s">
        <v>214</v>
      </c>
      <c r="G105" t="s">
        <v>215</v>
      </c>
      <c r="H105" t="s">
        <v>200</v>
      </c>
      <c r="I105" s="49">
        <v>45159</v>
      </c>
      <c r="J105" s="49">
        <v>45163</v>
      </c>
      <c r="K105" t="s">
        <v>528</v>
      </c>
      <c r="L105" s="49">
        <v>45163</v>
      </c>
      <c r="M105" s="49">
        <v>45163</v>
      </c>
      <c r="N105" t="s">
        <v>110</v>
      </c>
      <c r="O105" t="s">
        <v>107</v>
      </c>
      <c r="P105">
        <f>VLOOKUP(N105,[1]ID_Cidades!$A$1:$E$5900,2,FALSE)</f>
        <v>295763</v>
      </c>
      <c r="Q105">
        <f>VLOOKUP(O105,[1]ID_Cidades!$A$1:$E$5900,2,FALSE)</f>
        <v>295765</v>
      </c>
      <c r="R105">
        <f t="shared" si="2"/>
        <v>87476343695</v>
      </c>
      <c r="S105" s="42">
        <f>VLOOKUP(R105,'[1]GCD base'!$A$1:$M$200,7,FALSE)</f>
        <v>1713.419991</v>
      </c>
      <c r="T105" t="s">
        <v>109</v>
      </c>
      <c r="U105" t="s">
        <v>201</v>
      </c>
      <c r="V105" t="s">
        <v>202</v>
      </c>
      <c r="W105" t="s">
        <v>210</v>
      </c>
      <c r="X105" t="s">
        <v>529</v>
      </c>
      <c r="Y105">
        <v>0</v>
      </c>
      <c r="Z105">
        <v>0</v>
      </c>
      <c r="AA105">
        <v>1519.49</v>
      </c>
      <c r="AB105">
        <v>0</v>
      </c>
      <c r="AC105" s="49">
        <v>45146</v>
      </c>
      <c r="AD105" s="116" t="s">
        <v>10</v>
      </c>
      <c r="AE105" s="113" t="str" cm="1">
        <f t="array" ref="AE105">_xlfn.IFS(S105&lt;=Constantes!$G$2,"Muito Curta (evitável)",S105&lt;=Constantes!$H$2,"Curta Distância",S105&gt;Constantes!$H$2,"Longa Distância")</f>
        <v>Curta Distância</v>
      </c>
      <c r="AF105" s="114">
        <f>IFERROR(VLOOKUP(AE105,Constantes!$A$1:$E$5,MATCH(AD105,Constantes!$A$1:$E$1,0),0),"")</f>
        <v>0.18286935436241611</v>
      </c>
      <c r="AG105" s="115">
        <f t="shared" si="3"/>
        <v>313.33200750582682</v>
      </c>
    </row>
    <row r="106" spans="1:33" x14ac:dyDescent="0.3">
      <c r="A106">
        <f>COUNTIF($B$2:B106,B106)</f>
        <v>1</v>
      </c>
      <c r="B106">
        <v>19181725</v>
      </c>
      <c r="C106" t="s">
        <v>624</v>
      </c>
      <c r="D106" t="s">
        <v>213</v>
      </c>
      <c r="E106" t="s">
        <v>125</v>
      </c>
      <c r="F106" t="s">
        <v>214</v>
      </c>
      <c r="G106" t="s">
        <v>215</v>
      </c>
      <c r="H106" t="s">
        <v>200</v>
      </c>
      <c r="I106" s="49">
        <v>45159</v>
      </c>
      <c r="J106" s="49">
        <v>45164</v>
      </c>
      <c r="K106" t="s">
        <v>625</v>
      </c>
      <c r="L106" s="49">
        <v>45159</v>
      </c>
      <c r="M106" s="49">
        <v>45164</v>
      </c>
      <c r="N106" t="s">
        <v>107</v>
      </c>
      <c r="O106" t="s">
        <v>110</v>
      </c>
      <c r="P106">
        <f>VLOOKUP(N106,[1]ID_Cidades!$A$1:$E$5900,2,FALSE)</f>
        <v>295765</v>
      </c>
      <c r="Q106">
        <f>VLOOKUP(O106,[1]ID_Cidades!$A$1:$E$5900,2,FALSE)</f>
        <v>295763</v>
      </c>
      <c r="R106">
        <f t="shared" si="2"/>
        <v>87476343695</v>
      </c>
      <c r="S106" s="42">
        <f>VLOOKUP(R106,'[1]GCD base'!$A$1:$M$200,7,FALSE)</f>
        <v>1713.419991</v>
      </c>
      <c r="T106" t="s">
        <v>109</v>
      </c>
      <c r="U106" t="s">
        <v>205</v>
      </c>
      <c r="V106" t="s">
        <v>202</v>
      </c>
      <c r="W106" t="s">
        <v>210</v>
      </c>
      <c r="X106" t="s">
        <v>216</v>
      </c>
      <c r="Y106">
        <v>2329.64</v>
      </c>
      <c r="Z106">
        <v>0</v>
      </c>
      <c r="AA106">
        <v>2549.71</v>
      </c>
      <c r="AB106">
        <v>0</v>
      </c>
      <c r="AC106" s="49">
        <v>45156</v>
      </c>
      <c r="AD106" s="116" t="s">
        <v>10</v>
      </c>
      <c r="AE106" s="113" t="str" cm="1">
        <f t="array" ref="AE106">_xlfn.IFS(S106&lt;=Constantes!$G$2,"Muito Curta (evitável)",S106&lt;=Constantes!$H$2,"Curta Distância",S106&gt;Constantes!$H$2,"Longa Distância")</f>
        <v>Curta Distância</v>
      </c>
      <c r="AF106" s="114">
        <f>IFERROR(VLOOKUP(AE106,Constantes!$A$1:$E$5,MATCH(AD106,Constantes!$A$1:$E$1,0),0),"")</f>
        <v>0.18286935436241611</v>
      </c>
      <c r="AG106" s="115">
        <f t="shared" si="3"/>
        <v>313.33200750582682</v>
      </c>
    </row>
    <row r="107" spans="1:33" x14ac:dyDescent="0.3">
      <c r="A107">
        <f>COUNTIF($B$2:B107,B107)</f>
        <v>2</v>
      </c>
      <c r="B107">
        <v>19181725</v>
      </c>
      <c r="C107" t="s">
        <v>624</v>
      </c>
      <c r="D107" t="s">
        <v>213</v>
      </c>
      <c r="E107" t="s">
        <v>125</v>
      </c>
      <c r="F107" t="s">
        <v>214</v>
      </c>
      <c r="G107" t="s">
        <v>215</v>
      </c>
      <c r="H107" t="s">
        <v>200</v>
      </c>
      <c r="I107" s="49">
        <v>45159</v>
      </c>
      <c r="J107" s="49">
        <v>45164</v>
      </c>
      <c r="K107" t="s">
        <v>625</v>
      </c>
      <c r="L107" s="49">
        <v>45164</v>
      </c>
      <c r="M107" s="49">
        <v>45164</v>
      </c>
      <c r="N107" t="s">
        <v>110</v>
      </c>
      <c r="O107" t="s">
        <v>107</v>
      </c>
      <c r="P107">
        <f>VLOOKUP(N107,[1]ID_Cidades!$A$1:$E$5900,2,FALSE)</f>
        <v>295763</v>
      </c>
      <c r="Q107">
        <f>VLOOKUP(O107,[1]ID_Cidades!$A$1:$E$5900,2,FALSE)</f>
        <v>295765</v>
      </c>
      <c r="R107">
        <f t="shared" si="2"/>
        <v>87476343695</v>
      </c>
      <c r="S107" s="42">
        <f>VLOOKUP(R107,'[1]GCD base'!$A$1:$M$200,7,FALSE)</f>
        <v>1713.419991</v>
      </c>
      <c r="T107" t="s">
        <v>109</v>
      </c>
      <c r="U107" t="s">
        <v>201</v>
      </c>
      <c r="V107" t="s">
        <v>202</v>
      </c>
      <c r="W107" t="s">
        <v>210</v>
      </c>
      <c r="X107" t="s">
        <v>216</v>
      </c>
      <c r="Y107">
        <v>0</v>
      </c>
      <c r="Z107">
        <v>0</v>
      </c>
      <c r="AA107">
        <v>2940.29</v>
      </c>
      <c r="AB107">
        <v>0</v>
      </c>
      <c r="AC107" s="49">
        <v>45156</v>
      </c>
      <c r="AD107" s="116" t="s">
        <v>10</v>
      </c>
      <c r="AE107" s="113" t="str" cm="1">
        <f t="array" ref="AE107">_xlfn.IFS(S107&lt;=Constantes!$G$2,"Muito Curta (evitável)",S107&lt;=Constantes!$H$2,"Curta Distância",S107&gt;Constantes!$H$2,"Longa Distância")</f>
        <v>Curta Distância</v>
      </c>
      <c r="AF107" s="114">
        <f>IFERROR(VLOOKUP(AE107,Constantes!$A$1:$E$5,MATCH(AD107,Constantes!$A$1:$E$1,0),0),"")</f>
        <v>0.18286935436241611</v>
      </c>
      <c r="AG107" s="115">
        <f t="shared" si="3"/>
        <v>313.33200750582682</v>
      </c>
    </row>
    <row r="108" spans="1:33" x14ac:dyDescent="0.3">
      <c r="A108">
        <f>COUNTIF($B$2:B108,B108)</f>
        <v>1</v>
      </c>
      <c r="B108">
        <v>19140654</v>
      </c>
      <c r="C108" t="s">
        <v>501</v>
      </c>
      <c r="D108" t="s">
        <v>502</v>
      </c>
      <c r="E108" t="s">
        <v>503</v>
      </c>
      <c r="F108" t="s">
        <v>198</v>
      </c>
      <c r="G108" t="s">
        <v>207</v>
      </c>
      <c r="H108" t="s">
        <v>204</v>
      </c>
      <c r="I108" s="49">
        <v>45160</v>
      </c>
      <c r="J108" s="49">
        <v>45164</v>
      </c>
      <c r="K108" t="s">
        <v>504</v>
      </c>
      <c r="L108" s="49">
        <v>45160</v>
      </c>
      <c r="M108" s="49">
        <v>45164</v>
      </c>
      <c r="N108" t="s">
        <v>107</v>
      </c>
      <c r="O108" t="s">
        <v>110</v>
      </c>
      <c r="P108">
        <f>VLOOKUP(N108,[1]ID_Cidades!$A$1:$E$5900,2,FALSE)</f>
        <v>295765</v>
      </c>
      <c r="Q108">
        <f>VLOOKUP(O108,[1]ID_Cidades!$A$1:$E$5900,2,FALSE)</f>
        <v>295763</v>
      </c>
      <c r="R108">
        <f t="shared" si="2"/>
        <v>87476343695</v>
      </c>
      <c r="S108" s="42">
        <f>VLOOKUP(R108,'[1]GCD base'!$A$1:$M$200,7,FALSE)</f>
        <v>1713.419991</v>
      </c>
      <c r="T108" t="s">
        <v>109</v>
      </c>
      <c r="U108" t="s">
        <v>205</v>
      </c>
      <c r="V108" t="s">
        <v>202</v>
      </c>
      <c r="W108" t="s">
        <v>203</v>
      </c>
      <c r="X108" t="s">
        <v>204</v>
      </c>
      <c r="Y108">
        <v>1690.49</v>
      </c>
      <c r="Z108">
        <v>0</v>
      </c>
      <c r="AA108">
        <v>1792.8</v>
      </c>
      <c r="AB108">
        <v>0</v>
      </c>
      <c r="AC108" s="49">
        <v>45141</v>
      </c>
      <c r="AD108" s="116" t="s">
        <v>10</v>
      </c>
      <c r="AE108" s="113" t="str" cm="1">
        <f t="array" ref="AE108">_xlfn.IFS(S108&lt;=Constantes!$G$2,"Muito Curta (evitável)",S108&lt;=Constantes!$H$2,"Curta Distância",S108&gt;Constantes!$H$2,"Longa Distância")</f>
        <v>Curta Distância</v>
      </c>
      <c r="AF108" s="114">
        <f>IFERROR(VLOOKUP(AE108,Constantes!$A$1:$E$5,MATCH(AD108,Constantes!$A$1:$E$1,0),0),"")</f>
        <v>0.18286935436241611</v>
      </c>
      <c r="AG108" s="115">
        <f t="shared" si="3"/>
        <v>313.33200750582682</v>
      </c>
    </row>
    <row r="109" spans="1:33" x14ac:dyDescent="0.3">
      <c r="A109">
        <f>COUNTIF($B$2:B109,B109)</f>
        <v>2</v>
      </c>
      <c r="B109">
        <v>19140654</v>
      </c>
      <c r="C109" t="s">
        <v>501</v>
      </c>
      <c r="D109" t="s">
        <v>502</v>
      </c>
      <c r="E109" t="s">
        <v>503</v>
      </c>
      <c r="F109" t="s">
        <v>198</v>
      </c>
      <c r="G109" t="s">
        <v>207</v>
      </c>
      <c r="H109" t="s">
        <v>204</v>
      </c>
      <c r="I109" s="49">
        <v>45160</v>
      </c>
      <c r="J109" s="49">
        <v>45164</v>
      </c>
      <c r="K109" t="s">
        <v>504</v>
      </c>
      <c r="L109" s="49">
        <v>45164</v>
      </c>
      <c r="M109" s="49">
        <v>45164</v>
      </c>
      <c r="N109" t="s">
        <v>110</v>
      </c>
      <c r="O109" t="s">
        <v>107</v>
      </c>
      <c r="P109">
        <f>VLOOKUP(N109,[1]ID_Cidades!$A$1:$E$5900,2,FALSE)</f>
        <v>295763</v>
      </c>
      <c r="Q109">
        <f>VLOOKUP(O109,[1]ID_Cidades!$A$1:$E$5900,2,FALSE)</f>
        <v>295765</v>
      </c>
      <c r="R109">
        <f t="shared" si="2"/>
        <v>87476343695</v>
      </c>
      <c r="S109" s="42">
        <f>VLOOKUP(R109,'[1]GCD base'!$A$1:$M$200,7,FALSE)</f>
        <v>1713.419991</v>
      </c>
      <c r="T109" t="s">
        <v>109</v>
      </c>
      <c r="U109" t="s">
        <v>201</v>
      </c>
      <c r="V109" t="s">
        <v>202</v>
      </c>
      <c r="W109" t="s">
        <v>203</v>
      </c>
      <c r="X109" t="s">
        <v>204</v>
      </c>
      <c r="Y109">
        <v>0</v>
      </c>
      <c r="Z109">
        <v>0</v>
      </c>
      <c r="AA109">
        <v>0</v>
      </c>
      <c r="AB109">
        <v>0</v>
      </c>
      <c r="AC109">
        <v>0</v>
      </c>
      <c r="AD109" s="116" t="s">
        <v>10</v>
      </c>
      <c r="AE109" s="113" t="str" cm="1">
        <f t="array" ref="AE109">_xlfn.IFS(S109&lt;=Constantes!$G$2,"Muito Curta (evitável)",S109&lt;=Constantes!$H$2,"Curta Distância",S109&gt;Constantes!$H$2,"Longa Distância")</f>
        <v>Curta Distância</v>
      </c>
      <c r="AF109" s="114">
        <f>IFERROR(VLOOKUP(AE109,Constantes!$A$1:$E$5,MATCH(AD109,Constantes!$A$1:$E$1,0),0),"")</f>
        <v>0.18286935436241611</v>
      </c>
      <c r="AG109" s="115">
        <f t="shared" si="3"/>
        <v>313.33200750582682</v>
      </c>
    </row>
    <row r="110" spans="1:33" x14ac:dyDescent="0.3">
      <c r="A110">
        <f>COUNTIF($B$2:B110,B110)</f>
        <v>1</v>
      </c>
      <c r="B110">
        <v>19167301</v>
      </c>
      <c r="C110" t="s">
        <v>598</v>
      </c>
      <c r="D110" t="s">
        <v>208</v>
      </c>
      <c r="E110" t="s">
        <v>132</v>
      </c>
      <c r="F110" t="s">
        <v>198</v>
      </c>
      <c r="G110" t="s">
        <v>209</v>
      </c>
      <c r="H110" t="s">
        <v>200</v>
      </c>
      <c r="I110" s="49">
        <v>45160</v>
      </c>
      <c r="J110" s="49">
        <v>45163</v>
      </c>
      <c r="K110" t="s">
        <v>599</v>
      </c>
      <c r="L110" s="49">
        <v>45160</v>
      </c>
      <c r="M110" s="49">
        <v>45163</v>
      </c>
      <c r="N110" t="s">
        <v>107</v>
      </c>
      <c r="O110" t="s">
        <v>110</v>
      </c>
      <c r="P110">
        <f>VLOOKUP(N110,[1]ID_Cidades!$A$1:$E$5900,2,FALSE)</f>
        <v>295765</v>
      </c>
      <c r="Q110">
        <f>VLOOKUP(O110,[1]ID_Cidades!$A$1:$E$5900,2,FALSE)</f>
        <v>295763</v>
      </c>
      <c r="R110">
        <f t="shared" si="2"/>
        <v>87476343695</v>
      </c>
      <c r="S110" s="42">
        <f>VLOOKUP(R110,'[1]GCD base'!$A$1:$M$200,7,FALSE)</f>
        <v>1713.419991</v>
      </c>
      <c r="T110" t="s">
        <v>109</v>
      </c>
      <c r="U110" t="s">
        <v>205</v>
      </c>
      <c r="V110" t="s">
        <v>202</v>
      </c>
      <c r="W110" t="s">
        <v>210</v>
      </c>
      <c r="X110" t="s">
        <v>600</v>
      </c>
      <c r="Y110">
        <v>1492.57</v>
      </c>
      <c r="Z110">
        <v>0</v>
      </c>
      <c r="AA110">
        <v>1084.51</v>
      </c>
      <c r="AB110">
        <v>0</v>
      </c>
      <c r="AC110" s="49">
        <v>45147</v>
      </c>
      <c r="AD110" s="116" t="s">
        <v>10</v>
      </c>
      <c r="AE110" s="113" t="str" cm="1">
        <f t="array" ref="AE110">_xlfn.IFS(S110&lt;=Constantes!$G$2,"Muito Curta (evitável)",S110&lt;=Constantes!$H$2,"Curta Distância",S110&gt;Constantes!$H$2,"Longa Distância")</f>
        <v>Curta Distância</v>
      </c>
      <c r="AF110" s="114">
        <f>IFERROR(VLOOKUP(AE110,Constantes!$A$1:$E$5,MATCH(AD110,Constantes!$A$1:$E$1,0),0),"")</f>
        <v>0.18286935436241611</v>
      </c>
      <c r="AG110" s="115">
        <f t="shared" si="3"/>
        <v>313.33200750582682</v>
      </c>
    </row>
    <row r="111" spans="1:33" x14ac:dyDescent="0.3">
      <c r="A111">
        <f>COUNTIF($B$2:B111,B111)</f>
        <v>2</v>
      </c>
      <c r="B111">
        <v>19167301</v>
      </c>
      <c r="C111" t="s">
        <v>598</v>
      </c>
      <c r="D111" t="s">
        <v>208</v>
      </c>
      <c r="E111" t="s">
        <v>132</v>
      </c>
      <c r="F111" t="s">
        <v>198</v>
      </c>
      <c r="G111" t="s">
        <v>209</v>
      </c>
      <c r="H111" t="s">
        <v>200</v>
      </c>
      <c r="I111" s="49">
        <v>45160</v>
      </c>
      <c r="J111" s="49">
        <v>45163</v>
      </c>
      <c r="K111" t="s">
        <v>599</v>
      </c>
      <c r="L111" s="49">
        <v>45163</v>
      </c>
      <c r="M111" s="49">
        <v>45163</v>
      </c>
      <c r="N111" t="s">
        <v>110</v>
      </c>
      <c r="O111" t="s">
        <v>107</v>
      </c>
      <c r="P111">
        <f>VLOOKUP(N111,[1]ID_Cidades!$A$1:$E$5900,2,FALSE)</f>
        <v>295763</v>
      </c>
      <c r="Q111">
        <f>VLOOKUP(O111,[1]ID_Cidades!$A$1:$E$5900,2,FALSE)</f>
        <v>295765</v>
      </c>
      <c r="R111">
        <f t="shared" si="2"/>
        <v>87476343695</v>
      </c>
      <c r="S111" s="42">
        <f>VLOOKUP(R111,'[1]GCD base'!$A$1:$M$200,7,FALSE)</f>
        <v>1713.419991</v>
      </c>
      <c r="T111" t="s">
        <v>109</v>
      </c>
      <c r="U111" t="s">
        <v>201</v>
      </c>
      <c r="V111" t="s">
        <v>202</v>
      </c>
      <c r="W111" t="s">
        <v>210</v>
      </c>
      <c r="X111" t="s">
        <v>600</v>
      </c>
      <c r="Y111">
        <v>0</v>
      </c>
      <c r="Z111">
        <v>0</v>
      </c>
      <c r="AA111">
        <v>1740.49</v>
      </c>
      <c r="AB111">
        <v>0</v>
      </c>
      <c r="AC111" s="49">
        <v>45147</v>
      </c>
      <c r="AD111" s="116" t="s">
        <v>10</v>
      </c>
      <c r="AE111" s="113" t="str" cm="1">
        <f t="array" ref="AE111">_xlfn.IFS(S111&lt;=Constantes!$G$2,"Muito Curta (evitável)",S111&lt;=Constantes!$H$2,"Curta Distância",S111&gt;Constantes!$H$2,"Longa Distância")</f>
        <v>Curta Distância</v>
      </c>
      <c r="AF111" s="114">
        <f>IFERROR(VLOOKUP(AE111,Constantes!$A$1:$E$5,MATCH(AD111,Constantes!$A$1:$E$1,0),0),"")</f>
        <v>0.18286935436241611</v>
      </c>
      <c r="AG111" s="115">
        <f t="shared" si="3"/>
        <v>313.33200750582682</v>
      </c>
    </row>
    <row r="112" spans="1:33" x14ac:dyDescent="0.3">
      <c r="A112">
        <f>COUNTIF($B$2:B112,B112)</f>
        <v>1</v>
      </c>
      <c r="B112">
        <v>18997079</v>
      </c>
      <c r="C112" t="s">
        <v>155</v>
      </c>
      <c r="D112" t="s">
        <v>250</v>
      </c>
      <c r="E112" t="s">
        <v>156</v>
      </c>
      <c r="F112" t="s">
        <v>198</v>
      </c>
      <c r="G112" t="s">
        <v>207</v>
      </c>
      <c r="H112" t="s">
        <v>204</v>
      </c>
      <c r="I112" s="49">
        <v>45161</v>
      </c>
      <c r="J112" s="49">
        <v>45165</v>
      </c>
      <c r="K112" t="s">
        <v>251</v>
      </c>
      <c r="L112" s="49">
        <v>45164</v>
      </c>
      <c r="M112" s="49">
        <v>45165</v>
      </c>
      <c r="N112" t="s">
        <v>117</v>
      </c>
      <c r="O112" t="s">
        <v>107</v>
      </c>
      <c r="P112">
        <f>VLOOKUP(N112,[1]ID_Cidades!$A$1:$E$5900,2,FALSE)</f>
        <v>295779</v>
      </c>
      <c r="Q112">
        <f>VLOOKUP(O112,[1]ID_Cidades!$A$1:$E$5900,2,FALSE)</f>
        <v>295765</v>
      </c>
      <c r="R112">
        <f t="shared" si="2"/>
        <v>87481075935</v>
      </c>
      <c r="S112" s="42">
        <f>VLOOKUP(R112,'[1]GCD base'!$A$1:$M$200,7,FALSE)</f>
        <v>2189.9742419999998</v>
      </c>
      <c r="T112" t="s">
        <v>109</v>
      </c>
      <c r="U112" t="s">
        <v>201</v>
      </c>
      <c r="V112" t="s">
        <v>202</v>
      </c>
      <c r="W112" t="s">
        <v>203</v>
      </c>
      <c r="X112" t="s">
        <v>204</v>
      </c>
      <c r="Y112">
        <v>95</v>
      </c>
      <c r="Z112">
        <v>0</v>
      </c>
      <c r="AA112">
        <v>541.99</v>
      </c>
      <c r="AB112">
        <v>0</v>
      </c>
      <c r="AC112" s="49">
        <v>45091</v>
      </c>
      <c r="AD112" s="116" t="s">
        <v>10</v>
      </c>
      <c r="AE112" s="113" t="str" cm="1">
        <f t="array" ref="AE112">_xlfn.IFS(S112&lt;=Constantes!$G$2,"Muito Curta (evitável)",S112&lt;=Constantes!$H$2,"Curta Distância",S112&gt;Constantes!$H$2,"Longa Distância")</f>
        <v>Curta Distância</v>
      </c>
      <c r="AF112" s="114">
        <f>IFERROR(VLOOKUP(AE112,Constantes!$A$1:$E$5,MATCH(AD112,Constantes!$A$1:$E$1,0),0),"")</f>
        <v>0.18286935436241611</v>
      </c>
      <c r="AG112" s="115">
        <f t="shared" si="3"/>
        <v>400.47917570486158</v>
      </c>
    </row>
    <row r="113" spans="1:33" x14ac:dyDescent="0.3">
      <c r="A113">
        <f>COUNTIF($B$2:B113,B113)</f>
        <v>2</v>
      </c>
      <c r="B113">
        <v>18997079</v>
      </c>
      <c r="C113" t="s">
        <v>155</v>
      </c>
      <c r="D113" t="s">
        <v>250</v>
      </c>
      <c r="E113" t="s">
        <v>156</v>
      </c>
      <c r="F113" t="s">
        <v>198</v>
      </c>
      <c r="G113" t="s">
        <v>207</v>
      </c>
      <c r="H113" t="s">
        <v>204</v>
      </c>
      <c r="I113" s="49">
        <v>45161</v>
      </c>
      <c r="J113" s="49">
        <v>45165</v>
      </c>
      <c r="K113" t="s">
        <v>251</v>
      </c>
      <c r="L113" s="49">
        <v>45161</v>
      </c>
      <c r="M113" s="49">
        <v>45164</v>
      </c>
      <c r="N113" t="s">
        <v>107</v>
      </c>
      <c r="O113" t="s">
        <v>117</v>
      </c>
      <c r="P113">
        <f>VLOOKUP(N113,[1]ID_Cidades!$A$1:$E$5900,2,FALSE)</f>
        <v>295765</v>
      </c>
      <c r="Q113">
        <f>VLOOKUP(O113,[1]ID_Cidades!$A$1:$E$5900,2,FALSE)</f>
        <v>295779</v>
      </c>
      <c r="R113">
        <f t="shared" si="2"/>
        <v>87481075935</v>
      </c>
      <c r="S113" s="42">
        <f>VLOOKUP(R113,'[1]GCD base'!$A$1:$M$200,7,FALSE)</f>
        <v>2189.9742419999998</v>
      </c>
      <c r="T113" t="s">
        <v>109</v>
      </c>
      <c r="U113" t="s">
        <v>205</v>
      </c>
      <c r="V113" t="s">
        <v>202</v>
      </c>
      <c r="W113" t="s">
        <v>203</v>
      </c>
      <c r="X113" t="s">
        <v>204</v>
      </c>
      <c r="Y113">
        <v>0</v>
      </c>
      <c r="Z113">
        <v>0</v>
      </c>
      <c r="AA113">
        <v>677.53</v>
      </c>
      <c r="AB113">
        <v>0</v>
      </c>
      <c r="AC113" s="49">
        <v>45091</v>
      </c>
      <c r="AD113" s="116" t="s">
        <v>10</v>
      </c>
      <c r="AE113" s="113" t="str" cm="1">
        <f t="array" ref="AE113">_xlfn.IFS(S113&lt;=Constantes!$G$2,"Muito Curta (evitável)",S113&lt;=Constantes!$H$2,"Curta Distância",S113&gt;Constantes!$H$2,"Longa Distância")</f>
        <v>Curta Distância</v>
      </c>
      <c r="AF113" s="114">
        <f>IFERROR(VLOOKUP(AE113,Constantes!$A$1:$E$5,MATCH(AD113,Constantes!$A$1:$E$1,0),0),"")</f>
        <v>0.18286935436241611</v>
      </c>
      <c r="AG113" s="115">
        <f t="shared" si="3"/>
        <v>400.47917570486158</v>
      </c>
    </row>
    <row r="114" spans="1:33" x14ac:dyDescent="0.3">
      <c r="A114">
        <f>COUNTIF($B$2:B114,B114)</f>
        <v>1</v>
      </c>
      <c r="B114">
        <v>19203431</v>
      </c>
      <c r="C114" t="s">
        <v>687</v>
      </c>
      <c r="D114" t="s">
        <v>688</v>
      </c>
      <c r="E114" t="s">
        <v>689</v>
      </c>
      <c r="F114" t="s">
        <v>218</v>
      </c>
      <c r="G114" t="s">
        <v>207</v>
      </c>
      <c r="H114" t="s">
        <v>204</v>
      </c>
      <c r="I114" s="49">
        <v>45164</v>
      </c>
      <c r="J114" s="49">
        <v>45170</v>
      </c>
      <c r="K114" t="s">
        <v>690</v>
      </c>
      <c r="L114" s="49">
        <v>45164</v>
      </c>
      <c r="M114" s="49">
        <v>45170</v>
      </c>
      <c r="N114" t="s">
        <v>107</v>
      </c>
      <c r="O114" t="s">
        <v>117</v>
      </c>
      <c r="P114">
        <f>VLOOKUP(N114,[1]ID_Cidades!$A$1:$E$5900,2,FALSE)</f>
        <v>295765</v>
      </c>
      <c r="Q114">
        <f>VLOOKUP(O114,[1]ID_Cidades!$A$1:$E$5900,2,FALSE)</f>
        <v>295779</v>
      </c>
      <c r="R114">
        <f t="shared" si="2"/>
        <v>87481075935</v>
      </c>
      <c r="S114" s="42">
        <f>VLOOKUP(R114,'[1]GCD base'!$A$1:$M$200,7,FALSE)</f>
        <v>2189.9742419999998</v>
      </c>
      <c r="T114" t="s">
        <v>109</v>
      </c>
      <c r="U114" t="s">
        <v>205</v>
      </c>
      <c r="V114" t="s">
        <v>202</v>
      </c>
      <c r="W114" t="s">
        <v>210</v>
      </c>
      <c r="X114" t="s">
        <v>691</v>
      </c>
      <c r="Y114">
        <v>0</v>
      </c>
      <c r="Z114">
        <v>0</v>
      </c>
      <c r="AA114">
        <v>3734.24</v>
      </c>
      <c r="AB114">
        <v>0</v>
      </c>
      <c r="AC114" s="49">
        <v>45159</v>
      </c>
      <c r="AD114" s="116" t="s">
        <v>10</v>
      </c>
      <c r="AE114" s="113" t="str" cm="1">
        <f t="array" ref="AE114">_xlfn.IFS(S114&lt;=Constantes!$G$2,"Muito Curta (evitável)",S114&lt;=Constantes!$H$2,"Curta Distância",S114&gt;Constantes!$H$2,"Longa Distância")</f>
        <v>Curta Distância</v>
      </c>
      <c r="AF114" s="114">
        <f>IFERROR(VLOOKUP(AE114,Constantes!$A$1:$E$5,MATCH(AD114,Constantes!$A$1:$E$1,0),0),"")</f>
        <v>0.18286935436241611</v>
      </c>
      <c r="AG114" s="115">
        <f t="shared" si="3"/>
        <v>400.47917570486158</v>
      </c>
    </row>
    <row r="115" spans="1:33" x14ac:dyDescent="0.3">
      <c r="A115">
        <f>COUNTIF($B$2:B115,B115)</f>
        <v>2</v>
      </c>
      <c r="B115">
        <v>19203431</v>
      </c>
      <c r="C115" t="s">
        <v>687</v>
      </c>
      <c r="D115" t="s">
        <v>688</v>
      </c>
      <c r="E115" t="s">
        <v>689</v>
      </c>
      <c r="F115" t="s">
        <v>218</v>
      </c>
      <c r="G115" t="s">
        <v>207</v>
      </c>
      <c r="H115" t="s">
        <v>204</v>
      </c>
      <c r="I115" s="49">
        <v>45164</v>
      </c>
      <c r="J115" s="49">
        <v>45170</v>
      </c>
      <c r="K115" t="s">
        <v>690</v>
      </c>
      <c r="L115" s="49">
        <v>45170</v>
      </c>
      <c r="M115" s="49">
        <v>45170</v>
      </c>
      <c r="N115" t="s">
        <v>117</v>
      </c>
      <c r="O115" t="s">
        <v>107</v>
      </c>
      <c r="P115">
        <f>VLOOKUP(N115,[1]ID_Cidades!$A$1:$E$5900,2,FALSE)</f>
        <v>295779</v>
      </c>
      <c r="Q115">
        <f>VLOOKUP(O115,[1]ID_Cidades!$A$1:$E$5900,2,FALSE)</f>
        <v>295765</v>
      </c>
      <c r="R115">
        <f t="shared" si="2"/>
        <v>87481075935</v>
      </c>
      <c r="S115" s="42">
        <f>VLOOKUP(R115,'[1]GCD base'!$A$1:$M$200,7,FALSE)</f>
        <v>2189.9742419999998</v>
      </c>
      <c r="T115" t="s">
        <v>109</v>
      </c>
      <c r="U115" t="s">
        <v>201</v>
      </c>
      <c r="V115" t="s">
        <v>202</v>
      </c>
      <c r="W115" t="s">
        <v>210</v>
      </c>
      <c r="X115" t="s">
        <v>691</v>
      </c>
      <c r="Y115">
        <v>0</v>
      </c>
      <c r="Z115">
        <v>0</v>
      </c>
      <c r="AA115">
        <v>0</v>
      </c>
      <c r="AB115">
        <v>0</v>
      </c>
      <c r="AC115">
        <v>0</v>
      </c>
      <c r="AD115" s="116" t="s">
        <v>10</v>
      </c>
      <c r="AE115" s="113" t="str" cm="1">
        <f t="array" ref="AE115">_xlfn.IFS(S115&lt;=Constantes!$G$2,"Muito Curta (evitável)",S115&lt;=Constantes!$H$2,"Curta Distância",S115&gt;Constantes!$H$2,"Longa Distância")</f>
        <v>Curta Distância</v>
      </c>
      <c r="AF115" s="114">
        <f>IFERROR(VLOOKUP(AE115,Constantes!$A$1:$E$5,MATCH(AD115,Constantes!$A$1:$E$1,0),0),"")</f>
        <v>0.18286935436241611</v>
      </c>
      <c r="AG115" s="115">
        <f t="shared" si="3"/>
        <v>400.47917570486158</v>
      </c>
    </row>
    <row r="116" spans="1:33" x14ac:dyDescent="0.3">
      <c r="A116">
        <f>COUNTIF($B$2:B116,B116)</f>
        <v>1</v>
      </c>
      <c r="B116">
        <v>19165342</v>
      </c>
      <c r="C116" t="s">
        <v>579</v>
      </c>
      <c r="D116" t="s">
        <v>580</v>
      </c>
      <c r="E116" t="s">
        <v>581</v>
      </c>
      <c r="F116" t="s">
        <v>198</v>
      </c>
      <c r="G116" t="s">
        <v>211</v>
      </c>
      <c r="H116" t="s">
        <v>211</v>
      </c>
      <c r="I116" s="49">
        <v>45165</v>
      </c>
      <c r="J116" s="49">
        <v>45170</v>
      </c>
      <c r="K116" t="s">
        <v>582</v>
      </c>
      <c r="L116" s="49">
        <v>45165</v>
      </c>
      <c r="M116" s="49">
        <v>45170</v>
      </c>
      <c r="N116" t="s">
        <v>114</v>
      </c>
      <c r="O116" t="s">
        <v>107</v>
      </c>
      <c r="P116">
        <f>VLOOKUP(N116,[1]ID_Cidades!$A$1:$E$5900,2,FALSE)</f>
        <v>295777</v>
      </c>
      <c r="Q116">
        <f>VLOOKUP(O116,[1]ID_Cidades!$A$1:$E$5900,2,FALSE)</f>
        <v>295765</v>
      </c>
      <c r="R116">
        <f t="shared" si="2"/>
        <v>87480484405</v>
      </c>
      <c r="S116" s="42">
        <f>VLOOKUP(R116,'[1]GCD base'!$A$1:$M$200,7,FALSE)</f>
        <v>1714.8365369999999</v>
      </c>
      <c r="T116" t="s">
        <v>109</v>
      </c>
      <c r="U116" t="s">
        <v>205</v>
      </c>
      <c r="V116" t="s">
        <v>202</v>
      </c>
      <c r="W116" t="s">
        <v>210</v>
      </c>
      <c r="X116" t="s">
        <v>583</v>
      </c>
      <c r="Y116">
        <v>1821.06</v>
      </c>
      <c r="Z116">
        <v>0</v>
      </c>
      <c r="AA116">
        <v>1529.6</v>
      </c>
      <c r="AB116">
        <v>0</v>
      </c>
      <c r="AC116" s="49">
        <v>45155</v>
      </c>
      <c r="AD116" s="116" t="s">
        <v>10</v>
      </c>
      <c r="AE116" s="113" t="str" cm="1">
        <f t="array" ref="AE116">_xlfn.IFS(S116&lt;=Constantes!$G$2,"Muito Curta (evitável)",S116&lt;=Constantes!$H$2,"Curta Distância",S116&gt;Constantes!$H$2,"Longa Distância")</f>
        <v>Curta Distância</v>
      </c>
      <c r="AF116" s="114">
        <f>IFERROR(VLOOKUP(AE116,Constantes!$A$1:$E$5,MATCH(AD116,Constantes!$A$1:$E$1,0),0),"")</f>
        <v>0.18286935436241611</v>
      </c>
      <c r="AG116" s="115">
        <f t="shared" si="3"/>
        <v>313.59105035827145</v>
      </c>
    </row>
    <row r="117" spans="1:33" x14ac:dyDescent="0.3">
      <c r="A117">
        <f>COUNTIF($B$2:B117,B117)</f>
        <v>2</v>
      </c>
      <c r="B117">
        <v>19165342</v>
      </c>
      <c r="C117" t="s">
        <v>579</v>
      </c>
      <c r="D117" t="s">
        <v>580</v>
      </c>
      <c r="E117" t="s">
        <v>581</v>
      </c>
      <c r="F117" t="s">
        <v>198</v>
      </c>
      <c r="G117" t="s">
        <v>211</v>
      </c>
      <c r="H117" t="s">
        <v>211</v>
      </c>
      <c r="I117" s="49">
        <v>45165</v>
      </c>
      <c r="J117" s="49">
        <v>45170</v>
      </c>
      <c r="K117" t="s">
        <v>582</v>
      </c>
      <c r="L117" s="49">
        <v>45170</v>
      </c>
      <c r="M117" s="49">
        <v>45170</v>
      </c>
      <c r="N117" t="s">
        <v>107</v>
      </c>
      <c r="O117" t="s">
        <v>114</v>
      </c>
      <c r="P117">
        <f>VLOOKUP(N117,[1]ID_Cidades!$A$1:$E$5900,2,FALSE)</f>
        <v>295765</v>
      </c>
      <c r="Q117">
        <f>VLOOKUP(O117,[1]ID_Cidades!$A$1:$E$5900,2,FALSE)</f>
        <v>295777</v>
      </c>
      <c r="R117">
        <f t="shared" si="2"/>
        <v>87480484405</v>
      </c>
      <c r="S117" s="42">
        <f>VLOOKUP(R117,'[1]GCD base'!$A$1:$M$200,7,FALSE)</f>
        <v>1714.8365369999999</v>
      </c>
      <c r="T117" t="s">
        <v>109</v>
      </c>
      <c r="U117" t="s">
        <v>201</v>
      </c>
      <c r="V117" t="s">
        <v>202</v>
      </c>
      <c r="W117" t="s">
        <v>210</v>
      </c>
      <c r="X117" t="s">
        <v>583</v>
      </c>
      <c r="Y117">
        <v>0</v>
      </c>
      <c r="Z117">
        <v>0</v>
      </c>
      <c r="AA117">
        <v>1437.19</v>
      </c>
      <c r="AB117">
        <v>0</v>
      </c>
      <c r="AC117" s="49">
        <v>45155</v>
      </c>
      <c r="AD117" s="116" t="s">
        <v>10</v>
      </c>
      <c r="AE117" s="113" t="str" cm="1">
        <f t="array" ref="AE117">_xlfn.IFS(S117&lt;=Constantes!$G$2,"Muito Curta (evitável)",S117&lt;=Constantes!$H$2,"Curta Distância",S117&gt;Constantes!$H$2,"Longa Distância")</f>
        <v>Curta Distância</v>
      </c>
      <c r="AF117" s="114">
        <f>IFERROR(VLOOKUP(AE117,Constantes!$A$1:$E$5,MATCH(AD117,Constantes!$A$1:$E$1,0),0),"")</f>
        <v>0.18286935436241611</v>
      </c>
      <c r="AG117" s="115">
        <f t="shared" si="3"/>
        <v>313.59105035827145</v>
      </c>
    </row>
    <row r="118" spans="1:33" x14ac:dyDescent="0.3">
      <c r="A118">
        <f>COUNTIF($B$2:B118,B118)</f>
        <v>1</v>
      </c>
      <c r="B118">
        <v>19180265</v>
      </c>
      <c r="C118" t="s">
        <v>616</v>
      </c>
      <c r="D118" t="s">
        <v>617</v>
      </c>
      <c r="E118" t="s">
        <v>618</v>
      </c>
      <c r="F118" t="s">
        <v>198</v>
      </c>
      <c r="G118" t="s">
        <v>207</v>
      </c>
      <c r="H118" t="s">
        <v>204</v>
      </c>
      <c r="I118" s="49">
        <v>45165</v>
      </c>
      <c r="J118" s="49">
        <v>45170</v>
      </c>
      <c r="K118" t="s">
        <v>619</v>
      </c>
      <c r="L118" s="49">
        <v>45170</v>
      </c>
      <c r="M118" s="49">
        <v>45170</v>
      </c>
      <c r="N118" t="s">
        <v>107</v>
      </c>
      <c r="O118" t="s">
        <v>110</v>
      </c>
      <c r="P118">
        <f>VLOOKUP(N118,[1]ID_Cidades!$A$1:$E$5900,2,FALSE)</f>
        <v>295765</v>
      </c>
      <c r="Q118">
        <f>VLOOKUP(O118,[1]ID_Cidades!$A$1:$E$5900,2,FALSE)</f>
        <v>295763</v>
      </c>
      <c r="R118">
        <f t="shared" si="2"/>
        <v>87476343695</v>
      </c>
      <c r="S118" s="42">
        <f>VLOOKUP(R118,'[1]GCD base'!$A$1:$M$200,7,FALSE)</f>
        <v>1713.419991</v>
      </c>
      <c r="T118" t="s">
        <v>109</v>
      </c>
      <c r="U118" t="s">
        <v>201</v>
      </c>
      <c r="V118" t="s">
        <v>202</v>
      </c>
      <c r="W118" t="s">
        <v>210</v>
      </c>
      <c r="X118" t="s">
        <v>583</v>
      </c>
      <c r="Y118">
        <v>1821.06</v>
      </c>
      <c r="Z118">
        <v>0</v>
      </c>
      <c r="AA118">
        <v>1572.49</v>
      </c>
      <c r="AB118">
        <v>0</v>
      </c>
      <c r="AC118" s="49">
        <v>45155</v>
      </c>
      <c r="AD118" s="116" t="s">
        <v>10</v>
      </c>
      <c r="AE118" s="113" t="str" cm="1">
        <f t="array" ref="AE118">_xlfn.IFS(S118&lt;=Constantes!$G$2,"Muito Curta (evitável)",S118&lt;=Constantes!$H$2,"Curta Distância",S118&gt;Constantes!$H$2,"Longa Distância")</f>
        <v>Curta Distância</v>
      </c>
      <c r="AF118" s="114">
        <f>IFERROR(VLOOKUP(AE118,Constantes!$A$1:$E$5,MATCH(AD118,Constantes!$A$1:$E$1,0),0),"")</f>
        <v>0.18286935436241611</v>
      </c>
      <c r="AG118" s="115">
        <f t="shared" si="3"/>
        <v>313.33200750582682</v>
      </c>
    </row>
    <row r="119" spans="1:33" x14ac:dyDescent="0.3">
      <c r="A119">
        <f>COUNTIF($B$2:B119,B119)</f>
        <v>2</v>
      </c>
      <c r="B119">
        <v>19180265</v>
      </c>
      <c r="C119" t="s">
        <v>616</v>
      </c>
      <c r="D119" t="s">
        <v>617</v>
      </c>
      <c r="E119" t="s">
        <v>618</v>
      </c>
      <c r="F119" t="s">
        <v>198</v>
      </c>
      <c r="G119" t="s">
        <v>207</v>
      </c>
      <c r="H119" t="s">
        <v>204</v>
      </c>
      <c r="I119" s="49">
        <v>45165</v>
      </c>
      <c r="J119" s="49">
        <v>45170</v>
      </c>
      <c r="K119" t="s">
        <v>619</v>
      </c>
      <c r="L119" s="49">
        <v>45165</v>
      </c>
      <c r="M119" s="49">
        <v>45170</v>
      </c>
      <c r="N119" t="s">
        <v>110</v>
      </c>
      <c r="O119" t="s">
        <v>107</v>
      </c>
      <c r="P119">
        <f>VLOOKUP(N119,[1]ID_Cidades!$A$1:$E$5900,2,FALSE)</f>
        <v>295763</v>
      </c>
      <c r="Q119">
        <f>VLOOKUP(O119,[1]ID_Cidades!$A$1:$E$5900,2,FALSE)</f>
        <v>295765</v>
      </c>
      <c r="R119">
        <f t="shared" si="2"/>
        <v>87476343695</v>
      </c>
      <c r="S119" s="42">
        <f>VLOOKUP(R119,'[1]GCD base'!$A$1:$M$200,7,FALSE)</f>
        <v>1713.419991</v>
      </c>
      <c r="T119" t="s">
        <v>109</v>
      </c>
      <c r="U119" t="s">
        <v>205</v>
      </c>
      <c r="V119" t="s">
        <v>202</v>
      </c>
      <c r="W119" t="s">
        <v>210</v>
      </c>
      <c r="X119" t="s">
        <v>583</v>
      </c>
      <c r="Y119">
        <v>0</v>
      </c>
      <c r="Z119">
        <v>0</v>
      </c>
      <c r="AA119">
        <v>2000.81</v>
      </c>
      <c r="AB119">
        <v>0</v>
      </c>
      <c r="AC119" s="49">
        <v>45155</v>
      </c>
      <c r="AD119" s="116" t="s">
        <v>10</v>
      </c>
      <c r="AE119" s="113" t="str" cm="1">
        <f t="array" ref="AE119">_xlfn.IFS(S119&lt;=Constantes!$G$2,"Muito Curta (evitável)",S119&lt;=Constantes!$H$2,"Curta Distância",S119&gt;Constantes!$H$2,"Longa Distância")</f>
        <v>Curta Distância</v>
      </c>
      <c r="AF119" s="114">
        <f>IFERROR(VLOOKUP(AE119,Constantes!$A$1:$E$5,MATCH(AD119,Constantes!$A$1:$E$1,0),0),"")</f>
        <v>0.18286935436241611</v>
      </c>
      <c r="AG119" s="115">
        <f t="shared" si="3"/>
        <v>313.33200750582682</v>
      </c>
    </row>
    <row r="120" spans="1:33" x14ac:dyDescent="0.3">
      <c r="A120">
        <f>COUNTIF($B$2:B120,B120)</f>
        <v>1</v>
      </c>
      <c r="B120">
        <v>19205181</v>
      </c>
      <c r="C120" t="s">
        <v>699</v>
      </c>
      <c r="D120" t="s">
        <v>224</v>
      </c>
      <c r="E120" t="s">
        <v>136</v>
      </c>
      <c r="F120" t="s">
        <v>198</v>
      </c>
      <c r="G120" t="s">
        <v>199</v>
      </c>
      <c r="H120" t="s">
        <v>200</v>
      </c>
      <c r="I120" s="49">
        <v>45166</v>
      </c>
      <c r="J120" s="49">
        <v>45171</v>
      </c>
      <c r="K120" t="s">
        <v>700</v>
      </c>
      <c r="L120" s="49">
        <v>45166</v>
      </c>
      <c r="M120" s="49">
        <v>45171</v>
      </c>
      <c r="N120" t="s">
        <v>107</v>
      </c>
      <c r="O120" t="s">
        <v>116</v>
      </c>
      <c r="P120">
        <f>VLOOKUP(N120,[1]ID_Cidades!$A$1:$E$5900,2,FALSE)</f>
        <v>295765</v>
      </c>
      <c r="Q120">
        <f>VLOOKUP(O120,[1]ID_Cidades!$A$1:$E$5900,2,FALSE)</f>
        <v>295778</v>
      </c>
      <c r="R120">
        <f t="shared" si="2"/>
        <v>87480780170</v>
      </c>
      <c r="S120" s="42">
        <f>VLOOKUP(R120,'[1]GCD base'!$A$1:$M$200,7,FALSE)</f>
        <v>1961.5007860000001</v>
      </c>
      <c r="T120" t="s">
        <v>109</v>
      </c>
      <c r="U120" t="s">
        <v>205</v>
      </c>
      <c r="V120" t="s">
        <v>202</v>
      </c>
      <c r="W120" t="s">
        <v>210</v>
      </c>
      <c r="X120" t="s">
        <v>701</v>
      </c>
      <c r="Y120">
        <v>2329.64</v>
      </c>
      <c r="Z120">
        <v>0</v>
      </c>
      <c r="AA120">
        <v>2569.59</v>
      </c>
      <c r="AB120">
        <v>0</v>
      </c>
      <c r="AC120" s="49">
        <v>45161</v>
      </c>
      <c r="AD120" s="116" t="s">
        <v>10</v>
      </c>
      <c r="AE120" s="113" t="str" cm="1">
        <f t="array" ref="AE120">_xlfn.IFS(S120&lt;=Constantes!$G$2,"Muito Curta (evitável)",S120&lt;=Constantes!$H$2,"Curta Distância",S120&gt;Constantes!$H$2,"Longa Distância")</f>
        <v>Curta Distância</v>
      </c>
      <c r="AF120" s="114">
        <f>IFERROR(VLOOKUP(AE120,Constantes!$A$1:$E$5,MATCH(AD120,Constantes!$A$1:$E$1,0),0),"")</f>
        <v>0.18286935436241611</v>
      </c>
      <c r="AG120" s="115">
        <f t="shared" si="3"/>
        <v>358.69838231719172</v>
      </c>
    </row>
    <row r="121" spans="1:33" x14ac:dyDescent="0.3">
      <c r="A121">
        <f>COUNTIF($B$2:B121,B121)</f>
        <v>2</v>
      </c>
      <c r="B121">
        <v>19205181</v>
      </c>
      <c r="C121" t="s">
        <v>699</v>
      </c>
      <c r="D121" t="s">
        <v>224</v>
      </c>
      <c r="E121" t="s">
        <v>136</v>
      </c>
      <c r="F121" t="s">
        <v>198</v>
      </c>
      <c r="G121" t="s">
        <v>199</v>
      </c>
      <c r="H121" t="s">
        <v>200</v>
      </c>
      <c r="I121" s="49">
        <v>45166</v>
      </c>
      <c r="J121" s="49">
        <v>45171</v>
      </c>
      <c r="K121" t="s">
        <v>700</v>
      </c>
      <c r="L121" s="49">
        <v>45171</v>
      </c>
      <c r="M121" s="49">
        <v>45171</v>
      </c>
      <c r="N121" t="s">
        <v>116</v>
      </c>
      <c r="O121" t="s">
        <v>107</v>
      </c>
      <c r="P121">
        <f>VLOOKUP(N121,[1]ID_Cidades!$A$1:$E$5900,2,FALSE)</f>
        <v>295778</v>
      </c>
      <c r="Q121">
        <f>VLOOKUP(O121,[1]ID_Cidades!$A$1:$E$5900,2,FALSE)</f>
        <v>295765</v>
      </c>
      <c r="R121">
        <f t="shared" si="2"/>
        <v>87480780170</v>
      </c>
      <c r="S121" s="42">
        <f>VLOOKUP(R121,'[1]GCD base'!$A$1:$M$200,7,FALSE)</f>
        <v>1961.5007860000001</v>
      </c>
      <c r="T121" t="s">
        <v>109</v>
      </c>
      <c r="U121" t="s">
        <v>201</v>
      </c>
      <c r="V121" t="s">
        <v>202</v>
      </c>
      <c r="W121" t="s">
        <v>210</v>
      </c>
      <c r="X121" t="s">
        <v>701</v>
      </c>
      <c r="Y121">
        <v>0</v>
      </c>
      <c r="Z121">
        <v>0</v>
      </c>
      <c r="AA121">
        <v>0</v>
      </c>
      <c r="AB121">
        <v>0</v>
      </c>
      <c r="AC121">
        <v>0</v>
      </c>
      <c r="AD121" s="116" t="s">
        <v>10</v>
      </c>
      <c r="AE121" s="113" t="str" cm="1">
        <f t="array" ref="AE121">_xlfn.IFS(S121&lt;=Constantes!$G$2,"Muito Curta (evitável)",S121&lt;=Constantes!$H$2,"Curta Distância",S121&gt;Constantes!$H$2,"Longa Distância")</f>
        <v>Curta Distância</v>
      </c>
      <c r="AF121" s="114">
        <f>IFERROR(VLOOKUP(AE121,Constantes!$A$1:$E$5,MATCH(AD121,Constantes!$A$1:$E$1,0),0),"")</f>
        <v>0.18286935436241611</v>
      </c>
      <c r="AG121" s="115">
        <f t="shared" si="3"/>
        <v>358.69838231719172</v>
      </c>
    </row>
    <row r="122" spans="1:33" x14ac:dyDescent="0.3">
      <c r="A122">
        <f>COUNTIF($B$2:B122,B122)</f>
        <v>1</v>
      </c>
      <c r="B122">
        <v>19066792</v>
      </c>
      <c r="C122" t="s">
        <v>322</v>
      </c>
      <c r="D122" t="s">
        <v>323</v>
      </c>
      <c r="E122" t="s">
        <v>324</v>
      </c>
      <c r="F122" t="s">
        <v>198</v>
      </c>
      <c r="G122" t="s">
        <v>233</v>
      </c>
      <c r="H122" t="s">
        <v>233</v>
      </c>
      <c r="I122" s="49">
        <v>45171</v>
      </c>
      <c r="J122" s="49">
        <v>45175</v>
      </c>
      <c r="K122" t="s">
        <v>325</v>
      </c>
      <c r="L122" s="49">
        <v>45174</v>
      </c>
      <c r="M122" s="49">
        <v>45175</v>
      </c>
      <c r="N122" t="s">
        <v>126</v>
      </c>
      <c r="O122" t="s">
        <v>107</v>
      </c>
      <c r="P122">
        <f>VLOOKUP(N122,[1]ID_Cidades!$A$1:$E$5900,2,FALSE)</f>
        <v>303652</v>
      </c>
      <c r="Q122">
        <f>VLOOKUP(O122,[1]ID_Cidades!$A$1:$E$5900,2,FALSE)</f>
        <v>295765</v>
      </c>
      <c r="R122">
        <f t="shared" si="2"/>
        <v>89809633780</v>
      </c>
      <c r="S122" s="42">
        <f>VLOOKUP(R122,'[1]GCD base'!$A$1:$M$200,7,FALSE)</f>
        <v>2193.8649999999998</v>
      </c>
      <c r="T122" t="s">
        <v>109</v>
      </c>
      <c r="U122" t="s">
        <v>201</v>
      </c>
      <c r="V122" t="s">
        <v>202</v>
      </c>
      <c r="W122" t="s">
        <v>203</v>
      </c>
      <c r="X122" t="s">
        <v>204</v>
      </c>
      <c r="Y122">
        <v>1359.32</v>
      </c>
      <c r="Z122">
        <v>0</v>
      </c>
      <c r="AA122">
        <v>1839.72</v>
      </c>
      <c r="AB122">
        <v>0</v>
      </c>
      <c r="AC122" s="49">
        <v>45113</v>
      </c>
      <c r="AD122" s="116" t="s">
        <v>10</v>
      </c>
      <c r="AE122" s="113" t="str" cm="1">
        <f t="array" ref="AE122">_xlfn.IFS(S122&lt;=Constantes!$G$2,"Muito Curta (evitável)",S122&lt;=Constantes!$H$2,"Curta Distância",S122&gt;Constantes!$H$2,"Longa Distância")</f>
        <v>Curta Distância</v>
      </c>
      <c r="AF122" s="114">
        <f>IFERROR(VLOOKUP(AE122,Constantes!$A$1:$E$5,MATCH(AD122,Constantes!$A$1:$E$1,0),0),"")</f>
        <v>0.18286935436241611</v>
      </c>
      <c r="AG122" s="115">
        <f t="shared" si="3"/>
        <v>401.190676108302</v>
      </c>
    </row>
    <row r="123" spans="1:33" x14ac:dyDescent="0.3">
      <c r="A123">
        <f>COUNTIF($B$2:B123,B123)</f>
        <v>2</v>
      </c>
      <c r="B123">
        <v>19066792</v>
      </c>
      <c r="C123" t="s">
        <v>322</v>
      </c>
      <c r="D123" t="s">
        <v>323</v>
      </c>
      <c r="E123" t="s">
        <v>324</v>
      </c>
      <c r="F123" t="s">
        <v>198</v>
      </c>
      <c r="G123" t="s">
        <v>233</v>
      </c>
      <c r="H123" t="s">
        <v>233</v>
      </c>
      <c r="I123" s="49">
        <v>45171</v>
      </c>
      <c r="J123" s="49">
        <v>45175</v>
      </c>
      <c r="K123" t="s">
        <v>325</v>
      </c>
      <c r="L123" s="49">
        <v>45171</v>
      </c>
      <c r="M123" s="49">
        <v>45174</v>
      </c>
      <c r="N123" t="s">
        <v>107</v>
      </c>
      <c r="O123" t="s">
        <v>126</v>
      </c>
      <c r="P123">
        <f>VLOOKUP(N123,[1]ID_Cidades!$A$1:$E$5900,2,FALSE)</f>
        <v>295765</v>
      </c>
      <c r="Q123">
        <f>VLOOKUP(O123,[1]ID_Cidades!$A$1:$E$5900,2,FALSE)</f>
        <v>303652</v>
      </c>
      <c r="R123">
        <f t="shared" si="2"/>
        <v>89809633780</v>
      </c>
      <c r="S123" s="42">
        <f>VLOOKUP(R123,'[1]GCD base'!$A$1:$M$200,7,FALSE)</f>
        <v>2193.8649999999998</v>
      </c>
      <c r="T123" t="s">
        <v>109</v>
      </c>
      <c r="U123" t="s">
        <v>205</v>
      </c>
      <c r="V123" t="s">
        <v>202</v>
      </c>
      <c r="W123" t="s">
        <v>203</v>
      </c>
      <c r="X123" t="s">
        <v>204</v>
      </c>
      <c r="Y123">
        <v>0</v>
      </c>
      <c r="Z123">
        <v>0</v>
      </c>
      <c r="AA123">
        <v>721.79</v>
      </c>
      <c r="AB123">
        <v>0</v>
      </c>
      <c r="AC123" s="49">
        <v>45113</v>
      </c>
      <c r="AD123" s="116" t="s">
        <v>10</v>
      </c>
      <c r="AE123" s="113" t="str" cm="1">
        <f t="array" ref="AE123">_xlfn.IFS(S123&lt;=Constantes!$G$2,"Muito Curta (evitável)",S123&lt;=Constantes!$H$2,"Curta Distância",S123&gt;Constantes!$H$2,"Longa Distância")</f>
        <v>Curta Distância</v>
      </c>
      <c r="AF123" s="114">
        <f>IFERROR(VLOOKUP(AE123,Constantes!$A$1:$E$5,MATCH(AD123,Constantes!$A$1:$E$1,0),0),"")</f>
        <v>0.18286935436241611</v>
      </c>
      <c r="AG123" s="115">
        <f t="shared" si="3"/>
        <v>401.190676108302</v>
      </c>
    </row>
    <row r="124" spans="1:33" x14ac:dyDescent="0.3">
      <c r="A124">
        <f>COUNTIF($B$2:B124,B124)</f>
        <v>1</v>
      </c>
      <c r="B124">
        <v>19067746</v>
      </c>
      <c r="C124" t="s">
        <v>326</v>
      </c>
      <c r="D124" t="s">
        <v>327</v>
      </c>
      <c r="E124" t="s">
        <v>328</v>
      </c>
      <c r="F124" t="s">
        <v>198</v>
      </c>
      <c r="G124" t="s">
        <v>207</v>
      </c>
      <c r="H124" t="s">
        <v>204</v>
      </c>
      <c r="I124" s="49">
        <v>45171</v>
      </c>
      <c r="J124" s="49">
        <v>45175</v>
      </c>
      <c r="K124" t="s">
        <v>329</v>
      </c>
      <c r="L124" s="49">
        <v>45174</v>
      </c>
      <c r="M124" s="49">
        <v>45175</v>
      </c>
      <c r="N124" t="s">
        <v>126</v>
      </c>
      <c r="O124" t="s">
        <v>107</v>
      </c>
      <c r="P124">
        <f>VLOOKUP(N124,[1]ID_Cidades!$A$1:$E$5900,2,FALSE)</f>
        <v>303652</v>
      </c>
      <c r="Q124">
        <f>VLOOKUP(O124,[1]ID_Cidades!$A$1:$E$5900,2,FALSE)</f>
        <v>295765</v>
      </c>
      <c r="R124">
        <f t="shared" si="2"/>
        <v>89809633780</v>
      </c>
      <c r="S124" s="42">
        <f>VLOOKUP(R124,'[1]GCD base'!$A$1:$M$200,7,FALSE)</f>
        <v>2193.8649999999998</v>
      </c>
      <c r="T124" t="s">
        <v>109</v>
      </c>
      <c r="U124" t="s">
        <v>201</v>
      </c>
      <c r="V124" t="s">
        <v>202</v>
      </c>
      <c r="W124" t="s">
        <v>203</v>
      </c>
      <c r="X124" t="s">
        <v>204</v>
      </c>
      <c r="Y124">
        <v>1359.32</v>
      </c>
      <c r="Z124">
        <v>0</v>
      </c>
      <c r="AA124">
        <v>1839.72</v>
      </c>
      <c r="AB124">
        <v>0</v>
      </c>
      <c r="AC124" s="49">
        <v>45113</v>
      </c>
      <c r="AD124" s="116" t="s">
        <v>10</v>
      </c>
      <c r="AE124" s="113" t="str" cm="1">
        <f t="array" ref="AE124">_xlfn.IFS(S124&lt;=Constantes!$G$2,"Muito Curta (evitável)",S124&lt;=Constantes!$H$2,"Curta Distância",S124&gt;Constantes!$H$2,"Longa Distância")</f>
        <v>Curta Distância</v>
      </c>
      <c r="AF124" s="114">
        <f>IFERROR(VLOOKUP(AE124,Constantes!$A$1:$E$5,MATCH(AD124,Constantes!$A$1:$E$1,0),0),"")</f>
        <v>0.18286935436241611</v>
      </c>
      <c r="AG124" s="115">
        <f t="shared" si="3"/>
        <v>401.190676108302</v>
      </c>
    </row>
    <row r="125" spans="1:33" x14ac:dyDescent="0.3">
      <c r="A125">
        <f>COUNTIF($B$2:B125,B125)</f>
        <v>2</v>
      </c>
      <c r="B125">
        <v>19067746</v>
      </c>
      <c r="C125" t="s">
        <v>326</v>
      </c>
      <c r="D125" t="s">
        <v>327</v>
      </c>
      <c r="E125" t="s">
        <v>328</v>
      </c>
      <c r="F125" t="s">
        <v>198</v>
      </c>
      <c r="G125" t="s">
        <v>207</v>
      </c>
      <c r="H125" t="s">
        <v>204</v>
      </c>
      <c r="I125" s="49">
        <v>45171</v>
      </c>
      <c r="J125" s="49">
        <v>45175</v>
      </c>
      <c r="K125" t="s">
        <v>329</v>
      </c>
      <c r="L125" s="49">
        <v>45171</v>
      </c>
      <c r="M125" s="49">
        <v>45174</v>
      </c>
      <c r="N125" t="s">
        <v>107</v>
      </c>
      <c r="O125" t="s">
        <v>126</v>
      </c>
      <c r="P125">
        <f>VLOOKUP(N125,[1]ID_Cidades!$A$1:$E$5900,2,FALSE)</f>
        <v>295765</v>
      </c>
      <c r="Q125">
        <f>VLOOKUP(O125,[1]ID_Cidades!$A$1:$E$5900,2,FALSE)</f>
        <v>303652</v>
      </c>
      <c r="R125">
        <f t="shared" si="2"/>
        <v>89809633780</v>
      </c>
      <c r="S125" s="42">
        <f>VLOOKUP(R125,'[1]GCD base'!$A$1:$M$200,7,FALSE)</f>
        <v>2193.8649999999998</v>
      </c>
      <c r="T125" t="s">
        <v>109</v>
      </c>
      <c r="U125" t="s">
        <v>205</v>
      </c>
      <c r="V125" t="s">
        <v>202</v>
      </c>
      <c r="W125" t="s">
        <v>203</v>
      </c>
      <c r="X125" t="s">
        <v>204</v>
      </c>
      <c r="Y125">
        <v>0</v>
      </c>
      <c r="Z125">
        <v>0</v>
      </c>
      <c r="AA125">
        <v>721.79</v>
      </c>
      <c r="AB125">
        <v>0</v>
      </c>
      <c r="AC125" s="49">
        <v>45113</v>
      </c>
      <c r="AD125" s="116" t="s">
        <v>10</v>
      </c>
      <c r="AE125" s="113" t="str" cm="1">
        <f t="array" ref="AE125">_xlfn.IFS(S125&lt;=Constantes!$G$2,"Muito Curta (evitável)",S125&lt;=Constantes!$H$2,"Curta Distância",S125&gt;Constantes!$H$2,"Longa Distância")</f>
        <v>Curta Distância</v>
      </c>
      <c r="AF125" s="114">
        <f>IFERROR(VLOOKUP(AE125,Constantes!$A$1:$E$5,MATCH(AD125,Constantes!$A$1:$E$1,0),0),"")</f>
        <v>0.18286935436241611</v>
      </c>
      <c r="AG125" s="115">
        <f t="shared" si="3"/>
        <v>401.190676108302</v>
      </c>
    </row>
    <row r="126" spans="1:33" x14ac:dyDescent="0.3">
      <c r="A126">
        <f>COUNTIF($B$2:B126,B126)</f>
        <v>1</v>
      </c>
      <c r="B126">
        <v>19203473</v>
      </c>
      <c r="C126" t="s">
        <v>692</v>
      </c>
      <c r="D126" t="s">
        <v>218</v>
      </c>
      <c r="E126" t="s">
        <v>693</v>
      </c>
      <c r="F126" t="s">
        <v>218</v>
      </c>
      <c r="G126" t="s">
        <v>207</v>
      </c>
      <c r="H126" t="s">
        <v>204</v>
      </c>
      <c r="I126" s="49">
        <v>45172</v>
      </c>
      <c r="J126" s="49">
        <v>45177</v>
      </c>
      <c r="K126" t="s">
        <v>694</v>
      </c>
      <c r="L126" s="49">
        <v>45172</v>
      </c>
      <c r="M126" s="49">
        <v>45176</v>
      </c>
      <c r="N126" t="s">
        <v>107</v>
      </c>
      <c r="O126" t="s">
        <v>114</v>
      </c>
      <c r="P126">
        <f>VLOOKUP(N126,[1]ID_Cidades!$A$1:$E$5900,2,FALSE)</f>
        <v>295765</v>
      </c>
      <c r="Q126">
        <f>VLOOKUP(O126,[1]ID_Cidades!$A$1:$E$5900,2,FALSE)</f>
        <v>295777</v>
      </c>
      <c r="R126">
        <f t="shared" si="2"/>
        <v>87480484405</v>
      </c>
      <c r="S126" s="42">
        <f>VLOOKUP(R126,'[1]GCD base'!$A$1:$M$200,7,FALSE)</f>
        <v>1714.8365369999999</v>
      </c>
      <c r="T126" t="s">
        <v>109</v>
      </c>
      <c r="U126" t="s">
        <v>205</v>
      </c>
      <c r="V126" t="s">
        <v>202</v>
      </c>
      <c r="W126" t="s">
        <v>210</v>
      </c>
      <c r="X126" t="s">
        <v>695</v>
      </c>
      <c r="Y126">
        <v>0</v>
      </c>
      <c r="Z126">
        <v>0</v>
      </c>
      <c r="AA126">
        <v>1403.69</v>
      </c>
      <c r="AB126">
        <v>0</v>
      </c>
      <c r="AC126" s="49">
        <v>45160</v>
      </c>
      <c r="AD126" s="116" t="s">
        <v>10</v>
      </c>
      <c r="AE126" s="113" t="str" cm="1">
        <f t="array" ref="AE126">_xlfn.IFS(S126&lt;=Constantes!$G$2,"Muito Curta (evitável)",S126&lt;=Constantes!$H$2,"Curta Distância",S126&gt;Constantes!$H$2,"Longa Distância")</f>
        <v>Curta Distância</v>
      </c>
      <c r="AF126" s="114">
        <f>IFERROR(VLOOKUP(AE126,Constantes!$A$1:$E$5,MATCH(AD126,Constantes!$A$1:$E$1,0),0),"")</f>
        <v>0.18286935436241611</v>
      </c>
      <c r="AG126" s="115">
        <f t="shared" si="3"/>
        <v>313.59105035827145</v>
      </c>
    </row>
    <row r="127" spans="1:33" x14ac:dyDescent="0.3">
      <c r="A127">
        <f>COUNTIF($B$2:B127,B127)</f>
        <v>2</v>
      </c>
      <c r="B127">
        <v>19203473</v>
      </c>
      <c r="C127" t="s">
        <v>692</v>
      </c>
      <c r="D127" t="s">
        <v>218</v>
      </c>
      <c r="E127" t="s">
        <v>693</v>
      </c>
      <c r="F127" t="s">
        <v>218</v>
      </c>
      <c r="G127" t="s">
        <v>207</v>
      </c>
      <c r="H127" t="s">
        <v>204</v>
      </c>
      <c r="I127" s="49">
        <v>45172</v>
      </c>
      <c r="J127" s="49">
        <v>45177</v>
      </c>
      <c r="K127" t="s">
        <v>694</v>
      </c>
      <c r="L127" s="49">
        <v>45176</v>
      </c>
      <c r="M127" s="49">
        <v>45177</v>
      </c>
      <c r="N127" t="s">
        <v>114</v>
      </c>
      <c r="O127" t="s">
        <v>107</v>
      </c>
      <c r="P127">
        <f>VLOOKUP(N127,[1]ID_Cidades!$A$1:$E$5900,2,FALSE)</f>
        <v>295777</v>
      </c>
      <c r="Q127">
        <f>VLOOKUP(O127,[1]ID_Cidades!$A$1:$E$5900,2,FALSE)</f>
        <v>295765</v>
      </c>
      <c r="R127">
        <f t="shared" si="2"/>
        <v>87480484405</v>
      </c>
      <c r="S127" s="42">
        <f>VLOOKUP(R127,'[1]GCD base'!$A$1:$M$200,7,FALSE)</f>
        <v>1714.8365369999999</v>
      </c>
      <c r="T127" t="s">
        <v>109</v>
      </c>
      <c r="U127" t="s">
        <v>201</v>
      </c>
      <c r="V127" t="s">
        <v>202</v>
      </c>
      <c r="W127" t="s">
        <v>210</v>
      </c>
      <c r="X127" t="s">
        <v>695</v>
      </c>
      <c r="Y127">
        <v>0</v>
      </c>
      <c r="Z127">
        <v>0</v>
      </c>
      <c r="AA127">
        <v>1220.5999999999999</v>
      </c>
      <c r="AB127">
        <v>0</v>
      </c>
      <c r="AC127" s="49">
        <v>45160</v>
      </c>
      <c r="AD127" s="116" t="s">
        <v>10</v>
      </c>
      <c r="AE127" s="113" t="str" cm="1">
        <f t="array" ref="AE127">_xlfn.IFS(S127&lt;=Constantes!$G$2,"Muito Curta (evitável)",S127&lt;=Constantes!$H$2,"Curta Distância",S127&gt;Constantes!$H$2,"Longa Distância")</f>
        <v>Curta Distância</v>
      </c>
      <c r="AF127" s="114">
        <f>IFERROR(VLOOKUP(AE127,Constantes!$A$1:$E$5,MATCH(AD127,Constantes!$A$1:$E$1,0),0),"")</f>
        <v>0.18286935436241611</v>
      </c>
      <c r="AG127" s="115">
        <f t="shared" si="3"/>
        <v>313.59105035827145</v>
      </c>
    </row>
    <row r="128" spans="1:33" x14ac:dyDescent="0.3">
      <c r="A128">
        <f>COUNTIF($B$2:B128,B128)</f>
        <v>1</v>
      </c>
      <c r="B128">
        <v>19195283</v>
      </c>
      <c r="C128" t="s">
        <v>672</v>
      </c>
      <c r="D128" t="s">
        <v>673</v>
      </c>
      <c r="E128" t="s">
        <v>674</v>
      </c>
      <c r="F128" t="s">
        <v>198</v>
      </c>
      <c r="G128" t="s">
        <v>207</v>
      </c>
      <c r="H128" t="s">
        <v>204</v>
      </c>
      <c r="I128" s="49">
        <v>45173</v>
      </c>
      <c r="J128" s="49">
        <v>45176</v>
      </c>
      <c r="K128" t="s">
        <v>675</v>
      </c>
      <c r="L128" s="49">
        <v>45173</v>
      </c>
      <c r="M128" s="49">
        <v>45176</v>
      </c>
      <c r="N128" t="s">
        <v>107</v>
      </c>
      <c r="O128" t="s">
        <v>123</v>
      </c>
      <c r="P128">
        <f>VLOOKUP(N128,[1]ID_Cidades!$A$1:$E$5900,2,FALSE)</f>
        <v>295765</v>
      </c>
      <c r="Q128">
        <f>VLOOKUP(O128,[1]ID_Cidades!$A$1:$E$5900,2,FALSE)</f>
        <v>295775</v>
      </c>
      <c r="R128">
        <f t="shared" si="2"/>
        <v>87479892875</v>
      </c>
      <c r="S128" s="42">
        <f>VLOOKUP(R128,'[1]GCD base'!$A$1:$M$200,7,FALSE)</f>
        <v>1875.298241</v>
      </c>
      <c r="T128" t="s">
        <v>109</v>
      </c>
      <c r="U128" t="s">
        <v>205</v>
      </c>
      <c r="V128" t="s">
        <v>202</v>
      </c>
      <c r="W128" t="s">
        <v>203</v>
      </c>
      <c r="X128" t="s">
        <v>204</v>
      </c>
      <c r="Y128">
        <v>0</v>
      </c>
      <c r="Z128">
        <v>0</v>
      </c>
      <c r="AA128">
        <v>1645.79</v>
      </c>
      <c r="AB128">
        <v>0</v>
      </c>
      <c r="AC128" s="49">
        <v>45156</v>
      </c>
      <c r="AD128" s="116" t="s">
        <v>10</v>
      </c>
      <c r="AE128" s="113" t="str" cm="1">
        <f t="array" ref="AE128">_xlfn.IFS(S128&lt;=Constantes!$G$2,"Muito Curta (evitável)",S128&lt;=Constantes!$H$2,"Curta Distância",S128&gt;Constantes!$H$2,"Longa Distância")</f>
        <v>Curta Distância</v>
      </c>
      <c r="AF128" s="114">
        <f>IFERROR(VLOOKUP(AE128,Constantes!$A$1:$E$5,MATCH(AD128,Constantes!$A$1:$E$1,0),0),"")</f>
        <v>0.18286935436241611</v>
      </c>
      <c r="AG128" s="115">
        <f t="shared" si="3"/>
        <v>342.93457856864461</v>
      </c>
    </row>
    <row r="129" spans="1:33" x14ac:dyDescent="0.3">
      <c r="A129">
        <f>COUNTIF($B$2:B129,B129)</f>
        <v>2</v>
      </c>
      <c r="B129">
        <v>19195283</v>
      </c>
      <c r="C129" t="s">
        <v>672</v>
      </c>
      <c r="D129" t="s">
        <v>673</v>
      </c>
      <c r="E129" t="s">
        <v>674</v>
      </c>
      <c r="F129" t="s">
        <v>198</v>
      </c>
      <c r="G129" t="s">
        <v>207</v>
      </c>
      <c r="H129" t="s">
        <v>204</v>
      </c>
      <c r="I129" s="49">
        <v>45173</v>
      </c>
      <c r="J129" s="49">
        <v>45176</v>
      </c>
      <c r="K129" t="s">
        <v>675</v>
      </c>
      <c r="L129" s="49">
        <v>45176</v>
      </c>
      <c r="M129" s="49">
        <v>45176</v>
      </c>
      <c r="N129" t="s">
        <v>123</v>
      </c>
      <c r="O129" t="s">
        <v>107</v>
      </c>
      <c r="P129">
        <f>VLOOKUP(N129,[1]ID_Cidades!$A$1:$E$5900,2,FALSE)</f>
        <v>295775</v>
      </c>
      <c r="Q129">
        <f>VLOOKUP(O129,[1]ID_Cidades!$A$1:$E$5900,2,FALSE)</f>
        <v>295765</v>
      </c>
      <c r="R129">
        <f t="shared" si="2"/>
        <v>87479892875</v>
      </c>
      <c r="S129" s="42">
        <f>VLOOKUP(R129,'[1]GCD base'!$A$1:$M$200,7,FALSE)</f>
        <v>1875.298241</v>
      </c>
      <c r="T129" t="s">
        <v>109</v>
      </c>
      <c r="U129" t="s">
        <v>201</v>
      </c>
      <c r="V129" t="s">
        <v>202</v>
      </c>
      <c r="W129" t="s">
        <v>203</v>
      </c>
      <c r="X129" t="s">
        <v>204</v>
      </c>
      <c r="Y129">
        <v>0</v>
      </c>
      <c r="Z129">
        <v>0</v>
      </c>
      <c r="AA129">
        <v>1554.13</v>
      </c>
      <c r="AB129">
        <v>0</v>
      </c>
      <c r="AC129" s="49">
        <v>45156</v>
      </c>
      <c r="AD129" s="116" t="s">
        <v>10</v>
      </c>
      <c r="AE129" s="113" t="str" cm="1">
        <f t="array" ref="AE129">_xlfn.IFS(S129&lt;=Constantes!$G$2,"Muito Curta (evitável)",S129&lt;=Constantes!$H$2,"Curta Distância",S129&gt;Constantes!$H$2,"Longa Distância")</f>
        <v>Curta Distância</v>
      </c>
      <c r="AF129" s="114">
        <f>IFERROR(VLOOKUP(AE129,Constantes!$A$1:$E$5,MATCH(AD129,Constantes!$A$1:$E$1,0),0),"")</f>
        <v>0.18286935436241611</v>
      </c>
      <c r="AG129" s="115">
        <f t="shared" si="3"/>
        <v>342.93457856864461</v>
      </c>
    </row>
    <row r="130" spans="1:33" x14ac:dyDescent="0.3">
      <c r="A130">
        <f>COUNTIF($B$2:B130,B130)</f>
        <v>1</v>
      </c>
      <c r="B130">
        <v>19168558</v>
      </c>
      <c r="C130" t="s">
        <v>604</v>
      </c>
      <c r="D130" t="s">
        <v>605</v>
      </c>
      <c r="E130" t="s">
        <v>606</v>
      </c>
      <c r="F130" t="s">
        <v>198</v>
      </c>
      <c r="G130" t="s">
        <v>207</v>
      </c>
      <c r="H130" t="s">
        <v>204</v>
      </c>
      <c r="I130" s="49">
        <v>45179</v>
      </c>
      <c r="J130" s="49">
        <v>45182</v>
      </c>
      <c r="K130" t="s">
        <v>607</v>
      </c>
      <c r="L130" s="49">
        <v>45182</v>
      </c>
      <c r="M130" s="49">
        <v>45182</v>
      </c>
      <c r="N130" t="s">
        <v>107</v>
      </c>
      <c r="O130" t="s">
        <v>146</v>
      </c>
      <c r="P130">
        <f>VLOOKUP(N130,[1]ID_Cidades!$A$1:$E$5900,2,FALSE)</f>
        <v>295765</v>
      </c>
      <c r="Q130">
        <f>VLOOKUP(O130,[1]ID_Cidades!$A$1:$E$5900,2,FALSE)</f>
        <v>304803</v>
      </c>
      <c r="R130">
        <f t="shared" ref="R130:R193" si="4">P130*Q130</f>
        <v>90150059295</v>
      </c>
      <c r="S130" s="42">
        <f>VLOOKUP(R130,'[1]GCD base'!$A$1:$M$200,7,FALSE)</f>
        <v>2573.2532590000001</v>
      </c>
      <c r="T130" t="s">
        <v>109</v>
      </c>
      <c r="U130" t="s">
        <v>201</v>
      </c>
      <c r="V130" t="s">
        <v>202</v>
      </c>
      <c r="W130" t="s">
        <v>203</v>
      </c>
      <c r="X130" t="s">
        <v>204</v>
      </c>
      <c r="Y130">
        <v>1288.57</v>
      </c>
      <c r="Z130">
        <v>0</v>
      </c>
      <c r="AA130">
        <v>1686.41</v>
      </c>
      <c r="AB130">
        <v>0</v>
      </c>
      <c r="AC130" s="49">
        <v>45155</v>
      </c>
      <c r="AD130" s="116" t="s">
        <v>10</v>
      </c>
      <c r="AE130" s="113" t="str" cm="1">
        <f t="array" ref="AE130">_xlfn.IFS(S130&lt;=Constantes!$G$2,"Muito Curta (evitável)",S130&lt;=Constantes!$H$2,"Curta Distância",S130&gt;Constantes!$H$2,"Longa Distância")</f>
        <v>Curta Distância</v>
      </c>
      <c r="AF130" s="114">
        <f>IFERROR(VLOOKUP(AE130,Constantes!$A$1:$E$5,MATCH(AD130,Constantes!$A$1:$E$1,0),0),"")</f>
        <v>0.18286935436241611</v>
      </c>
      <c r="AG130" s="115">
        <f t="shared" si="3"/>
        <v>470.56916208431312</v>
      </c>
    </row>
    <row r="131" spans="1:33" x14ac:dyDescent="0.3">
      <c r="A131">
        <f>COUNTIF($B$2:B131,B131)</f>
        <v>2</v>
      </c>
      <c r="B131">
        <v>19168558</v>
      </c>
      <c r="C131" t="s">
        <v>604</v>
      </c>
      <c r="D131" t="s">
        <v>605</v>
      </c>
      <c r="E131" t="s">
        <v>606</v>
      </c>
      <c r="F131" t="s">
        <v>198</v>
      </c>
      <c r="G131" t="s">
        <v>207</v>
      </c>
      <c r="H131" t="s">
        <v>204</v>
      </c>
      <c r="I131" s="49">
        <v>45179</v>
      </c>
      <c r="J131" s="49">
        <v>45182</v>
      </c>
      <c r="K131" t="s">
        <v>607</v>
      </c>
      <c r="L131" s="49">
        <v>45179</v>
      </c>
      <c r="M131" s="49">
        <v>45182</v>
      </c>
      <c r="N131" t="s">
        <v>146</v>
      </c>
      <c r="O131" t="s">
        <v>107</v>
      </c>
      <c r="P131">
        <f>VLOOKUP(N131,[1]ID_Cidades!$A$1:$E$5900,2,FALSE)</f>
        <v>304803</v>
      </c>
      <c r="Q131">
        <f>VLOOKUP(O131,[1]ID_Cidades!$A$1:$E$5900,2,FALSE)</f>
        <v>295765</v>
      </c>
      <c r="R131">
        <f t="shared" si="4"/>
        <v>90150059295</v>
      </c>
      <c r="S131" s="42">
        <f>VLOOKUP(R131,'[1]GCD base'!$A$1:$M$200,7,FALSE)</f>
        <v>2573.2532590000001</v>
      </c>
      <c r="T131" t="s">
        <v>109</v>
      </c>
      <c r="U131" t="s">
        <v>205</v>
      </c>
      <c r="V131" t="s">
        <v>202</v>
      </c>
      <c r="W131" t="s">
        <v>203</v>
      </c>
      <c r="X131" t="s">
        <v>204</v>
      </c>
      <c r="Y131">
        <v>0</v>
      </c>
      <c r="Z131">
        <v>0</v>
      </c>
      <c r="AA131">
        <v>1171.0899999999999</v>
      </c>
      <c r="AB131">
        <v>0</v>
      </c>
      <c r="AC131" s="49">
        <v>45155</v>
      </c>
      <c r="AD131" s="116" t="s">
        <v>10</v>
      </c>
      <c r="AE131" s="113" t="str" cm="1">
        <f t="array" ref="AE131">_xlfn.IFS(S131&lt;=Constantes!$G$2,"Muito Curta (evitável)",S131&lt;=Constantes!$H$2,"Curta Distância",S131&gt;Constantes!$H$2,"Longa Distância")</f>
        <v>Curta Distância</v>
      </c>
      <c r="AF131" s="114">
        <f>IFERROR(VLOOKUP(AE131,Constantes!$A$1:$E$5,MATCH(AD131,Constantes!$A$1:$E$1,0),0),"")</f>
        <v>0.18286935436241611</v>
      </c>
      <c r="AG131" s="115">
        <f t="shared" ref="AG131:AG194" si="5">AF131*S131</f>
        <v>470.56916208431312</v>
      </c>
    </row>
    <row r="132" spans="1:33" x14ac:dyDescent="0.3">
      <c r="A132">
        <f>COUNTIF($B$2:B132,B132)</f>
        <v>1</v>
      </c>
      <c r="B132">
        <v>19216702</v>
      </c>
      <c r="C132" t="s">
        <v>722</v>
      </c>
      <c r="D132" t="s">
        <v>576</v>
      </c>
      <c r="E132" t="s">
        <v>577</v>
      </c>
      <c r="F132" t="s">
        <v>198</v>
      </c>
      <c r="G132" t="s">
        <v>211</v>
      </c>
      <c r="H132" t="s">
        <v>211</v>
      </c>
      <c r="I132" s="49">
        <v>45179</v>
      </c>
      <c r="J132" s="49">
        <v>45185</v>
      </c>
      <c r="K132" t="s">
        <v>723</v>
      </c>
      <c r="L132" s="49">
        <v>45179</v>
      </c>
      <c r="M132" s="49">
        <v>45185</v>
      </c>
      <c r="N132" t="s">
        <v>110</v>
      </c>
      <c r="O132" t="s">
        <v>107</v>
      </c>
      <c r="P132">
        <f>VLOOKUP(N132,[1]ID_Cidades!$A$1:$E$5900,2,FALSE)</f>
        <v>295763</v>
      </c>
      <c r="Q132">
        <f>VLOOKUP(O132,[1]ID_Cidades!$A$1:$E$5900,2,FALSE)</f>
        <v>295765</v>
      </c>
      <c r="R132">
        <f t="shared" si="4"/>
        <v>87476343695</v>
      </c>
      <c r="S132" s="42">
        <f>VLOOKUP(R132,'[1]GCD base'!$A$1:$M$200,7,FALSE)</f>
        <v>1713.419991</v>
      </c>
      <c r="T132" t="s">
        <v>109</v>
      </c>
      <c r="U132" t="s">
        <v>205</v>
      </c>
      <c r="V132" t="s">
        <v>202</v>
      </c>
      <c r="W132" t="s">
        <v>210</v>
      </c>
      <c r="X132" t="s">
        <v>216</v>
      </c>
      <c r="Y132">
        <v>2162.08</v>
      </c>
      <c r="Z132">
        <v>0</v>
      </c>
      <c r="AA132">
        <v>1925.71</v>
      </c>
      <c r="AB132">
        <v>0</v>
      </c>
      <c r="AC132" s="49">
        <v>45170</v>
      </c>
      <c r="AD132" s="116" t="s">
        <v>10</v>
      </c>
      <c r="AE132" s="113" t="str" cm="1">
        <f t="array" ref="AE132">_xlfn.IFS(S132&lt;=Constantes!$G$2,"Muito Curta (evitável)",S132&lt;=Constantes!$H$2,"Curta Distância",S132&gt;Constantes!$H$2,"Longa Distância")</f>
        <v>Curta Distância</v>
      </c>
      <c r="AF132" s="114">
        <f>IFERROR(VLOOKUP(AE132,Constantes!$A$1:$E$5,MATCH(AD132,Constantes!$A$1:$E$1,0),0),"")</f>
        <v>0.18286935436241611</v>
      </c>
      <c r="AG132" s="115">
        <f t="shared" si="5"/>
        <v>313.33200750582682</v>
      </c>
    </row>
    <row r="133" spans="1:33" x14ac:dyDescent="0.3">
      <c r="A133">
        <f>COUNTIF($B$2:B133,B133)</f>
        <v>2</v>
      </c>
      <c r="B133">
        <v>19216702</v>
      </c>
      <c r="C133" t="s">
        <v>722</v>
      </c>
      <c r="D133" t="s">
        <v>576</v>
      </c>
      <c r="E133" t="s">
        <v>577</v>
      </c>
      <c r="F133" t="s">
        <v>198</v>
      </c>
      <c r="G133" t="s">
        <v>211</v>
      </c>
      <c r="H133" t="s">
        <v>211</v>
      </c>
      <c r="I133" s="49">
        <v>45179</v>
      </c>
      <c r="J133" s="49">
        <v>45185</v>
      </c>
      <c r="K133" t="s">
        <v>723</v>
      </c>
      <c r="L133" s="49">
        <v>45185</v>
      </c>
      <c r="M133" s="49">
        <v>45185</v>
      </c>
      <c r="N133" t="s">
        <v>107</v>
      </c>
      <c r="O133" t="s">
        <v>110</v>
      </c>
      <c r="P133">
        <f>VLOOKUP(N133,[1]ID_Cidades!$A$1:$E$5900,2,FALSE)</f>
        <v>295765</v>
      </c>
      <c r="Q133">
        <f>VLOOKUP(O133,[1]ID_Cidades!$A$1:$E$5900,2,FALSE)</f>
        <v>295763</v>
      </c>
      <c r="R133">
        <f t="shared" si="4"/>
        <v>87476343695</v>
      </c>
      <c r="S133" s="42">
        <f>VLOOKUP(R133,'[1]GCD base'!$A$1:$M$200,7,FALSE)</f>
        <v>1713.419991</v>
      </c>
      <c r="T133" t="s">
        <v>109</v>
      </c>
      <c r="U133" t="s">
        <v>201</v>
      </c>
      <c r="V133" t="s">
        <v>202</v>
      </c>
      <c r="W133" t="s">
        <v>210</v>
      </c>
      <c r="X133" t="s">
        <v>216</v>
      </c>
      <c r="Y133">
        <v>0</v>
      </c>
      <c r="Z133">
        <v>0</v>
      </c>
      <c r="AA133">
        <v>1739.49</v>
      </c>
      <c r="AB133">
        <v>0</v>
      </c>
      <c r="AC133" s="49">
        <v>45170</v>
      </c>
      <c r="AD133" s="116" t="s">
        <v>10</v>
      </c>
      <c r="AE133" s="113" t="str" cm="1">
        <f t="array" ref="AE133">_xlfn.IFS(S133&lt;=Constantes!$G$2,"Muito Curta (evitável)",S133&lt;=Constantes!$H$2,"Curta Distância",S133&gt;Constantes!$H$2,"Longa Distância")</f>
        <v>Curta Distância</v>
      </c>
      <c r="AF133" s="114">
        <f>IFERROR(VLOOKUP(AE133,Constantes!$A$1:$E$5,MATCH(AD133,Constantes!$A$1:$E$1,0),0),"")</f>
        <v>0.18286935436241611</v>
      </c>
      <c r="AG133" s="115">
        <f t="shared" si="5"/>
        <v>313.33200750582682</v>
      </c>
    </row>
    <row r="134" spans="1:33" x14ac:dyDescent="0.3">
      <c r="A134">
        <f>COUNTIF($B$2:B134,B134)</f>
        <v>1</v>
      </c>
      <c r="B134">
        <v>19220954</v>
      </c>
      <c r="C134" t="s">
        <v>735</v>
      </c>
      <c r="D134" t="s">
        <v>218</v>
      </c>
      <c r="E134" t="s">
        <v>736</v>
      </c>
      <c r="F134" t="s">
        <v>218</v>
      </c>
      <c r="G134" t="s">
        <v>207</v>
      </c>
      <c r="H134" t="s">
        <v>204</v>
      </c>
      <c r="I134" s="49">
        <v>45179</v>
      </c>
      <c r="J134" s="49">
        <v>45190</v>
      </c>
      <c r="K134" t="s">
        <v>737</v>
      </c>
      <c r="L134" s="49">
        <v>45190</v>
      </c>
      <c r="M134" s="49">
        <v>45190</v>
      </c>
      <c r="N134" t="s">
        <v>107</v>
      </c>
      <c r="O134" t="s">
        <v>371</v>
      </c>
      <c r="P134">
        <f>VLOOKUP(N134,[1]ID_Cidades!$A$1:$E$5900,2,FALSE)</f>
        <v>295765</v>
      </c>
      <c r="Q134">
        <f>VLOOKUP(O134,[1]ID_Cidades!$A$1:$E$5900,2,FALSE)</f>
        <v>295768</v>
      </c>
      <c r="R134">
        <f t="shared" si="4"/>
        <v>87477822520</v>
      </c>
      <c r="S134" s="42">
        <f>VLOOKUP(R134,'[1]GCD base'!$A$1:$M$200,7,FALSE)</f>
        <v>279.06946140000002</v>
      </c>
      <c r="T134" t="s">
        <v>109</v>
      </c>
      <c r="U134" t="s">
        <v>201</v>
      </c>
      <c r="V134" t="s">
        <v>202</v>
      </c>
      <c r="W134" t="s">
        <v>210</v>
      </c>
      <c r="X134" t="s">
        <v>738</v>
      </c>
      <c r="Y134">
        <v>4016.73</v>
      </c>
      <c r="Z134">
        <v>0</v>
      </c>
      <c r="AA134">
        <v>634.89</v>
      </c>
      <c r="AB134">
        <v>0</v>
      </c>
      <c r="AC134" s="49">
        <v>45166</v>
      </c>
      <c r="AD134" s="116" t="s">
        <v>10</v>
      </c>
      <c r="AE134" s="113" t="str" cm="1">
        <f t="array" ref="AE134">_xlfn.IFS(S134&lt;=Constantes!$G$2,"Muito Curta (evitável)",S134&lt;=Constantes!$H$2,"Curta Distância",S134&gt;Constantes!$H$2,"Longa Distância")</f>
        <v>Muito Curta (evitável)</v>
      </c>
      <c r="AF134" s="114">
        <f>IFERROR(VLOOKUP(AE134,Constantes!$A$1:$E$5,MATCH(AD134,Constantes!$A$1:$E$1,0),0),"")</f>
        <v>0.27257678523489931</v>
      </c>
      <c r="AG134" s="115">
        <f t="shared" si="5"/>
        <v>76.067856645646827</v>
      </c>
    </row>
    <row r="135" spans="1:33" x14ac:dyDescent="0.3">
      <c r="A135">
        <f>COUNTIF($B$2:B135,B135)</f>
        <v>2</v>
      </c>
      <c r="B135">
        <v>19220954</v>
      </c>
      <c r="C135" t="s">
        <v>735</v>
      </c>
      <c r="D135" t="s">
        <v>218</v>
      </c>
      <c r="E135" t="s">
        <v>736</v>
      </c>
      <c r="F135" t="s">
        <v>218</v>
      </c>
      <c r="G135" t="s">
        <v>207</v>
      </c>
      <c r="H135" t="s">
        <v>204</v>
      </c>
      <c r="I135" s="49">
        <v>45179</v>
      </c>
      <c r="J135" s="49">
        <v>45190</v>
      </c>
      <c r="K135" t="s">
        <v>737</v>
      </c>
      <c r="L135" s="49">
        <v>45179</v>
      </c>
      <c r="M135" s="49">
        <v>45190</v>
      </c>
      <c r="N135" t="s">
        <v>371</v>
      </c>
      <c r="O135" t="s">
        <v>107</v>
      </c>
      <c r="P135">
        <f>VLOOKUP(N135,[1]ID_Cidades!$A$1:$E$5900,2,FALSE)</f>
        <v>295768</v>
      </c>
      <c r="Q135">
        <f>VLOOKUP(O135,[1]ID_Cidades!$A$1:$E$5900,2,FALSE)</f>
        <v>295765</v>
      </c>
      <c r="R135">
        <f t="shared" si="4"/>
        <v>87477822520</v>
      </c>
      <c r="S135" s="42">
        <f>VLOOKUP(R135,'[1]GCD base'!$A$1:$M$200,7,FALSE)</f>
        <v>279.06946140000002</v>
      </c>
      <c r="T135" t="s">
        <v>109</v>
      </c>
      <c r="U135" t="s">
        <v>205</v>
      </c>
      <c r="V135" t="s">
        <v>202</v>
      </c>
      <c r="W135" t="s">
        <v>210</v>
      </c>
      <c r="X135" t="s">
        <v>738</v>
      </c>
      <c r="Y135">
        <v>0</v>
      </c>
      <c r="Z135">
        <v>0</v>
      </c>
      <c r="AA135">
        <v>1636.09</v>
      </c>
      <c r="AB135">
        <v>0</v>
      </c>
      <c r="AC135" s="49">
        <v>45166</v>
      </c>
      <c r="AD135" s="116" t="s">
        <v>10</v>
      </c>
      <c r="AE135" s="113" t="str" cm="1">
        <f t="array" ref="AE135">_xlfn.IFS(S135&lt;=Constantes!$G$2,"Muito Curta (evitável)",S135&lt;=Constantes!$H$2,"Curta Distância",S135&gt;Constantes!$H$2,"Longa Distância")</f>
        <v>Muito Curta (evitável)</v>
      </c>
      <c r="AF135" s="114">
        <f>IFERROR(VLOOKUP(AE135,Constantes!$A$1:$E$5,MATCH(AD135,Constantes!$A$1:$E$1,0),0),"")</f>
        <v>0.27257678523489931</v>
      </c>
      <c r="AG135" s="115">
        <f t="shared" si="5"/>
        <v>76.067856645646827</v>
      </c>
    </row>
    <row r="136" spans="1:33" x14ac:dyDescent="0.3">
      <c r="A136">
        <f>COUNTIF($B$2:B136,B136)</f>
        <v>1</v>
      </c>
      <c r="B136">
        <v>19231480</v>
      </c>
      <c r="C136" t="s">
        <v>762</v>
      </c>
      <c r="D136" t="s">
        <v>763</v>
      </c>
      <c r="E136" t="s">
        <v>764</v>
      </c>
      <c r="F136" t="s">
        <v>198</v>
      </c>
      <c r="G136" t="s">
        <v>207</v>
      </c>
      <c r="H136" t="s">
        <v>204</v>
      </c>
      <c r="I136" s="49">
        <v>45179</v>
      </c>
      <c r="J136" s="49">
        <v>45190</v>
      </c>
      <c r="K136" t="s">
        <v>765</v>
      </c>
      <c r="L136" s="49">
        <v>45179</v>
      </c>
      <c r="M136" s="49">
        <v>45190</v>
      </c>
      <c r="N136" t="s">
        <v>121</v>
      </c>
      <c r="O136" t="s">
        <v>107</v>
      </c>
      <c r="P136">
        <f>VLOOKUP(N136,[1]ID_Cidades!$A$1:$E$5900,2,FALSE)</f>
        <v>314439</v>
      </c>
      <c r="Q136">
        <f>VLOOKUP(O136,[1]ID_Cidades!$A$1:$E$5900,2,FALSE)</f>
        <v>295765</v>
      </c>
      <c r="R136">
        <f t="shared" si="4"/>
        <v>93000050835</v>
      </c>
      <c r="S136" s="42">
        <f>VLOOKUP(R136,'[1]GCD base'!$A$1:$M$200,7,FALSE)</f>
        <v>546.23643000000004</v>
      </c>
      <c r="T136" t="s">
        <v>109</v>
      </c>
      <c r="U136" t="s">
        <v>205</v>
      </c>
      <c r="V136" t="s">
        <v>202</v>
      </c>
      <c r="W136" t="s">
        <v>210</v>
      </c>
      <c r="X136" t="s">
        <v>766</v>
      </c>
      <c r="Y136">
        <v>3747.54</v>
      </c>
      <c r="Z136">
        <v>0</v>
      </c>
      <c r="AA136">
        <v>1176.71</v>
      </c>
      <c r="AB136">
        <v>0</v>
      </c>
      <c r="AC136" s="49">
        <v>45167</v>
      </c>
      <c r="AD136" s="116" t="s">
        <v>10</v>
      </c>
      <c r="AE136" s="113" t="str" cm="1">
        <f t="array" ref="AE136">_xlfn.IFS(S136&lt;=Constantes!$G$2,"Muito Curta (evitável)",S136&lt;=Constantes!$H$2,"Curta Distância",S136&gt;Constantes!$H$2,"Longa Distância")</f>
        <v>Muito Curta (evitável)</v>
      </c>
      <c r="AF136" s="114">
        <f>IFERROR(VLOOKUP(AE136,Constantes!$A$1:$E$5,MATCH(AD136,Constantes!$A$1:$E$1,0),0),"")</f>
        <v>0.27257678523489931</v>
      </c>
      <c r="AG136" s="115">
        <f t="shared" si="5"/>
        <v>148.89137006758813</v>
      </c>
    </row>
    <row r="137" spans="1:33" x14ac:dyDescent="0.3">
      <c r="A137">
        <f>COUNTIF($B$2:B137,B137)</f>
        <v>2</v>
      </c>
      <c r="B137">
        <v>19231480</v>
      </c>
      <c r="C137" t="s">
        <v>762</v>
      </c>
      <c r="D137" t="s">
        <v>763</v>
      </c>
      <c r="E137" t="s">
        <v>764</v>
      </c>
      <c r="F137" t="s">
        <v>198</v>
      </c>
      <c r="G137" t="s">
        <v>207</v>
      </c>
      <c r="H137" t="s">
        <v>204</v>
      </c>
      <c r="I137" s="49">
        <v>45179</v>
      </c>
      <c r="J137" s="49">
        <v>45190</v>
      </c>
      <c r="K137" t="s">
        <v>765</v>
      </c>
      <c r="L137" s="49">
        <v>45190</v>
      </c>
      <c r="M137" s="49">
        <v>45190</v>
      </c>
      <c r="N137" t="s">
        <v>107</v>
      </c>
      <c r="O137" t="s">
        <v>121</v>
      </c>
      <c r="P137">
        <f>VLOOKUP(N137,[1]ID_Cidades!$A$1:$E$5900,2,FALSE)</f>
        <v>295765</v>
      </c>
      <c r="Q137">
        <f>VLOOKUP(O137,[1]ID_Cidades!$A$1:$E$5900,2,FALSE)</f>
        <v>314439</v>
      </c>
      <c r="R137">
        <f t="shared" si="4"/>
        <v>93000050835</v>
      </c>
      <c r="S137" s="42">
        <f>VLOOKUP(R137,'[1]GCD base'!$A$1:$M$200,7,FALSE)</f>
        <v>546.23643000000004</v>
      </c>
      <c r="T137" t="s">
        <v>109</v>
      </c>
      <c r="U137" t="s">
        <v>201</v>
      </c>
      <c r="V137" t="s">
        <v>202</v>
      </c>
      <c r="W137" t="s">
        <v>210</v>
      </c>
      <c r="X137" t="s">
        <v>766</v>
      </c>
      <c r="Y137">
        <v>0</v>
      </c>
      <c r="Z137">
        <v>0</v>
      </c>
      <c r="AA137">
        <v>763.29</v>
      </c>
      <c r="AB137">
        <v>0</v>
      </c>
      <c r="AC137" s="49">
        <v>45167</v>
      </c>
      <c r="AD137" s="116" t="s">
        <v>10</v>
      </c>
      <c r="AE137" s="113" t="str" cm="1">
        <f t="array" ref="AE137">_xlfn.IFS(S137&lt;=Constantes!$G$2,"Muito Curta (evitável)",S137&lt;=Constantes!$H$2,"Curta Distância",S137&gt;Constantes!$H$2,"Longa Distância")</f>
        <v>Muito Curta (evitável)</v>
      </c>
      <c r="AF137" s="114">
        <f>IFERROR(VLOOKUP(AE137,Constantes!$A$1:$E$5,MATCH(AD137,Constantes!$A$1:$E$1,0),0),"")</f>
        <v>0.27257678523489931</v>
      </c>
      <c r="AG137" s="115">
        <f t="shared" si="5"/>
        <v>148.89137006758813</v>
      </c>
    </row>
    <row r="138" spans="1:33" x14ac:dyDescent="0.3">
      <c r="A138">
        <f>COUNTIF($B$2:B138,B138)</f>
        <v>1</v>
      </c>
      <c r="B138">
        <v>19246583</v>
      </c>
      <c r="C138" t="s">
        <v>839</v>
      </c>
      <c r="D138" t="s">
        <v>571</v>
      </c>
      <c r="E138" t="s">
        <v>572</v>
      </c>
      <c r="F138" t="s">
        <v>198</v>
      </c>
      <c r="G138" t="s">
        <v>207</v>
      </c>
      <c r="H138" t="s">
        <v>204</v>
      </c>
      <c r="I138" s="49">
        <v>45179</v>
      </c>
      <c r="J138" s="49">
        <v>45186</v>
      </c>
      <c r="K138" t="s">
        <v>723</v>
      </c>
      <c r="L138" s="49">
        <v>45186</v>
      </c>
      <c r="M138" s="49">
        <v>45186</v>
      </c>
      <c r="N138" t="s">
        <v>112</v>
      </c>
      <c r="O138" t="s">
        <v>574</v>
      </c>
      <c r="P138">
        <f>VLOOKUP(N138,[1]ID_Cidades!$A$1:$E$5900,2,FALSE)</f>
        <v>295766</v>
      </c>
      <c r="Q138">
        <f>VLOOKUP(O138,[1]ID_Cidades!$A$1:$E$5900,2,FALSE)</f>
        <v>301970</v>
      </c>
      <c r="R138">
        <f t="shared" si="4"/>
        <v>89312459020</v>
      </c>
      <c r="S138" s="42">
        <f>VLOOKUP(R138,'[1]GCD base'!$A$1:$M$200,7,FALSE)</f>
        <v>1413.465537</v>
      </c>
      <c r="T138" t="s">
        <v>109</v>
      </c>
      <c r="U138" t="s">
        <v>201</v>
      </c>
      <c r="V138" t="s">
        <v>202</v>
      </c>
      <c r="W138" t="s">
        <v>210</v>
      </c>
      <c r="X138" t="s">
        <v>216</v>
      </c>
      <c r="Y138">
        <v>2487.3000000000002</v>
      </c>
      <c r="Z138">
        <v>0</v>
      </c>
      <c r="AA138">
        <v>3156.18</v>
      </c>
      <c r="AB138">
        <v>0</v>
      </c>
      <c r="AC138" s="49">
        <v>45173</v>
      </c>
      <c r="AD138" s="116" t="s">
        <v>10</v>
      </c>
      <c r="AE138" s="113" t="str" cm="1">
        <f t="array" ref="AE138">_xlfn.IFS(S138&lt;=Constantes!$G$2,"Muito Curta (evitável)",S138&lt;=Constantes!$H$2,"Curta Distância",S138&gt;Constantes!$H$2,"Longa Distância")</f>
        <v>Curta Distância</v>
      </c>
      <c r="AF138" s="114">
        <f>IFERROR(VLOOKUP(AE138,Constantes!$A$1:$E$5,MATCH(AD138,Constantes!$A$1:$E$1,0),0),"")</f>
        <v>0.18286935436241611</v>
      </c>
      <c r="AG138" s="115">
        <f t="shared" si="5"/>
        <v>258.47953016471581</v>
      </c>
    </row>
    <row r="139" spans="1:33" x14ac:dyDescent="0.3">
      <c r="A139">
        <f>COUNTIF($B$2:B139,B139)</f>
        <v>2</v>
      </c>
      <c r="B139">
        <v>19246583</v>
      </c>
      <c r="C139" t="s">
        <v>839</v>
      </c>
      <c r="D139" t="s">
        <v>571</v>
      </c>
      <c r="E139" t="s">
        <v>572</v>
      </c>
      <c r="F139" t="s">
        <v>198</v>
      </c>
      <c r="G139" t="s">
        <v>207</v>
      </c>
      <c r="H139" t="s">
        <v>204</v>
      </c>
      <c r="I139" s="49">
        <v>45179</v>
      </c>
      <c r="J139" s="49">
        <v>45186</v>
      </c>
      <c r="K139" t="s">
        <v>723</v>
      </c>
      <c r="L139" s="49">
        <v>45179</v>
      </c>
      <c r="M139" s="49">
        <v>45179</v>
      </c>
      <c r="N139" t="s">
        <v>574</v>
      </c>
      <c r="O139" t="s">
        <v>112</v>
      </c>
      <c r="P139">
        <f>VLOOKUP(N139,[1]ID_Cidades!$A$1:$E$5900,2,FALSE)</f>
        <v>301970</v>
      </c>
      <c r="Q139">
        <f>VLOOKUP(O139,[1]ID_Cidades!$A$1:$E$5900,2,FALSE)</f>
        <v>295766</v>
      </c>
      <c r="R139">
        <f t="shared" si="4"/>
        <v>89312459020</v>
      </c>
      <c r="S139" s="42">
        <f>VLOOKUP(R139,'[1]GCD base'!$A$1:$M$200,7,FALSE)</f>
        <v>1413.465537</v>
      </c>
      <c r="T139" t="s">
        <v>109</v>
      </c>
      <c r="U139" t="s">
        <v>201</v>
      </c>
      <c r="V139" t="s">
        <v>202</v>
      </c>
      <c r="W139" t="s">
        <v>210</v>
      </c>
      <c r="X139" t="s">
        <v>216</v>
      </c>
      <c r="Y139">
        <v>0</v>
      </c>
      <c r="Z139">
        <v>0</v>
      </c>
      <c r="AA139">
        <v>1768.24</v>
      </c>
      <c r="AB139">
        <v>0</v>
      </c>
      <c r="AC139" s="49">
        <v>45173</v>
      </c>
      <c r="AD139" s="116" t="s">
        <v>10</v>
      </c>
      <c r="AE139" s="113" t="str" cm="1">
        <f t="array" ref="AE139">_xlfn.IFS(S139&lt;=Constantes!$G$2,"Muito Curta (evitável)",S139&lt;=Constantes!$H$2,"Curta Distância",S139&gt;Constantes!$H$2,"Longa Distância")</f>
        <v>Curta Distância</v>
      </c>
      <c r="AF139" s="114">
        <f>IFERROR(VLOOKUP(AE139,Constantes!$A$1:$E$5,MATCH(AD139,Constantes!$A$1:$E$1,0),0),"")</f>
        <v>0.18286935436241611</v>
      </c>
      <c r="AG139" s="115">
        <f t="shared" si="5"/>
        <v>258.47953016471581</v>
      </c>
    </row>
    <row r="140" spans="1:33" x14ac:dyDescent="0.3">
      <c r="A140">
        <f>COUNTIF($B$2:B140,B140)</f>
        <v>1</v>
      </c>
      <c r="B140">
        <v>19247437</v>
      </c>
      <c r="C140" t="s">
        <v>844</v>
      </c>
      <c r="D140" t="s">
        <v>567</v>
      </c>
      <c r="E140" t="s">
        <v>568</v>
      </c>
      <c r="F140" t="s">
        <v>214</v>
      </c>
      <c r="G140" t="s">
        <v>207</v>
      </c>
      <c r="H140" t="s">
        <v>204</v>
      </c>
      <c r="I140" s="49">
        <v>45179</v>
      </c>
      <c r="J140" s="49">
        <v>45186</v>
      </c>
      <c r="K140" t="s">
        <v>723</v>
      </c>
      <c r="L140" s="49">
        <v>45186</v>
      </c>
      <c r="M140" s="49">
        <v>45186</v>
      </c>
      <c r="N140" t="s">
        <v>112</v>
      </c>
      <c r="O140" t="s">
        <v>371</v>
      </c>
      <c r="P140">
        <f>VLOOKUP(N140,[1]ID_Cidades!$A$1:$E$5900,2,FALSE)</f>
        <v>295766</v>
      </c>
      <c r="Q140">
        <f>VLOOKUP(O140,[1]ID_Cidades!$A$1:$E$5900,2,FALSE)</f>
        <v>295768</v>
      </c>
      <c r="R140">
        <f t="shared" si="4"/>
        <v>87478118288</v>
      </c>
      <c r="S140" s="42">
        <f>VLOOKUP(R140,'[1]GCD base'!$A$1:$M$200,7,FALSE)</f>
        <v>180.9798476</v>
      </c>
      <c r="T140" t="s">
        <v>109</v>
      </c>
      <c r="U140" t="s">
        <v>201</v>
      </c>
      <c r="V140" t="s">
        <v>202</v>
      </c>
      <c r="W140" t="s">
        <v>210</v>
      </c>
      <c r="X140" t="s">
        <v>216</v>
      </c>
      <c r="Y140">
        <v>2408.1</v>
      </c>
      <c r="Z140">
        <v>0</v>
      </c>
      <c r="AA140">
        <v>775.14</v>
      </c>
      <c r="AB140">
        <v>0</v>
      </c>
      <c r="AC140" s="49">
        <v>45173</v>
      </c>
      <c r="AD140" s="116" t="s">
        <v>10</v>
      </c>
      <c r="AE140" s="113" t="str" cm="1">
        <f t="array" ref="AE140">_xlfn.IFS(S140&lt;=Constantes!$G$2,"Muito Curta (evitável)",S140&lt;=Constantes!$H$2,"Curta Distância",S140&gt;Constantes!$H$2,"Longa Distância")</f>
        <v>Muito Curta (evitável)</v>
      </c>
      <c r="AF140" s="114">
        <f>IFERROR(VLOOKUP(AE140,Constantes!$A$1:$E$5,MATCH(AD140,Constantes!$A$1:$E$1,0),0),"")</f>
        <v>0.27257678523489931</v>
      </c>
      <c r="AG140" s="115">
        <f t="shared" si="5"/>
        <v>49.330905051110008</v>
      </c>
    </row>
    <row r="141" spans="1:33" x14ac:dyDescent="0.3">
      <c r="A141">
        <f>COUNTIF($B$2:B141,B141)</f>
        <v>2</v>
      </c>
      <c r="B141">
        <v>19247437</v>
      </c>
      <c r="C141" t="s">
        <v>844</v>
      </c>
      <c r="D141" t="s">
        <v>567</v>
      </c>
      <c r="E141" t="s">
        <v>568</v>
      </c>
      <c r="F141" t="s">
        <v>214</v>
      </c>
      <c r="G141" t="s">
        <v>207</v>
      </c>
      <c r="H141" t="s">
        <v>204</v>
      </c>
      <c r="I141" s="49">
        <v>45179</v>
      </c>
      <c r="J141" s="49">
        <v>45186</v>
      </c>
      <c r="K141" t="s">
        <v>723</v>
      </c>
      <c r="L141" s="49">
        <v>45179</v>
      </c>
      <c r="M141" s="49">
        <v>45179</v>
      </c>
      <c r="N141" t="s">
        <v>371</v>
      </c>
      <c r="O141" t="s">
        <v>112</v>
      </c>
      <c r="P141">
        <f>VLOOKUP(N141,[1]ID_Cidades!$A$1:$E$5900,2,FALSE)</f>
        <v>295768</v>
      </c>
      <c r="Q141">
        <f>VLOOKUP(O141,[1]ID_Cidades!$A$1:$E$5900,2,FALSE)</f>
        <v>295766</v>
      </c>
      <c r="R141">
        <f t="shared" si="4"/>
        <v>87478118288</v>
      </c>
      <c r="S141" s="42">
        <f>VLOOKUP(R141,'[1]GCD base'!$A$1:$M$200,7,FALSE)</f>
        <v>180.9798476</v>
      </c>
      <c r="T141" t="s">
        <v>109</v>
      </c>
      <c r="U141" t="s">
        <v>201</v>
      </c>
      <c r="V141" t="s">
        <v>202</v>
      </c>
      <c r="W141" t="s">
        <v>210</v>
      </c>
      <c r="X141" t="s">
        <v>216</v>
      </c>
      <c r="Y141">
        <v>0</v>
      </c>
      <c r="Z141">
        <v>0</v>
      </c>
      <c r="AA141">
        <v>1114.49</v>
      </c>
      <c r="AB141">
        <v>0</v>
      </c>
      <c r="AC141" s="49">
        <v>45173</v>
      </c>
      <c r="AD141" s="116" t="s">
        <v>10</v>
      </c>
      <c r="AE141" s="113" t="str" cm="1">
        <f t="array" ref="AE141">_xlfn.IFS(S141&lt;=Constantes!$G$2,"Muito Curta (evitável)",S141&lt;=Constantes!$H$2,"Curta Distância",S141&gt;Constantes!$H$2,"Longa Distância")</f>
        <v>Muito Curta (evitável)</v>
      </c>
      <c r="AF141" s="114">
        <f>IFERROR(VLOOKUP(AE141,Constantes!$A$1:$E$5,MATCH(AD141,Constantes!$A$1:$E$1,0),0),"")</f>
        <v>0.27257678523489931</v>
      </c>
      <c r="AG141" s="115">
        <f t="shared" si="5"/>
        <v>49.330905051110008</v>
      </c>
    </row>
    <row r="142" spans="1:33" x14ac:dyDescent="0.3">
      <c r="A142">
        <f>COUNTIF($B$2:B142,B142)</f>
        <v>1</v>
      </c>
      <c r="B142">
        <v>19249250</v>
      </c>
      <c r="C142" t="s">
        <v>847</v>
      </c>
      <c r="D142" t="s">
        <v>218</v>
      </c>
      <c r="E142" t="s">
        <v>848</v>
      </c>
      <c r="F142" t="s">
        <v>218</v>
      </c>
      <c r="G142" t="s">
        <v>207</v>
      </c>
      <c r="H142" t="s">
        <v>204</v>
      </c>
      <c r="I142" s="49">
        <v>45179</v>
      </c>
      <c r="J142" s="49">
        <v>45193</v>
      </c>
      <c r="K142" t="s">
        <v>849</v>
      </c>
      <c r="L142" s="49">
        <v>45179</v>
      </c>
      <c r="M142" s="49">
        <v>45189</v>
      </c>
      <c r="N142" t="s">
        <v>116</v>
      </c>
      <c r="O142" t="s">
        <v>107</v>
      </c>
      <c r="P142">
        <f>VLOOKUP(N142,[1]ID_Cidades!$A$1:$E$5900,2,FALSE)</f>
        <v>295778</v>
      </c>
      <c r="Q142">
        <f>VLOOKUP(O142,[1]ID_Cidades!$A$1:$E$5900,2,FALSE)</f>
        <v>295765</v>
      </c>
      <c r="R142">
        <f t="shared" si="4"/>
        <v>87480780170</v>
      </c>
      <c r="S142" s="42">
        <f>VLOOKUP(R142,'[1]GCD base'!$A$1:$M$200,7,FALSE)</f>
        <v>1961.5007860000001</v>
      </c>
      <c r="T142" t="s">
        <v>109</v>
      </c>
      <c r="U142" t="s">
        <v>205</v>
      </c>
      <c r="V142" t="s">
        <v>202</v>
      </c>
      <c r="W142" t="s">
        <v>210</v>
      </c>
      <c r="X142" t="s">
        <v>766</v>
      </c>
      <c r="Y142">
        <v>3484.82</v>
      </c>
      <c r="Z142">
        <v>0</v>
      </c>
      <c r="AA142">
        <v>891.09</v>
      </c>
      <c r="AB142">
        <v>0</v>
      </c>
      <c r="AC142" s="49">
        <v>45173</v>
      </c>
      <c r="AD142" s="116" t="s">
        <v>10</v>
      </c>
      <c r="AE142" s="113" t="str" cm="1">
        <f t="array" ref="AE142">_xlfn.IFS(S142&lt;=Constantes!$G$2,"Muito Curta (evitável)",S142&lt;=Constantes!$H$2,"Curta Distância",S142&gt;Constantes!$H$2,"Longa Distância")</f>
        <v>Curta Distância</v>
      </c>
      <c r="AF142" s="114">
        <f>IFERROR(VLOOKUP(AE142,Constantes!$A$1:$E$5,MATCH(AD142,Constantes!$A$1:$E$1,0),0),"")</f>
        <v>0.18286935436241611</v>
      </c>
      <c r="AG142" s="115">
        <f t="shared" si="5"/>
        <v>358.69838231719172</v>
      </c>
    </row>
    <row r="143" spans="1:33" x14ac:dyDescent="0.3">
      <c r="A143">
        <f>COUNTIF($B$2:B143,B143)</f>
        <v>2</v>
      </c>
      <c r="B143">
        <v>19249250</v>
      </c>
      <c r="C143" t="s">
        <v>847</v>
      </c>
      <c r="D143" t="s">
        <v>218</v>
      </c>
      <c r="E143" t="s">
        <v>848</v>
      </c>
      <c r="F143" t="s">
        <v>218</v>
      </c>
      <c r="G143" t="s">
        <v>207</v>
      </c>
      <c r="H143" t="s">
        <v>204</v>
      </c>
      <c r="I143" s="49">
        <v>45179</v>
      </c>
      <c r="J143" s="49">
        <v>45193</v>
      </c>
      <c r="K143" t="s">
        <v>849</v>
      </c>
      <c r="L143" s="49">
        <v>45193</v>
      </c>
      <c r="M143" s="49">
        <v>45193</v>
      </c>
      <c r="N143" t="s">
        <v>107</v>
      </c>
      <c r="O143" t="s">
        <v>116</v>
      </c>
      <c r="P143">
        <f>VLOOKUP(N143,[1]ID_Cidades!$A$1:$E$5900,2,FALSE)</f>
        <v>295765</v>
      </c>
      <c r="Q143">
        <f>VLOOKUP(O143,[1]ID_Cidades!$A$1:$E$5900,2,FALSE)</f>
        <v>295778</v>
      </c>
      <c r="R143">
        <f t="shared" si="4"/>
        <v>87480780170</v>
      </c>
      <c r="S143" s="42">
        <f>VLOOKUP(R143,'[1]GCD base'!$A$1:$M$200,7,FALSE)</f>
        <v>1961.5007860000001</v>
      </c>
      <c r="T143" t="s">
        <v>109</v>
      </c>
      <c r="U143" t="s">
        <v>201</v>
      </c>
      <c r="V143" t="s">
        <v>202</v>
      </c>
      <c r="W143" t="s">
        <v>210</v>
      </c>
      <c r="X143" t="s">
        <v>766</v>
      </c>
      <c r="Y143">
        <v>0</v>
      </c>
      <c r="Z143">
        <v>0</v>
      </c>
      <c r="AA143">
        <v>1857.5</v>
      </c>
      <c r="AB143">
        <v>0</v>
      </c>
      <c r="AC143" s="49">
        <v>45173</v>
      </c>
      <c r="AD143" s="116" t="s">
        <v>10</v>
      </c>
      <c r="AE143" s="113" t="str" cm="1">
        <f t="array" ref="AE143">_xlfn.IFS(S143&lt;=Constantes!$G$2,"Muito Curta (evitável)",S143&lt;=Constantes!$H$2,"Curta Distância",S143&gt;Constantes!$H$2,"Longa Distância")</f>
        <v>Curta Distância</v>
      </c>
      <c r="AF143" s="114">
        <f>IFERROR(VLOOKUP(AE143,Constantes!$A$1:$E$5,MATCH(AD143,Constantes!$A$1:$E$1,0),0),"")</f>
        <v>0.18286935436241611</v>
      </c>
      <c r="AG143" s="115">
        <f t="shared" si="5"/>
        <v>358.69838231719172</v>
      </c>
    </row>
    <row r="144" spans="1:33" x14ac:dyDescent="0.3">
      <c r="A144">
        <f>COUNTIF($B$2:B144,B144)</f>
        <v>1</v>
      </c>
      <c r="B144">
        <v>19254506</v>
      </c>
      <c r="C144" t="s">
        <v>890</v>
      </c>
      <c r="D144" t="s">
        <v>208</v>
      </c>
      <c r="E144" t="s">
        <v>132</v>
      </c>
      <c r="F144" t="s">
        <v>198</v>
      </c>
      <c r="G144" t="s">
        <v>209</v>
      </c>
      <c r="H144" t="s">
        <v>200</v>
      </c>
      <c r="I144" s="49">
        <v>45180</v>
      </c>
      <c r="J144" s="49">
        <v>45184</v>
      </c>
      <c r="K144" t="s">
        <v>891</v>
      </c>
      <c r="L144" s="49">
        <v>45180</v>
      </c>
      <c r="M144" s="49">
        <v>45184</v>
      </c>
      <c r="N144" t="s">
        <v>112</v>
      </c>
      <c r="O144" t="s">
        <v>110</v>
      </c>
      <c r="P144">
        <f>VLOOKUP(N144,[1]ID_Cidades!$A$1:$E$5900,2,FALSE)</f>
        <v>295766</v>
      </c>
      <c r="Q144">
        <f>VLOOKUP(O144,[1]ID_Cidades!$A$1:$E$5900,2,FALSE)</f>
        <v>295763</v>
      </c>
      <c r="R144">
        <f t="shared" si="4"/>
        <v>87476639458</v>
      </c>
      <c r="S144" s="42">
        <f>VLOOKUP(R144,'[1]GCD base'!$A$1:$M$200,7,FALSE)</f>
        <v>1654.211456</v>
      </c>
      <c r="T144" t="s">
        <v>109</v>
      </c>
      <c r="U144" t="s">
        <v>205</v>
      </c>
      <c r="V144" t="s">
        <v>202</v>
      </c>
      <c r="W144" t="s">
        <v>210</v>
      </c>
      <c r="X144" t="s">
        <v>892</v>
      </c>
      <c r="Y144">
        <v>1896.15</v>
      </c>
      <c r="Z144">
        <v>0</v>
      </c>
      <c r="AA144">
        <v>1046.81</v>
      </c>
      <c r="AB144">
        <v>0</v>
      </c>
      <c r="AC144" s="49">
        <v>45174</v>
      </c>
      <c r="AD144" s="116" t="s">
        <v>10</v>
      </c>
      <c r="AE144" s="113" t="str" cm="1">
        <f t="array" ref="AE144">_xlfn.IFS(S144&lt;=Constantes!$G$2,"Muito Curta (evitável)",S144&lt;=Constantes!$H$2,"Curta Distância",S144&gt;Constantes!$H$2,"Longa Distância")</f>
        <v>Curta Distância</v>
      </c>
      <c r="AF144" s="114">
        <f>IFERROR(VLOOKUP(AE144,Constantes!$A$1:$E$5,MATCH(AD144,Constantes!$A$1:$E$1,0),0),"")</f>
        <v>0.18286935436241611</v>
      </c>
      <c r="AG144" s="115">
        <f t="shared" si="5"/>
        <v>302.50458093763228</v>
      </c>
    </row>
    <row r="145" spans="1:33" x14ac:dyDescent="0.3">
      <c r="A145">
        <f>COUNTIF($B$2:B145,B145)</f>
        <v>2</v>
      </c>
      <c r="B145">
        <v>19254506</v>
      </c>
      <c r="C145" t="s">
        <v>890</v>
      </c>
      <c r="D145" t="s">
        <v>208</v>
      </c>
      <c r="E145" t="s">
        <v>132</v>
      </c>
      <c r="F145" t="s">
        <v>198</v>
      </c>
      <c r="G145" t="s">
        <v>209</v>
      </c>
      <c r="H145" t="s">
        <v>200</v>
      </c>
      <c r="I145" s="49">
        <v>45180</v>
      </c>
      <c r="J145" s="49">
        <v>45184</v>
      </c>
      <c r="K145" t="s">
        <v>891</v>
      </c>
      <c r="L145" s="49">
        <v>45184</v>
      </c>
      <c r="M145" s="49">
        <v>45184</v>
      </c>
      <c r="N145" t="s">
        <v>110</v>
      </c>
      <c r="O145" t="s">
        <v>112</v>
      </c>
      <c r="P145">
        <f>VLOOKUP(N145,[1]ID_Cidades!$A$1:$E$5900,2,FALSE)</f>
        <v>295763</v>
      </c>
      <c r="Q145">
        <f>VLOOKUP(O145,[1]ID_Cidades!$A$1:$E$5900,2,FALSE)</f>
        <v>295766</v>
      </c>
      <c r="R145">
        <f t="shared" si="4"/>
        <v>87476639458</v>
      </c>
      <c r="S145" s="42">
        <f>VLOOKUP(R145,'[1]GCD base'!$A$1:$M$200,7,FALSE)</f>
        <v>1654.211456</v>
      </c>
      <c r="T145" t="s">
        <v>109</v>
      </c>
      <c r="U145" t="s">
        <v>201</v>
      </c>
      <c r="V145" t="s">
        <v>202</v>
      </c>
      <c r="W145" t="s">
        <v>210</v>
      </c>
      <c r="X145" t="s">
        <v>892</v>
      </c>
      <c r="Y145">
        <v>0</v>
      </c>
      <c r="Z145">
        <v>0</v>
      </c>
      <c r="AA145">
        <v>1424.64</v>
      </c>
      <c r="AB145">
        <v>0</v>
      </c>
      <c r="AC145" s="49">
        <v>45174</v>
      </c>
      <c r="AD145" s="116" t="s">
        <v>10</v>
      </c>
      <c r="AE145" s="113" t="str" cm="1">
        <f t="array" ref="AE145">_xlfn.IFS(S145&lt;=Constantes!$G$2,"Muito Curta (evitável)",S145&lt;=Constantes!$H$2,"Curta Distância",S145&gt;Constantes!$H$2,"Longa Distância")</f>
        <v>Curta Distância</v>
      </c>
      <c r="AF145" s="114">
        <f>IFERROR(VLOOKUP(AE145,Constantes!$A$1:$E$5,MATCH(AD145,Constantes!$A$1:$E$1,0),0),"")</f>
        <v>0.18286935436241611</v>
      </c>
      <c r="AG145" s="115">
        <f t="shared" si="5"/>
        <v>302.50458093763228</v>
      </c>
    </row>
    <row r="146" spans="1:33" x14ac:dyDescent="0.3">
      <c r="A146">
        <f>COUNTIF($B$2:B146,B146)</f>
        <v>1</v>
      </c>
      <c r="B146">
        <v>19238106</v>
      </c>
      <c r="C146" t="s">
        <v>798</v>
      </c>
      <c r="D146" t="s">
        <v>219</v>
      </c>
      <c r="E146" t="s">
        <v>113</v>
      </c>
      <c r="F146" t="s">
        <v>220</v>
      </c>
      <c r="G146" t="s">
        <v>215</v>
      </c>
      <c r="H146" t="s">
        <v>200</v>
      </c>
      <c r="I146" s="49">
        <v>45182</v>
      </c>
      <c r="J146" s="49">
        <v>45185</v>
      </c>
      <c r="K146" t="s">
        <v>799</v>
      </c>
      <c r="L146" s="49">
        <v>45182</v>
      </c>
      <c r="M146" s="49">
        <v>45184</v>
      </c>
      <c r="N146" t="s">
        <v>107</v>
      </c>
      <c r="O146" t="s">
        <v>110</v>
      </c>
      <c r="P146">
        <f>VLOOKUP(N146,[1]ID_Cidades!$A$1:$E$5900,2,FALSE)</f>
        <v>295765</v>
      </c>
      <c r="Q146">
        <f>VLOOKUP(O146,[1]ID_Cidades!$A$1:$E$5900,2,FALSE)</f>
        <v>295763</v>
      </c>
      <c r="R146">
        <f t="shared" si="4"/>
        <v>87476343695</v>
      </c>
      <c r="S146" s="42">
        <f>VLOOKUP(R146,'[1]GCD base'!$A$1:$M$200,7,FALSE)</f>
        <v>1713.419991</v>
      </c>
      <c r="T146" t="s">
        <v>109</v>
      </c>
      <c r="U146" t="s">
        <v>205</v>
      </c>
      <c r="V146" t="s">
        <v>202</v>
      </c>
      <c r="W146" t="s">
        <v>210</v>
      </c>
      <c r="X146" t="s">
        <v>800</v>
      </c>
      <c r="Y146">
        <v>1522.48</v>
      </c>
      <c r="Z146">
        <v>0</v>
      </c>
      <c r="AA146">
        <v>1605.49</v>
      </c>
      <c r="AB146">
        <v>0</v>
      </c>
      <c r="AC146" s="49">
        <v>45169</v>
      </c>
      <c r="AD146" s="116" t="s">
        <v>10</v>
      </c>
      <c r="AE146" s="113" t="str" cm="1">
        <f t="array" ref="AE146">_xlfn.IFS(S146&lt;=Constantes!$G$2,"Muito Curta (evitável)",S146&lt;=Constantes!$H$2,"Curta Distância",S146&gt;Constantes!$H$2,"Longa Distância")</f>
        <v>Curta Distância</v>
      </c>
      <c r="AF146" s="114">
        <f>IFERROR(VLOOKUP(AE146,Constantes!$A$1:$E$5,MATCH(AD146,Constantes!$A$1:$E$1,0),0),"")</f>
        <v>0.18286935436241611</v>
      </c>
      <c r="AG146" s="115">
        <f t="shared" si="5"/>
        <v>313.33200750582682</v>
      </c>
    </row>
    <row r="147" spans="1:33" x14ac:dyDescent="0.3">
      <c r="A147">
        <f>COUNTIF($B$2:B147,B147)</f>
        <v>2</v>
      </c>
      <c r="B147">
        <v>19238106</v>
      </c>
      <c r="C147" t="s">
        <v>798</v>
      </c>
      <c r="D147" t="s">
        <v>219</v>
      </c>
      <c r="E147" t="s">
        <v>113</v>
      </c>
      <c r="F147" t="s">
        <v>220</v>
      </c>
      <c r="G147" t="s">
        <v>215</v>
      </c>
      <c r="H147" t="s">
        <v>200</v>
      </c>
      <c r="I147" s="49">
        <v>45182</v>
      </c>
      <c r="J147" s="49">
        <v>45185</v>
      </c>
      <c r="K147" t="s">
        <v>799</v>
      </c>
      <c r="L147" s="49">
        <v>45184</v>
      </c>
      <c r="M147" s="49">
        <v>45185</v>
      </c>
      <c r="N147" t="s">
        <v>110</v>
      </c>
      <c r="O147" t="s">
        <v>107</v>
      </c>
      <c r="P147">
        <f>VLOOKUP(N147,[1]ID_Cidades!$A$1:$E$5900,2,FALSE)</f>
        <v>295763</v>
      </c>
      <c r="Q147">
        <f>VLOOKUP(O147,[1]ID_Cidades!$A$1:$E$5900,2,FALSE)</f>
        <v>295765</v>
      </c>
      <c r="R147">
        <f t="shared" si="4"/>
        <v>87476343695</v>
      </c>
      <c r="S147" s="42">
        <f>VLOOKUP(R147,'[1]GCD base'!$A$1:$M$200,7,FALSE)</f>
        <v>1713.419991</v>
      </c>
      <c r="T147" t="s">
        <v>109</v>
      </c>
      <c r="U147" t="s">
        <v>201</v>
      </c>
      <c r="V147" t="s">
        <v>202</v>
      </c>
      <c r="W147" t="s">
        <v>210</v>
      </c>
      <c r="X147" t="s">
        <v>800</v>
      </c>
      <c r="Y147">
        <v>0</v>
      </c>
      <c r="Z147">
        <v>0</v>
      </c>
      <c r="AA147">
        <v>1869.41</v>
      </c>
      <c r="AB147">
        <v>0</v>
      </c>
      <c r="AC147" s="49">
        <v>45169</v>
      </c>
      <c r="AD147" s="116" t="s">
        <v>10</v>
      </c>
      <c r="AE147" s="113" t="str" cm="1">
        <f t="array" ref="AE147">_xlfn.IFS(S147&lt;=Constantes!$G$2,"Muito Curta (evitável)",S147&lt;=Constantes!$H$2,"Curta Distância",S147&gt;Constantes!$H$2,"Longa Distância")</f>
        <v>Curta Distância</v>
      </c>
      <c r="AF147" s="114">
        <f>IFERROR(VLOOKUP(AE147,Constantes!$A$1:$E$5,MATCH(AD147,Constantes!$A$1:$E$1,0),0),"")</f>
        <v>0.18286935436241611</v>
      </c>
      <c r="AG147" s="115">
        <f t="shared" si="5"/>
        <v>313.33200750582682</v>
      </c>
    </row>
    <row r="148" spans="1:33" x14ac:dyDescent="0.3">
      <c r="A148">
        <f>COUNTIF($B$2:B148,B148)</f>
        <v>1</v>
      </c>
      <c r="B148">
        <v>19249701</v>
      </c>
      <c r="C148" t="s">
        <v>857</v>
      </c>
      <c r="D148" t="s">
        <v>858</v>
      </c>
      <c r="E148" t="s">
        <v>859</v>
      </c>
      <c r="F148" t="s">
        <v>198</v>
      </c>
      <c r="G148" t="s">
        <v>207</v>
      </c>
      <c r="H148" t="s">
        <v>204</v>
      </c>
      <c r="I148" s="49">
        <v>45182</v>
      </c>
      <c r="J148" s="49">
        <v>45186</v>
      </c>
      <c r="K148" t="s">
        <v>860</v>
      </c>
      <c r="L148" s="49">
        <v>45186</v>
      </c>
      <c r="M148" s="49">
        <v>45186</v>
      </c>
      <c r="N148" t="s">
        <v>110</v>
      </c>
      <c r="O148" t="s">
        <v>107</v>
      </c>
      <c r="P148">
        <f>VLOOKUP(N148,[1]ID_Cidades!$A$1:$E$5900,2,FALSE)</f>
        <v>295763</v>
      </c>
      <c r="Q148">
        <f>VLOOKUP(O148,[1]ID_Cidades!$A$1:$E$5900,2,FALSE)</f>
        <v>295765</v>
      </c>
      <c r="R148">
        <f t="shared" si="4"/>
        <v>87476343695</v>
      </c>
      <c r="S148" s="42">
        <f>VLOOKUP(R148,'[1]GCD base'!$A$1:$M$200,7,FALSE)</f>
        <v>1713.419991</v>
      </c>
      <c r="T148" t="s">
        <v>109</v>
      </c>
      <c r="U148" t="s">
        <v>201</v>
      </c>
      <c r="V148" t="s">
        <v>202</v>
      </c>
      <c r="W148" t="s">
        <v>210</v>
      </c>
      <c r="X148" t="s">
        <v>861</v>
      </c>
      <c r="Y148">
        <v>1715.12</v>
      </c>
      <c r="Z148">
        <v>0</v>
      </c>
      <c r="AA148">
        <v>1637.09</v>
      </c>
      <c r="AB148">
        <v>0</v>
      </c>
      <c r="AC148" s="49">
        <v>45173</v>
      </c>
      <c r="AD148" s="116" t="s">
        <v>10</v>
      </c>
      <c r="AE148" s="113" t="str" cm="1">
        <f t="array" ref="AE148">_xlfn.IFS(S148&lt;=Constantes!$G$2,"Muito Curta (evitável)",S148&lt;=Constantes!$H$2,"Curta Distância",S148&gt;Constantes!$H$2,"Longa Distância")</f>
        <v>Curta Distância</v>
      </c>
      <c r="AF148" s="114">
        <f>IFERROR(VLOOKUP(AE148,Constantes!$A$1:$E$5,MATCH(AD148,Constantes!$A$1:$E$1,0),0),"")</f>
        <v>0.18286935436241611</v>
      </c>
      <c r="AG148" s="115">
        <f t="shared" si="5"/>
        <v>313.33200750582682</v>
      </c>
    </row>
    <row r="149" spans="1:33" x14ac:dyDescent="0.3">
      <c r="A149">
        <f>COUNTIF($B$2:B149,B149)</f>
        <v>2</v>
      </c>
      <c r="B149">
        <v>19249701</v>
      </c>
      <c r="C149" t="s">
        <v>857</v>
      </c>
      <c r="D149" t="s">
        <v>858</v>
      </c>
      <c r="E149" t="s">
        <v>859</v>
      </c>
      <c r="F149" t="s">
        <v>198</v>
      </c>
      <c r="G149" t="s">
        <v>207</v>
      </c>
      <c r="H149" t="s">
        <v>204</v>
      </c>
      <c r="I149" s="49">
        <v>45182</v>
      </c>
      <c r="J149" s="49">
        <v>45186</v>
      </c>
      <c r="K149" t="s">
        <v>860</v>
      </c>
      <c r="L149" s="49">
        <v>45182</v>
      </c>
      <c r="M149" s="49">
        <v>45186</v>
      </c>
      <c r="N149" t="s">
        <v>107</v>
      </c>
      <c r="O149" t="s">
        <v>110</v>
      </c>
      <c r="P149">
        <f>VLOOKUP(N149,[1]ID_Cidades!$A$1:$E$5900,2,FALSE)</f>
        <v>295765</v>
      </c>
      <c r="Q149">
        <f>VLOOKUP(O149,[1]ID_Cidades!$A$1:$E$5900,2,FALSE)</f>
        <v>295763</v>
      </c>
      <c r="R149">
        <f t="shared" si="4"/>
        <v>87476343695</v>
      </c>
      <c r="S149" s="42">
        <f>VLOOKUP(R149,'[1]GCD base'!$A$1:$M$200,7,FALSE)</f>
        <v>1713.419991</v>
      </c>
      <c r="T149" t="s">
        <v>109</v>
      </c>
      <c r="U149" t="s">
        <v>205</v>
      </c>
      <c r="V149" t="s">
        <v>202</v>
      </c>
      <c r="W149" t="s">
        <v>210</v>
      </c>
      <c r="X149" t="s">
        <v>861</v>
      </c>
      <c r="Y149">
        <v>0</v>
      </c>
      <c r="Z149">
        <v>0</v>
      </c>
      <c r="AA149">
        <v>1327.61</v>
      </c>
      <c r="AB149">
        <v>0</v>
      </c>
      <c r="AC149" s="49">
        <v>45173</v>
      </c>
      <c r="AD149" s="116" t="s">
        <v>10</v>
      </c>
      <c r="AE149" s="113" t="str" cm="1">
        <f t="array" ref="AE149">_xlfn.IFS(S149&lt;=Constantes!$G$2,"Muito Curta (evitável)",S149&lt;=Constantes!$H$2,"Curta Distância",S149&gt;Constantes!$H$2,"Longa Distância")</f>
        <v>Curta Distância</v>
      </c>
      <c r="AF149" s="114">
        <f>IFERROR(VLOOKUP(AE149,Constantes!$A$1:$E$5,MATCH(AD149,Constantes!$A$1:$E$1,0),0),"")</f>
        <v>0.18286935436241611</v>
      </c>
      <c r="AG149" s="115">
        <f t="shared" si="5"/>
        <v>313.33200750582682</v>
      </c>
    </row>
    <row r="150" spans="1:33" x14ac:dyDescent="0.3">
      <c r="A150">
        <f>COUNTIF($B$2:B150,B150)</f>
        <v>1</v>
      </c>
      <c r="B150">
        <v>19112399</v>
      </c>
      <c r="C150" t="s">
        <v>454</v>
      </c>
      <c r="D150" t="s">
        <v>455</v>
      </c>
      <c r="E150" t="s">
        <v>456</v>
      </c>
      <c r="F150" t="s">
        <v>218</v>
      </c>
      <c r="G150" t="s">
        <v>207</v>
      </c>
      <c r="H150" t="s">
        <v>204</v>
      </c>
      <c r="I150" s="49">
        <v>45185</v>
      </c>
      <c r="J150" s="49">
        <v>45188</v>
      </c>
      <c r="K150" t="s">
        <v>457</v>
      </c>
      <c r="L150" s="49">
        <v>45185</v>
      </c>
      <c r="M150" s="49">
        <v>45188</v>
      </c>
      <c r="N150" t="s">
        <v>115</v>
      </c>
      <c r="O150" t="s">
        <v>107</v>
      </c>
      <c r="P150">
        <f>VLOOKUP(N150,[1]ID_Cidades!$A$1:$E$5900,2,FALSE)</f>
        <v>295770</v>
      </c>
      <c r="Q150">
        <f>VLOOKUP(O150,[1]ID_Cidades!$A$1:$E$5900,2,FALSE)</f>
        <v>295765</v>
      </c>
      <c r="R150">
        <f t="shared" si="4"/>
        <v>87478414050</v>
      </c>
      <c r="S150" s="42">
        <f>VLOOKUP(R150,'[1]GCD base'!$A$1:$M$200,7,FALSE)</f>
        <v>741.11941309999997</v>
      </c>
      <c r="T150" t="s">
        <v>109</v>
      </c>
      <c r="U150" t="s">
        <v>205</v>
      </c>
      <c r="V150" t="s">
        <v>202</v>
      </c>
      <c r="W150" t="s">
        <v>203</v>
      </c>
      <c r="X150" t="s">
        <v>204</v>
      </c>
      <c r="Y150">
        <v>0</v>
      </c>
      <c r="Z150">
        <v>0</v>
      </c>
      <c r="AA150">
        <v>942.96</v>
      </c>
      <c r="AB150">
        <v>0</v>
      </c>
      <c r="AC150" s="49">
        <v>45147</v>
      </c>
      <c r="AD150" s="116" t="s">
        <v>10</v>
      </c>
      <c r="AE150" s="113" t="str" cm="1">
        <f t="array" ref="AE150">_xlfn.IFS(S150&lt;=Constantes!$G$2,"Muito Curta (evitável)",S150&lt;=Constantes!$H$2,"Curta Distância",S150&gt;Constantes!$H$2,"Longa Distância")</f>
        <v>Curta Distância</v>
      </c>
      <c r="AF150" s="114">
        <f>IFERROR(VLOOKUP(AE150,Constantes!$A$1:$E$5,MATCH(AD150,Constantes!$A$1:$E$1,0),0),"")</f>
        <v>0.18286935436241611</v>
      </c>
      <c r="AG150" s="115">
        <f t="shared" si="5"/>
        <v>135.52802857904976</v>
      </c>
    </row>
    <row r="151" spans="1:33" x14ac:dyDescent="0.3">
      <c r="A151">
        <f>COUNTIF($B$2:B151,B151)</f>
        <v>2</v>
      </c>
      <c r="B151">
        <v>19112399</v>
      </c>
      <c r="C151" t="s">
        <v>454</v>
      </c>
      <c r="D151" t="s">
        <v>455</v>
      </c>
      <c r="E151" t="s">
        <v>456</v>
      </c>
      <c r="F151" t="s">
        <v>218</v>
      </c>
      <c r="G151" t="s">
        <v>207</v>
      </c>
      <c r="H151" t="s">
        <v>204</v>
      </c>
      <c r="I151" s="49">
        <v>45185</v>
      </c>
      <c r="J151" s="49">
        <v>45188</v>
      </c>
      <c r="K151" t="s">
        <v>457</v>
      </c>
      <c r="L151" s="49">
        <v>45188</v>
      </c>
      <c r="M151" s="49">
        <v>45188</v>
      </c>
      <c r="N151" t="s">
        <v>107</v>
      </c>
      <c r="O151" t="s">
        <v>117</v>
      </c>
      <c r="P151">
        <f>VLOOKUP(N151,[1]ID_Cidades!$A$1:$E$5900,2,FALSE)</f>
        <v>295765</v>
      </c>
      <c r="Q151">
        <f>VLOOKUP(O151,[1]ID_Cidades!$A$1:$E$5900,2,FALSE)</f>
        <v>295779</v>
      </c>
      <c r="R151">
        <f t="shared" si="4"/>
        <v>87481075935</v>
      </c>
      <c r="S151" s="42">
        <f>VLOOKUP(R151,'[1]GCD base'!$A$1:$M$200,7,FALSE)</f>
        <v>2189.9742419999998</v>
      </c>
      <c r="T151" t="s">
        <v>109</v>
      </c>
      <c r="U151" t="s">
        <v>201</v>
      </c>
      <c r="V151" t="s">
        <v>202</v>
      </c>
      <c r="W151" t="s">
        <v>203</v>
      </c>
      <c r="X151" t="s">
        <v>204</v>
      </c>
      <c r="Y151">
        <v>0</v>
      </c>
      <c r="Z151">
        <v>0</v>
      </c>
      <c r="AA151">
        <v>852.09</v>
      </c>
      <c r="AB151">
        <v>0</v>
      </c>
      <c r="AC151" s="49">
        <v>45147</v>
      </c>
      <c r="AD151" s="116" t="s">
        <v>10</v>
      </c>
      <c r="AE151" s="113" t="str" cm="1">
        <f t="array" ref="AE151">_xlfn.IFS(S151&lt;=Constantes!$G$2,"Muito Curta (evitável)",S151&lt;=Constantes!$H$2,"Curta Distância",S151&gt;Constantes!$H$2,"Longa Distância")</f>
        <v>Curta Distância</v>
      </c>
      <c r="AF151" s="114">
        <f>IFERROR(VLOOKUP(AE151,Constantes!$A$1:$E$5,MATCH(AD151,Constantes!$A$1:$E$1,0),0),"")</f>
        <v>0.18286935436241611</v>
      </c>
      <c r="AG151" s="115">
        <f t="shared" si="5"/>
        <v>400.47917570486158</v>
      </c>
    </row>
    <row r="152" spans="1:33" x14ac:dyDescent="0.3">
      <c r="A152">
        <f>COUNTIF($B$2:B152,B152)</f>
        <v>1</v>
      </c>
      <c r="B152">
        <v>19161758</v>
      </c>
      <c r="C152" t="s">
        <v>541</v>
      </c>
      <c r="D152" t="s">
        <v>218</v>
      </c>
      <c r="E152" t="s">
        <v>542</v>
      </c>
      <c r="F152" t="s">
        <v>198</v>
      </c>
      <c r="G152" t="s">
        <v>207</v>
      </c>
      <c r="H152" t="s">
        <v>204</v>
      </c>
      <c r="I152" s="49">
        <v>45186</v>
      </c>
      <c r="J152" s="49">
        <v>45192</v>
      </c>
      <c r="K152" t="s">
        <v>543</v>
      </c>
      <c r="L152" s="49">
        <v>45192</v>
      </c>
      <c r="M152" s="49">
        <v>45192</v>
      </c>
      <c r="N152" t="s">
        <v>126</v>
      </c>
      <c r="O152" t="s">
        <v>107</v>
      </c>
      <c r="P152">
        <f>VLOOKUP(N152,[1]ID_Cidades!$A$1:$E$5900,2,FALSE)</f>
        <v>303652</v>
      </c>
      <c r="Q152">
        <f>VLOOKUP(O152,[1]ID_Cidades!$A$1:$E$5900,2,FALSE)</f>
        <v>295765</v>
      </c>
      <c r="R152">
        <f t="shared" si="4"/>
        <v>89809633780</v>
      </c>
      <c r="S152" s="42">
        <f>VLOOKUP(R152,'[1]GCD base'!$A$1:$M$200,7,FALSE)</f>
        <v>2193.8649999999998</v>
      </c>
      <c r="T152" t="s">
        <v>109</v>
      </c>
      <c r="U152" t="s">
        <v>201</v>
      </c>
      <c r="V152" t="s">
        <v>202</v>
      </c>
      <c r="W152" t="s">
        <v>210</v>
      </c>
      <c r="X152" t="s">
        <v>544</v>
      </c>
      <c r="Y152">
        <v>1901.3</v>
      </c>
      <c r="Z152">
        <v>0</v>
      </c>
      <c r="AA152">
        <v>1640.09</v>
      </c>
      <c r="AB152">
        <v>0</v>
      </c>
      <c r="AC152" s="49">
        <v>45161</v>
      </c>
      <c r="AD152" s="116" t="s">
        <v>10</v>
      </c>
      <c r="AE152" s="113" t="str" cm="1">
        <f t="array" ref="AE152">_xlfn.IFS(S152&lt;=Constantes!$G$2,"Muito Curta (evitável)",S152&lt;=Constantes!$H$2,"Curta Distância",S152&gt;Constantes!$H$2,"Longa Distância")</f>
        <v>Curta Distância</v>
      </c>
      <c r="AF152" s="114">
        <f>IFERROR(VLOOKUP(AE152,Constantes!$A$1:$E$5,MATCH(AD152,Constantes!$A$1:$E$1,0),0),"")</f>
        <v>0.18286935436241611</v>
      </c>
      <c r="AG152" s="115">
        <f t="shared" si="5"/>
        <v>401.190676108302</v>
      </c>
    </row>
    <row r="153" spans="1:33" x14ac:dyDescent="0.3">
      <c r="A153">
        <f>COUNTIF($B$2:B153,B153)</f>
        <v>2</v>
      </c>
      <c r="B153">
        <v>19161758</v>
      </c>
      <c r="C153" t="s">
        <v>541</v>
      </c>
      <c r="D153" t="s">
        <v>218</v>
      </c>
      <c r="E153" t="s">
        <v>542</v>
      </c>
      <c r="F153" t="s">
        <v>198</v>
      </c>
      <c r="G153" t="s">
        <v>207</v>
      </c>
      <c r="H153" t="s">
        <v>204</v>
      </c>
      <c r="I153" s="49">
        <v>45186</v>
      </c>
      <c r="J153" s="49">
        <v>45192</v>
      </c>
      <c r="K153" t="s">
        <v>543</v>
      </c>
      <c r="L153" s="49">
        <v>45186</v>
      </c>
      <c r="M153" s="49">
        <v>45192</v>
      </c>
      <c r="N153" t="s">
        <v>107</v>
      </c>
      <c r="O153" t="s">
        <v>126</v>
      </c>
      <c r="P153">
        <f>VLOOKUP(N153,[1]ID_Cidades!$A$1:$E$5900,2,FALSE)</f>
        <v>295765</v>
      </c>
      <c r="Q153">
        <f>VLOOKUP(O153,[1]ID_Cidades!$A$1:$E$5900,2,FALSE)</f>
        <v>303652</v>
      </c>
      <c r="R153">
        <f t="shared" si="4"/>
        <v>89809633780</v>
      </c>
      <c r="S153" s="42">
        <f>VLOOKUP(R153,'[1]GCD base'!$A$1:$M$200,7,FALSE)</f>
        <v>2193.8649999999998</v>
      </c>
      <c r="T153" t="s">
        <v>109</v>
      </c>
      <c r="U153" t="s">
        <v>205</v>
      </c>
      <c r="V153" t="s">
        <v>202</v>
      </c>
      <c r="W153" t="s">
        <v>210</v>
      </c>
      <c r="X153" t="s">
        <v>544</v>
      </c>
      <c r="Y153">
        <v>0</v>
      </c>
      <c r="Z153">
        <v>0</v>
      </c>
      <c r="AA153">
        <v>1623.85</v>
      </c>
      <c r="AB153">
        <v>0</v>
      </c>
      <c r="AC153" s="49">
        <v>45161</v>
      </c>
      <c r="AD153" s="116" t="s">
        <v>10</v>
      </c>
      <c r="AE153" s="113" t="str" cm="1">
        <f t="array" ref="AE153">_xlfn.IFS(S153&lt;=Constantes!$G$2,"Muito Curta (evitável)",S153&lt;=Constantes!$H$2,"Curta Distância",S153&gt;Constantes!$H$2,"Longa Distância")</f>
        <v>Curta Distância</v>
      </c>
      <c r="AF153" s="114">
        <f>IFERROR(VLOOKUP(AE153,Constantes!$A$1:$E$5,MATCH(AD153,Constantes!$A$1:$E$1,0),0),"")</f>
        <v>0.18286935436241611</v>
      </c>
      <c r="AG153" s="115">
        <f t="shared" si="5"/>
        <v>401.190676108302</v>
      </c>
    </row>
    <row r="154" spans="1:33" x14ac:dyDescent="0.3">
      <c r="A154">
        <f>COUNTIF($B$2:B154,B154)</f>
        <v>1</v>
      </c>
      <c r="B154">
        <v>19161852</v>
      </c>
      <c r="C154" t="s">
        <v>545</v>
      </c>
      <c r="D154" t="s">
        <v>546</v>
      </c>
      <c r="E154" t="s">
        <v>547</v>
      </c>
      <c r="F154" t="s">
        <v>198</v>
      </c>
      <c r="G154" t="s">
        <v>207</v>
      </c>
      <c r="H154" t="s">
        <v>204</v>
      </c>
      <c r="I154" s="49">
        <v>45186</v>
      </c>
      <c r="J154" s="49">
        <v>45192</v>
      </c>
      <c r="K154" t="s">
        <v>548</v>
      </c>
      <c r="L154" s="49">
        <v>45192</v>
      </c>
      <c r="M154" s="49">
        <v>45192</v>
      </c>
      <c r="N154" t="s">
        <v>126</v>
      </c>
      <c r="O154" t="s">
        <v>107</v>
      </c>
      <c r="P154">
        <f>VLOOKUP(N154,[1]ID_Cidades!$A$1:$E$5900,2,FALSE)</f>
        <v>303652</v>
      </c>
      <c r="Q154">
        <f>VLOOKUP(O154,[1]ID_Cidades!$A$1:$E$5900,2,FALSE)</f>
        <v>295765</v>
      </c>
      <c r="R154">
        <f t="shared" si="4"/>
        <v>89809633780</v>
      </c>
      <c r="S154" s="42">
        <f>VLOOKUP(R154,'[1]GCD base'!$A$1:$M$200,7,FALSE)</f>
        <v>2193.8649999999998</v>
      </c>
      <c r="T154" t="s">
        <v>109</v>
      </c>
      <c r="U154" t="s">
        <v>201</v>
      </c>
      <c r="V154" t="s">
        <v>202</v>
      </c>
      <c r="W154" t="s">
        <v>210</v>
      </c>
      <c r="X154" t="s">
        <v>549</v>
      </c>
      <c r="Y154">
        <v>1824.4</v>
      </c>
      <c r="Z154">
        <v>0</v>
      </c>
      <c r="AA154">
        <v>1640.09</v>
      </c>
      <c r="AB154">
        <v>0</v>
      </c>
      <c r="AC154" s="49">
        <v>45161</v>
      </c>
      <c r="AD154" s="116" t="s">
        <v>10</v>
      </c>
      <c r="AE154" s="113" t="str" cm="1">
        <f t="array" ref="AE154">_xlfn.IFS(S154&lt;=Constantes!$G$2,"Muito Curta (evitável)",S154&lt;=Constantes!$H$2,"Curta Distância",S154&gt;Constantes!$H$2,"Longa Distância")</f>
        <v>Curta Distância</v>
      </c>
      <c r="AF154" s="114">
        <f>IFERROR(VLOOKUP(AE154,Constantes!$A$1:$E$5,MATCH(AD154,Constantes!$A$1:$E$1,0),0),"")</f>
        <v>0.18286935436241611</v>
      </c>
      <c r="AG154" s="115">
        <f t="shared" si="5"/>
        <v>401.190676108302</v>
      </c>
    </row>
    <row r="155" spans="1:33" x14ac:dyDescent="0.3">
      <c r="A155">
        <f>COUNTIF($B$2:B155,B155)</f>
        <v>2</v>
      </c>
      <c r="B155">
        <v>19161852</v>
      </c>
      <c r="C155" t="s">
        <v>545</v>
      </c>
      <c r="D155" t="s">
        <v>546</v>
      </c>
      <c r="E155" t="s">
        <v>547</v>
      </c>
      <c r="F155" t="s">
        <v>198</v>
      </c>
      <c r="G155" t="s">
        <v>207</v>
      </c>
      <c r="H155" t="s">
        <v>204</v>
      </c>
      <c r="I155" s="49">
        <v>45186</v>
      </c>
      <c r="J155" s="49">
        <v>45192</v>
      </c>
      <c r="K155" t="s">
        <v>548</v>
      </c>
      <c r="L155" s="49">
        <v>45186</v>
      </c>
      <c r="M155" s="49">
        <v>45192</v>
      </c>
      <c r="N155" t="s">
        <v>107</v>
      </c>
      <c r="O155" t="s">
        <v>126</v>
      </c>
      <c r="P155">
        <f>VLOOKUP(N155,[1]ID_Cidades!$A$1:$E$5900,2,FALSE)</f>
        <v>295765</v>
      </c>
      <c r="Q155">
        <f>VLOOKUP(O155,[1]ID_Cidades!$A$1:$E$5900,2,FALSE)</f>
        <v>303652</v>
      </c>
      <c r="R155">
        <f t="shared" si="4"/>
        <v>89809633780</v>
      </c>
      <c r="S155" s="42">
        <f>VLOOKUP(R155,'[1]GCD base'!$A$1:$M$200,7,FALSE)</f>
        <v>2193.8649999999998</v>
      </c>
      <c r="T155" t="s">
        <v>109</v>
      </c>
      <c r="U155" t="s">
        <v>205</v>
      </c>
      <c r="V155" t="s">
        <v>202</v>
      </c>
      <c r="W155" t="s">
        <v>210</v>
      </c>
      <c r="X155" t="s">
        <v>549</v>
      </c>
      <c r="Y155">
        <v>0</v>
      </c>
      <c r="Z155">
        <v>0</v>
      </c>
      <c r="AA155">
        <v>1623.85</v>
      </c>
      <c r="AB155">
        <v>0</v>
      </c>
      <c r="AC155" s="49">
        <v>45161</v>
      </c>
      <c r="AD155" s="116" t="s">
        <v>10</v>
      </c>
      <c r="AE155" s="113" t="str" cm="1">
        <f t="array" ref="AE155">_xlfn.IFS(S155&lt;=Constantes!$G$2,"Muito Curta (evitável)",S155&lt;=Constantes!$H$2,"Curta Distância",S155&gt;Constantes!$H$2,"Longa Distância")</f>
        <v>Curta Distância</v>
      </c>
      <c r="AF155" s="114">
        <f>IFERROR(VLOOKUP(AE155,Constantes!$A$1:$E$5,MATCH(AD155,Constantes!$A$1:$E$1,0),0),"")</f>
        <v>0.18286935436241611</v>
      </c>
      <c r="AG155" s="115">
        <f t="shared" si="5"/>
        <v>401.190676108302</v>
      </c>
    </row>
    <row r="156" spans="1:33" x14ac:dyDescent="0.3">
      <c r="A156">
        <f>COUNTIF($B$2:B156,B156)</f>
        <v>1</v>
      </c>
      <c r="B156">
        <v>19181658</v>
      </c>
      <c r="C156" t="s">
        <v>620</v>
      </c>
      <c r="D156" t="s">
        <v>621</v>
      </c>
      <c r="E156" t="s">
        <v>622</v>
      </c>
      <c r="F156" t="s">
        <v>198</v>
      </c>
      <c r="G156" t="s">
        <v>207</v>
      </c>
      <c r="H156" t="s">
        <v>204</v>
      </c>
      <c r="I156" s="49">
        <v>45186</v>
      </c>
      <c r="J156" s="49">
        <v>45190</v>
      </c>
      <c r="K156" t="s">
        <v>623</v>
      </c>
      <c r="L156" s="49">
        <v>45190</v>
      </c>
      <c r="M156" s="49">
        <v>45190</v>
      </c>
      <c r="N156" t="s">
        <v>122</v>
      </c>
      <c r="O156" t="s">
        <v>107</v>
      </c>
      <c r="P156">
        <f>VLOOKUP(N156,[1]ID_Cidades!$A$1:$E$5900,2,FALSE)</f>
        <v>295781</v>
      </c>
      <c r="Q156">
        <f>VLOOKUP(O156,[1]ID_Cidades!$A$1:$E$5900,2,FALSE)</f>
        <v>295765</v>
      </c>
      <c r="R156">
        <f t="shared" si="4"/>
        <v>87481667465</v>
      </c>
      <c r="S156" s="42">
        <f>VLOOKUP(R156,'[1]GCD base'!$A$1:$M$200,7,FALSE)</f>
        <v>2695.5823350000001</v>
      </c>
      <c r="T156" t="s">
        <v>109</v>
      </c>
      <c r="U156" t="s">
        <v>201</v>
      </c>
      <c r="V156" t="s">
        <v>202</v>
      </c>
      <c r="W156" t="s">
        <v>203</v>
      </c>
      <c r="X156" t="s">
        <v>204</v>
      </c>
      <c r="Y156">
        <v>1509.95</v>
      </c>
      <c r="Z156">
        <v>0</v>
      </c>
      <c r="AA156">
        <v>1031.07</v>
      </c>
      <c r="AB156">
        <v>0</v>
      </c>
      <c r="AC156" s="49">
        <v>45154</v>
      </c>
      <c r="AD156" s="116" t="s">
        <v>10</v>
      </c>
      <c r="AE156" s="113" t="str" cm="1">
        <f t="array" ref="AE156">_xlfn.IFS(S156&lt;=Constantes!$G$2,"Muito Curta (evitável)",S156&lt;=Constantes!$H$2,"Curta Distância",S156&gt;Constantes!$H$2,"Longa Distância")</f>
        <v>Curta Distância</v>
      </c>
      <c r="AF156" s="114">
        <f>IFERROR(VLOOKUP(AE156,Constantes!$A$1:$E$5,MATCH(AD156,Constantes!$A$1:$E$1,0),0),"")</f>
        <v>0.18286935436241611</v>
      </c>
      <c r="AG156" s="115">
        <f t="shared" si="5"/>
        <v>492.93940123218408</v>
      </c>
    </row>
    <row r="157" spans="1:33" x14ac:dyDescent="0.3">
      <c r="A157">
        <f>COUNTIF($B$2:B157,B157)</f>
        <v>2</v>
      </c>
      <c r="B157">
        <v>19181658</v>
      </c>
      <c r="C157" t="s">
        <v>620</v>
      </c>
      <c r="D157" t="s">
        <v>621</v>
      </c>
      <c r="E157" t="s">
        <v>622</v>
      </c>
      <c r="F157" t="s">
        <v>198</v>
      </c>
      <c r="G157" t="s">
        <v>207</v>
      </c>
      <c r="H157" t="s">
        <v>204</v>
      </c>
      <c r="I157" s="49">
        <v>45186</v>
      </c>
      <c r="J157" s="49">
        <v>45190</v>
      </c>
      <c r="K157" t="s">
        <v>623</v>
      </c>
      <c r="L157" s="49">
        <v>45186</v>
      </c>
      <c r="M157" s="49">
        <v>45190</v>
      </c>
      <c r="N157" t="s">
        <v>107</v>
      </c>
      <c r="O157" t="s">
        <v>122</v>
      </c>
      <c r="P157">
        <f>VLOOKUP(N157,[1]ID_Cidades!$A$1:$E$5900,2,FALSE)</f>
        <v>295765</v>
      </c>
      <c r="Q157">
        <f>VLOOKUP(O157,[1]ID_Cidades!$A$1:$E$5900,2,FALSE)</f>
        <v>295781</v>
      </c>
      <c r="R157">
        <f t="shared" si="4"/>
        <v>87481667465</v>
      </c>
      <c r="S157" s="42">
        <f>VLOOKUP(R157,'[1]GCD base'!$A$1:$M$200,7,FALSE)</f>
        <v>2695.5823350000001</v>
      </c>
      <c r="T157" t="s">
        <v>109</v>
      </c>
      <c r="U157" t="s">
        <v>205</v>
      </c>
      <c r="V157" t="s">
        <v>202</v>
      </c>
      <c r="W157" t="s">
        <v>203</v>
      </c>
      <c r="X157" t="s">
        <v>204</v>
      </c>
      <c r="Y157">
        <v>0</v>
      </c>
      <c r="Z157">
        <v>0</v>
      </c>
      <c r="AA157">
        <v>1412.79</v>
      </c>
      <c r="AB157">
        <v>0</v>
      </c>
      <c r="AC157" s="49">
        <v>45154</v>
      </c>
      <c r="AD157" s="116" t="s">
        <v>10</v>
      </c>
      <c r="AE157" s="113" t="str" cm="1">
        <f t="array" ref="AE157">_xlfn.IFS(S157&lt;=Constantes!$G$2,"Muito Curta (evitável)",S157&lt;=Constantes!$H$2,"Curta Distância",S157&gt;Constantes!$H$2,"Longa Distância")</f>
        <v>Curta Distância</v>
      </c>
      <c r="AF157" s="114">
        <f>IFERROR(VLOOKUP(AE157,Constantes!$A$1:$E$5,MATCH(AD157,Constantes!$A$1:$E$1,0),0),"")</f>
        <v>0.18286935436241611</v>
      </c>
      <c r="AG157" s="115">
        <f t="shared" si="5"/>
        <v>492.93940123218408</v>
      </c>
    </row>
    <row r="158" spans="1:33" x14ac:dyDescent="0.3">
      <c r="A158">
        <f>COUNTIF($B$2:B158,B158)</f>
        <v>1</v>
      </c>
      <c r="B158">
        <v>19190182</v>
      </c>
      <c r="C158" t="s">
        <v>658</v>
      </c>
      <c r="D158" t="s">
        <v>659</v>
      </c>
      <c r="E158" t="s">
        <v>660</v>
      </c>
      <c r="F158" t="s">
        <v>198</v>
      </c>
      <c r="G158" t="s">
        <v>233</v>
      </c>
      <c r="H158" t="s">
        <v>233</v>
      </c>
      <c r="I158" s="49">
        <v>45186</v>
      </c>
      <c r="J158" s="49">
        <v>45191</v>
      </c>
      <c r="K158" t="s">
        <v>661</v>
      </c>
      <c r="L158" s="49">
        <v>45191</v>
      </c>
      <c r="M158" s="49">
        <v>45191</v>
      </c>
      <c r="N158" t="s">
        <v>126</v>
      </c>
      <c r="O158" t="s">
        <v>107</v>
      </c>
      <c r="P158">
        <f>VLOOKUP(N158,[1]ID_Cidades!$A$1:$E$5900,2,FALSE)</f>
        <v>303652</v>
      </c>
      <c r="Q158">
        <f>VLOOKUP(O158,[1]ID_Cidades!$A$1:$E$5900,2,FALSE)</f>
        <v>295765</v>
      </c>
      <c r="R158">
        <f t="shared" si="4"/>
        <v>89809633780</v>
      </c>
      <c r="S158" s="42">
        <f>VLOOKUP(R158,'[1]GCD base'!$A$1:$M$200,7,FALSE)</f>
        <v>2193.8649999999998</v>
      </c>
      <c r="T158" t="s">
        <v>109</v>
      </c>
      <c r="U158" t="s">
        <v>201</v>
      </c>
      <c r="V158" t="s">
        <v>202</v>
      </c>
      <c r="W158" t="s">
        <v>203</v>
      </c>
      <c r="X158" t="s">
        <v>204</v>
      </c>
      <c r="Y158">
        <v>1600.4</v>
      </c>
      <c r="Z158">
        <v>0</v>
      </c>
      <c r="AA158">
        <v>1006.85</v>
      </c>
      <c r="AB158">
        <v>0</v>
      </c>
      <c r="AC158" s="49">
        <v>45160</v>
      </c>
      <c r="AD158" s="116" t="s">
        <v>10</v>
      </c>
      <c r="AE158" s="113" t="str" cm="1">
        <f t="array" ref="AE158">_xlfn.IFS(S158&lt;=Constantes!$G$2,"Muito Curta (evitável)",S158&lt;=Constantes!$H$2,"Curta Distância",S158&gt;Constantes!$H$2,"Longa Distância")</f>
        <v>Curta Distância</v>
      </c>
      <c r="AF158" s="114">
        <f>IFERROR(VLOOKUP(AE158,Constantes!$A$1:$E$5,MATCH(AD158,Constantes!$A$1:$E$1,0),0),"")</f>
        <v>0.18286935436241611</v>
      </c>
      <c r="AG158" s="115">
        <f t="shared" si="5"/>
        <v>401.190676108302</v>
      </c>
    </row>
    <row r="159" spans="1:33" x14ac:dyDescent="0.3">
      <c r="A159">
        <f>COUNTIF($B$2:B159,B159)</f>
        <v>2</v>
      </c>
      <c r="B159">
        <v>19190182</v>
      </c>
      <c r="C159" t="s">
        <v>658</v>
      </c>
      <c r="D159" t="s">
        <v>659</v>
      </c>
      <c r="E159" t="s">
        <v>660</v>
      </c>
      <c r="F159" t="s">
        <v>198</v>
      </c>
      <c r="G159" t="s">
        <v>233</v>
      </c>
      <c r="H159" t="s">
        <v>233</v>
      </c>
      <c r="I159" s="49">
        <v>45186</v>
      </c>
      <c r="J159" s="49">
        <v>45191</v>
      </c>
      <c r="K159" t="s">
        <v>661</v>
      </c>
      <c r="L159" s="49">
        <v>45186</v>
      </c>
      <c r="M159" s="49">
        <v>45191</v>
      </c>
      <c r="N159" t="s">
        <v>107</v>
      </c>
      <c r="O159" t="s">
        <v>126</v>
      </c>
      <c r="P159">
        <f>VLOOKUP(N159,[1]ID_Cidades!$A$1:$E$5900,2,FALSE)</f>
        <v>295765</v>
      </c>
      <c r="Q159">
        <f>VLOOKUP(O159,[1]ID_Cidades!$A$1:$E$5900,2,FALSE)</f>
        <v>303652</v>
      </c>
      <c r="R159">
        <f t="shared" si="4"/>
        <v>89809633780</v>
      </c>
      <c r="S159" s="42">
        <f>VLOOKUP(R159,'[1]GCD base'!$A$1:$M$200,7,FALSE)</f>
        <v>2193.8649999999998</v>
      </c>
      <c r="T159" t="s">
        <v>109</v>
      </c>
      <c r="U159" t="s">
        <v>205</v>
      </c>
      <c r="V159" t="s">
        <v>202</v>
      </c>
      <c r="W159" t="s">
        <v>203</v>
      </c>
      <c r="X159" t="s">
        <v>204</v>
      </c>
      <c r="Y159">
        <v>0</v>
      </c>
      <c r="Z159">
        <v>0</v>
      </c>
      <c r="AA159">
        <v>954.79</v>
      </c>
      <c r="AB159">
        <v>0</v>
      </c>
      <c r="AC159" s="49">
        <v>45160</v>
      </c>
      <c r="AD159" s="116" t="s">
        <v>10</v>
      </c>
      <c r="AE159" s="113" t="str" cm="1">
        <f t="array" ref="AE159">_xlfn.IFS(S159&lt;=Constantes!$G$2,"Muito Curta (evitável)",S159&lt;=Constantes!$H$2,"Curta Distância",S159&gt;Constantes!$H$2,"Longa Distância")</f>
        <v>Curta Distância</v>
      </c>
      <c r="AF159" s="114">
        <f>IFERROR(VLOOKUP(AE159,Constantes!$A$1:$E$5,MATCH(AD159,Constantes!$A$1:$E$1,0),0),"")</f>
        <v>0.18286935436241611</v>
      </c>
      <c r="AG159" s="115">
        <f t="shared" si="5"/>
        <v>401.190676108302</v>
      </c>
    </row>
    <row r="160" spans="1:33" x14ac:dyDescent="0.3">
      <c r="A160">
        <f>COUNTIF($B$2:B160,B160)</f>
        <v>1</v>
      </c>
      <c r="B160">
        <v>19190388</v>
      </c>
      <c r="C160" t="s">
        <v>664</v>
      </c>
      <c r="D160" t="s">
        <v>665</v>
      </c>
      <c r="E160" t="s">
        <v>666</v>
      </c>
      <c r="F160" t="s">
        <v>198</v>
      </c>
      <c r="G160" t="s">
        <v>207</v>
      </c>
      <c r="H160" t="s">
        <v>204</v>
      </c>
      <c r="I160" s="49">
        <v>45186</v>
      </c>
      <c r="J160" s="49">
        <v>45190</v>
      </c>
      <c r="K160" t="s">
        <v>667</v>
      </c>
      <c r="L160" s="49">
        <v>45190</v>
      </c>
      <c r="M160" s="49">
        <v>45190</v>
      </c>
      <c r="N160" t="s">
        <v>668</v>
      </c>
      <c r="O160" t="s">
        <v>107</v>
      </c>
      <c r="P160">
        <f>VLOOKUP(N160,[1]ID_Cidades!$A$1:$E$5900,2,FALSE)</f>
        <v>303112</v>
      </c>
      <c r="Q160">
        <f>VLOOKUP(O160,[1]ID_Cidades!$A$1:$E$5900,2,FALSE)</f>
        <v>295765</v>
      </c>
      <c r="R160">
        <f t="shared" si="4"/>
        <v>89649920680</v>
      </c>
      <c r="S160" s="42">
        <f>VLOOKUP(R160,'[1]GCD base'!$A$1:$M$200,7,FALSE)</f>
        <v>1863.8136219999999</v>
      </c>
      <c r="T160" t="s">
        <v>109</v>
      </c>
      <c r="U160" t="s">
        <v>201</v>
      </c>
      <c r="V160" t="s">
        <v>202</v>
      </c>
      <c r="W160" t="s">
        <v>203</v>
      </c>
      <c r="X160" t="s">
        <v>204</v>
      </c>
      <c r="Y160">
        <v>1329.41</v>
      </c>
      <c r="Z160">
        <v>0</v>
      </c>
      <c r="AA160">
        <v>1166.81</v>
      </c>
      <c r="AB160">
        <v>0</v>
      </c>
      <c r="AC160" s="49">
        <v>45160</v>
      </c>
      <c r="AD160" s="116" t="s">
        <v>10</v>
      </c>
      <c r="AE160" s="113" t="str" cm="1">
        <f t="array" ref="AE160">_xlfn.IFS(S160&lt;=Constantes!$G$2,"Muito Curta (evitável)",S160&lt;=Constantes!$H$2,"Curta Distância",S160&gt;Constantes!$H$2,"Longa Distância")</f>
        <v>Curta Distância</v>
      </c>
      <c r="AF160" s="114">
        <f>IFERROR(VLOOKUP(AE160,Constantes!$A$1:$E$5,MATCH(AD160,Constantes!$A$1:$E$1,0),0),"")</f>
        <v>0.18286935436241611</v>
      </c>
      <c r="AG160" s="115">
        <f t="shared" si="5"/>
        <v>340.83439370701626</v>
      </c>
    </row>
    <row r="161" spans="1:33" x14ac:dyDescent="0.3">
      <c r="A161">
        <f>COUNTIF($B$2:B161,B161)</f>
        <v>2</v>
      </c>
      <c r="B161">
        <v>19190388</v>
      </c>
      <c r="C161" t="s">
        <v>664</v>
      </c>
      <c r="D161" t="s">
        <v>665</v>
      </c>
      <c r="E161" t="s">
        <v>666</v>
      </c>
      <c r="F161" t="s">
        <v>198</v>
      </c>
      <c r="G161" t="s">
        <v>207</v>
      </c>
      <c r="H161" t="s">
        <v>204</v>
      </c>
      <c r="I161" s="49">
        <v>45186</v>
      </c>
      <c r="J161" s="49">
        <v>45190</v>
      </c>
      <c r="K161" t="s">
        <v>667</v>
      </c>
      <c r="L161" s="49">
        <v>45186</v>
      </c>
      <c r="M161" s="49">
        <v>45190</v>
      </c>
      <c r="N161" t="s">
        <v>107</v>
      </c>
      <c r="O161" t="s">
        <v>668</v>
      </c>
      <c r="P161">
        <f>VLOOKUP(N161,[1]ID_Cidades!$A$1:$E$5900,2,FALSE)</f>
        <v>295765</v>
      </c>
      <c r="Q161">
        <f>VLOOKUP(O161,[1]ID_Cidades!$A$1:$E$5900,2,FALSE)</f>
        <v>303112</v>
      </c>
      <c r="R161">
        <f t="shared" si="4"/>
        <v>89649920680</v>
      </c>
      <c r="S161" s="42">
        <f>VLOOKUP(R161,'[1]GCD base'!$A$1:$M$200,7,FALSE)</f>
        <v>1863.8136219999999</v>
      </c>
      <c r="T161" t="s">
        <v>109</v>
      </c>
      <c r="U161" t="s">
        <v>205</v>
      </c>
      <c r="V161" t="s">
        <v>202</v>
      </c>
      <c r="W161" t="s">
        <v>203</v>
      </c>
      <c r="X161" t="s">
        <v>204</v>
      </c>
      <c r="Y161">
        <v>0</v>
      </c>
      <c r="Z161">
        <v>0</v>
      </c>
      <c r="AA161">
        <v>1079.99</v>
      </c>
      <c r="AB161">
        <v>0</v>
      </c>
      <c r="AC161" s="49">
        <v>45160</v>
      </c>
      <c r="AD161" s="116" t="s">
        <v>10</v>
      </c>
      <c r="AE161" s="113" t="str" cm="1">
        <f t="array" ref="AE161">_xlfn.IFS(S161&lt;=Constantes!$G$2,"Muito Curta (evitável)",S161&lt;=Constantes!$H$2,"Curta Distância",S161&gt;Constantes!$H$2,"Longa Distância")</f>
        <v>Curta Distância</v>
      </c>
      <c r="AF161" s="114">
        <f>IFERROR(VLOOKUP(AE161,Constantes!$A$1:$E$5,MATCH(AD161,Constantes!$A$1:$E$1,0),0),"")</f>
        <v>0.18286935436241611</v>
      </c>
      <c r="AG161" s="115">
        <f t="shared" si="5"/>
        <v>340.83439370701626</v>
      </c>
    </row>
    <row r="162" spans="1:33" x14ac:dyDescent="0.3">
      <c r="A162">
        <f>COUNTIF($B$2:B162,B162)</f>
        <v>1</v>
      </c>
      <c r="B162">
        <v>19251876</v>
      </c>
      <c r="C162" t="s">
        <v>866</v>
      </c>
      <c r="D162" t="s">
        <v>224</v>
      </c>
      <c r="E162" t="s">
        <v>136</v>
      </c>
      <c r="F162" t="s">
        <v>198</v>
      </c>
      <c r="G162" t="s">
        <v>199</v>
      </c>
      <c r="H162" t="s">
        <v>200</v>
      </c>
      <c r="I162" s="49">
        <v>45186</v>
      </c>
      <c r="J162" s="49">
        <v>45189</v>
      </c>
      <c r="K162" t="s">
        <v>867</v>
      </c>
      <c r="L162" s="49">
        <v>45186</v>
      </c>
      <c r="M162" s="49">
        <v>45189</v>
      </c>
      <c r="N162" t="s">
        <v>107</v>
      </c>
      <c r="O162" t="s">
        <v>110</v>
      </c>
      <c r="P162">
        <f>VLOOKUP(N162,[1]ID_Cidades!$A$1:$E$5900,2,FALSE)</f>
        <v>295765</v>
      </c>
      <c r="Q162">
        <f>VLOOKUP(O162,[1]ID_Cidades!$A$1:$E$5900,2,FALSE)</f>
        <v>295763</v>
      </c>
      <c r="R162">
        <f t="shared" si="4"/>
        <v>87476343695</v>
      </c>
      <c r="S162" s="42">
        <f>VLOOKUP(R162,'[1]GCD base'!$A$1:$M$200,7,FALSE)</f>
        <v>1713.419991</v>
      </c>
      <c r="T162" t="s">
        <v>109</v>
      </c>
      <c r="U162" t="s">
        <v>205</v>
      </c>
      <c r="V162" t="s">
        <v>202</v>
      </c>
      <c r="W162" t="s">
        <v>210</v>
      </c>
      <c r="X162" t="s">
        <v>868</v>
      </c>
      <c r="Y162">
        <v>1522.48</v>
      </c>
      <c r="Z162">
        <v>0</v>
      </c>
      <c r="AA162">
        <v>2622.1</v>
      </c>
      <c r="AB162">
        <v>1418.9</v>
      </c>
      <c r="AC162" s="49">
        <v>45174</v>
      </c>
      <c r="AD162" s="116" t="s">
        <v>10</v>
      </c>
      <c r="AE162" s="113" t="str" cm="1">
        <f t="array" ref="AE162">_xlfn.IFS(S162&lt;=Constantes!$G$2,"Muito Curta (evitável)",S162&lt;=Constantes!$H$2,"Curta Distância",S162&gt;Constantes!$H$2,"Longa Distância")</f>
        <v>Curta Distância</v>
      </c>
      <c r="AF162" s="114">
        <f>IFERROR(VLOOKUP(AE162,Constantes!$A$1:$E$5,MATCH(AD162,Constantes!$A$1:$E$1,0),0),"")</f>
        <v>0.18286935436241611</v>
      </c>
      <c r="AG162" s="115">
        <f t="shared" si="5"/>
        <v>313.33200750582682</v>
      </c>
    </row>
    <row r="163" spans="1:33" x14ac:dyDescent="0.3">
      <c r="A163">
        <f>COUNTIF($B$2:B163,B163)</f>
        <v>2</v>
      </c>
      <c r="B163">
        <v>19251876</v>
      </c>
      <c r="C163" t="s">
        <v>866</v>
      </c>
      <c r="D163" t="s">
        <v>224</v>
      </c>
      <c r="E163" t="s">
        <v>136</v>
      </c>
      <c r="F163" t="s">
        <v>198</v>
      </c>
      <c r="G163" t="s">
        <v>199</v>
      </c>
      <c r="H163" t="s">
        <v>200</v>
      </c>
      <c r="I163" s="49">
        <v>45186</v>
      </c>
      <c r="J163" s="49">
        <v>45189</v>
      </c>
      <c r="K163" t="s">
        <v>867</v>
      </c>
      <c r="L163" s="49">
        <v>45189</v>
      </c>
      <c r="M163" s="49">
        <v>45189</v>
      </c>
      <c r="N163" t="s">
        <v>110</v>
      </c>
      <c r="O163" t="s">
        <v>107</v>
      </c>
      <c r="P163">
        <f>VLOOKUP(N163,[1]ID_Cidades!$A$1:$E$5900,2,FALSE)</f>
        <v>295763</v>
      </c>
      <c r="Q163">
        <f>VLOOKUP(O163,[1]ID_Cidades!$A$1:$E$5900,2,FALSE)</f>
        <v>295765</v>
      </c>
      <c r="R163">
        <f t="shared" si="4"/>
        <v>87476343695</v>
      </c>
      <c r="S163" s="42">
        <f>VLOOKUP(R163,'[1]GCD base'!$A$1:$M$200,7,FALSE)</f>
        <v>1713.419991</v>
      </c>
      <c r="T163" t="s">
        <v>109</v>
      </c>
      <c r="U163" t="s">
        <v>201</v>
      </c>
      <c r="V163" t="s">
        <v>202</v>
      </c>
      <c r="W163" t="s">
        <v>210</v>
      </c>
      <c r="X163" t="s">
        <v>868</v>
      </c>
      <c r="Y163">
        <v>0</v>
      </c>
      <c r="Z163">
        <v>0</v>
      </c>
      <c r="AA163">
        <v>0</v>
      </c>
      <c r="AB163">
        <v>0</v>
      </c>
      <c r="AC163">
        <v>0</v>
      </c>
      <c r="AD163" s="116" t="s">
        <v>10</v>
      </c>
      <c r="AE163" s="113" t="str" cm="1">
        <f t="array" ref="AE163">_xlfn.IFS(S163&lt;=Constantes!$G$2,"Muito Curta (evitável)",S163&lt;=Constantes!$H$2,"Curta Distância",S163&gt;Constantes!$H$2,"Longa Distância")</f>
        <v>Curta Distância</v>
      </c>
      <c r="AF163" s="114">
        <f>IFERROR(VLOOKUP(AE163,Constantes!$A$1:$E$5,MATCH(AD163,Constantes!$A$1:$E$1,0),0),"")</f>
        <v>0.18286935436241611</v>
      </c>
      <c r="AG163" s="115">
        <f t="shared" si="5"/>
        <v>313.33200750582682</v>
      </c>
    </row>
    <row r="164" spans="1:33" x14ac:dyDescent="0.3">
      <c r="A164">
        <f>COUNTIF($B$2:B164,B164)</f>
        <v>1</v>
      </c>
      <c r="B164">
        <v>19253523</v>
      </c>
      <c r="C164" t="s">
        <v>880</v>
      </c>
      <c r="D164" t="s">
        <v>881</v>
      </c>
      <c r="E164" t="s">
        <v>882</v>
      </c>
      <c r="F164" t="s">
        <v>198</v>
      </c>
      <c r="G164" t="s">
        <v>207</v>
      </c>
      <c r="H164" t="s">
        <v>204</v>
      </c>
      <c r="I164" s="49">
        <v>45186</v>
      </c>
      <c r="J164" s="49">
        <v>45192</v>
      </c>
      <c r="K164" t="s">
        <v>883</v>
      </c>
      <c r="L164" s="49">
        <v>45192</v>
      </c>
      <c r="M164" s="49">
        <v>45192</v>
      </c>
      <c r="N164" t="s">
        <v>107</v>
      </c>
      <c r="O164" t="s">
        <v>114</v>
      </c>
      <c r="P164">
        <f>VLOOKUP(N164,[1]ID_Cidades!$A$1:$E$5900,2,FALSE)</f>
        <v>295765</v>
      </c>
      <c r="Q164">
        <f>VLOOKUP(O164,[1]ID_Cidades!$A$1:$E$5900,2,FALSE)</f>
        <v>295777</v>
      </c>
      <c r="R164">
        <f t="shared" si="4"/>
        <v>87480484405</v>
      </c>
      <c r="S164" s="42">
        <f>VLOOKUP(R164,'[1]GCD base'!$A$1:$M$200,7,FALSE)</f>
        <v>1714.8365369999999</v>
      </c>
      <c r="T164" t="s">
        <v>109</v>
      </c>
      <c r="U164" t="s">
        <v>201</v>
      </c>
      <c r="V164" t="s">
        <v>202</v>
      </c>
      <c r="W164" t="s">
        <v>210</v>
      </c>
      <c r="X164" t="s">
        <v>884</v>
      </c>
      <c r="Y164">
        <v>95</v>
      </c>
      <c r="Z164">
        <v>0</v>
      </c>
      <c r="AA164">
        <v>1426.2</v>
      </c>
      <c r="AB164">
        <v>0</v>
      </c>
      <c r="AC164" s="49">
        <v>45175</v>
      </c>
      <c r="AD164" s="116" t="s">
        <v>10</v>
      </c>
      <c r="AE164" s="113" t="str" cm="1">
        <f t="array" ref="AE164">_xlfn.IFS(S164&lt;=Constantes!$G$2,"Muito Curta (evitável)",S164&lt;=Constantes!$H$2,"Curta Distância",S164&gt;Constantes!$H$2,"Longa Distância")</f>
        <v>Curta Distância</v>
      </c>
      <c r="AF164" s="114">
        <f>IFERROR(VLOOKUP(AE164,Constantes!$A$1:$E$5,MATCH(AD164,Constantes!$A$1:$E$1,0),0),"")</f>
        <v>0.18286935436241611</v>
      </c>
      <c r="AG164" s="115">
        <f t="shared" si="5"/>
        <v>313.59105035827145</v>
      </c>
    </row>
    <row r="165" spans="1:33" x14ac:dyDescent="0.3">
      <c r="A165">
        <f>COUNTIF($B$2:B165,B165)</f>
        <v>2</v>
      </c>
      <c r="B165">
        <v>19253523</v>
      </c>
      <c r="C165" t="s">
        <v>880</v>
      </c>
      <c r="D165" t="s">
        <v>881</v>
      </c>
      <c r="E165" t="s">
        <v>882</v>
      </c>
      <c r="F165" t="s">
        <v>198</v>
      </c>
      <c r="G165" t="s">
        <v>207</v>
      </c>
      <c r="H165" t="s">
        <v>204</v>
      </c>
      <c r="I165" s="49">
        <v>45186</v>
      </c>
      <c r="J165" s="49">
        <v>45192</v>
      </c>
      <c r="K165" t="s">
        <v>883</v>
      </c>
      <c r="L165" s="49">
        <v>45186</v>
      </c>
      <c r="M165" s="49">
        <v>45192</v>
      </c>
      <c r="N165" t="s">
        <v>114</v>
      </c>
      <c r="O165" t="s">
        <v>107</v>
      </c>
      <c r="P165">
        <f>VLOOKUP(N165,[1]ID_Cidades!$A$1:$E$5900,2,FALSE)</f>
        <v>295777</v>
      </c>
      <c r="Q165">
        <f>VLOOKUP(O165,[1]ID_Cidades!$A$1:$E$5900,2,FALSE)</f>
        <v>295765</v>
      </c>
      <c r="R165">
        <f t="shared" si="4"/>
        <v>87480484405</v>
      </c>
      <c r="S165" s="42">
        <f>VLOOKUP(R165,'[1]GCD base'!$A$1:$M$200,7,FALSE)</f>
        <v>1714.8365369999999</v>
      </c>
      <c r="T165" t="s">
        <v>109</v>
      </c>
      <c r="U165" t="s">
        <v>205</v>
      </c>
      <c r="V165" t="s">
        <v>202</v>
      </c>
      <c r="W165" t="s">
        <v>210</v>
      </c>
      <c r="X165" t="s">
        <v>884</v>
      </c>
      <c r="Y165">
        <v>0</v>
      </c>
      <c r="Z165">
        <v>0</v>
      </c>
      <c r="AA165">
        <v>1254.3900000000001</v>
      </c>
      <c r="AB165">
        <v>0</v>
      </c>
      <c r="AC165" s="49">
        <v>45175</v>
      </c>
      <c r="AD165" s="116" t="s">
        <v>10</v>
      </c>
      <c r="AE165" s="113" t="str" cm="1">
        <f t="array" ref="AE165">_xlfn.IFS(S165&lt;=Constantes!$G$2,"Muito Curta (evitável)",S165&lt;=Constantes!$H$2,"Curta Distância",S165&gt;Constantes!$H$2,"Longa Distância")</f>
        <v>Curta Distância</v>
      </c>
      <c r="AF165" s="114">
        <f>IFERROR(VLOOKUP(AE165,Constantes!$A$1:$E$5,MATCH(AD165,Constantes!$A$1:$E$1,0),0),"")</f>
        <v>0.18286935436241611</v>
      </c>
      <c r="AG165" s="115">
        <f t="shared" si="5"/>
        <v>313.59105035827145</v>
      </c>
    </row>
    <row r="166" spans="1:33" x14ac:dyDescent="0.3">
      <c r="A166">
        <f>COUNTIF($B$2:B166,B166)</f>
        <v>1</v>
      </c>
      <c r="B166">
        <v>19190127</v>
      </c>
      <c r="C166" t="s">
        <v>654</v>
      </c>
      <c r="D166" t="s">
        <v>655</v>
      </c>
      <c r="E166" t="s">
        <v>656</v>
      </c>
      <c r="F166" t="s">
        <v>198</v>
      </c>
      <c r="G166" t="s">
        <v>207</v>
      </c>
      <c r="H166" t="s">
        <v>204</v>
      </c>
      <c r="I166" s="49">
        <v>45187</v>
      </c>
      <c r="J166" s="49">
        <v>45192</v>
      </c>
      <c r="K166" t="s">
        <v>657</v>
      </c>
      <c r="L166" s="49">
        <v>45187</v>
      </c>
      <c r="M166" s="49">
        <v>45192</v>
      </c>
      <c r="N166" t="s">
        <v>107</v>
      </c>
      <c r="O166" t="s">
        <v>128</v>
      </c>
      <c r="P166">
        <f>VLOOKUP(N166,[1]ID_Cidades!$A$1:$E$5900,2,FALSE)</f>
        <v>295765</v>
      </c>
      <c r="Q166">
        <f>VLOOKUP(O166,[1]ID_Cidades!$A$1:$E$5900,2,FALSE)</f>
        <v>295771</v>
      </c>
      <c r="R166">
        <f t="shared" si="4"/>
        <v>87478709815</v>
      </c>
      <c r="S166" s="42">
        <f>VLOOKUP(R166,'[1]GCD base'!$A$1:$M$200,7,FALSE)</f>
        <v>1147.346953</v>
      </c>
      <c r="T166" t="s">
        <v>109</v>
      </c>
      <c r="U166" t="s">
        <v>205</v>
      </c>
      <c r="V166" t="s">
        <v>202</v>
      </c>
      <c r="W166" t="s">
        <v>203</v>
      </c>
      <c r="X166" t="s">
        <v>204</v>
      </c>
      <c r="Y166">
        <v>1821.06</v>
      </c>
      <c r="Z166">
        <v>0</v>
      </c>
      <c r="AA166">
        <v>1601.79</v>
      </c>
      <c r="AB166">
        <v>0</v>
      </c>
      <c r="AC166" s="49">
        <v>45155</v>
      </c>
      <c r="AD166" s="116" t="s">
        <v>10</v>
      </c>
      <c r="AE166" s="113" t="str" cm="1">
        <f t="array" ref="AE166">_xlfn.IFS(S166&lt;=Constantes!$G$2,"Muito Curta (evitável)",S166&lt;=Constantes!$H$2,"Curta Distância",S166&gt;Constantes!$H$2,"Longa Distância")</f>
        <v>Curta Distância</v>
      </c>
      <c r="AF166" s="114">
        <f>IFERROR(VLOOKUP(AE166,Constantes!$A$1:$E$5,MATCH(AD166,Constantes!$A$1:$E$1,0),0),"")</f>
        <v>0.18286935436241611</v>
      </c>
      <c r="AG166" s="115">
        <f t="shared" si="5"/>
        <v>209.81459652479538</v>
      </c>
    </row>
    <row r="167" spans="1:33" x14ac:dyDescent="0.3">
      <c r="A167">
        <f>COUNTIF($B$2:B167,B167)</f>
        <v>2</v>
      </c>
      <c r="B167">
        <v>19190127</v>
      </c>
      <c r="C167" t="s">
        <v>654</v>
      </c>
      <c r="D167" t="s">
        <v>655</v>
      </c>
      <c r="E167" t="s">
        <v>656</v>
      </c>
      <c r="F167" t="s">
        <v>198</v>
      </c>
      <c r="G167" t="s">
        <v>207</v>
      </c>
      <c r="H167" t="s">
        <v>204</v>
      </c>
      <c r="I167" s="49">
        <v>45187</v>
      </c>
      <c r="J167" s="49">
        <v>45192</v>
      </c>
      <c r="K167" t="s">
        <v>657</v>
      </c>
      <c r="L167" s="49">
        <v>45192</v>
      </c>
      <c r="M167" s="49">
        <v>45192</v>
      </c>
      <c r="N167" t="s">
        <v>128</v>
      </c>
      <c r="O167" t="s">
        <v>107</v>
      </c>
      <c r="P167">
        <f>VLOOKUP(N167,[1]ID_Cidades!$A$1:$E$5900,2,FALSE)</f>
        <v>295771</v>
      </c>
      <c r="Q167">
        <f>VLOOKUP(O167,[1]ID_Cidades!$A$1:$E$5900,2,FALSE)</f>
        <v>295765</v>
      </c>
      <c r="R167">
        <f t="shared" si="4"/>
        <v>87478709815</v>
      </c>
      <c r="S167" s="42">
        <f>VLOOKUP(R167,'[1]GCD base'!$A$1:$M$200,7,FALSE)</f>
        <v>1147.346953</v>
      </c>
      <c r="T167" t="s">
        <v>109</v>
      </c>
      <c r="U167" t="s">
        <v>201</v>
      </c>
      <c r="V167" t="s">
        <v>202</v>
      </c>
      <c r="W167" t="s">
        <v>203</v>
      </c>
      <c r="X167" t="s">
        <v>204</v>
      </c>
      <c r="Y167">
        <v>0</v>
      </c>
      <c r="Z167">
        <v>0</v>
      </c>
      <c r="AA167">
        <v>1060.29</v>
      </c>
      <c r="AB167">
        <v>0</v>
      </c>
      <c r="AC167" s="49">
        <v>45155</v>
      </c>
      <c r="AD167" s="116" t="s">
        <v>10</v>
      </c>
      <c r="AE167" s="113" t="str" cm="1">
        <f t="array" ref="AE167">_xlfn.IFS(S167&lt;=Constantes!$G$2,"Muito Curta (evitável)",S167&lt;=Constantes!$H$2,"Curta Distância",S167&gt;Constantes!$H$2,"Longa Distância")</f>
        <v>Curta Distância</v>
      </c>
      <c r="AF167" s="114">
        <f>IFERROR(VLOOKUP(AE167,Constantes!$A$1:$E$5,MATCH(AD167,Constantes!$A$1:$E$1,0),0),"")</f>
        <v>0.18286935436241611</v>
      </c>
      <c r="AG167" s="115">
        <f t="shared" si="5"/>
        <v>209.81459652479538</v>
      </c>
    </row>
    <row r="168" spans="1:33" x14ac:dyDescent="0.3">
      <c r="A168">
        <f>COUNTIF($B$2:B168,B168)</f>
        <v>1</v>
      </c>
      <c r="B168">
        <v>19199992</v>
      </c>
      <c r="C168" t="s">
        <v>680</v>
      </c>
      <c r="D168" t="s">
        <v>218</v>
      </c>
      <c r="E168" t="s">
        <v>681</v>
      </c>
      <c r="F168" t="s">
        <v>218</v>
      </c>
      <c r="G168" t="s">
        <v>207</v>
      </c>
      <c r="H168" t="s">
        <v>204</v>
      </c>
      <c r="I168" s="49">
        <v>45187</v>
      </c>
      <c r="J168" s="49">
        <v>45192</v>
      </c>
      <c r="K168" t="s">
        <v>682</v>
      </c>
      <c r="L168" s="49">
        <v>45191</v>
      </c>
      <c r="M168" s="49">
        <v>45192</v>
      </c>
      <c r="N168" t="s">
        <v>108</v>
      </c>
      <c r="O168" t="s">
        <v>107</v>
      </c>
      <c r="P168">
        <f>VLOOKUP(N168,[1]ID_Cidades!$A$1:$E$5900,2,FALSE)</f>
        <v>305719</v>
      </c>
      <c r="Q168">
        <f>VLOOKUP(O168,[1]ID_Cidades!$A$1:$E$5900,2,FALSE)</f>
        <v>295765</v>
      </c>
      <c r="R168">
        <f t="shared" si="4"/>
        <v>90420980035</v>
      </c>
      <c r="S168" s="42">
        <f>VLOOKUP(R168,'[1]GCD base'!$A$1:$M$200,7,FALSE)</f>
        <v>2917.0455609999999</v>
      </c>
      <c r="T168" t="s">
        <v>109</v>
      </c>
      <c r="U168" t="s">
        <v>201</v>
      </c>
      <c r="V168" t="s">
        <v>202</v>
      </c>
      <c r="W168" t="s">
        <v>203</v>
      </c>
      <c r="X168" t="s">
        <v>204</v>
      </c>
      <c r="Y168">
        <v>0</v>
      </c>
      <c r="Z168">
        <v>0</v>
      </c>
      <c r="AA168">
        <v>1409.45</v>
      </c>
      <c r="AB168">
        <v>0</v>
      </c>
      <c r="AC168" s="49">
        <v>45160</v>
      </c>
      <c r="AD168" s="116" t="s">
        <v>10</v>
      </c>
      <c r="AE168" s="113" t="str" cm="1">
        <f t="array" ref="AE168">_xlfn.IFS(S168&lt;=Constantes!$G$2,"Muito Curta (evitável)",S168&lt;=Constantes!$H$2,"Curta Distância",S168&gt;Constantes!$H$2,"Longa Distância")</f>
        <v>Curta Distância</v>
      </c>
      <c r="AF168" s="114">
        <f>IFERROR(VLOOKUP(AE168,Constantes!$A$1:$E$5,MATCH(AD168,Constantes!$A$1:$E$1,0),0),"")</f>
        <v>0.18286935436241611</v>
      </c>
      <c r="AG168" s="115">
        <f t="shared" si="5"/>
        <v>533.43823838582193</v>
      </c>
    </row>
    <row r="169" spans="1:33" x14ac:dyDescent="0.3">
      <c r="A169">
        <f>COUNTIF($B$2:B169,B169)</f>
        <v>2</v>
      </c>
      <c r="B169">
        <v>19199992</v>
      </c>
      <c r="C169" t="s">
        <v>680</v>
      </c>
      <c r="D169" t="s">
        <v>218</v>
      </c>
      <c r="E169" t="s">
        <v>681</v>
      </c>
      <c r="F169" t="s">
        <v>218</v>
      </c>
      <c r="G169" t="s">
        <v>207</v>
      </c>
      <c r="H169" t="s">
        <v>204</v>
      </c>
      <c r="I169" s="49">
        <v>45187</v>
      </c>
      <c r="J169" s="49">
        <v>45192</v>
      </c>
      <c r="K169" t="s">
        <v>682</v>
      </c>
      <c r="L169" s="49">
        <v>45187</v>
      </c>
      <c r="M169" s="49">
        <v>45191</v>
      </c>
      <c r="N169" t="s">
        <v>107</v>
      </c>
      <c r="O169" t="s">
        <v>108</v>
      </c>
      <c r="P169">
        <f>VLOOKUP(N169,[1]ID_Cidades!$A$1:$E$5900,2,FALSE)</f>
        <v>295765</v>
      </c>
      <c r="Q169">
        <f>VLOOKUP(O169,[1]ID_Cidades!$A$1:$E$5900,2,FALSE)</f>
        <v>305719</v>
      </c>
      <c r="R169">
        <f t="shared" si="4"/>
        <v>90420980035</v>
      </c>
      <c r="S169" s="42">
        <f>VLOOKUP(R169,'[1]GCD base'!$A$1:$M$200,7,FALSE)</f>
        <v>2917.0455609999999</v>
      </c>
      <c r="T169" t="s">
        <v>109</v>
      </c>
      <c r="U169" t="s">
        <v>205</v>
      </c>
      <c r="V169" t="s">
        <v>202</v>
      </c>
      <c r="W169" t="s">
        <v>203</v>
      </c>
      <c r="X169" t="s">
        <v>204</v>
      </c>
      <c r="Y169">
        <v>0</v>
      </c>
      <c r="Z169">
        <v>0</v>
      </c>
      <c r="AA169">
        <v>1410.89</v>
      </c>
      <c r="AB169">
        <v>0</v>
      </c>
      <c r="AC169" s="49">
        <v>45160</v>
      </c>
      <c r="AD169" s="116" t="s">
        <v>10</v>
      </c>
      <c r="AE169" s="113" t="str" cm="1">
        <f t="array" ref="AE169">_xlfn.IFS(S169&lt;=Constantes!$G$2,"Muito Curta (evitável)",S169&lt;=Constantes!$H$2,"Curta Distância",S169&gt;Constantes!$H$2,"Longa Distância")</f>
        <v>Curta Distância</v>
      </c>
      <c r="AF169" s="114">
        <f>IFERROR(VLOOKUP(AE169,Constantes!$A$1:$E$5,MATCH(AD169,Constantes!$A$1:$E$1,0),0),"")</f>
        <v>0.18286935436241611</v>
      </c>
      <c r="AG169" s="115">
        <f t="shared" si="5"/>
        <v>533.43823838582193</v>
      </c>
    </row>
    <row r="170" spans="1:33" x14ac:dyDescent="0.3">
      <c r="A170">
        <f>COUNTIF($B$2:B170,B170)</f>
        <v>1</v>
      </c>
      <c r="B170">
        <v>19252820</v>
      </c>
      <c r="C170" t="s">
        <v>869</v>
      </c>
      <c r="D170" t="s">
        <v>870</v>
      </c>
      <c r="E170" t="s">
        <v>871</v>
      </c>
      <c r="F170" t="s">
        <v>198</v>
      </c>
      <c r="G170" t="s">
        <v>207</v>
      </c>
      <c r="H170" t="s">
        <v>204</v>
      </c>
      <c r="I170" s="49">
        <v>45187</v>
      </c>
      <c r="J170" s="49">
        <v>45189</v>
      </c>
      <c r="K170" t="s">
        <v>872</v>
      </c>
      <c r="L170" s="49">
        <v>45187</v>
      </c>
      <c r="M170" s="49">
        <v>45189</v>
      </c>
      <c r="N170" t="s">
        <v>107</v>
      </c>
      <c r="O170" t="s">
        <v>116</v>
      </c>
      <c r="P170">
        <f>VLOOKUP(N170,[1]ID_Cidades!$A$1:$E$5900,2,FALSE)</f>
        <v>295765</v>
      </c>
      <c r="Q170">
        <f>VLOOKUP(O170,[1]ID_Cidades!$A$1:$E$5900,2,FALSE)</f>
        <v>295778</v>
      </c>
      <c r="R170">
        <f t="shared" si="4"/>
        <v>87480780170</v>
      </c>
      <c r="S170" s="42">
        <f>VLOOKUP(R170,'[1]GCD base'!$A$1:$M$200,7,FALSE)</f>
        <v>1961.5007860000001</v>
      </c>
      <c r="T170" t="s">
        <v>109</v>
      </c>
      <c r="U170" t="s">
        <v>205</v>
      </c>
      <c r="V170" t="s">
        <v>202</v>
      </c>
      <c r="W170" t="s">
        <v>210</v>
      </c>
      <c r="X170" t="s">
        <v>873</v>
      </c>
      <c r="Y170">
        <v>958.12</v>
      </c>
      <c r="Z170">
        <v>0</v>
      </c>
      <c r="AA170">
        <v>891.09</v>
      </c>
      <c r="AB170">
        <v>0</v>
      </c>
      <c r="AC170" s="49">
        <v>45174</v>
      </c>
      <c r="AD170" s="116" t="s">
        <v>10</v>
      </c>
      <c r="AE170" s="113" t="str" cm="1">
        <f t="array" ref="AE170">_xlfn.IFS(S170&lt;=Constantes!$G$2,"Muito Curta (evitável)",S170&lt;=Constantes!$H$2,"Curta Distância",S170&gt;Constantes!$H$2,"Longa Distância")</f>
        <v>Curta Distância</v>
      </c>
      <c r="AF170" s="114">
        <f>IFERROR(VLOOKUP(AE170,Constantes!$A$1:$E$5,MATCH(AD170,Constantes!$A$1:$E$1,0),0),"")</f>
        <v>0.18286935436241611</v>
      </c>
      <c r="AG170" s="115">
        <f t="shared" si="5"/>
        <v>358.69838231719172</v>
      </c>
    </row>
    <row r="171" spans="1:33" x14ac:dyDescent="0.3">
      <c r="A171">
        <f>COUNTIF($B$2:B171,B171)</f>
        <v>2</v>
      </c>
      <c r="B171">
        <v>19252820</v>
      </c>
      <c r="C171" t="s">
        <v>869</v>
      </c>
      <c r="D171" t="s">
        <v>870</v>
      </c>
      <c r="E171" t="s">
        <v>871</v>
      </c>
      <c r="F171" t="s">
        <v>198</v>
      </c>
      <c r="G171" t="s">
        <v>207</v>
      </c>
      <c r="H171" t="s">
        <v>204</v>
      </c>
      <c r="I171" s="49">
        <v>45187</v>
      </c>
      <c r="J171" s="49">
        <v>45189</v>
      </c>
      <c r="K171" t="s">
        <v>872</v>
      </c>
      <c r="L171" s="49">
        <v>45189</v>
      </c>
      <c r="M171" s="49">
        <v>45189</v>
      </c>
      <c r="N171" t="s">
        <v>116</v>
      </c>
      <c r="O171" t="s">
        <v>107</v>
      </c>
      <c r="P171">
        <f>VLOOKUP(N171,[1]ID_Cidades!$A$1:$E$5900,2,FALSE)</f>
        <v>295778</v>
      </c>
      <c r="Q171">
        <f>VLOOKUP(O171,[1]ID_Cidades!$A$1:$E$5900,2,FALSE)</f>
        <v>295765</v>
      </c>
      <c r="R171">
        <f t="shared" si="4"/>
        <v>87480780170</v>
      </c>
      <c r="S171" s="42">
        <f>VLOOKUP(R171,'[1]GCD base'!$A$1:$M$200,7,FALSE)</f>
        <v>1961.5007860000001</v>
      </c>
      <c r="T171" t="s">
        <v>109</v>
      </c>
      <c r="U171" t="s">
        <v>201</v>
      </c>
      <c r="V171" t="s">
        <v>202</v>
      </c>
      <c r="W171" t="s">
        <v>210</v>
      </c>
      <c r="X171" t="s">
        <v>873</v>
      </c>
      <c r="Y171">
        <v>0</v>
      </c>
      <c r="Z171">
        <v>0</v>
      </c>
      <c r="AA171">
        <v>887.8</v>
      </c>
      <c r="AB171">
        <v>0</v>
      </c>
      <c r="AC171" s="49">
        <v>45174</v>
      </c>
      <c r="AD171" s="116" t="s">
        <v>10</v>
      </c>
      <c r="AE171" s="113" t="str" cm="1">
        <f t="array" ref="AE171">_xlfn.IFS(S171&lt;=Constantes!$G$2,"Muito Curta (evitável)",S171&lt;=Constantes!$H$2,"Curta Distância",S171&gt;Constantes!$H$2,"Longa Distância")</f>
        <v>Curta Distância</v>
      </c>
      <c r="AF171" s="114">
        <f>IFERROR(VLOOKUP(AE171,Constantes!$A$1:$E$5,MATCH(AD171,Constantes!$A$1:$E$1,0),0),"")</f>
        <v>0.18286935436241611</v>
      </c>
      <c r="AG171" s="115">
        <f t="shared" si="5"/>
        <v>358.69838231719172</v>
      </c>
    </row>
    <row r="172" spans="1:33" x14ac:dyDescent="0.3">
      <c r="A172">
        <f>COUNTIF($B$2:B172,B172)</f>
        <v>1</v>
      </c>
      <c r="B172">
        <v>19122653</v>
      </c>
      <c r="C172" t="s">
        <v>468</v>
      </c>
      <c r="D172" t="s">
        <v>469</v>
      </c>
      <c r="E172" t="s">
        <v>470</v>
      </c>
      <c r="F172" t="s">
        <v>218</v>
      </c>
      <c r="G172" t="s">
        <v>207</v>
      </c>
      <c r="H172" t="s">
        <v>204</v>
      </c>
      <c r="I172" s="49">
        <v>45188</v>
      </c>
      <c r="J172" s="49">
        <v>45192</v>
      </c>
      <c r="K172" t="s">
        <v>471</v>
      </c>
      <c r="L172" s="49">
        <v>45188</v>
      </c>
      <c r="M172" s="49">
        <v>45192</v>
      </c>
      <c r="N172" t="s">
        <v>117</v>
      </c>
      <c r="O172" t="s">
        <v>107</v>
      </c>
      <c r="P172">
        <f>VLOOKUP(N172,[1]ID_Cidades!$A$1:$E$5900,2,FALSE)</f>
        <v>295779</v>
      </c>
      <c r="Q172">
        <f>VLOOKUP(O172,[1]ID_Cidades!$A$1:$E$5900,2,FALSE)</f>
        <v>295765</v>
      </c>
      <c r="R172">
        <f t="shared" si="4"/>
        <v>87481075935</v>
      </c>
      <c r="S172" s="42">
        <f>VLOOKUP(R172,'[1]GCD base'!$A$1:$M$200,7,FALSE)</f>
        <v>2189.9742419999998</v>
      </c>
      <c r="T172" t="s">
        <v>109</v>
      </c>
      <c r="U172" t="s">
        <v>205</v>
      </c>
      <c r="V172" t="s">
        <v>202</v>
      </c>
      <c r="W172" t="s">
        <v>203</v>
      </c>
      <c r="X172" t="s">
        <v>204</v>
      </c>
      <c r="Y172">
        <v>0</v>
      </c>
      <c r="Z172">
        <v>0</v>
      </c>
      <c r="AA172">
        <v>695.69</v>
      </c>
      <c r="AB172">
        <v>0</v>
      </c>
      <c r="AC172" s="49">
        <v>45133</v>
      </c>
      <c r="AD172" s="116" t="s">
        <v>10</v>
      </c>
      <c r="AE172" s="113" t="str" cm="1">
        <f t="array" ref="AE172">_xlfn.IFS(S172&lt;=Constantes!$G$2,"Muito Curta (evitável)",S172&lt;=Constantes!$H$2,"Curta Distância",S172&gt;Constantes!$H$2,"Longa Distância")</f>
        <v>Curta Distância</v>
      </c>
      <c r="AF172" s="114">
        <f>IFERROR(VLOOKUP(AE172,Constantes!$A$1:$E$5,MATCH(AD172,Constantes!$A$1:$E$1,0),0),"")</f>
        <v>0.18286935436241611</v>
      </c>
      <c r="AG172" s="115">
        <f t="shared" si="5"/>
        <v>400.47917570486158</v>
      </c>
    </row>
    <row r="173" spans="1:33" x14ac:dyDescent="0.3">
      <c r="A173">
        <f>COUNTIF($B$2:B173,B173)</f>
        <v>2</v>
      </c>
      <c r="B173">
        <v>19122653</v>
      </c>
      <c r="C173" t="s">
        <v>468</v>
      </c>
      <c r="D173" t="s">
        <v>469</v>
      </c>
      <c r="E173" t="s">
        <v>470</v>
      </c>
      <c r="F173" t="s">
        <v>218</v>
      </c>
      <c r="G173" t="s">
        <v>207</v>
      </c>
      <c r="H173" t="s">
        <v>204</v>
      </c>
      <c r="I173" s="49">
        <v>45188</v>
      </c>
      <c r="J173" s="49">
        <v>45192</v>
      </c>
      <c r="K173" t="s">
        <v>471</v>
      </c>
      <c r="L173" s="49">
        <v>45192</v>
      </c>
      <c r="M173" s="49">
        <v>45192</v>
      </c>
      <c r="N173" t="s">
        <v>107</v>
      </c>
      <c r="O173" t="s">
        <v>117</v>
      </c>
      <c r="P173">
        <f>VLOOKUP(N173,[1]ID_Cidades!$A$1:$E$5900,2,FALSE)</f>
        <v>295765</v>
      </c>
      <c r="Q173">
        <f>VLOOKUP(O173,[1]ID_Cidades!$A$1:$E$5900,2,FALSE)</f>
        <v>295779</v>
      </c>
      <c r="R173">
        <f t="shared" si="4"/>
        <v>87481075935</v>
      </c>
      <c r="S173" s="42">
        <f>VLOOKUP(R173,'[1]GCD base'!$A$1:$M$200,7,FALSE)</f>
        <v>2189.9742419999998</v>
      </c>
      <c r="T173" t="s">
        <v>109</v>
      </c>
      <c r="U173" t="s">
        <v>201</v>
      </c>
      <c r="V173" t="s">
        <v>202</v>
      </c>
      <c r="W173" t="s">
        <v>203</v>
      </c>
      <c r="X173" t="s">
        <v>204</v>
      </c>
      <c r="Y173">
        <v>0</v>
      </c>
      <c r="Z173">
        <v>0</v>
      </c>
      <c r="AA173">
        <v>902.55</v>
      </c>
      <c r="AB173">
        <v>0</v>
      </c>
      <c r="AC173" s="49">
        <v>45133</v>
      </c>
      <c r="AD173" s="116" t="s">
        <v>10</v>
      </c>
      <c r="AE173" s="113" t="str" cm="1">
        <f t="array" ref="AE173">_xlfn.IFS(S173&lt;=Constantes!$G$2,"Muito Curta (evitável)",S173&lt;=Constantes!$H$2,"Curta Distância",S173&gt;Constantes!$H$2,"Longa Distância")</f>
        <v>Curta Distância</v>
      </c>
      <c r="AF173" s="114">
        <f>IFERROR(VLOOKUP(AE173,Constantes!$A$1:$E$5,MATCH(AD173,Constantes!$A$1:$E$1,0),0),"")</f>
        <v>0.18286935436241611</v>
      </c>
      <c r="AG173" s="115">
        <f t="shared" si="5"/>
        <v>400.47917570486158</v>
      </c>
    </row>
    <row r="174" spans="1:33" x14ac:dyDescent="0.3">
      <c r="A174">
        <f>COUNTIF($B$2:B174,B174)</f>
        <v>1</v>
      </c>
      <c r="B174">
        <v>19198027</v>
      </c>
      <c r="C174" t="s">
        <v>676</v>
      </c>
      <c r="D174" t="s">
        <v>677</v>
      </c>
      <c r="E174" t="s">
        <v>678</v>
      </c>
      <c r="F174" t="s">
        <v>198</v>
      </c>
      <c r="G174" t="s">
        <v>207</v>
      </c>
      <c r="H174" t="s">
        <v>204</v>
      </c>
      <c r="I174" s="49">
        <v>45188</v>
      </c>
      <c r="J174" s="49">
        <v>45192</v>
      </c>
      <c r="K174" t="s">
        <v>679</v>
      </c>
      <c r="L174" s="49">
        <v>45192</v>
      </c>
      <c r="M174" s="49">
        <v>45192</v>
      </c>
      <c r="N174" t="s">
        <v>115</v>
      </c>
      <c r="O174" t="s">
        <v>107</v>
      </c>
      <c r="P174">
        <f>VLOOKUP(N174,[1]ID_Cidades!$A$1:$E$5900,2,FALSE)</f>
        <v>295770</v>
      </c>
      <c r="Q174">
        <f>VLOOKUP(O174,[1]ID_Cidades!$A$1:$E$5900,2,FALSE)</f>
        <v>295765</v>
      </c>
      <c r="R174">
        <f t="shared" si="4"/>
        <v>87478414050</v>
      </c>
      <c r="S174" s="42">
        <f>VLOOKUP(R174,'[1]GCD base'!$A$1:$M$200,7,FALSE)</f>
        <v>741.11941309999997</v>
      </c>
      <c r="T174" t="s">
        <v>109</v>
      </c>
      <c r="U174" t="s">
        <v>201</v>
      </c>
      <c r="V174" t="s">
        <v>202</v>
      </c>
      <c r="W174" t="s">
        <v>203</v>
      </c>
      <c r="X174" t="s">
        <v>204</v>
      </c>
      <c r="Y174">
        <v>1509.95</v>
      </c>
      <c r="Z174">
        <v>0</v>
      </c>
      <c r="AA174">
        <v>534.59</v>
      </c>
      <c r="AB174">
        <v>0</v>
      </c>
      <c r="AC174" s="49">
        <v>45156</v>
      </c>
      <c r="AD174" s="116" t="s">
        <v>10</v>
      </c>
      <c r="AE174" s="113" t="str" cm="1">
        <f t="array" ref="AE174">_xlfn.IFS(S174&lt;=Constantes!$G$2,"Muito Curta (evitável)",S174&lt;=Constantes!$H$2,"Curta Distância",S174&gt;Constantes!$H$2,"Longa Distância")</f>
        <v>Curta Distância</v>
      </c>
      <c r="AF174" s="114">
        <f>IFERROR(VLOOKUP(AE174,Constantes!$A$1:$E$5,MATCH(AD174,Constantes!$A$1:$E$1,0),0),"")</f>
        <v>0.18286935436241611</v>
      </c>
      <c r="AG174" s="115">
        <f t="shared" si="5"/>
        <v>135.52802857904976</v>
      </c>
    </row>
    <row r="175" spans="1:33" x14ac:dyDescent="0.3">
      <c r="A175">
        <f>COUNTIF($B$2:B175,B175)</f>
        <v>2</v>
      </c>
      <c r="B175">
        <v>19198027</v>
      </c>
      <c r="C175" t="s">
        <v>676</v>
      </c>
      <c r="D175" t="s">
        <v>677</v>
      </c>
      <c r="E175" t="s">
        <v>678</v>
      </c>
      <c r="F175" t="s">
        <v>198</v>
      </c>
      <c r="G175" t="s">
        <v>207</v>
      </c>
      <c r="H175" t="s">
        <v>204</v>
      </c>
      <c r="I175" s="49">
        <v>45188</v>
      </c>
      <c r="J175" s="49">
        <v>45192</v>
      </c>
      <c r="K175" t="s">
        <v>679</v>
      </c>
      <c r="L175" s="49">
        <v>45188</v>
      </c>
      <c r="M175" s="49">
        <v>45192</v>
      </c>
      <c r="N175" t="s">
        <v>107</v>
      </c>
      <c r="O175" t="s">
        <v>115</v>
      </c>
      <c r="P175">
        <f>VLOOKUP(N175,[1]ID_Cidades!$A$1:$E$5900,2,FALSE)</f>
        <v>295765</v>
      </c>
      <c r="Q175">
        <f>VLOOKUP(O175,[1]ID_Cidades!$A$1:$E$5900,2,FALSE)</f>
        <v>295770</v>
      </c>
      <c r="R175">
        <f t="shared" si="4"/>
        <v>87478414050</v>
      </c>
      <c r="S175" s="42">
        <f>VLOOKUP(R175,'[1]GCD base'!$A$1:$M$200,7,FALSE)</f>
        <v>741.11941309999997</v>
      </c>
      <c r="T175" t="s">
        <v>109</v>
      </c>
      <c r="U175" t="s">
        <v>205</v>
      </c>
      <c r="V175" t="s">
        <v>202</v>
      </c>
      <c r="W175" t="s">
        <v>203</v>
      </c>
      <c r="X175" t="s">
        <v>204</v>
      </c>
      <c r="Y175">
        <v>0</v>
      </c>
      <c r="Z175">
        <v>0</v>
      </c>
      <c r="AA175">
        <v>529.96</v>
      </c>
      <c r="AB175">
        <v>0</v>
      </c>
      <c r="AC175" s="49">
        <v>45156</v>
      </c>
      <c r="AD175" s="116" t="s">
        <v>10</v>
      </c>
      <c r="AE175" s="113" t="str" cm="1">
        <f t="array" ref="AE175">_xlfn.IFS(S175&lt;=Constantes!$G$2,"Muito Curta (evitável)",S175&lt;=Constantes!$H$2,"Curta Distância",S175&gt;Constantes!$H$2,"Longa Distância")</f>
        <v>Curta Distância</v>
      </c>
      <c r="AF175" s="114">
        <f>IFERROR(VLOOKUP(AE175,Constantes!$A$1:$E$5,MATCH(AD175,Constantes!$A$1:$E$1,0),0),"")</f>
        <v>0.18286935436241611</v>
      </c>
      <c r="AG175" s="115">
        <f t="shared" si="5"/>
        <v>135.52802857904976</v>
      </c>
    </row>
    <row r="176" spans="1:33" x14ac:dyDescent="0.3">
      <c r="A176">
        <f>COUNTIF($B$2:B176,B176)</f>
        <v>1</v>
      </c>
      <c r="B176">
        <v>19245207</v>
      </c>
      <c r="C176" t="s">
        <v>828</v>
      </c>
      <c r="D176" t="s">
        <v>829</v>
      </c>
      <c r="E176" t="s">
        <v>830</v>
      </c>
      <c r="F176" t="s">
        <v>198</v>
      </c>
      <c r="G176" t="s">
        <v>233</v>
      </c>
      <c r="H176" t="s">
        <v>233</v>
      </c>
      <c r="I176" s="49">
        <v>45188</v>
      </c>
      <c r="J176" s="49">
        <v>45192</v>
      </c>
      <c r="K176" t="s">
        <v>831</v>
      </c>
      <c r="L176" s="49">
        <v>45192</v>
      </c>
      <c r="M176" s="49">
        <v>45192</v>
      </c>
      <c r="N176" t="s">
        <v>117</v>
      </c>
      <c r="O176" t="s">
        <v>112</v>
      </c>
      <c r="P176">
        <f>VLOOKUP(N176,[1]ID_Cidades!$A$1:$E$5900,2,FALSE)</f>
        <v>295779</v>
      </c>
      <c r="Q176">
        <f>VLOOKUP(O176,[1]ID_Cidades!$A$1:$E$5900,2,FALSE)</f>
        <v>295766</v>
      </c>
      <c r="R176">
        <f t="shared" si="4"/>
        <v>87481371714</v>
      </c>
      <c r="S176" s="42">
        <f>VLOOKUP(R176,'[1]GCD base'!$A$1:$M$200,7,FALSE)</f>
        <v>2100.4987289999999</v>
      </c>
      <c r="T176" t="s">
        <v>109</v>
      </c>
      <c r="U176" t="s">
        <v>201</v>
      </c>
      <c r="V176" t="s">
        <v>202</v>
      </c>
      <c r="W176" t="s">
        <v>210</v>
      </c>
      <c r="X176" t="s">
        <v>832</v>
      </c>
      <c r="Y176">
        <v>1298.25</v>
      </c>
      <c r="Z176">
        <v>0</v>
      </c>
      <c r="AA176">
        <v>1537.44</v>
      </c>
      <c r="AB176">
        <v>0</v>
      </c>
      <c r="AC176" s="49">
        <v>45187</v>
      </c>
      <c r="AD176" s="116" t="s">
        <v>10</v>
      </c>
      <c r="AE176" s="113" t="str" cm="1">
        <f t="array" ref="AE176">_xlfn.IFS(S176&lt;=Constantes!$G$2,"Muito Curta (evitável)",S176&lt;=Constantes!$H$2,"Curta Distância",S176&gt;Constantes!$H$2,"Longa Distância")</f>
        <v>Curta Distância</v>
      </c>
      <c r="AF176" s="114">
        <f>IFERROR(VLOOKUP(AE176,Constantes!$A$1:$E$5,MATCH(AD176,Constantes!$A$1:$E$1,0),0),"")</f>
        <v>0.18286935436241611</v>
      </c>
      <c r="AG176" s="115">
        <f t="shared" si="5"/>
        <v>384.11684641130563</v>
      </c>
    </row>
    <row r="177" spans="1:33" x14ac:dyDescent="0.3">
      <c r="A177">
        <f>COUNTIF($B$2:B177,B177)</f>
        <v>2</v>
      </c>
      <c r="B177">
        <v>19245207</v>
      </c>
      <c r="C177" t="s">
        <v>828</v>
      </c>
      <c r="D177" t="s">
        <v>829</v>
      </c>
      <c r="E177" t="s">
        <v>830</v>
      </c>
      <c r="F177" t="s">
        <v>198</v>
      </c>
      <c r="G177" t="s">
        <v>233</v>
      </c>
      <c r="H177" t="s">
        <v>233</v>
      </c>
      <c r="I177" s="49">
        <v>45188</v>
      </c>
      <c r="J177" s="49">
        <v>45192</v>
      </c>
      <c r="K177" t="s">
        <v>831</v>
      </c>
      <c r="L177" s="49">
        <v>45188</v>
      </c>
      <c r="M177" s="49">
        <v>45188</v>
      </c>
      <c r="N177" t="s">
        <v>112</v>
      </c>
      <c r="O177" t="s">
        <v>117</v>
      </c>
      <c r="P177">
        <f>VLOOKUP(N177,[1]ID_Cidades!$A$1:$E$5900,2,FALSE)</f>
        <v>295766</v>
      </c>
      <c r="Q177">
        <f>VLOOKUP(O177,[1]ID_Cidades!$A$1:$E$5900,2,FALSE)</f>
        <v>295779</v>
      </c>
      <c r="R177">
        <f t="shared" si="4"/>
        <v>87481371714</v>
      </c>
      <c r="S177" s="42">
        <f>VLOOKUP(R177,'[1]GCD base'!$A$1:$M$200,7,FALSE)</f>
        <v>2100.4987289999999</v>
      </c>
      <c r="T177" t="s">
        <v>109</v>
      </c>
      <c r="U177" t="s">
        <v>201</v>
      </c>
      <c r="V177" t="s">
        <v>202</v>
      </c>
      <c r="W177" t="s">
        <v>210</v>
      </c>
      <c r="X177" t="s">
        <v>832</v>
      </c>
      <c r="Y177">
        <v>0</v>
      </c>
      <c r="Z177">
        <v>0</v>
      </c>
      <c r="AA177">
        <v>1436.53</v>
      </c>
      <c r="AB177">
        <v>0</v>
      </c>
      <c r="AC177" s="49">
        <v>45187</v>
      </c>
      <c r="AD177" s="116" t="s">
        <v>10</v>
      </c>
      <c r="AE177" s="113" t="str" cm="1">
        <f t="array" ref="AE177">_xlfn.IFS(S177&lt;=Constantes!$G$2,"Muito Curta (evitável)",S177&lt;=Constantes!$H$2,"Curta Distância",S177&gt;Constantes!$H$2,"Longa Distância")</f>
        <v>Curta Distância</v>
      </c>
      <c r="AF177" s="114">
        <f>IFERROR(VLOOKUP(AE177,Constantes!$A$1:$E$5,MATCH(AD177,Constantes!$A$1:$E$1,0),0),"")</f>
        <v>0.18286935436241611</v>
      </c>
      <c r="AG177" s="115">
        <f t="shared" si="5"/>
        <v>384.11684641130563</v>
      </c>
    </row>
    <row r="178" spans="1:33" x14ac:dyDescent="0.3">
      <c r="A178">
        <f>COUNTIF($B$2:B178,B178)</f>
        <v>1</v>
      </c>
      <c r="B178">
        <v>19278767</v>
      </c>
      <c r="C178" t="s">
        <v>960</v>
      </c>
      <c r="D178" t="s">
        <v>961</v>
      </c>
      <c r="E178" t="s">
        <v>962</v>
      </c>
      <c r="F178" t="s">
        <v>198</v>
      </c>
      <c r="G178" t="s">
        <v>207</v>
      </c>
      <c r="H178" t="s">
        <v>204</v>
      </c>
      <c r="I178" s="49">
        <v>45188</v>
      </c>
      <c r="J178" s="49">
        <v>45191</v>
      </c>
      <c r="K178" t="s">
        <v>963</v>
      </c>
      <c r="L178" s="49">
        <v>45191</v>
      </c>
      <c r="M178" s="49">
        <v>45191</v>
      </c>
      <c r="N178" t="s">
        <v>964</v>
      </c>
      <c r="O178" t="s">
        <v>107</v>
      </c>
      <c r="P178">
        <f>VLOOKUP(N178,[1]ID_Cidades!$A$1:$E$5900,2,FALSE)</f>
        <v>295788</v>
      </c>
      <c r="Q178">
        <f>VLOOKUP(O178,[1]ID_Cidades!$A$1:$E$5900,2,FALSE)</f>
        <v>295765</v>
      </c>
      <c r="R178">
        <f t="shared" si="4"/>
        <v>87483737820</v>
      </c>
      <c r="S178" s="42">
        <f>VLOOKUP(R178,'[1]GCD base'!$A$1:$M$200,7,FALSE)</f>
        <v>1959.0886390000001</v>
      </c>
      <c r="T178" t="s">
        <v>109</v>
      </c>
      <c r="U178" t="s">
        <v>201</v>
      </c>
      <c r="V178" t="s">
        <v>202</v>
      </c>
      <c r="W178" t="s">
        <v>210</v>
      </c>
      <c r="X178" t="s">
        <v>965</v>
      </c>
      <c r="Y178">
        <v>1168.93</v>
      </c>
      <c r="Z178">
        <v>0</v>
      </c>
      <c r="AA178">
        <v>2202.52</v>
      </c>
      <c r="AB178">
        <v>0</v>
      </c>
      <c r="AC178" s="49">
        <v>45183</v>
      </c>
      <c r="AD178" s="116" t="s">
        <v>10</v>
      </c>
      <c r="AE178" s="113" t="str" cm="1">
        <f t="array" ref="AE178">_xlfn.IFS(S178&lt;=Constantes!$G$2,"Muito Curta (evitável)",S178&lt;=Constantes!$H$2,"Curta Distância",S178&gt;Constantes!$H$2,"Longa Distância")</f>
        <v>Curta Distância</v>
      </c>
      <c r="AF178" s="114">
        <f>IFERROR(VLOOKUP(AE178,Constantes!$A$1:$E$5,MATCH(AD178,Constantes!$A$1:$E$1,0),0),"")</f>
        <v>0.18286935436241611</v>
      </c>
      <c r="AG178" s="115">
        <f t="shared" si="5"/>
        <v>358.25727455267452</v>
      </c>
    </row>
    <row r="179" spans="1:33" x14ac:dyDescent="0.3">
      <c r="A179">
        <f>COUNTIF($B$2:B179,B179)</f>
        <v>2</v>
      </c>
      <c r="B179">
        <v>19278767</v>
      </c>
      <c r="C179" t="s">
        <v>960</v>
      </c>
      <c r="D179" t="s">
        <v>961</v>
      </c>
      <c r="E179" t="s">
        <v>962</v>
      </c>
      <c r="F179" t="s">
        <v>198</v>
      </c>
      <c r="G179" t="s">
        <v>207</v>
      </c>
      <c r="H179" t="s">
        <v>204</v>
      </c>
      <c r="I179" s="49">
        <v>45188</v>
      </c>
      <c r="J179" s="49">
        <v>45191</v>
      </c>
      <c r="K179" t="s">
        <v>963</v>
      </c>
      <c r="L179" s="49">
        <v>45188</v>
      </c>
      <c r="M179" s="49">
        <v>45191</v>
      </c>
      <c r="N179" t="s">
        <v>107</v>
      </c>
      <c r="O179" t="s">
        <v>964</v>
      </c>
      <c r="P179">
        <f>VLOOKUP(N179,[1]ID_Cidades!$A$1:$E$5900,2,FALSE)</f>
        <v>295765</v>
      </c>
      <c r="Q179">
        <f>VLOOKUP(O179,[1]ID_Cidades!$A$1:$E$5900,2,FALSE)</f>
        <v>295788</v>
      </c>
      <c r="R179">
        <f t="shared" si="4"/>
        <v>87483737820</v>
      </c>
      <c r="S179" s="42">
        <f>VLOOKUP(R179,'[1]GCD base'!$A$1:$M$200,7,FALSE)</f>
        <v>1959.0886390000001</v>
      </c>
      <c r="T179" t="s">
        <v>109</v>
      </c>
      <c r="U179" t="s">
        <v>205</v>
      </c>
      <c r="V179" t="s">
        <v>202</v>
      </c>
      <c r="W179" t="s">
        <v>210</v>
      </c>
      <c r="X179" t="s">
        <v>965</v>
      </c>
      <c r="Y179">
        <v>0</v>
      </c>
      <c r="Z179">
        <v>0</v>
      </c>
      <c r="AA179">
        <v>2105.69</v>
      </c>
      <c r="AB179">
        <v>0</v>
      </c>
      <c r="AC179" s="49">
        <v>45183</v>
      </c>
      <c r="AD179" s="116" t="s">
        <v>10</v>
      </c>
      <c r="AE179" s="113" t="str" cm="1">
        <f t="array" ref="AE179">_xlfn.IFS(S179&lt;=Constantes!$G$2,"Muito Curta (evitável)",S179&lt;=Constantes!$H$2,"Curta Distância",S179&gt;Constantes!$H$2,"Longa Distância")</f>
        <v>Curta Distância</v>
      </c>
      <c r="AF179" s="114">
        <f>IFERROR(VLOOKUP(AE179,Constantes!$A$1:$E$5,MATCH(AD179,Constantes!$A$1:$E$1,0),0),"")</f>
        <v>0.18286935436241611</v>
      </c>
      <c r="AG179" s="115">
        <f t="shared" si="5"/>
        <v>358.25727455267452</v>
      </c>
    </row>
    <row r="180" spans="1:33" x14ac:dyDescent="0.3">
      <c r="A180">
        <f>COUNTIF($B$2:B180,B180)</f>
        <v>1</v>
      </c>
      <c r="B180">
        <v>19283813</v>
      </c>
      <c r="C180" t="s">
        <v>984</v>
      </c>
      <c r="D180" t="s">
        <v>218</v>
      </c>
      <c r="E180" t="s">
        <v>985</v>
      </c>
      <c r="F180" t="s">
        <v>218</v>
      </c>
      <c r="G180" t="s">
        <v>207</v>
      </c>
      <c r="H180" t="s">
        <v>204</v>
      </c>
      <c r="I180" s="49">
        <v>45188</v>
      </c>
      <c r="J180" s="49">
        <v>45192</v>
      </c>
      <c r="K180" t="s">
        <v>986</v>
      </c>
      <c r="L180" s="49">
        <v>45188</v>
      </c>
      <c r="M180" s="49">
        <v>45191</v>
      </c>
      <c r="N180" t="s">
        <v>107</v>
      </c>
      <c r="O180" t="s">
        <v>964</v>
      </c>
      <c r="P180">
        <f>VLOOKUP(N180,[1]ID_Cidades!$A$1:$E$5900,2,FALSE)</f>
        <v>295765</v>
      </c>
      <c r="Q180">
        <f>VLOOKUP(O180,[1]ID_Cidades!$A$1:$E$5900,2,FALSE)</f>
        <v>295788</v>
      </c>
      <c r="R180">
        <f t="shared" si="4"/>
        <v>87483737820</v>
      </c>
      <c r="S180" s="42">
        <f>VLOOKUP(R180,'[1]GCD base'!$A$1:$M$200,7,FALSE)</f>
        <v>1959.0886390000001</v>
      </c>
      <c r="T180" t="s">
        <v>109</v>
      </c>
      <c r="U180" t="s">
        <v>205</v>
      </c>
      <c r="V180" t="s">
        <v>202</v>
      </c>
      <c r="W180" t="s">
        <v>210</v>
      </c>
      <c r="X180" t="s">
        <v>987</v>
      </c>
      <c r="Y180">
        <v>0</v>
      </c>
      <c r="Z180">
        <v>0</v>
      </c>
      <c r="AA180">
        <v>2105.69</v>
      </c>
      <c r="AB180">
        <v>0</v>
      </c>
      <c r="AC180" s="49">
        <v>45184</v>
      </c>
      <c r="AD180" s="116" t="s">
        <v>10</v>
      </c>
      <c r="AE180" s="113" t="str" cm="1">
        <f t="array" ref="AE180">_xlfn.IFS(S180&lt;=Constantes!$G$2,"Muito Curta (evitável)",S180&lt;=Constantes!$H$2,"Curta Distância",S180&gt;Constantes!$H$2,"Longa Distância")</f>
        <v>Curta Distância</v>
      </c>
      <c r="AF180" s="114">
        <f>IFERROR(VLOOKUP(AE180,Constantes!$A$1:$E$5,MATCH(AD180,Constantes!$A$1:$E$1,0),0),"")</f>
        <v>0.18286935436241611</v>
      </c>
      <c r="AG180" s="115">
        <f t="shared" si="5"/>
        <v>358.25727455267452</v>
      </c>
    </row>
    <row r="181" spans="1:33" x14ac:dyDescent="0.3">
      <c r="A181">
        <f>COUNTIF($B$2:B181,B181)</f>
        <v>2</v>
      </c>
      <c r="B181">
        <v>19283813</v>
      </c>
      <c r="C181" t="s">
        <v>984</v>
      </c>
      <c r="D181" t="s">
        <v>218</v>
      </c>
      <c r="E181" t="s">
        <v>985</v>
      </c>
      <c r="F181" t="s">
        <v>218</v>
      </c>
      <c r="G181" t="s">
        <v>207</v>
      </c>
      <c r="H181" t="s">
        <v>204</v>
      </c>
      <c r="I181" s="49">
        <v>45188</v>
      </c>
      <c r="J181" s="49">
        <v>45192</v>
      </c>
      <c r="K181" t="s">
        <v>986</v>
      </c>
      <c r="L181" s="49">
        <v>45191</v>
      </c>
      <c r="M181" s="49">
        <v>45192</v>
      </c>
      <c r="N181" t="s">
        <v>964</v>
      </c>
      <c r="O181" t="s">
        <v>107</v>
      </c>
      <c r="P181">
        <f>VLOOKUP(N181,[1]ID_Cidades!$A$1:$E$5900,2,FALSE)</f>
        <v>295788</v>
      </c>
      <c r="Q181">
        <f>VLOOKUP(O181,[1]ID_Cidades!$A$1:$E$5900,2,FALSE)</f>
        <v>295765</v>
      </c>
      <c r="R181">
        <f t="shared" si="4"/>
        <v>87483737820</v>
      </c>
      <c r="S181" s="42">
        <f>VLOOKUP(R181,'[1]GCD base'!$A$1:$M$200,7,FALSE)</f>
        <v>1959.0886390000001</v>
      </c>
      <c r="T181" t="s">
        <v>109</v>
      </c>
      <c r="U181" t="s">
        <v>201</v>
      </c>
      <c r="V181" t="s">
        <v>202</v>
      </c>
      <c r="W181" t="s">
        <v>210</v>
      </c>
      <c r="X181" t="s">
        <v>987</v>
      </c>
      <c r="Y181">
        <v>0</v>
      </c>
      <c r="Z181">
        <v>0</v>
      </c>
      <c r="AA181">
        <v>3637.22</v>
      </c>
      <c r="AB181">
        <v>0</v>
      </c>
      <c r="AC181" s="49">
        <v>45184</v>
      </c>
      <c r="AD181" s="116" t="s">
        <v>10</v>
      </c>
      <c r="AE181" s="113" t="str" cm="1">
        <f t="array" ref="AE181">_xlfn.IFS(S181&lt;=Constantes!$G$2,"Muito Curta (evitável)",S181&lt;=Constantes!$H$2,"Curta Distância",S181&gt;Constantes!$H$2,"Longa Distância")</f>
        <v>Curta Distância</v>
      </c>
      <c r="AF181" s="114">
        <f>IFERROR(VLOOKUP(AE181,Constantes!$A$1:$E$5,MATCH(AD181,Constantes!$A$1:$E$1,0),0),"")</f>
        <v>0.18286935436241611</v>
      </c>
      <c r="AG181" s="115">
        <f t="shared" si="5"/>
        <v>358.25727455267452</v>
      </c>
    </row>
    <row r="182" spans="1:33" x14ac:dyDescent="0.3">
      <c r="A182">
        <f>COUNTIF($B$2:B182,B182)</f>
        <v>1</v>
      </c>
      <c r="B182">
        <v>19284018</v>
      </c>
      <c r="C182" t="s">
        <v>995</v>
      </c>
      <c r="D182" t="s">
        <v>218</v>
      </c>
      <c r="E182" t="s">
        <v>996</v>
      </c>
      <c r="F182" t="s">
        <v>218</v>
      </c>
      <c r="G182" t="s">
        <v>207</v>
      </c>
      <c r="H182" t="s">
        <v>204</v>
      </c>
      <c r="I182" s="49">
        <v>45188</v>
      </c>
      <c r="J182" s="49">
        <v>45192</v>
      </c>
      <c r="K182" t="s">
        <v>997</v>
      </c>
      <c r="L182" s="49">
        <v>45191</v>
      </c>
      <c r="M182" s="49">
        <v>45192</v>
      </c>
      <c r="N182" t="s">
        <v>964</v>
      </c>
      <c r="O182" t="s">
        <v>107</v>
      </c>
      <c r="P182">
        <f>VLOOKUP(N182,[1]ID_Cidades!$A$1:$E$5900,2,FALSE)</f>
        <v>295788</v>
      </c>
      <c r="Q182">
        <f>VLOOKUP(O182,[1]ID_Cidades!$A$1:$E$5900,2,FALSE)</f>
        <v>295765</v>
      </c>
      <c r="R182">
        <f t="shared" si="4"/>
        <v>87483737820</v>
      </c>
      <c r="S182" s="42">
        <f>VLOOKUP(R182,'[1]GCD base'!$A$1:$M$200,7,FALSE)</f>
        <v>1959.0886390000001</v>
      </c>
      <c r="T182" t="s">
        <v>109</v>
      </c>
      <c r="U182" t="s">
        <v>201</v>
      </c>
      <c r="V182" t="s">
        <v>202</v>
      </c>
      <c r="W182" t="s">
        <v>210</v>
      </c>
      <c r="X182" t="s">
        <v>998</v>
      </c>
      <c r="Y182">
        <v>0</v>
      </c>
      <c r="Z182">
        <v>0</v>
      </c>
      <c r="AA182">
        <v>2105.69</v>
      </c>
      <c r="AB182">
        <v>0</v>
      </c>
      <c r="AC182" s="49">
        <v>45184</v>
      </c>
      <c r="AD182" s="116" t="s">
        <v>10</v>
      </c>
      <c r="AE182" s="113" t="str" cm="1">
        <f t="array" ref="AE182">_xlfn.IFS(S182&lt;=Constantes!$G$2,"Muito Curta (evitável)",S182&lt;=Constantes!$H$2,"Curta Distância",S182&gt;Constantes!$H$2,"Longa Distância")</f>
        <v>Curta Distância</v>
      </c>
      <c r="AF182" s="114">
        <f>IFERROR(VLOOKUP(AE182,Constantes!$A$1:$E$5,MATCH(AD182,Constantes!$A$1:$E$1,0),0),"")</f>
        <v>0.18286935436241611</v>
      </c>
      <c r="AG182" s="115">
        <f t="shared" si="5"/>
        <v>358.25727455267452</v>
      </c>
    </row>
    <row r="183" spans="1:33" x14ac:dyDescent="0.3">
      <c r="A183">
        <f>COUNTIF($B$2:B183,B183)</f>
        <v>2</v>
      </c>
      <c r="B183">
        <v>19284018</v>
      </c>
      <c r="C183" t="s">
        <v>995</v>
      </c>
      <c r="D183" t="s">
        <v>218</v>
      </c>
      <c r="E183" t="s">
        <v>996</v>
      </c>
      <c r="F183" t="s">
        <v>218</v>
      </c>
      <c r="G183" t="s">
        <v>207</v>
      </c>
      <c r="H183" t="s">
        <v>204</v>
      </c>
      <c r="I183" s="49">
        <v>45188</v>
      </c>
      <c r="J183" s="49">
        <v>45192</v>
      </c>
      <c r="K183" t="s">
        <v>997</v>
      </c>
      <c r="L183" s="49">
        <v>45188</v>
      </c>
      <c r="M183" s="49">
        <v>45191</v>
      </c>
      <c r="N183" t="s">
        <v>107</v>
      </c>
      <c r="O183" t="s">
        <v>964</v>
      </c>
      <c r="P183">
        <f>VLOOKUP(N183,[1]ID_Cidades!$A$1:$E$5900,2,FALSE)</f>
        <v>295765</v>
      </c>
      <c r="Q183">
        <f>VLOOKUP(O183,[1]ID_Cidades!$A$1:$E$5900,2,FALSE)</f>
        <v>295788</v>
      </c>
      <c r="R183">
        <f t="shared" si="4"/>
        <v>87483737820</v>
      </c>
      <c r="S183" s="42">
        <f>VLOOKUP(R183,'[1]GCD base'!$A$1:$M$200,7,FALSE)</f>
        <v>1959.0886390000001</v>
      </c>
      <c r="T183" t="s">
        <v>109</v>
      </c>
      <c r="U183" t="s">
        <v>205</v>
      </c>
      <c r="V183" t="s">
        <v>202</v>
      </c>
      <c r="W183" t="s">
        <v>210</v>
      </c>
      <c r="X183" t="s">
        <v>998</v>
      </c>
      <c r="Y183">
        <v>0</v>
      </c>
      <c r="Z183">
        <v>0</v>
      </c>
      <c r="AA183">
        <v>3637.22</v>
      </c>
      <c r="AB183">
        <v>0</v>
      </c>
      <c r="AC183" s="49">
        <v>45184</v>
      </c>
      <c r="AD183" s="116" t="s">
        <v>10</v>
      </c>
      <c r="AE183" s="113" t="str" cm="1">
        <f t="array" ref="AE183">_xlfn.IFS(S183&lt;=Constantes!$G$2,"Muito Curta (evitável)",S183&lt;=Constantes!$H$2,"Curta Distância",S183&gt;Constantes!$H$2,"Longa Distância")</f>
        <v>Curta Distância</v>
      </c>
      <c r="AF183" s="114">
        <f>IFERROR(VLOOKUP(AE183,Constantes!$A$1:$E$5,MATCH(AD183,Constantes!$A$1:$E$1,0),0),"")</f>
        <v>0.18286935436241611</v>
      </c>
      <c r="AG183" s="115">
        <f t="shared" si="5"/>
        <v>358.25727455267452</v>
      </c>
    </row>
    <row r="184" spans="1:33" x14ac:dyDescent="0.3">
      <c r="A184">
        <f>COUNTIF($B$2:B184,B184)</f>
        <v>1</v>
      </c>
      <c r="B184">
        <v>19270158</v>
      </c>
      <c r="C184" t="s">
        <v>929</v>
      </c>
      <c r="D184" t="s">
        <v>218</v>
      </c>
      <c r="E184" t="s">
        <v>930</v>
      </c>
      <c r="F184" t="s">
        <v>218</v>
      </c>
      <c r="G184" t="s">
        <v>207</v>
      </c>
      <c r="H184" t="s">
        <v>204</v>
      </c>
      <c r="I184" s="49">
        <v>45189</v>
      </c>
      <c r="J184" s="49">
        <v>45198</v>
      </c>
      <c r="K184" t="s">
        <v>931</v>
      </c>
      <c r="L184" s="49">
        <v>45198</v>
      </c>
      <c r="M184" s="49">
        <v>45198</v>
      </c>
      <c r="N184" t="s">
        <v>107</v>
      </c>
      <c r="O184" t="s">
        <v>118</v>
      </c>
      <c r="P184">
        <f>VLOOKUP(N184,[1]ID_Cidades!$A$1:$E$5900,2,FALSE)</f>
        <v>295765</v>
      </c>
      <c r="Q184">
        <f>VLOOKUP(O184,[1]ID_Cidades!$A$1:$E$5900,2,FALSE)</f>
        <v>295780</v>
      </c>
      <c r="R184">
        <f t="shared" si="4"/>
        <v>87481371700</v>
      </c>
      <c r="S184" s="42">
        <f>VLOOKUP(R184,'[1]GCD base'!$A$1:$M$200,7,FALSE)</f>
        <v>2541.6476309999998</v>
      </c>
      <c r="T184" t="s">
        <v>109</v>
      </c>
      <c r="U184" t="s">
        <v>201</v>
      </c>
      <c r="V184" t="s">
        <v>202</v>
      </c>
      <c r="W184" t="s">
        <v>210</v>
      </c>
      <c r="X184" t="s">
        <v>932</v>
      </c>
      <c r="Y184">
        <v>95</v>
      </c>
      <c r="Z184">
        <v>0</v>
      </c>
      <c r="AA184">
        <v>1379.59</v>
      </c>
      <c r="AB184">
        <v>0</v>
      </c>
      <c r="AC184" s="49">
        <v>45181</v>
      </c>
      <c r="AD184" s="116" t="s">
        <v>10</v>
      </c>
      <c r="AE184" s="113" t="str" cm="1">
        <f t="array" ref="AE184">_xlfn.IFS(S184&lt;=Constantes!$G$2,"Muito Curta (evitável)",S184&lt;=Constantes!$H$2,"Curta Distância",S184&gt;Constantes!$H$2,"Longa Distância")</f>
        <v>Curta Distância</v>
      </c>
      <c r="AF184" s="114">
        <f>IFERROR(VLOOKUP(AE184,Constantes!$A$1:$E$5,MATCH(AD184,Constantes!$A$1:$E$1,0),0),"")</f>
        <v>0.18286935436241611</v>
      </c>
      <c r="AG184" s="115">
        <f t="shared" si="5"/>
        <v>464.78946129773436</v>
      </c>
    </row>
    <row r="185" spans="1:33" x14ac:dyDescent="0.3">
      <c r="A185">
        <f>COUNTIF($B$2:B185,B185)</f>
        <v>2</v>
      </c>
      <c r="B185">
        <v>19270158</v>
      </c>
      <c r="C185" t="s">
        <v>929</v>
      </c>
      <c r="D185" t="s">
        <v>218</v>
      </c>
      <c r="E185" t="s">
        <v>930</v>
      </c>
      <c r="F185" t="s">
        <v>218</v>
      </c>
      <c r="G185" t="s">
        <v>207</v>
      </c>
      <c r="H185" t="s">
        <v>204</v>
      </c>
      <c r="I185" s="49">
        <v>45189</v>
      </c>
      <c r="J185" s="49">
        <v>45198</v>
      </c>
      <c r="K185" t="s">
        <v>931</v>
      </c>
      <c r="L185" s="49">
        <v>45189</v>
      </c>
      <c r="M185" s="49">
        <v>45198</v>
      </c>
      <c r="N185" t="s">
        <v>118</v>
      </c>
      <c r="O185" t="s">
        <v>107</v>
      </c>
      <c r="P185">
        <f>VLOOKUP(N185,[1]ID_Cidades!$A$1:$E$5900,2,FALSE)</f>
        <v>295780</v>
      </c>
      <c r="Q185">
        <f>VLOOKUP(O185,[1]ID_Cidades!$A$1:$E$5900,2,FALSE)</f>
        <v>295765</v>
      </c>
      <c r="R185">
        <f t="shared" si="4"/>
        <v>87481371700</v>
      </c>
      <c r="S185" s="42">
        <f>VLOOKUP(R185,'[1]GCD base'!$A$1:$M$200,7,FALSE)</f>
        <v>2541.6476309999998</v>
      </c>
      <c r="T185" t="s">
        <v>109</v>
      </c>
      <c r="U185" t="s">
        <v>205</v>
      </c>
      <c r="V185" t="s">
        <v>202</v>
      </c>
      <c r="W185" t="s">
        <v>210</v>
      </c>
      <c r="X185" t="s">
        <v>932</v>
      </c>
      <c r="Y185">
        <v>0</v>
      </c>
      <c r="Z185">
        <v>0</v>
      </c>
      <c r="AA185">
        <v>1753.39</v>
      </c>
      <c r="AB185">
        <v>0</v>
      </c>
      <c r="AC185" s="49">
        <v>45181</v>
      </c>
      <c r="AD185" s="116" t="s">
        <v>10</v>
      </c>
      <c r="AE185" s="113" t="str" cm="1">
        <f t="array" ref="AE185">_xlfn.IFS(S185&lt;=Constantes!$G$2,"Muito Curta (evitável)",S185&lt;=Constantes!$H$2,"Curta Distância",S185&gt;Constantes!$H$2,"Longa Distância")</f>
        <v>Curta Distância</v>
      </c>
      <c r="AF185" s="114">
        <f>IFERROR(VLOOKUP(AE185,Constantes!$A$1:$E$5,MATCH(AD185,Constantes!$A$1:$E$1,0),0),"")</f>
        <v>0.18286935436241611</v>
      </c>
      <c r="AG185" s="115">
        <f t="shared" si="5"/>
        <v>464.78946129773436</v>
      </c>
    </row>
    <row r="186" spans="1:33" x14ac:dyDescent="0.3">
      <c r="A186">
        <f>COUNTIF($B$2:B186,B186)</f>
        <v>1</v>
      </c>
      <c r="B186">
        <v>19203299</v>
      </c>
      <c r="C186" t="s">
        <v>683</v>
      </c>
      <c r="D186" t="s">
        <v>684</v>
      </c>
      <c r="E186" t="s">
        <v>685</v>
      </c>
      <c r="F186" t="s">
        <v>198</v>
      </c>
      <c r="G186" t="s">
        <v>207</v>
      </c>
      <c r="H186" t="s">
        <v>204</v>
      </c>
      <c r="I186" s="49">
        <v>45190</v>
      </c>
      <c r="J186" s="49">
        <v>45193</v>
      </c>
      <c r="K186" t="s">
        <v>686</v>
      </c>
      <c r="L186" s="49">
        <v>45192</v>
      </c>
      <c r="M186" s="49">
        <v>45193</v>
      </c>
      <c r="N186" t="s">
        <v>117</v>
      </c>
      <c r="O186" t="s">
        <v>107</v>
      </c>
      <c r="P186">
        <f>VLOOKUP(N186,[1]ID_Cidades!$A$1:$E$5900,2,FALSE)</f>
        <v>295779</v>
      </c>
      <c r="Q186">
        <f>VLOOKUP(O186,[1]ID_Cidades!$A$1:$E$5900,2,FALSE)</f>
        <v>295765</v>
      </c>
      <c r="R186">
        <f t="shared" si="4"/>
        <v>87481075935</v>
      </c>
      <c r="S186" s="42">
        <f>VLOOKUP(R186,'[1]GCD base'!$A$1:$M$200,7,FALSE)</f>
        <v>2189.9742419999998</v>
      </c>
      <c r="T186" t="s">
        <v>109</v>
      </c>
      <c r="U186" t="s">
        <v>201</v>
      </c>
      <c r="V186" t="s">
        <v>202</v>
      </c>
      <c r="W186" t="s">
        <v>203</v>
      </c>
      <c r="X186" t="s">
        <v>204</v>
      </c>
      <c r="Y186">
        <v>1369.17</v>
      </c>
      <c r="Z186">
        <v>0</v>
      </c>
      <c r="AA186">
        <v>1087.0899999999999</v>
      </c>
      <c r="AB186">
        <v>0</v>
      </c>
      <c r="AC186" s="49">
        <v>45163</v>
      </c>
      <c r="AD186" s="116" t="s">
        <v>10</v>
      </c>
      <c r="AE186" s="113" t="str" cm="1">
        <f t="array" ref="AE186">_xlfn.IFS(S186&lt;=Constantes!$G$2,"Muito Curta (evitável)",S186&lt;=Constantes!$H$2,"Curta Distância",S186&gt;Constantes!$H$2,"Longa Distância")</f>
        <v>Curta Distância</v>
      </c>
      <c r="AF186" s="114">
        <f>IFERROR(VLOOKUP(AE186,Constantes!$A$1:$E$5,MATCH(AD186,Constantes!$A$1:$E$1,0),0),"")</f>
        <v>0.18286935436241611</v>
      </c>
      <c r="AG186" s="115">
        <f t="shared" si="5"/>
        <v>400.47917570486158</v>
      </c>
    </row>
    <row r="187" spans="1:33" x14ac:dyDescent="0.3">
      <c r="A187">
        <f>COUNTIF($B$2:B187,B187)</f>
        <v>2</v>
      </c>
      <c r="B187">
        <v>19203299</v>
      </c>
      <c r="C187" t="s">
        <v>683</v>
      </c>
      <c r="D187" t="s">
        <v>684</v>
      </c>
      <c r="E187" t="s">
        <v>685</v>
      </c>
      <c r="F187" t="s">
        <v>198</v>
      </c>
      <c r="G187" t="s">
        <v>207</v>
      </c>
      <c r="H187" t="s">
        <v>204</v>
      </c>
      <c r="I187" s="49">
        <v>45190</v>
      </c>
      <c r="J187" s="49">
        <v>45193</v>
      </c>
      <c r="K187" t="s">
        <v>686</v>
      </c>
      <c r="L187" s="49">
        <v>45190</v>
      </c>
      <c r="M187" s="49">
        <v>45192</v>
      </c>
      <c r="N187" t="s">
        <v>107</v>
      </c>
      <c r="O187" t="s">
        <v>117</v>
      </c>
      <c r="P187">
        <f>VLOOKUP(N187,[1]ID_Cidades!$A$1:$E$5900,2,FALSE)</f>
        <v>295765</v>
      </c>
      <c r="Q187">
        <f>VLOOKUP(O187,[1]ID_Cidades!$A$1:$E$5900,2,FALSE)</f>
        <v>295779</v>
      </c>
      <c r="R187">
        <f t="shared" si="4"/>
        <v>87481075935</v>
      </c>
      <c r="S187" s="42">
        <f>VLOOKUP(R187,'[1]GCD base'!$A$1:$M$200,7,FALSE)</f>
        <v>2189.9742419999998</v>
      </c>
      <c r="T187" t="s">
        <v>109</v>
      </c>
      <c r="U187" t="s">
        <v>205</v>
      </c>
      <c r="V187" t="s">
        <v>202</v>
      </c>
      <c r="W187" t="s">
        <v>203</v>
      </c>
      <c r="X187" t="s">
        <v>204</v>
      </c>
      <c r="Y187">
        <v>0</v>
      </c>
      <c r="Z187">
        <v>0</v>
      </c>
      <c r="AA187">
        <v>912.45</v>
      </c>
      <c r="AB187">
        <v>0</v>
      </c>
      <c r="AC187" s="49">
        <v>45163</v>
      </c>
      <c r="AD187" s="116" t="s">
        <v>10</v>
      </c>
      <c r="AE187" s="113" t="str" cm="1">
        <f t="array" ref="AE187">_xlfn.IFS(S187&lt;=Constantes!$G$2,"Muito Curta (evitável)",S187&lt;=Constantes!$H$2,"Curta Distância",S187&gt;Constantes!$H$2,"Longa Distância")</f>
        <v>Curta Distância</v>
      </c>
      <c r="AF187" s="114">
        <f>IFERROR(VLOOKUP(AE187,Constantes!$A$1:$E$5,MATCH(AD187,Constantes!$A$1:$E$1,0),0),"")</f>
        <v>0.18286935436241611</v>
      </c>
      <c r="AG187" s="115">
        <f t="shared" si="5"/>
        <v>400.47917570486158</v>
      </c>
    </row>
    <row r="188" spans="1:33" x14ac:dyDescent="0.3">
      <c r="A188">
        <f>COUNTIF($B$2:B188,B188)</f>
        <v>1</v>
      </c>
      <c r="B188">
        <v>19218897</v>
      </c>
      <c r="C188" t="s">
        <v>731</v>
      </c>
      <c r="D188" t="s">
        <v>732</v>
      </c>
      <c r="E188" t="s">
        <v>733</v>
      </c>
      <c r="F188" t="s">
        <v>198</v>
      </c>
      <c r="G188" t="s">
        <v>207</v>
      </c>
      <c r="H188" t="s">
        <v>204</v>
      </c>
      <c r="I188" s="49">
        <v>45193</v>
      </c>
      <c r="J188" s="49">
        <v>45196</v>
      </c>
      <c r="K188" t="s">
        <v>734</v>
      </c>
      <c r="L188" s="49">
        <v>45193</v>
      </c>
      <c r="M188" s="49">
        <v>45196</v>
      </c>
      <c r="N188" t="s">
        <v>107</v>
      </c>
      <c r="O188" t="s">
        <v>110</v>
      </c>
      <c r="P188">
        <f>VLOOKUP(N188,[1]ID_Cidades!$A$1:$E$5900,2,FALSE)</f>
        <v>295765</v>
      </c>
      <c r="Q188">
        <f>VLOOKUP(O188,[1]ID_Cidades!$A$1:$E$5900,2,FALSE)</f>
        <v>295763</v>
      </c>
      <c r="R188">
        <f t="shared" si="4"/>
        <v>87476343695</v>
      </c>
      <c r="S188" s="42">
        <f>VLOOKUP(R188,'[1]GCD base'!$A$1:$M$200,7,FALSE)</f>
        <v>1713.419991</v>
      </c>
      <c r="T188" t="s">
        <v>109</v>
      </c>
      <c r="U188" t="s">
        <v>205</v>
      </c>
      <c r="V188" t="s">
        <v>202</v>
      </c>
      <c r="W188" t="s">
        <v>203</v>
      </c>
      <c r="X188" t="s">
        <v>204</v>
      </c>
      <c r="Y188">
        <v>1339.26</v>
      </c>
      <c r="Z188">
        <v>0</v>
      </c>
      <c r="AA188">
        <v>2806.39</v>
      </c>
      <c r="AB188">
        <v>0</v>
      </c>
      <c r="AC188" s="49">
        <v>45163</v>
      </c>
      <c r="AD188" s="116" t="s">
        <v>10</v>
      </c>
      <c r="AE188" s="113" t="str" cm="1">
        <f t="array" ref="AE188">_xlfn.IFS(S188&lt;=Constantes!$G$2,"Muito Curta (evitável)",S188&lt;=Constantes!$H$2,"Curta Distância",S188&gt;Constantes!$H$2,"Longa Distância")</f>
        <v>Curta Distância</v>
      </c>
      <c r="AF188" s="114">
        <f>IFERROR(VLOOKUP(AE188,Constantes!$A$1:$E$5,MATCH(AD188,Constantes!$A$1:$E$1,0),0),"")</f>
        <v>0.18286935436241611</v>
      </c>
      <c r="AG188" s="115">
        <f t="shared" si="5"/>
        <v>313.33200750582682</v>
      </c>
    </row>
    <row r="189" spans="1:33" x14ac:dyDescent="0.3">
      <c r="A189">
        <f>COUNTIF($B$2:B189,B189)</f>
        <v>2</v>
      </c>
      <c r="B189">
        <v>19218897</v>
      </c>
      <c r="C189" t="s">
        <v>731</v>
      </c>
      <c r="D189" t="s">
        <v>732</v>
      </c>
      <c r="E189" t="s">
        <v>733</v>
      </c>
      <c r="F189" t="s">
        <v>198</v>
      </c>
      <c r="G189" t="s">
        <v>207</v>
      </c>
      <c r="H189" t="s">
        <v>204</v>
      </c>
      <c r="I189" s="49">
        <v>45193</v>
      </c>
      <c r="J189" s="49">
        <v>45196</v>
      </c>
      <c r="K189" t="s">
        <v>734</v>
      </c>
      <c r="L189" s="49">
        <v>45196</v>
      </c>
      <c r="M189" s="49">
        <v>45196</v>
      </c>
      <c r="N189" t="s">
        <v>110</v>
      </c>
      <c r="O189" t="s">
        <v>107</v>
      </c>
      <c r="P189">
        <f>VLOOKUP(N189,[1]ID_Cidades!$A$1:$E$5900,2,FALSE)</f>
        <v>295763</v>
      </c>
      <c r="Q189">
        <f>VLOOKUP(O189,[1]ID_Cidades!$A$1:$E$5900,2,FALSE)</f>
        <v>295765</v>
      </c>
      <c r="R189">
        <f t="shared" si="4"/>
        <v>87476343695</v>
      </c>
      <c r="S189" s="42">
        <f>VLOOKUP(R189,'[1]GCD base'!$A$1:$M$200,7,FALSE)</f>
        <v>1713.419991</v>
      </c>
      <c r="T189" t="s">
        <v>109</v>
      </c>
      <c r="U189" t="s">
        <v>201</v>
      </c>
      <c r="V189" t="s">
        <v>202</v>
      </c>
      <c r="W189" t="s">
        <v>203</v>
      </c>
      <c r="X189" t="s">
        <v>204</v>
      </c>
      <c r="Y189">
        <v>0</v>
      </c>
      <c r="Z189">
        <v>0</v>
      </c>
      <c r="AA189">
        <v>1204.31</v>
      </c>
      <c r="AB189">
        <v>0</v>
      </c>
      <c r="AC189" s="49">
        <v>45163</v>
      </c>
      <c r="AD189" s="116" t="s">
        <v>10</v>
      </c>
      <c r="AE189" s="113" t="str" cm="1">
        <f t="array" ref="AE189">_xlfn.IFS(S189&lt;=Constantes!$G$2,"Muito Curta (evitável)",S189&lt;=Constantes!$H$2,"Curta Distância",S189&gt;Constantes!$H$2,"Longa Distância")</f>
        <v>Curta Distância</v>
      </c>
      <c r="AF189" s="114">
        <f>IFERROR(VLOOKUP(AE189,Constantes!$A$1:$E$5,MATCH(AD189,Constantes!$A$1:$E$1,0),0),"")</f>
        <v>0.18286935436241611</v>
      </c>
      <c r="AG189" s="115">
        <f t="shared" si="5"/>
        <v>313.33200750582682</v>
      </c>
    </row>
    <row r="190" spans="1:33" x14ac:dyDescent="0.3">
      <c r="A190">
        <f>COUNTIF($B$2:B190,B190)</f>
        <v>1</v>
      </c>
      <c r="B190">
        <v>19229574</v>
      </c>
      <c r="C190" t="s">
        <v>758</v>
      </c>
      <c r="D190" t="s">
        <v>759</v>
      </c>
      <c r="E190" t="s">
        <v>760</v>
      </c>
      <c r="F190" t="s">
        <v>198</v>
      </c>
      <c r="G190" t="s">
        <v>207</v>
      </c>
      <c r="H190" t="s">
        <v>204</v>
      </c>
      <c r="I190" s="49">
        <v>45193</v>
      </c>
      <c r="J190" s="49">
        <v>45196</v>
      </c>
      <c r="K190" t="s">
        <v>761</v>
      </c>
      <c r="L190" s="49">
        <v>45193</v>
      </c>
      <c r="M190" s="49">
        <v>45196</v>
      </c>
      <c r="N190" t="s">
        <v>107</v>
      </c>
      <c r="O190" t="s">
        <v>110</v>
      </c>
      <c r="P190">
        <f>VLOOKUP(N190,[1]ID_Cidades!$A$1:$E$5900,2,FALSE)</f>
        <v>295765</v>
      </c>
      <c r="Q190">
        <f>VLOOKUP(O190,[1]ID_Cidades!$A$1:$E$5900,2,FALSE)</f>
        <v>295763</v>
      </c>
      <c r="R190">
        <f t="shared" si="4"/>
        <v>87476343695</v>
      </c>
      <c r="S190" s="42">
        <f>VLOOKUP(R190,'[1]GCD base'!$A$1:$M$200,7,FALSE)</f>
        <v>1713.419991</v>
      </c>
      <c r="T190" t="s">
        <v>109</v>
      </c>
      <c r="U190" t="s">
        <v>205</v>
      </c>
      <c r="V190" t="s">
        <v>202</v>
      </c>
      <c r="W190" t="s">
        <v>203</v>
      </c>
      <c r="X190" t="s">
        <v>204</v>
      </c>
      <c r="Y190">
        <v>1339.26</v>
      </c>
      <c r="Z190">
        <v>0</v>
      </c>
      <c r="AA190">
        <v>2914.49</v>
      </c>
      <c r="AB190">
        <v>0</v>
      </c>
      <c r="AC190" s="49">
        <v>45167</v>
      </c>
      <c r="AD190" s="116" t="s">
        <v>10</v>
      </c>
      <c r="AE190" s="113" t="str" cm="1">
        <f t="array" ref="AE190">_xlfn.IFS(S190&lt;=Constantes!$G$2,"Muito Curta (evitável)",S190&lt;=Constantes!$H$2,"Curta Distância",S190&gt;Constantes!$H$2,"Longa Distância")</f>
        <v>Curta Distância</v>
      </c>
      <c r="AF190" s="114">
        <f>IFERROR(VLOOKUP(AE190,Constantes!$A$1:$E$5,MATCH(AD190,Constantes!$A$1:$E$1,0),0),"")</f>
        <v>0.18286935436241611</v>
      </c>
      <c r="AG190" s="115">
        <f t="shared" si="5"/>
        <v>313.33200750582682</v>
      </c>
    </row>
    <row r="191" spans="1:33" x14ac:dyDescent="0.3">
      <c r="A191">
        <f>COUNTIF($B$2:B191,B191)</f>
        <v>2</v>
      </c>
      <c r="B191">
        <v>19229574</v>
      </c>
      <c r="C191" t="s">
        <v>758</v>
      </c>
      <c r="D191" t="s">
        <v>759</v>
      </c>
      <c r="E191" t="s">
        <v>760</v>
      </c>
      <c r="F191" t="s">
        <v>198</v>
      </c>
      <c r="G191" t="s">
        <v>207</v>
      </c>
      <c r="H191" t="s">
        <v>204</v>
      </c>
      <c r="I191" s="49">
        <v>45193</v>
      </c>
      <c r="J191" s="49">
        <v>45196</v>
      </c>
      <c r="K191" t="s">
        <v>761</v>
      </c>
      <c r="L191" s="49">
        <v>45196</v>
      </c>
      <c r="M191" s="49">
        <v>45196</v>
      </c>
      <c r="N191" t="s">
        <v>110</v>
      </c>
      <c r="O191" t="s">
        <v>107</v>
      </c>
      <c r="P191">
        <f>VLOOKUP(N191,[1]ID_Cidades!$A$1:$E$5900,2,FALSE)</f>
        <v>295763</v>
      </c>
      <c r="Q191">
        <f>VLOOKUP(O191,[1]ID_Cidades!$A$1:$E$5900,2,FALSE)</f>
        <v>295765</v>
      </c>
      <c r="R191">
        <f t="shared" si="4"/>
        <v>87476343695</v>
      </c>
      <c r="S191" s="42">
        <f>VLOOKUP(R191,'[1]GCD base'!$A$1:$M$200,7,FALSE)</f>
        <v>1713.419991</v>
      </c>
      <c r="T191" t="s">
        <v>109</v>
      </c>
      <c r="U191" t="s">
        <v>201</v>
      </c>
      <c r="V191" t="s">
        <v>202</v>
      </c>
      <c r="W191" t="s">
        <v>203</v>
      </c>
      <c r="X191" t="s">
        <v>204</v>
      </c>
      <c r="Y191">
        <v>0</v>
      </c>
      <c r="Z191">
        <v>0</v>
      </c>
      <c r="AA191">
        <v>1437.91</v>
      </c>
      <c r="AB191">
        <v>0</v>
      </c>
      <c r="AC191" s="49">
        <v>45167</v>
      </c>
      <c r="AD191" s="116" t="s">
        <v>10</v>
      </c>
      <c r="AE191" s="113" t="str" cm="1">
        <f t="array" ref="AE191">_xlfn.IFS(S191&lt;=Constantes!$G$2,"Muito Curta (evitável)",S191&lt;=Constantes!$H$2,"Curta Distância",S191&gt;Constantes!$H$2,"Longa Distância")</f>
        <v>Curta Distância</v>
      </c>
      <c r="AF191" s="114">
        <f>IFERROR(VLOOKUP(AE191,Constantes!$A$1:$E$5,MATCH(AD191,Constantes!$A$1:$E$1,0),0),"")</f>
        <v>0.18286935436241611</v>
      </c>
      <c r="AG191" s="115">
        <f t="shared" si="5"/>
        <v>313.33200750582682</v>
      </c>
    </row>
    <row r="192" spans="1:33" x14ac:dyDescent="0.3">
      <c r="A192">
        <f>COUNTIF($B$2:B192,B192)</f>
        <v>1</v>
      </c>
      <c r="B192">
        <v>19312461</v>
      </c>
      <c r="C192" t="s">
        <v>1124</v>
      </c>
      <c r="D192" t="s">
        <v>1125</v>
      </c>
      <c r="E192" t="s">
        <v>1126</v>
      </c>
      <c r="F192" t="s">
        <v>1127</v>
      </c>
      <c r="G192" t="s">
        <v>207</v>
      </c>
      <c r="H192" t="s">
        <v>204</v>
      </c>
      <c r="I192" s="49">
        <v>45193</v>
      </c>
      <c r="J192" s="49">
        <v>45199</v>
      </c>
      <c r="K192" t="s">
        <v>1128</v>
      </c>
      <c r="L192" s="49">
        <v>45193</v>
      </c>
      <c r="M192" s="49">
        <v>45199</v>
      </c>
      <c r="N192" t="s">
        <v>107</v>
      </c>
      <c r="O192" t="s">
        <v>122</v>
      </c>
      <c r="P192">
        <f>VLOOKUP(N192,[1]ID_Cidades!$A$1:$E$5900,2,FALSE)</f>
        <v>295765</v>
      </c>
      <c r="Q192">
        <f>VLOOKUP(O192,[1]ID_Cidades!$A$1:$E$5900,2,FALSE)</f>
        <v>295781</v>
      </c>
      <c r="R192">
        <f t="shared" si="4"/>
        <v>87481667465</v>
      </c>
      <c r="S192" s="42">
        <f>VLOOKUP(R192,'[1]GCD base'!$A$1:$M$200,7,FALSE)</f>
        <v>2695.5823350000001</v>
      </c>
      <c r="T192" t="s">
        <v>109</v>
      </c>
      <c r="U192" t="s">
        <v>205</v>
      </c>
      <c r="V192" t="s">
        <v>202</v>
      </c>
      <c r="W192" t="s">
        <v>210</v>
      </c>
      <c r="X192" t="s">
        <v>1129</v>
      </c>
      <c r="Y192">
        <v>2162.08</v>
      </c>
      <c r="Z192">
        <v>0</v>
      </c>
      <c r="AA192">
        <v>2120</v>
      </c>
      <c r="AB192">
        <v>0</v>
      </c>
      <c r="AC192" s="49">
        <v>45189</v>
      </c>
      <c r="AD192" s="116" t="s">
        <v>10</v>
      </c>
      <c r="AE192" s="113" t="str" cm="1">
        <f t="array" ref="AE192">_xlfn.IFS(S192&lt;=Constantes!$G$2,"Muito Curta (evitável)",S192&lt;=Constantes!$H$2,"Curta Distância",S192&gt;Constantes!$H$2,"Longa Distância")</f>
        <v>Curta Distância</v>
      </c>
      <c r="AF192" s="114">
        <f>IFERROR(VLOOKUP(AE192,Constantes!$A$1:$E$5,MATCH(AD192,Constantes!$A$1:$E$1,0),0),"")</f>
        <v>0.18286935436241611</v>
      </c>
      <c r="AG192" s="115">
        <f t="shared" si="5"/>
        <v>492.93940123218408</v>
      </c>
    </row>
    <row r="193" spans="1:33" x14ac:dyDescent="0.3">
      <c r="A193">
        <f>COUNTIF($B$2:B193,B193)</f>
        <v>2</v>
      </c>
      <c r="B193">
        <v>19312461</v>
      </c>
      <c r="C193" t="s">
        <v>1124</v>
      </c>
      <c r="D193" t="s">
        <v>1125</v>
      </c>
      <c r="E193" t="s">
        <v>1126</v>
      </c>
      <c r="F193" t="s">
        <v>1127</v>
      </c>
      <c r="G193" t="s">
        <v>207</v>
      </c>
      <c r="H193" t="s">
        <v>204</v>
      </c>
      <c r="I193" s="49">
        <v>45193</v>
      </c>
      <c r="J193" s="49">
        <v>45199</v>
      </c>
      <c r="K193" t="s">
        <v>1128</v>
      </c>
      <c r="L193" s="49">
        <v>45199</v>
      </c>
      <c r="M193" s="49">
        <v>45199</v>
      </c>
      <c r="N193" t="s">
        <v>122</v>
      </c>
      <c r="O193" t="s">
        <v>107</v>
      </c>
      <c r="P193">
        <f>VLOOKUP(N193,[1]ID_Cidades!$A$1:$E$5900,2,FALSE)</f>
        <v>295781</v>
      </c>
      <c r="Q193">
        <f>VLOOKUP(O193,[1]ID_Cidades!$A$1:$E$5900,2,FALSE)</f>
        <v>295765</v>
      </c>
      <c r="R193">
        <f t="shared" si="4"/>
        <v>87481667465</v>
      </c>
      <c r="S193" s="42">
        <f>VLOOKUP(R193,'[1]GCD base'!$A$1:$M$200,7,FALSE)</f>
        <v>2695.5823350000001</v>
      </c>
      <c r="T193" t="s">
        <v>109</v>
      </c>
      <c r="U193" t="s">
        <v>201</v>
      </c>
      <c r="V193" t="s">
        <v>202</v>
      </c>
      <c r="W193" t="s">
        <v>210</v>
      </c>
      <c r="X193" t="s">
        <v>1129</v>
      </c>
      <c r="Y193">
        <v>0</v>
      </c>
      <c r="Z193">
        <v>0</v>
      </c>
      <c r="AA193">
        <v>2754.69</v>
      </c>
      <c r="AB193">
        <v>0</v>
      </c>
      <c r="AC193" s="49">
        <v>45189</v>
      </c>
      <c r="AD193" s="116" t="s">
        <v>10</v>
      </c>
      <c r="AE193" s="113" t="str" cm="1">
        <f t="array" ref="AE193">_xlfn.IFS(S193&lt;=Constantes!$G$2,"Muito Curta (evitável)",S193&lt;=Constantes!$H$2,"Curta Distância",S193&gt;Constantes!$H$2,"Longa Distância")</f>
        <v>Curta Distância</v>
      </c>
      <c r="AF193" s="114">
        <f>IFERROR(VLOOKUP(AE193,Constantes!$A$1:$E$5,MATCH(AD193,Constantes!$A$1:$E$1,0),0),"")</f>
        <v>0.18286935436241611</v>
      </c>
      <c r="AG193" s="115">
        <f t="shared" si="5"/>
        <v>492.93940123218408</v>
      </c>
    </row>
    <row r="194" spans="1:33" x14ac:dyDescent="0.3">
      <c r="A194">
        <f>COUNTIF($B$2:B194,B194)</f>
        <v>1</v>
      </c>
      <c r="B194">
        <v>19313347</v>
      </c>
      <c r="C194" t="s">
        <v>1141</v>
      </c>
      <c r="D194" t="s">
        <v>1142</v>
      </c>
      <c r="E194" t="s">
        <v>1143</v>
      </c>
      <c r="F194" t="s">
        <v>1127</v>
      </c>
      <c r="G194" t="s">
        <v>207</v>
      </c>
      <c r="H194" t="s">
        <v>204</v>
      </c>
      <c r="I194" s="49">
        <v>45193</v>
      </c>
      <c r="J194" s="49">
        <v>45199</v>
      </c>
      <c r="K194" t="s">
        <v>1128</v>
      </c>
      <c r="L194" s="49">
        <v>45193</v>
      </c>
      <c r="M194" s="49">
        <v>45199</v>
      </c>
      <c r="N194" t="s">
        <v>107</v>
      </c>
      <c r="O194" t="s">
        <v>122</v>
      </c>
      <c r="P194">
        <f>VLOOKUP(N194,[1]ID_Cidades!$A$1:$E$5900,2,FALSE)</f>
        <v>295765</v>
      </c>
      <c r="Q194">
        <f>VLOOKUP(O194,[1]ID_Cidades!$A$1:$E$5900,2,FALSE)</f>
        <v>295781</v>
      </c>
      <c r="R194">
        <f t="shared" ref="R194:R257" si="6">P194*Q194</f>
        <v>87481667465</v>
      </c>
      <c r="S194" s="42">
        <f>VLOOKUP(R194,'[1]GCD base'!$A$1:$M$200,7,FALSE)</f>
        <v>2695.5823350000001</v>
      </c>
      <c r="T194" t="s">
        <v>109</v>
      </c>
      <c r="U194" t="s">
        <v>205</v>
      </c>
      <c r="V194" t="s">
        <v>202</v>
      </c>
      <c r="W194" t="s">
        <v>210</v>
      </c>
      <c r="X194" t="s">
        <v>1129</v>
      </c>
      <c r="Y194">
        <v>2162.08</v>
      </c>
      <c r="Z194">
        <v>0</v>
      </c>
      <c r="AA194">
        <v>2754.69</v>
      </c>
      <c r="AB194">
        <v>0</v>
      </c>
      <c r="AC194" s="49">
        <v>45189</v>
      </c>
      <c r="AD194" s="116" t="s">
        <v>10</v>
      </c>
      <c r="AE194" s="113" t="str" cm="1">
        <f t="array" ref="AE194">_xlfn.IFS(S194&lt;=Constantes!$G$2,"Muito Curta (evitável)",S194&lt;=Constantes!$H$2,"Curta Distância",S194&gt;Constantes!$H$2,"Longa Distância")</f>
        <v>Curta Distância</v>
      </c>
      <c r="AF194" s="114">
        <f>IFERROR(VLOOKUP(AE194,Constantes!$A$1:$E$5,MATCH(AD194,Constantes!$A$1:$E$1,0),0),"")</f>
        <v>0.18286935436241611</v>
      </c>
      <c r="AG194" s="115">
        <f t="shared" si="5"/>
        <v>492.93940123218408</v>
      </c>
    </row>
    <row r="195" spans="1:33" x14ac:dyDescent="0.3">
      <c r="A195">
        <f>COUNTIF($B$2:B195,B195)</f>
        <v>2</v>
      </c>
      <c r="B195">
        <v>19313347</v>
      </c>
      <c r="C195" t="s">
        <v>1141</v>
      </c>
      <c r="D195" t="s">
        <v>1142</v>
      </c>
      <c r="E195" t="s">
        <v>1143</v>
      </c>
      <c r="F195" t="s">
        <v>1127</v>
      </c>
      <c r="G195" t="s">
        <v>207</v>
      </c>
      <c r="H195" t="s">
        <v>204</v>
      </c>
      <c r="I195" s="49">
        <v>45193</v>
      </c>
      <c r="J195" s="49">
        <v>45199</v>
      </c>
      <c r="K195" t="s">
        <v>1128</v>
      </c>
      <c r="L195" s="49">
        <v>45199</v>
      </c>
      <c r="M195" s="49">
        <v>45199</v>
      </c>
      <c r="N195" t="s">
        <v>122</v>
      </c>
      <c r="O195" t="s">
        <v>107</v>
      </c>
      <c r="P195">
        <f>VLOOKUP(N195,[1]ID_Cidades!$A$1:$E$5900,2,FALSE)</f>
        <v>295781</v>
      </c>
      <c r="Q195">
        <f>VLOOKUP(O195,[1]ID_Cidades!$A$1:$E$5900,2,FALSE)</f>
        <v>295765</v>
      </c>
      <c r="R195">
        <f t="shared" si="6"/>
        <v>87481667465</v>
      </c>
      <c r="S195" s="42">
        <f>VLOOKUP(R195,'[1]GCD base'!$A$1:$M$200,7,FALSE)</f>
        <v>2695.5823350000001</v>
      </c>
      <c r="T195" t="s">
        <v>109</v>
      </c>
      <c r="U195" t="s">
        <v>201</v>
      </c>
      <c r="V195" t="s">
        <v>202</v>
      </c>
      <c r="W195" t="s">
        <v>210</v>
      </c>
      <c r="X195" t="s">
        <v>1129</v>
      </c>
      <c r="Y195">
        <v>0</v>
      </c>
      <c r="Z195">
        <v>0</v>
      </c>
      <c r="AA195">
        <v>2120</v>
      </c>
      <c r="AB195">
        <v>0</v>
      </c>
      <c r="AC195" s="49">
        <v>45189</v>
      </c>
      <c r="AD195" s="116" t="s">
        <v>10</v>
      </c>
      <c r="AE195" s="113" t="str" cm="1">
        <f t="array" ref="AE195">_xlfn.IFS(S195&lt;=Constantes!$G$2,"Muito Curta (evitável)",S195&lt;=Constantes!$H$2,"Curta Distância",S195&gt;Constantes!$H$2,"Longa Distância")</f>
        <v>Curta Distância</v>
      </c>
      <c r="AF195" s="114">
        <f>IFERROR(VLOOKUP(AE195,Constantes!$A$1:$E$5,MATCH(AD195,Constantes!$A$1:$E$1,0),0),"")</f>
        <v>0.18286935436241611</v>
      </c>
      <c r="AG195" s="115">
        <f t="shared" ref="AG195:AG258" si="7">AF195*S195</f>
        <v>492.93940123218408</v>
      </c>
    </row>
    <row r="196" spans="1:33" x14ac:dyDescent="0.3">
      <c r="A196">
        <f>COUNTIF($B$2:B196,B196)</f>
        <v>1</v>
      </c>
      <c r="B196">
        <v>19052847</v>
      </c>
      <c r="C196" t="s">
        <v>305</v>
      </c>
      <c r="D196" t="s">
        <v>255</v>
      </c>
      <c r="E196" t="s">
        <v>256</v>
      </c>
      <c r="F196" t="s">
        <v>198</v>
      </c>
      <c r="G196" t="s">
        <v>233</v>
      </c>
      <c r="H196" t="s">
        <v>233</v>
      </c>
      <c r="I196" s="49">
        <v>45194</v>
      </c>
      <c r="J196" s="49">
        <v>45198</v>
      </c>
      <c r="K196" t="s">
        <v>306</v>
      </c>
      <c r="L196" s="49">
        <v>45194</v>
      </c>
      <c r="M196" s="49">
        <v>45197</v>
      </c>
      <c r="N196" t="s">
        <v>107</v>
      </c>
      <c r="O196" t="s">
        <v>117</v>
      </c>
      <c r="P196">
        <f>VLOOKUP(N196,[1]ID_Cidades!$A$1:$E$5900,2,FALSE)</f>
        <v>295765</v>
      </c>
      <c r="Q196">
        <f>VLOOKUP(O196,[1]ID_Cidades!$A$1:$E$5900,2,FALSE)</f>
        <v>295779</v>
      </c>
      <c r="R196">
        <f t="shared" si="6"/>
        <v>87481075935</v>
      </c>
      <c r="S196" s="42">
        <f>VLOOKUP(R196,'[1]GCD base'!$A$1:$M$200,7,FALSE)</f>
        <v>2189.9742419999998</v>
      </c>
      <c r="T196" t="s">
        <v>109</v>
      </c>
      <c r="U196" t="s">
        <v>205</v>
      </c>
      <c r="V196" t="s">
        <v>202</v>
      </c>
      <c r="W196" t="s">
        <v>203</v>
      </c>
      <c r="X196" t="s">
        <v>204</v>
      </c>
      <c r="Y196">
        <v>1660.58</v>
      </c>
      <c r="Z196">
        <v>0</v>
      </c>
      <c r="AA196">
        <v>682.29</v>
      </c>
      <c r="AB196">
        <v>0</v>
      </c>
      <c r="AC196" s="49">
        <v>45124</v>
      </c>
      <c r="AD196" s="116" t="s">
        <v>10</v>
      </c>
      <c r="AE196" s="113" t="str" cm="1">
        <f t="array" ref="AE196">_xlfn.IFS(S196&lt;=Constantes!$G$2,"Muito Curta (evitável)",S196&lt;=Constantes!$H$2,"Curta Distância",S196&gt;Constantes!$H$2,"Longa Distância")</f>
        <v>Curta Distância</v>
      </c>
      <c r="AF196" s="114">
        <f>IFERROR(VLOOKUP(AE196,Constantes!$A$1:$E$5,MATCH(AD196,Constantes!$A$1:$E$1,0),0),"")</f>
        <v>0.18286935436241611</v>
      </c>
      <c r="AG196" s="115">
        <f t="shared" si="7"/>
        <v>400.47917570486158</v>
      </c>
    </row>
    <row r="197" spans="1:33" x14ac:dyDescent="0.3">
      <c r="A197">
        <f>COUNTIF($B$2:B197,B197)</f>
        <v>2</v>
      </c>
      <c r="B197">
        <v>19052847</v>
      </c>
      <c r="C197" t="s">
        <v>305</v>
      </c>
      <c r="D197" t="s">
        <v>255</v>
      </c>
      <c r="E197" t="s">
        <v>256</v>
      </c>
      <c r="F197" t="s">
        <v>198</v>
      </c>
      <c r="G197" t="s">
        <v>233</v>
      </c>
      <c r="H197" t="s">
        <v>233</v>
      </c>
      <c r="I197" s="49">
        <v>45194</v>
      </c>
      <c r="J197" s="49">
        <v>45198</v>
      </c>
      <c r="K197" t="s">
        <v>306</v>
      </c>
      <c r="L197" s="49">
        <v>45197</v>
      </c>
      <c r="M197" s="49">
        <v>45198</v>
      </c>
      <c r="N197" t="s">
        <v>117</v>
      </c>
      <c r="O197" t="s">
        <v>107</v>
      </c>
      <c r="P197">
        <f>VLOOKUP(N197,[1]ID_Cidades!$A$1:$E$5900,2,FALSE)</f>
        <v>295779</v>
      </c>
      <c r="Q197">
        <f>VLOOKUP(O197,[1]ID_Cidades!$A$1:$E$5900,2,FALSE)</f>
        <v>295765</v>
      </c>
      <c r="R197">
        <f t="shared" si="6"/>
        <v>87481075935</v>
      </c>
      <c r="S197" s="42">
        <f>VLOOKUP(R197,'[1]GCD base'!$A$1:$M$200,7,FALSE)</f>
        <v>2189.9742419999998</v>
      </c>
      <c r="T197" t="s">
        <v>109</v>
      </c>
      <c r="U197" t="s">
        <v>201</v>
      </c>
      <c r="V197" t="s">
        <v>202</v>
      </c>
      <c r="W197" t="s">
        <v>203</v>
      </c>
      <c r="X197" t="s">
        <v>204</v>
      </c>
      <c r="Y197">
        <v>0</v>
      </c>
      <c r="Z197">
        <v>0</v>
      </c>
      <c r="AA197">
        <v>643.85</v>
      </c>
      <c r="AB197">
        <v>0</v>
      </c>
      <c r="AC197" s="49">
        <v>45124</v>
      </c>
      <c r="AD197" s="116" t="s">
        <v>10</v>
      </c>
      <c r="AE197" s="113" t="str" cm="1">
        <f t="array" ref="AE197">_xlfn.IFS(S197&lt;=Constantes!$G$2,"Muito Curta (evitável)",S197&lt;=Constantes!$H$2,"Curta Distância",S197&gt;Constantes!$H$2,"Longa Distância")</f>
        <v>Curta Distância</v>
      </c>
      <c r="AF197" s="114">
        <f>IFERROR(VLOOKUP(AE197,Constantes!$A$1:$E$5,MATCH(AD197,Constantes!$A$1:$E$1,0),0),"")</f>
        <v>0.18286935436241611</v>
      </c>
      <c r="AG197" s="115">
        <f t="shared" si="7"/>
        <v>400.47917570486158</v>
      </c>
    </row>
    <row r="198" spans="1:33" x14ac:dyDescent="0.3">
      <c r="A198">
        <f>COUNTIF($B$2:B198,B198)</f>
        <v>1</v>
      </c>
      <c r="B198">
        <v>19071863</v>
      </c>
      <c r="C198" t="s">
        <v>336</v>
      </c>
      <c r="D198" t="s">
        <v>235</v>
      </c>
      <c r="E198" t="s">
        <v>141</v>
      </c>
      <c r="F198" t="s">
        <v>198</v>
      </c>
      <c r="G198" t="s">
        <v>207</v>
      </c>
      <c r="H198" t="s">
        <v>204</v>
      </c>
      <c r="I198" s="49">
        <v>45194</v>
      </c>
      <c r="J198" s="49">
        <v>45198</v>
      </c>
      <c r="K198" t="s">
        <v>337</v>
      </c>
      <c r="L198" s="49">
        <v>45194</v>
      </c>
      <c r="M198" s="49">
        <v>45198</v>
      </c>
      <c r="N198" t="s">
        <v>107</v>
      </c>
      <c r="O198" t="s">
        <v>117</v>
      </c>
      <c r="P198">
        <f>VLOOKUP(N198,[1]ID_Cidades!$A$1:$E$5900,2,FALSE)</f>
        <v>295765</v>
      </c>
      <c r="Q198">
        <f>VLOOKUP(O198,[1]ID_Cidades!$A$1:$E$5900,2,FALSE)</f>
        <v>295779</v>
      </c>
      <c r="R198">
        <f t="shared" si="6"/>
        <v>87481075935</v>
      </c>
      <c r="S198" s="42">
        <f>VLOOKUP(R198,'[1]GCD base'!$A$1:$M$200,7,FALSE)</f>
        <v>2189.9742419999998</v>
      </c>
      <c r="T198" t="s">
        <v>109</v>
      </c>
      <c r="U198" t="s">
        <v>205</v>
      </c>
      <c r="V198" t="s">
        <v>202</v>
      </c>
      <c r="W198" t="s">
        <v>203</v>
      </c>
      <c r="X198" t="s">
        <v>204</v>
      </c>
      <c r="Y198">
        <v>1660.58</v>
      </c>
      <c r="Z198">
        <v>0</v>
      </c>
      <c r="AA198">
        <v>641.09</v>
      </c>
      <c r="AB198">
        <v>0</v>
      </c>
      <c r="AC198" s="49">
        <v>45114</v>
      </c>
      <c r="AD198" s="116" t="s">
        <v>10</v>
      </c>
      <c r="AE198" s="113" t="str" cm="1">
        <f t="array" ref="AE198">_xlfn.IFS(S198&lt;=Constantes!$G$2,"Muito Curta (evitável)",S198&lt;=Constantes!$H$2,"Curta Distância",S198&gt;Constantes!$H$2,"Longa Distância")</f>
        <v>Curta Distância</v>
      </c>
      <c r="AF198" s="114">
        <f>IFERROR(VLOOKUP(AE198,Constantes!$A$1:$E$5,MATCH(AD198,Constantes!$A$1:$E$1,0),0),"")</f>
        <v>0.18286935436241611</v>
      </c>
      <c r="AG198" s="115">
        <f t="shared" si="7"/>
        <v>400.47917570486158</v>
      </c>
    </row>
    <row r="199" spans="1:33" x14ac:dyDescent="0.3">
      <c r="A199">
        <f>COUNTIF($B$2:B199,B199)</f>
        <v>2</v>
      </c>
      <c r="B199">
        <v>19071863</v>
      </c>
      <c r="C199" t="s">
        <v>336</v>
      </c>
      <c r="D199" t="s">
        <v>235</v>
      </c>
      <c r="E199" t="s">
        <v>141</v>
      </c>
      <c r="F199" t="s">
        <v>198</v>
      </c>
      <c r="G199" t="s">
        <v>207</v>
      </c>
      <c r="H199" t="s">
        <v>204</v>
      </c>
      <c r="I199" s="49">
        <v>45194</v>
      </c>
      <c r="J199" s="49">
        <v>45198</v>
      </c>
      <c r="K199" t="s">
        <v>337</v>
      </c>
      <c r="L199" s="49">
        <v>45198</v>
      </c>
      <c r="M199" s="49">
        <v>45198</v>
      </c>
      <c r="N199" t="s">
        <v>117</v>
      </c>
      <c r="O199" t="s">
        <v>107</v>
      </c>
      <c r="P199">
        <f>VLOOKUP(N199,[1]ID_Cidades!$A$1:$E$5900,2,FALSE)</f>
        <v>295779</v>
      </c>
      <c r="Q199">
        <f>VLOOKUP(O199,[1]ID_Cidades!$A$1:$E$5900,2,FALSE)</f>
        <v>295765</v>
      </c>
      <c r="R199">
        <f t="shared" si="6"/>
        <v>87481075935</v>
      </c>
      <c r="S199" s="42">
        <f>VLOOKUP(R199,'[1]GCD base'!$A$1:$M$200,7,FALSE)</f>
        <v>2189.9742419999998</v>
      </c>
      <c r="T199" t="s">
        <v>109</v>
      </c>
      <c r="U199" t="s">
        <v>201</v>
      </c>
      <c r="V199" t="s">
        <v>202</v>
      </c>
      <c r="W199" t="s">
        <v>203</v>
      </c>
      <c r="X199" t="s">
        <v>204</v>
      </c>
      <c r="Y199">
        <v>0</v>
      </c>
      <c r="Z199">
        <v>0</v>
      </c>
      <c r="AA199">
        <v>947.13</v>
      </c>
      <c r="AB199">
        <v>0</v>
      </c>
      <c r="AC199" s="49">
        <v>45114</v>
      </c>
      <c r="AD199" s="116" t="s">
        <v>10</v>
      </c>
      <c r="AE199" s="113" t="str" cm="1">
        <f t="array" ref="AE199">_xlfn.IFS(S199&lt;=Constantes!$G$2,"Muito Curta (evitável)",S199&lt;=Constantes!$H$2,"Curta Distância",S199&gt;Constantes!$H$2,"Longa Distância")</f>
        <v>Curta Distância</v>
      </c>
      <c r="AF199" s="114">
        <f>IFERROR(VLOOKUP(AE199,Constantes!$A$1:$E$5,MATCH(AD199,Constantes!$A$1:$E$1,0),0),"")</f>
        <v>0.18286935436241611</v>
      </c>
      <c r="AG199" s="115">
        <f t="shared" si="7"/>
        <v>400.47917570486158</v>
      </c>
    </row>
    <row r="200" spans="1:33" x14ac:dyDescent="0.3">
      <c r="A200">
        <f>COUNTIF($B$2:B200,B200)</f>
        <v>1</v>
      </c>
      <c r="B200">
        <v>19071945</v>
      </c>
      <c r="C200" t="s">
        <v>338</v>
      </c>
      <c r="D200" t="s">
        <v>339</v>
      </c>
      <c r="E200" t="s">
        <v>340</v>
      </c>
      <c r="F200" t="s">
        <v>198</v>
      </c>
      <c r="G200" t="s">
        <v>207</v>
      </c>
      <c r="H200" t="s">
        <v>204</v>
      </c>
      <c r="I200" s="49">
        <v>45194</v>
      </c>
      <c r="J200" s="49">
        <v>45198</v>
      </c>
      <c r="K200" t="s">
        <v>341</v>
      </c>
      <c r="L200" s="49">
        <v>45194</v>
      </c>
      <c r="M200" s="49">
        <v>45198</v>
      </c>
      <c r="N200" t="s">
        <v>107</v>
      </c>
      <c r="O200" t="s">
        <v>117</v>
      </c>
      <c r="P200">
        <f>VLOOKUP(N200,[1]ID_Cidades!$A$1:$E$5900,2,FALSE)</f>
        <v>295765</v>
      </c>
      <c r="Q200">
        <f>VLOOKUP(O200,[1]ID_Cidades!$A$1:$E$5900,2,FALSE)</f>
        <v>295779</v>
      </c>
      <c r="R200">
        <f t="shared" si="6"/>
        <v>87481075935</v>
      </c>
      <c r="S200" s="42">
        <f>VLOOKUP(R200,'[1]GCD base'!$A$1:$M$200,7,FALSE)</f>
        <v>2189.9742419999998</v>
      </c>
      <c r="T200" t="s">
        <v>109</v>
      </c>
      <c r="U200" t="s">
        <v>205</v>
      </c>
      <c r="V200" t="s">
        <v>202</v>
      </c>
      <c r="W200" t="s">
        <v>203</v>
      </c>
      <c r="X200" t="s">
        <v>204</v>
      </c>
      <c r="Y200">
        <v>1660.58</v>
      </c>
      <c r="Z200">
        <v>0</v>
      </c>
      <c r="AA200">
        <v>670.03</v>
      </c>
      <c r="AB200">
        <v>0</v>
      </c>
      <c r="AC200" s="49">
        <v>45117</v>
      </c>
      <c r="AD200" s="116" t="s">
        <v>10</v>
      </c>
      <c r="AE200" s="113" t="str" cm="1">
        <f t="array" ref="AE200">_xlfn.IFS(S200&lt;=Constantes!$G$2,"Muito Curta (evitável)",S200&lt;=Constantes!$H$2,"Curta Distância",S200&gt;Constantes!$H$2,"Longa Distância")</f>
        <v>Curta Distância</v>
      </c>
      <c r="AF200" s="114">
        <f>IFERROR(VLOOKUP(AE200,Constantes!$A$1:$E$5,MATCH(AD200,Constantes!$A$1:$E$1,0),0),"")</f>
        <v>0.18286935436241611</v>
      </c>
      <c r="AG200" s="115">
        <f t="shared" si="7"/>
        <v>400.47917570486158</v>
      </c>
    </row>
    <row r="201" spans="1:33" x14ac:dyDescent="0.3">
      <c r="A201">
        <f>COUNTIF($B$2:B201,B201)</f>
        <v>2</v>
      </c>
      <c r="B201">
        <v>19071945</v>
      </c>
      <c r="C201" t="s">
        <v>338</v>
      </c>
      <c r="D201" t="s">
        <v>339</v>
      </c>
      <c r="E201" t="s">
        <v>340</v>
      </c>
      <c r="F201" t="s">
        <v>198</v>
      </c>
      <c r="G201" t="s">
        <v>207</v>
      </c>
      <c r="H201" t="s">
        <v>204</v>
      </c>
      <c r="I201" s="49">
        <v>45194</v>
      </c>
      <c r="J201" s="49">
        <v>45198</v>
      </c>
      <c r="K201" t="s">
        <v>341</v>
      </c>
      <c r="L201" s="49">
        <v>45198</v>
      </c>
      <c r="M201" s="49">
        <v>45198</v>
      </c>
      <c r="N201" t="s">
        <v>117</v>
      </c>
      <c r="O201" t="s">
        <v>107</v>
      </c>
      <c r="P201">
        <f>VLOOKUP(N201,[1]ID_Cidades!$A$1:$E$5900,2,FALSE)</f>
        <v>295779</v>
      </c>
      <c r="Q201">
        <f>VLOOKUP(O201,[1]ID_Cidades!$A$1:$E$5900,2,FALSE)</f>
        <v>295765</v>
      </c>
      <c r="R201">
        <f t="shared" si="6"/>
        <v>87481075935</v>
      </c>
      <c r="S201" s="42">
        <f>VLOOKUP(R201,'[1]GCD base'!$A$1:$M$200,7,FALSE)</f>
        <v>2189.9742419999998</v>
      </c>
      <c r="T201" t="s">
        <v>109</v>
      </c>
      <c r="U201" t="s">
        <v>201</v>
      </c>
      <c r="V201" t="s">
        <v>202</v>
      </c>
      <c r="W201" t="s">
        <v>203</v>
      </c>
      <c r="X201" t="s">
        <v>204</v>
      </c>
      <c r="Y201">
        <v>0</v>
      </c>
      <c r="Z201">
        <v>0</v>
      </c>
      <c r="AA201">
        <v>682.29</v>
      </c>
      <c r="AB201">
        <v>0</v>
      </c>
      <c r="AC201" s="49">
        <v>45117</v>
      </c>
      <c r="AD201" s="116" t="s">
        <v>10</v>
      </c>
      <c r="AE201" s="113" t="str" cm="1">
        <f t="array" ref="AE201">_xlfn.IFS(S201&lt;=Constantes!$G$2,"Muito Curta (evitável)",S201&lt;=Constantes!$H$2,"Curta Distância",S201&gt;Constantes!$H$2,"Longa Distância")</f>
        <v>Curta Distância</v>
      </c>
      <c r="AF201" s="114">
        <f>IFERROR(VLOOKUP(AE201,Constantes!$A$1:$E$5,MATCH(AD201,Constantes!$A$1:$E$1,0),0),"")</f>
        <v>0.18286935436241611</v>
      </c>
      <c r="AG201" s="115">
        <f t="shared" si="7"/>
        <v>400.47917570486158</v>
      </c>
    </row>
    <row r="202" spans="1:33" x14ac:dyDescent="0.3">
      <c r="A202">
        <f>COUNTIF($B$2:B202,B202)</f>
        <v>1</v>
      </c>
      <c r="B202">
        <v>19072379</v>
      </c>
      <c r="C202" t="s">
        <v>346</v>
      </c>
      <c r="D202" t="s">
        <v>347</v>
      </c>
      <c r="E202" t="s">
        <v>348</v>
      </c>
      <c r="F202" t="s">
        <v>198</v>
      </c>
      <c r="G202" t="s">
        <v>207</v>
      </c>
      <c r="H202" t="s">
        <v>204</v>
      </c>
      <c r="I202" s="49">
        <v>45194</v>
      </c>
      <c r="J202" s="49">
        <v>45198</v>
      </c>
      <c r="K202" t="s">
        <v>349</v>
      </c>
      <c r="L202" s="49">
        <v>45194</v>
      </c>
      <c r="M202" s="49">
        <v>45198</v>
      </c>
      <c r="N202" t="s">
        <v>107</v>
      </c>
      <c r="O202" t="s">
        <v>117</v>
      </c>
      <c r="P202">
        <f>VLOOKUP(N202,[1]ID_Cidades!$A$1:$E$5900,2,FALSE)</f>
        <v>295765</v>
      </c>
      <c r="Q202">
        <f>VLOOKUP(O202,[1]ID_Cidades!$A$1:$E$5900,2,FALSE)</f>
        <v>295779</v>
      </c>
      <c r="R202">
        <f t="shared" si="6"/>
        <v>87481075935</v>
      </c>
      <c r="S202" s="42">
        <f>VLOOKUP(R202,'[1]GCD base'!$A$1:$M$200,7,FALSE)</f>
        <v>2189.9742419999998</v>
      </c>
      <c r="T202" t="s">
        <v>109</v>
      </c>
      <c r="U202" t="s">
        <v>205</v>
      </c>
      <c r="V202" t="s">
        <v>202</v>
      </c>
      <c r="W202" t="s">
        <v>203</v>
      </c>
      <c r="X202" t="s">
        <v>204</v>
      </c>
      <c r="Y202">
        <v>1660.58</v>
      </c>
      <c r="Z202">
        <v>0</v>
      </c>
      <c r="AA202">
        <v>905.19</v>
      </c>
      <c r="AB202">
        <v>0</v>
      </c>
      <c r="AC202" s="49">
        <v>45118</v>
      </c>
      <c r="AD202" s="116" t="s">
        <v>10</v>
      </c>
      <c r="AE202" s="113" t="str" cm="1">
        <f t="array" ref="AE202">_xlfn.IFS(S202&lt;=Constantes!$G$2,"Muito Curta (evitável)",S202&lt;=Constantes!$H$2,"Curta Distância",S202&gt;Constantes!$H$2,"Longa Distância")</f>
        <v>Curta Distância</v>
      </c>
      <c r="AF202" s="114">
        <f>IFERROR(VLOOKUP(AE202,Constantes!$A$1:$E$5,MATCH(AD202,Constantes!$A$1:$E$1,0),0),"")</f>
        <v>0.18286935436241611</v>
      </c>
      <c r="AG202" s="115">
        <f t="shared" si="7"/>
        <v>400.47917570486158</v>
      </c>
    </row>
    <row r="203" spans="1:33" x14ac:dyDescent="0.3">
      <c r="A203">
        <f>COUNTIF($B$2:B203,B203)</f>
        <v>2</v>
      </c>
      <c r="B203">
        <v>19072379</v>
      </c>
      <c r="C203" t="s">
        <v>346</v>
      </c>
      <c r="D203" t="s">
        <v>347</v>
      </c>
      <c r="E203" t="s">
        <v>348</v>
      </c>
      <c r="F203" t="s">
        <v>198</v>
      </c>
      <c r="G203" t="s">
        <v>207</v>
      </c>
      <c r="H203" t="s">
        <v>204</v>
      </c>
      <c r="I203" s="49">
        <v>45194</v>
      </c>
      <c r="J203" s="49">
        <v>45198</v>
      </c>
      <c r="K203" t="s">
        <v>349</v>
      </c>
      <c r="L203" s="49">
        <v>45198</v>
      </c>
      <c r="M203" s="49">
        <v>45198</v>
      </c>
      <c r="N203" t="s">
        <v>117</v>
      </c>
      <c r="O203" t="s">
        <v>107</v>
      </c>
      <c r="P203">
        <f>VLOOKUP(N203,[1]ID_Cidades!$A$1:$E$5900,2,FALSE)</f>
        <v>295779</v>
      </c>
      <c r="Q203">
        <f>VLOOKUP(O203,[1]ID_Cidades!$A$1:$E$5900,2,FALSE)</f>
        <v>295765</v>
      </c>
      <c r="R203">
        <f t="shared" si="6"/>
        <v>87481075935</v>
      </c>
      <c r="S203" s="42">
        <f>VLOOKUP(R203,'[1]GCD base'!$A$1:$M$200,7,FALSE)</f>
        <v>2189.9742419999998</v>
      </c>
      <c r="T203" t="s">
        <v>109</v>
      </c>
      <c r="U203" t="s">
        <v>201</v>
      </c>
      <c r="V203" t="s">
        <v>202</v>
      </c>
      <c r="W203" t="s">
        <v>203</v>
      </c>
      <c r="X203" t="s">
        <v>204</v>
      </c>
      <c r="Y203">
        <v>0</v>
      </c>
      <c r="Z203">
        <v>0</v>
      </c>
      <c r="AA203">
        <v>889.73</v>
      </c>
      <c r="AB203">
        <v>0</v>
      </c>
      <c r="AC203" s="49">
        <v>45118</v>
      </c>
      <c r="AD203" s="116" t="s">
        <v>10</v>
      </c>
      <c r="AE203" s="113" t="str" cm="1">
        <f t="array" ref="AE203">_xlfn.IFS(S203&lt;=Constantes!$G$2,"Muito Curta (evitável)",S203&lt;=Constantes!$H$2,"Curta Distância",S203&gt;Constantes!$H$2,"Longa Distância")</f>
        <v>Curta Distância</v>
      </c>
      <c r="AF203" s="114">
        <f>IFERROR(VLOOKUP(AE203,Constantes!$A$1:$E$5,MATCH(AD203,Constantes!$A$1:$E$1,0),0),"")</f>
        <v>0.18286935436241611</v>
      </c>
      <c r="AG203" s="115">
        <f t="shared" si="7"/>
        <v>400.47917570486158</v>
      </c>
    </row>
    <row r="204" spans="1:33" x14ac:dyDescent="0.3">
      <c r="A204">
        <f>COUNTIF($B$2:B204,B204)</f>
        <v>1</v>
      </c>
      <c r="B204">
        <v>19076783</v>
      </c>
      <c r="C204" t="s">
        <v>359</v>
      </c>
      <c r="D204" t="s">
        <v>360</v>
      </c>
      <c r="E204" t="s">
        <v>361</v>
      </c>
      <c r="F204" t="s">
        <v>198</v>
      </c>
      <c r="G204" t="s">
        <v>207</v>
      </c>
      <c r="H204" t="s">
        <v>204</v>
      </c>
      <c r="I204" s="49">
        <v>45194</v>
      </c>
      <c r="J204" s="49">
        <v>45198</v>
      </c>
      <c r="K204" t="s">
        <v>362</v>
      </c>
      <c r="L204" s="49">
        <v>45194</v>
      </c>
      <c r="M204" s="49">
        <v>45198</v>
      </c>
      <c r="N204" t="s">
        <v>107</v>
      </c>
      <c r="O204" t="s">
        <v>117</v>
      </c>
      <c r="P204">
        <f>VLOOKUP(N204,[1]ID_Cidades!$A$1:$E$5900,2,FALSE)</f>
        <v>295765</v>
      </c>
      <c r="Q204">
        <f>VLOOKUP(O204,[1]ID_Cidades!$A$1:$E$5900,2,FALSE)</f>
        <v>295779</v>
      </c>
      <c r="R204">
        <f t="shared" si="6"/>
        <v>87481075935</v>
      </c>
      <c r="S204" s="42">
        <f>VLOOKUP(R204,'[1]GCD base'!$A$1:$M$200,7,FALSE)</f>
        <v>2189.9742419999998</v>
      </c>
      <c r="T204" t="s">
        <v>109</v>
      </c>
      <c r="U204" t="s">
        <v>205</v>
      </c>
      <c r="V204" t="s">
        <v>202</v>
      </c>
      <c r="W204" t="s">
        <v>203</v>
      </c>
      <c r="X204" t="s">
        <v>204</v>
      </c>
      <c r="Y204">
        <v>1660.58</v>
      </c>
      <c r="Z204">
        <v>0</v>
      </c>
      <c r="AA204">
        <v>570.13</v>
      </c>
      <c r="AB204">
        <v>0</v>
      </c>
      <c r="AC204" s="49">
        <v>45117</v>
      </c>
      <c r="AD204" s="116" t="s">
        <v>10</v>
      </c>
      <c r="AE204" s="113" t="str" cm="1">
        <f t="array" ref="AE204">_xlfn.IFS(S204&lt;=Constantes!$G$2,"Muito Curta (evitável)",S204&lt;=Constantes!$H$2,"Curta Distância",S204&gt;Constantes!$H$2,"Longa Distância")</f>
        <v>Curta Distância</v>
      </c>
      <c r="AF204" s="114">
        <f>IFERROR(VLOOKUP(AE204,Constantes!$A$1:$E$5,MATCH(AD204,Constantes!$A$1:$E$1,0),0),"")</f>
        <v>0.18286935436241611</v>
      </c>
      <c r="AG204" s="115">
        <f t="shared" si="7"/>
        <v>400.47917570486158</v>
      </c>
    </row>
    <row r="205" spans="1:33" x14ac:dyDescent="0.3">
      <c r="A205">
        <f>COUNTIF($B$2:B205,B205)</f>
        <v>2</v>
      </c>
      <c r="B205">
        <v>19076783</v>
      </c>
      <c r="C205" t="s">
        <v>359</v>
      </c>
      <c r="D205" t="s">
        <v>360</v>
      </c>
      <c r="E205" t="s">
        <v>361</v>
      </c>
      <c r="F205" t="s">
        <v>198</v>
      </c>
      <c r="G205" t="s">
        <v>207</v>
      </c>
      <c r="H205" t="s">
        <v>204</v>
      </c>
      <c r="I205" s="49">
        <v>45194</v>
      </c>
      <c r="J205" s="49">
        <v>45198</v>
      </c>
      <c r="K205" t="s">
        <v>362</v>
      </c>
      <c r="L205" s="49">
        <v>45198</v>
      </c>
      <c r="M205" s="49">
        <v>45198</v>
      </c>
      <c r="N205" t="s">
        <v>117</v>
      </c>
      <c r="O205" t="s">
        <v>107</v>
      </c>
      <c r="P205">
        <f>VLOOKUP(N205,[1]ID_Cidades!$A$1:$E$5900,2,FALSE)</f>
        <v>295779</v>
      </c>
      <c r="Q205">
        <f>VLOOKUP(O205,[1]ID_Cidades!$A$1:$E$5900,2,FALSE)</f>
        <v>295765</v>
      </c>
      <c r="R205">
        <f t="shared" si="6"/>
        <v>87481075935</v>
      </c>
      <c r="S205" s="42">
        <f>VLOOKUP(R205,'[1]GCD base'!$A$1:$M$200,7,FALSE)</f>
        <v>2189.9742419999998</v>
      </c>
      <c r="T205" t="s">
        <v>109</v>
      </c>
      <c r="U205" t="s">
        <v>201</v>
      </c>
      <c r="V205" t="s">
        <v>202</v>
      </c>
      <c r="W205" t="s">
        <v>203</v>
      </c>
      <c r="X205" t="s">
        <v>204</v>
      </c>
      <c r="Y205">
        <v>0</v>
      </c>
      <c r="Z205">
        <v>0</v>
      </c>
      <c r="AA205">
        <v>586.59</v>
      </c>
      <c r="AB205">
        <v>0</v>
      </c>
      <c r="AC205" s="49">
        <v>45117</v>
      </c>
      <c r="AD205" s="116" t="s">
        <v>10</v>
      </c>
      <c r="AE205" s="113" t="str" cm="1">
        <f t="array" ref="AE205">_xlfn.IFS(S205&lt;=Constantes!$G$2,"Muito Curta (evitável)",S205&lt;=Constantes!$H$2,"Curta Distância",S205&gt;Constantes!$H$2,"Longa Distância")</f>
        <v>Curta Distância</v>
      </c>
      <c r="AF205" s="114">
        <f>IFERROR(VLOOKUP(AE205,Constantes!$A$1:$E$5,MATCH(AD205,Constantes!$A$1:$E$1,0),0),"")</f>
        <v>0.18286935436241611</v>
      </c>
      <c r="AG205" s="115">
        <f t="shared" si="7"/>
        <v>400.47917570486158</v>
      </c>
    </row>
    <row r="206" spans="1:33" x14ac:dyDescent="0.3">
      <c r="A206">
        <f>COUNTIF($B$2:B206,B206)</f>
        <v>1</v>
      </c>
      <c r="B206">
        <v>19078236</v>
      </c>
      <c r="C206" t="s">
        <v>372</v>
      </c>
      <c r="D206" t="s">
        <v>373</v>
      </c>
      <c r="E206" t="s">
        <v>374</v>
      </c>
      <c r="F206" t="s">
        <v>198</v>
      </c>
      <c r="G206" t="s">
        <v>207</v>
      </c>
      <c r="H206" t="s">
        <v>204</v>
      </c>
      <c r="I206" s="49">
        <v>45194</v>
      </c>
      <c r="J206" s="49">
        <v>45198</v>
      </c>
      <c r="K206" t="s">
        <v>337</v>
      </c>
      <c r="L206" s="49">
        <v>45194</v>
      </c>
      <c r="M206" s="49">
        <v>45198</v>
      </c>
      <c r="N206" t="s">
        <v>107</v>
      </c>
      <c r="O206" t="s">
        <v>117</v>
      </c>
      <c r="P206">
        <f>VLOOKUP(N206,[1]ID_Cidades!$A$1:$E$5900,2,FALSE)</f>
        <v>295765</v>
      </c>
      <c r="Q206">
        <f>VLOOKUP(O206,[1]ID_Cidades!$A$1:$E$5900,2,FALSE)</f>
        <v>295779</v>
      </c>
      <c r="R206">
        <f t="shared" si="6"/>
        <v>87481075935</v>
      </c>
      <c r="S206" s="42">
        <f>VLOOKUP(R206,'[1]GCD base'!$A$1:$M$200,7,FALSE)</f>
        <v>2189.9742419999998</v>
      </c>
      <c r="T206" t="s">
        <v>109</v>
      </c>
      <c r="U206" t="s">
        <v>205</v>
      </c>
      <c r="V206" t="s">
        <v>202</v>
      </c>
      <c r="W206" t="s">
        <v>203</v>
      </c>
      <c r="X206" t="s">
        <v>204</v>
      </c>
      <c r="Y206">
        <v>1660.58</v>
      </c>
      <c r="Z206">
        <v>0</v>
      </c>
      <c r="AA206">
        <v>905.19</v>
      </c>
      <c r="AB206">
        <v>0</v>
      </c>
      <c r="AC206" s="49">
        <v>45118</v>
      </c>
      <c r="AD206" s="116" t="s">
        <v>10</v>
      </c>
      <c r="AE206" s="113" t="str" cm="1">
        <f t="array" ref="AE206">_xlfn.IFS(S206&lt;=Constantes!$G$2,"Muito Curta (evitável)",S206&lt;=Constantes!$H$2,"Curta Distância",S206&gt;Constantes!$H$2,"Longa Distância")</f>
        <v>Curta Distância</v>
      </c>
      <c r="AF206" s="114">
        <f>IFERROR(VLOOKUP(AE206,Constantes!$A$1:$E$5,MATCH(AD206,Constantes!$A$1:$E$1,0),0),"")</f>
        <v>0.18286935436241611</v>
      </c>
      <c r="AG206" s="115">
        <f t="shared" si="7"/>
        <v>400.47917570486158</v>
      </c>
    </row>
    <row r="207" spans="1:33" x14ac:dyDescent="0.3">
      <c r="A207">
        <f>COUNTIF($B$2:B207,B207)</f>
        <v>2</v>
      </c>
      <c r="B207">
        <v>19078236</v>
      </c>
      <c r="C207" t="s">
        <v>372</v>
      </c>
      <c r="D207" t="s">
        <v>373</v>
      </c>
      <c r="E207" t="s">
        <v>374</v>
      </c>
      <c r="F207" t="s">
        <v>198</v>
      </c>
      <c r="G207" t="s">
        <v>207</v>
      </c>
      <c r="H207" t="s">
        <v>204</v>
      </c>
      <c r="I207" s="49">
        <v>45194</v>
      </c>
      <c r="J207" s="49">
        <v>45198</v>
      </c>
      <c r="K207" t="s">
        <v>337</v>
      </c>
      <c r="L207" s="49">
        <v>45198</v>
      </c>
      <c r="M207" s="49">
        <v>45198</v>
      </c>
      <c r="N207" t="s">
        <v>117</v>
      </c>
      <c r="O207" t="s">
        <v>107</v>
      </c>
      <c r="P207">
        <f>VLOOKUP(N207,[1]ID_Cidades!$A$1:$E$5900,2,FALSE)</f>
        <v>295779</v>
      </c>
      <c r="Q207">
        <f>VLOOKUP(O207,[1]ID_Cidades!$A$1:$E$5900,2,FALSE)</f>
        <v>295765</v>
      </c>
      <c r="R207">
        <f t="shared" si="6"/>
        <v>87481075935</v>
      </c>
      <c r="S207" s="42">
        <f>VLOOKUP(R207,'[1]GCD base'!$A$1:$M$200,7,FALSE)</f>
        <v>2189.9742419999998</v>
      </c>
      <c r="T207" t="s">
        <v>109</v>
      </c>
      <c r="U207" t="s">
        <v>201</v>
      </c>
      <c r="V207" t="s">
        <v>202</v>
      </c>
      <c r="W207" t="s">
        <v>203</v>
      </c>
      <c r="X207" t="s">
        <v>204</v>
      </c>
      <c r="Y207">
        <v>0</v>
      </c>
      <c r="Z207">
        <v>0</v>
      </c>
      <c r="AA207">
        <v>889.73</v>
      </c>
      <c r="AB207">
        <v>0</v>
      </c>
      <c r="AC207" s="49">
        <v>45118</v>
      </c>
      <c r="AD207" s="116" t="s">
        <v>10</v>
      </c>
      <c r="AE207" s="113" t="str" cm="1">
        <f t="array" ref="AE207">_xlfn.IFS(S207&lt;=Constantes!$G$2,"Muito Curta (evitável)",S207&lt;=Constantes!$H$2,"Curta Distância",S207&gt;Constantes!$H$2,"Longa Distância")</f>
        <v>Curta Distância</v>
      </c>
      <c r="AF207" s="114">
        <f>IFERROR(VLOOKUP(AE207,Constantes!$A$1:$E$5,MATCH(AD207,Constantes!$A$1:$E$1,0),0),"")</f>
        <v>0.18286935436241611</v>
      </c>
      <c r="AG207" s="115">
        <f t="shared" si="7"/>
        <v>400.47917570486158</v>
      </c>
    </row>
    <row r="208" spans="1:33" x14ac:dyDescent="0.3">
      <c r="A208">
        <f>COUNTIF($B$2:B208,B208)</f>
        <v>1</v>
      </c>
      <c r="B208">
        <v>19083928</v>
      </c>
      <c r="C208" t="s">
        <v>379</v>
      </c>
      <c r="D208" t="s">
        <v>380</v>
      </c>
      <c r="E208" t="s">
        <v>381</v>
      </c>
      <c r="F208" t="s">
        <v>198</v>
      </c>
      <c r="G208" t="s">
        <v>207</v>
      </c>
      <c r="H208" t="s">
        <v>204</v>
      </c>
      <c r="I208" s="49">
        <v>45194</v>
      </c>
      <c r="J208" s="49">
        <v>45197</v>
      </c>
      <c r="K208" t="s">
        <v>382</v>
      </c>
      <c r="L208" s="49">
        <v>45197</v>
      </c>
      <c r="M208" s="49">
        <v>45197</v>
      </c>
      <c r="N208" t="s">
        <v>117</v>
      </c>
      <c r="O208" t="s">
        <v>107</v>
      </c>
      <c r="P208">
        <f>VLOOKUP(N208,[1]ID_Cidades!$A$1:$E$5900,2,FALSE)</f>
        <v>295779</v>
      </c>
      <c r="Q208">
        <f>VLOOKUP(O208,[1]ID_Cidades!$A$1:$E$5900,2,FALSE)</f>
        <v>295765</v>
      </c>
      <c r="R208">
        <f t="shared" si="6"/>
        <v>87481075935</v>
      </c>
      <c r="S208" s="42">
        <f>VLOOKUP(R208,'[1]GCD base'!$A$1:$M$200,7,FALSE)</f>
        <v>2189.9742419999998</v>
      </c>
      <c r="T208" t="s">
        <v>109</v>
      </c>
      <c r="U208" t="s">
        <v>201</v>
      </c>
      <c r="V208" t="s">
        <v>202</v>
      </c>
      <c r="W208" t="s">
        <v>203</v>
      </c>
      <c r="X208" t="s">
        <v>204</v>
      </c>
      <c r="Y208">
        <v>0</v>
      </c>
      <c r="Z208">
        <v>0</v>
      </c>
      <c r="AA208">
        <v>562.69000000000005</v>
      </c>
      <c r="AB208">
        <v>0</v>
      </c>
      <c r="AC208" s="49">
        <v>45119</v>
      </c>
      <c r="AD208" s="116" t="s">
        <v>10</v>
      </c>
      <c r="AE208" s="113" t="str" cm="1">
        <f t="array" ref="AE208">_xlfn.IFS(S208&lt;=Constantes!$G$2,"Muito Curta (evitável)",S208&lt;=Constantes!$H$2,"Curta Distância",S208&gt;Constantes!$H$2,"Longa Distância")</f>
        <v>Curta Distância</v>
      </c>
      <c r="AF208" s="114">
        <f>IFERROR(VLOOKUP(AE208,Constantes!$A$1:$E$5,MATCH(AD208,Constantes!$A$1:$E$1,0),0),"")</f>
        <v>0.18286935436241611</v>
      </c>
      <c r="AG208" s="115">
        <f t="shared" si="7"/>
        <v>400.47917570486158</v>
      </c>
    </row>
    <row r="209" spans="1:33" x14ac:dyDescent="0.3">
      <c r="A209">
        <f>COUNTIF($B$2:B209,B209)</f>
        <v>2</v>
      </c>
      <c r="B209">
        <v>19083928</v>
      </c>
      <c r="C209" t="s">
        <v>379</v>
      </c>
      <c r="D209" t="s">
        <v>380</v>
      </c>
      <c r="E209" t="s">
        <v>381</v>
      </c>
      <c r="F209" t="s">
        <v>198</v>
      </c>
      <c r="G209" t="s">
        <v>207</v>
      </c>
      <c r="H209" t="s">
        <v>204</v>
      </c>
      <c r="I209" s="49">
        <v>45194</v>
      </c>
      <c r="J209" s="49">
        <v>45197</v>
      </c>
      <c r="K209" t="s">
        <v>382</v>
      </c>
      <c r="L209" s="49">
        <v>45194</v>
      </c>
      <c r="M209" s="49">
        <v>45197</v>
      </c>
      <c r="N209" t="s">
        <v>107</v>
      </c>
      <c r="O209" t="s">
        <v>117</v>
      </c>
      <c r="P209">
        <f>VLOOKUP(N209,[1]ID_Cidades!$A$1:$E$5900,2,FALSE)</f>
        <v>295765</v>
      </c>
      <c r="Q209">
        <f>VLOOKUP(O209,[1]ID_Cidades!$A$1:$E$5900,2,FALSE)</f>
        <v>295779</v>
      </c>
      <c r="R209">
        <f t="shared" si="6"/>
        <v>87481075935</v>
      </c>
      <c r="S209" s="42">
        <f>VLOOKUP(R209,'[1]GCD base'!$A$1:$M$200,7,FALSE)</f>
        <v>2189.9742419999998</v>
      </c>
      <c r="T209" t="s">
        <v>109</v>
      </c>
      <c r="U209" t="s">
        <v>205</v>
      </c>
      <c r="V209" t="s">
        <v>202</v>
      </c>
      <c r="W209" t="s">
        <v>203</v>
      </c>
      <c r="X209" t="s">
        <v>204</v>
      </c>
      <c r="Y209">
        <v>0</v>
      </c>
      <c r="Z209">
        <v>0</v>
      </c>
      <c r="AA209">
        <v>570.53</v>
      </c>
      <c r="AB209">
        <v>0</v>
      </c>
      <c r="AC209" s="49">
        <v>45119</v>
      </c>
      <c r="AD209" s="116" t="s">
        <v>10</v>
      </c>
      <c r="AE209" s="113" t="str" cm="1">
        <f t="array" ref="AE209">_xlfn.IFS(S209&lt;=Constantes!$G$2,"Muito Curta (evitável)",S209&lt;=Constantes!$H$2,"Curta Distância",S209&gt;Constantes!$H$2,"Longa Distância")</f>
        <v>Curta Distância</v>
      </c>
      <c r="AF209" s="114">
        <f>IFERROR(VLOOKUP(AE209,Constantes!$A$1:$E$5,MATCH(AD209,Constantes!$A$1:$E$1,0),0),"")</f>
        <v>0.18286935436241611</v>
      </c>
      <c r="AG209" s="115">
        <f t="shared" si="7"/>
        <v>400.47917570486158</v>
      </c>
    </row>
    <row r="210" spans="1:33" x14ac:dyDescent="0.3">
      <c r="A210">
        <f>COUNTIF($B$2:B210,B210)</f>
        <v>1</v>
      </c>
      <c r="B210">
        <v>19097605</v>
      </c>
      <c r="C210" t="s">
        <v>390</v>
      </c>
      <c r="D210" t="s">
        <v>391</v>
      </c>
      <c r="E210" t="s">
        <v>392</v>
      </c>
      <c r="F210" t="s">
        <v>198</v>
      </c>
      <c r="G210" t="s">
        <v>233</v>
      </c>
      <c r="H210" t="s">
        <v>233</v>
      </c>
      <c r="I210" s="49">
        <v>45194</v>
      </c>
      <c r="J210" s="49">
        <v>45198</v>
      </c>
      <c r="K210" t="s">
        <v>393</v>
      </c>
      <c r="L210" s="49">
        <v>45194</v>
      </c>
      <c r="M210" s="49">
        <v>45198</v>
      </c>
      <c r="N210" t="s">
        <v>107</v>
      </c>
      <c r="O210" t="s">
        <v>117</v>
      </c>
      <c r="P210">
        <f>VLOOKUP(N210,[1]ID_Cidades!$A$1:$E$5900,2,FALSE)</f>
        <v>295765</v>
      </c>
      <c r="Q210">
        <f>VLOOKUP(O210,[1]ID_Cidades!$A$1:$E$5900,2,FALSE)</f>
        <v>295779</v>
      </c>
      <c r="R210">
        <f t="shared" si="6"/>
        <v>87481075935</v>
      </c>
      <c r="S210" s="42">
        <f>VLOOKUP(R210,'[1]GCD base'!$A$1:$M$200,7,FALSE)</f>
        <v>2189.9742419999998</v>
      </c>
      <c r="T210" t="s">
        <v>109</v>
      </c>
      <c r="U210" t="s">
        <v>205</v>
      </c>
      <c r="V210" t="s">
        <v>202</v>
      </c>
      <c r="W210" t="s">
        <v>203</v>
      </c>
      <c r="X210" t="s">
        <v>204</v>
      </c>
      <c r="Y210">
        <v>1660.58</v>
      </c>
      <c r="Z210">
        <v>0</v>
      </c>
      <c r="AA210">
        <v>643.85</v>
      </c>
      <c r="AB210">
        <v>0</v>
      </c>
      <c r="AC210" s="49">
        <v>45125</v>
      </c>
      <c r="AD210" s="116" t="s">
        <v>10</v>
      </c>
      <c r="AE210" s="113" t="str" cm="1">
        <f t="array" ref="AE210">_xlfn.IFS(S210&lt;=Constantes!$G$2,"Muito Curta (evitável)",S210&lt;=Constantes!$H$2,"Curta Distância",S210&gt;Constantes!$H$2,"Longa Distância")</f>
        <v>Curta Distância</v>
      </c>
      <c r="AF210" s="114">
        <f>IFERROR(VLOOKUP(AE210,Constantes!$A$1:$E$5,MATCH(AD210,Constantes!$A$1:$E$1,0),0),"")</f>
        <v>0.18286935436241611</v>
      </c>
      <c r="AG210" s="115">
        <f t="shared" si="7"/>
        <v>400.47917570486158</v>
      </c>
    </row>
    <row r="211" spans="1:33" x14ac:dyDescent="0.3">
      <c r="A211">
        <f>COUNTIF($B$2:B211,B211)</f>
        <v>2</v>
      </c>
      <c r="B211">
        <v>19097605</v>
      </c>
      <c r="C211" t="s">
        <v>390</v>
      </c>
      <c r="D211" t="s">
        <v>391</v>
      </c>
      <c r="E211" t="s">
        <v>392</v>
      </c>
      <c r="F211" t="s">
        <v>198</v>
      </c>
      <c r="G211" t="s">
        <v>233</v>
      </c>
      <c r="H211" t="s">
        <v>233</v>
      </c>
      <c r="I211" s="49">
        <v>45194</v>
      </c>
      <c r="J211" s="49">
        <v>45198</v>
      </c>
      <c r="K211" t="s">
        <v>393</v>
      </c>
      <c r="L211" s="49">
        <v>45198</v>
      </c>
      <c r="M211" s="49">
        <v>45198</v>
      </c>
      <c r="N211" t="s">
        <v>117</v>
      </c>
      <c r="O211" t="s">
        <v>107</v>
      </c>
      <c r="P211">
        <f>VLOOKUP(N211,[1]ID_Cidades!$A$1:$E$5900,2,FALSE)</f>
        <v>295779</v>
      </c>
      <c r="Q211">
        <f>VLOOKUP(O211,[1]ID_Cidades!$A$1:$E$5900,2,FALSE)</f>
        <v>295765</v>
      </c>
      <c r="R211">
        <f t="shared" si="6"/>
        <v>87481075935</v>
      </c>
      <c r="S211" s="42">
        <f>VLOOKUP(R211,'[1]GCD base'!$A$1:$M$200,7,FALSE)</f>
        <v>2189.9742419999998</v>
      </c>
      <c r="T211" t="s">
        <v>109</v>
      </c>
      <c r="U211" t="s">
        <v>201</v>
      </c>
      <c r="V211" t="s">
        <v>202</v>
      </c>
      <c r="W211" t="s">
        <v>203</v>
      </c>
      <c r="X211" t="s">
        <v>204</v>
      </c>
      <c r="Y211">
        <v>0</v>
      </c>
      <c r="Z211">
        <v>0</v>
      </c>
      <c r="AA211">
        <v>682.29</v>
      </c>
      <c r="AB211">
        <v>0</v>
      </c>
      <c r="AC211" s="49">
        <v>45125</v>
      </c>
      <c r="AD211" s="116" t="s">
        <v>10</v>
      </c>
      <c r="AE211" s="113" t="str" cm="1">
        <f t="array" ref="AE211">_xlfn.IFS(S211&lt;=Constantes!$G$2,"Muito Curta (evitável)",S211&lt;=Constantes!$H$2,"Curta Distância",S211&gt;Constantes!$H$2,"Longa Distância")</f>
        <v>Curta Distância</v>
      </c>
      <c r="AF211" s="114">
        <f>IFERROR(VLOOKUP(AE211,Constantes!$A$1:$E$5,MATCH(AD211,Constantes!$A$1:$E$1,0),0),"")</f>
        <v>0.18286935436241611</v>
      </c>
      <c r="AG211" s="115">
        <f t="shared" si="7"/>
        <v>400.47917570486158</v>
      </c>
    </row>
    <row r="212" spans="1:33" x14ac:dyDescent="0.3">
      <c r="A212">
        <f>COUNTIF($B$2:B212,B212)</f>
        <v>1</v>
      </c>
      <c r="B212">
        <v>19159709</v>
      </c>
      <c r="C212" t="s">
        <v>537</v>
      </c>
      <c r="D212" t="s">
        <v>538</v>
      </c>
      <c r="E212" t="s">
        <v>539</v>
      </c>
      <c r="F212" t="s">
        <v>220</v>
      </c>
      <c r="G212" t="s">
        <v>223</v>
      </c>
      <c r="H212" t="s">
        <v>223</v>
      </c>
      <c r="I212" s="49">
        <v>45194</v>
      </c>
      <c r="J212" s="49">
        <v>45198</v>
      </c>
      <c r="K212" t="s">
        <v>540</v>
      </c>
      <c r="L212" s="49">
        <v>45194</v>
      </c>
      <c r="M212" s="49">
        <v>45198</v>
      </c>
      <c r="N212" t="s">
        <v>107</v>
      </c>
      <c r="O212" t="s">
        <v>108</v>
      </c>
      <c r="P212">
        <f>VLOOKUP(N212,[1]ID_Cidades!$A$1:$E$5900,2,FALSE)</f>
        <v>295765</v>
      </c>
      <c r="Q212">
        <f>VLOOKUP(O212,[1]ID_Cidades!$A$1:$E$5900,2,FALSE)</f>
        <v>305719</v>
      </c>
      <c r="R212">
        <f t="shared" si="6"/>
        <v>90420980035</v>
      </c>
      <c r="S212" s="42">
        <f>VLOOKUP(R212,'[1]GCD base'!$A$1:$M$200,7,FALSE)</f>
        <v>2917.0455609999999</v>
      </c>
      <c r="T212" t="s">
        <v>109</v>
      </c>
      <c r="U212" t="s">
        <v>205</v>
      </c>
      <c r="V212" t="s">
        <v>202</v>
      </c>
      <c r="W212" t="s">
        <v>203</v>
      </c>
      <c r="X212" t="s">
        <v>204</v>
      </c>
      <c r="Y212">
        <v>1299.5</v>
      </c>
      <c r="Z212">
        <v>0</v>
      </c>
      <c r="AA212">
        <v>992.75</v>
      </c>
      <c r="AB212">
        <v>0</v>
      </c>
      <c r="AC212" s="49">
        <v>45145</v>
      </c>
      <c r="AD212" s="116" t="s">
        <v>10</v>
      </c>
      <c r="AE212" s="113" t="str" cm="1">
        <f t="array" ref="AE212">_xlfn.IFS(S212&lt;=Constantes!$G$2,"Muito Curta (evitável)",S212&lt;=Constantes!$H$2,"Curta Distância",S212&gt;Constantes!$H$2,"Longa Distância")</f>
        <v>Curta Distância</v>
      </c>
      <c r="AF212" s="114">
        <f>IFERROR(VLOOKUP(AE212,Constantes!$A$1:$E$5,MATCH(AD212,Constantes!$A$1:$E$1,0),0),"")</f>
        <v>0.18286935436241611</v>
      </c>
      <c r="AG212" s="115">
        <f t="shared" si="7"/>
        <v>533.43823838582193</v>
      </c>
    </row>
    <row r="213" spans="1:33" x14ac:dyDescent="0.3">
      <c r="A213">
        <f>COUNTIF($B$2:B213,B213)</f>
        <v>2</v>
      </c>
      <c r="B213">
        <v>19159709</v>
      </c>
      <c r="C213" t="s">
        <v>537</v>
      </c>
      <c r="D213" t="s">
        <v>538</v>
      </c>
      <c r="E213" t="s">
        <v>539</v>
      </c>
      <c r="F213" t="s">
        <v>220</v>
      </c>
      <c r="G213" t="s">
        <v>223</v>
      </c>
      <c r="H213" t="s">
        <v>223</v>
      </c>
      <c r="I213" s="49">
        <v>45194</v>
      </c>
      <c r="J213" s="49">
        <v>45198</v>
      </c>
      <c r="K213" t="s">
        <v>540</v>
      </c>
      <c r="L213" s="49">
        <v>45198</v>
      </c>
      <c r="M213" s="49">
        <v>45198</v>
      </c>
      <c r="N213" t="s">
        <v>108</v>
      </c>
      <c r="O213" t="s">
        <v>107</v>
      </c>
      <c r="P213">
        <f>VLOOKUP(N213,[1]ID_Cidades!$A$1:$E$5900,2,FALSE)</f>
        <v>305719</v>
      </c>
      <c r="Q213">
        <f>VLOOKUP(O213,[1]ID_Cidades!$A$1:$E$5900,2,FALSE)</f>
        <v>295765</v>
      </c>
      <c r="R213">
        <f t="shared" si="6"/>
        <v>90420980035</v>
      </c>
      <c r="S213" s="42">
        <f>VLOOKUP(R213,'[1]GCD base'!$A$1:$M$200,7,FALSE)</f>
        <v>2917.0455609999999</v>
      </c>
      <c r="T213" t="s">
        <v>109</v>
      </c>
      <c r="U213" t="s">
        <v>201</v>
      </c>
      <c r="V213" t="s">
        <v>202</v>
      </c>
      <c r="W213" t="s">
        <v>203</v>
      </c>
      <c r="X213" t="s">
        <v>204</v>
      </c>
      <c r="Y213">
        <v>0</v>
      </c>
      <c r="Z213">
        <v>0</v>
      </c>
      <c r="AA213">
        <v>1267.99</v>
      </c>
      <c r="AB213">
        <v>0</v>
      </c>
      <c r="AC213" s="49">
        <v>45145</v>
      </c>
      <c r="AD213" s="116" t="s">
        <v>10</v>
      </c>
      <c r="AE213" s="113" t="str" cm="1">
        <f t="array" ref="AE213">_xlfn.IFS(S213&lt;=Constantes!$G$2,"Muito Curta (evitável)",S213&lt;=Constantes!$H$2,"Curta Distância",S213&gt;Constantes!$H$2,"Longa Distância")</f>
        <v>Curta Distância</v>
      </c>
      <c r="AF213" s="114">
        <f>IFERROR(VLOOKUP(AE213,Constantes!$A$1:$E$5,MATCH(AD213,Constantes!$A$1:$E$1,0),0),"")</f>
        <v>0.18286935436241611</v>
      </c>
      <c r="AG213" s="115">
        <f t="shared" si="7"/>
        <v>533.43823838582193</v>
      </c>
    </row>
    <row r="214" spans="1:33" x14ac:dyDescent="0.3">
      <c r="A214">
        <f>COUNTIF($B$2:B214,B214)</f>
        <v>1</v>
      </c>
      <c r="B214">
        <v>19212209</v>
      </c>
      <c r="C214" t="s">
        <v>706</v>
      </c>
      <c r="D214" t="s">
        <v>218</v>
      </c>
      <c r="E214" t="s">
        <v>707</v>
      </c>
      <c r="F214" t="s">
        <v>708</v>
      </c>
      <c r="G214" t="s">
        <v>207</v>
      </c>
      <c r="H214" t="s">
        <v>204</v>
      </c>
      <c r="I214" s="49">
        <v>45194</v>
      </c>
      <c r="J214" s="49">
        <v>45198</v>
      </c>
      <c r="K214" t="s">
        <v>709</v>
      </c>
      <c r="L214" s="49">
        <v>45194</v>
      </c>
      <c r="M214" s="49">
        <v>45197</v>
      </c>
      <c r="N214" t="s">
        <v>107</v>
      </c>
      <c r="O214" t="s">
        <v>118</v>
      </c>
      <c r="P214">
        <f>VLOOKUP(N214,[1]ID_Cidades!$A$1:$E$5900,2,FALSE)</f>
        <v>295765</v>
      </c>
      <c r="Q214">
        <f>VLOOKUP(O214,[1]ID_Cidades!$A$1:$E$5900,2,FALSE)</f>
        <v>295780</v>
      </c>
      <c r="R214">
        <f t="shared" si="6"/>
        <v>87481371700</v>
      </c>
      <c r="S214" s="42">
        <f>VLOOKUP(R214,'[1]GCD base'!$A$1:$M$200,7,FALSE)</f>
        <v>2541.6476309999998</v>
      </c>
      <c r="T214" t="s">
        <v>109</v>
      </c>
      <c r="U214" t="s">
        <v>205</v>
      </c>
      <c r="V214" t="s">
        <v>202</v>
      </c>
      <c r="W214" t="s">
        <v>203</v>
      </c>
      <c r="X214" t="s">
        <v>204</v>
      </c>
      <c r="Y214">
        <v>0</v>
      </c>
      <c r="Z214">
        <v>0</v>
      </c>
      <c r="AA214">
        <v>960.59</v>
      </c>
      <c r="AB214">
        <v>0</v>
      </c>
      <c r="AC214" s="49">
        <v>45163</v>
      </c>
      <c r="AD214" s="116" t="s">
        <v>10</v>
      </c>
      <c r="AE214" s="113" t="str" cm="1">
        <f t="array" ref="AE214">_xlfn.IFS(S214&lt;=Constantes!$G$2,"Muito Curta (evitável)",S214&lt;=Constantes!$H$2,"Curta Distância",S214&gt;Constantes!$H$2,"Longa Distância")</f>
        <v>Curta Distância</v>
      </c>
      <c r="AF214" s="114">
        <f>IFERROR(VLOOKUP(AE214,Constantes!$A$1:$E$5,MATCH(AD214,Constantes!$A$1:$E$1,0),0),"")</f>
        <v>0.18286935436241611</v>
      </c>
      <c r="AG214" s="115">
        <f t="shared" si="7"/>
        <v>464.78946129773436</v>
      </c>
    </row>
    <row r="215" spans="1:33" x14ac:dyDescent="0.3">
      <c r="A215">
        <f>COUNTIF($B$2:B215,B215)</f>
        <v>2</v>
      </c>
      <c r="B215">
        <v>19212209</v>
      </c>
      <c r="C215" t="s">
        <v>706</v>
      </c>
      <c r="D215" t="s">
        <v>218</v>
      </c>
      <c r="E215" t="s">
        <v>707</v>
      </c>
      <c r="F215" t="s">
        <v>708</v>
      </c>
      <c r="G215" t="s">
        <v>207</v>
      </c>
      <c r="H215" t="s">
        <v>204</v>
      </c>
      <c r="I215" s="49">
        <v>45194</v>
      </c>
      <c r="J215" s="49">
        <v>45198</v>
      </c>
      <c r="K215" t="s">
        <v>709</v>
      </c>
      <c r="L215" s="49">
        <v>45197</v>
      </c>
      <c r="M215" s="49">
        <v>45198</v>
      </c>
      <c r="N215" t="s">
        <v>118</v>
      </c>
      <c r="O215" t="s">
        <v>107</v>
      </c>
      <c r="P215">
        <f>VLOOKUP(N215,[1]ID_Cidades!$A$1:$E$5900,2,FALSE)</f>
        <v>295780</v>
      </c>
      <c r="Q215">
        <f>VLOOKUP(O215,[1]ID_Cidades!$A$1:$E$5900,2,FALSE)</f>
        <v>295765</v>
      </c>
      <c r="R215">
        <f t="shared" si="6"/>
        <v>87481371700</v>
      </c>
      <c r="S215" s="42">
        <f>VLOOKUP(R215,'[1]GCD base'!$A$1:$M$200,7,FALSE)</f>
        <v>2541.6476309999998</v>
      </c>
      <c r="T215" t="s">
        <v>109</v>
      </c>
      <c r="U215" t="s">
        <v>201</v>
      </c>
      <c r="V215" t="s">
        <v>202</v>
      </c>
      <c r="W215" t="s">
        <v>203</v>
      </c>
      <c r="X215" t="s">
        <v>204</v>
      </c>
      <c r="Y215">
        <v>0</v>
      </c>
      <c r="Z215">
        <v>0</v>
      </c>
      <c r="AA215">
        <v>1004.32</v>
      </c>
      <c r="AB215">
        <v>0</v>
      </c>
      <c r="AC215" s="49">
        <v>45163</v>
      </c>
      <c r="AD215" s="116" t="s">
        <v>10</v>
      </c>
      <c r="AE215" s="113" t="str" cm="1">
        <f t="array" ref="AE215">_xlfn.IFS(S215&lt;=Constantes!$G$2,"Muito Curta (evitável)",S215&lt;=Constantes!$H$2,"Curta Distância",S215&gt;Constantes!$H$2,"Longa Distância")</f>
        <v>Curta Distância</v>
      </c>
      <c r="AF215" s="114">
        <f>IFERROR(VLOOKUP(AE215,Constantes!$A$1:$E$5,MATCH(AD215,Constantes!$A$1:$E$1,0),0),"")</f>
        <v>0.18286935436241611</v>
      </c>
      <c r="AG215" s="115">
        <f t="shared" si="7"/>
        <v>464.78946129773436</v>
      </c>
    </row>
    <row r="216" spans="1:33" x14ac:dyDescent="0.3">
      <c r="A216">
        <f>COUNTIF($B$2:B216,B216)</f>
        <v>1</v>
      </c>
      <c r="B216">
        <v>19236544</v>
      </c>
      <c r="C216" t="s">
        <v>790</v>
      </c>
      <c r="D216" t="s">
        <v>791</v>
      </c>
      <c r="E216" t="s">
        <v>792</v>
      </c>
      <c r="F216" t="s">
        <v>198</v>
      </c>
      <c r="G216" t="s">
        <v>233</v>
      </c>
      <c r="H216" t="s">
        <v>233</v>
      </c>
      <c r="I216" s="49">
        <v>45194</v>
      </c>
      <c r="J216" s="49">
        <v>45199</v>
      </c>
      <c r="K216" t="s">
        <v>793</v>
      </c>
      <c r="L216" s="49">
        <v>45199</v>
      </c>
      <c r="M216" s="49">
        <v>45199</v>
      </c>
      <c r="N216" t="s">
        <v>315</v>
      </c>
      <c r="O216" t="s">
        <v>107</v>
      </c>
      <c r="P216">
        <f>VLOOKUP(N216,[1]ID_Cidades!$A$1:$E$5900,2,FALSE)</f>
        <v>300439</v>
      </c>
      <c r="Q216">
        <f>VLOOKUP(O216,[1]ID_Cidades!$A$1:$E$5900,2,FALSE)</f>
        <v>295765</v>
      </c>
      <c r="R216">
        <f t="shared" si="6"/>
        <v>88859340835</v>
      </c>
      <c r="S216" s="42">
        <f>VLOOKUP(R216,'[1]GCD base'!$A$1:$M$200,7,FALSE)</f>
        <v>1631.4561289999999</v>
      </c>
      <c r="T216" t="s">
        <v>109</v>
      </c>
      <c r="U216" t="s">
        <v>201</v>
      </c>
      <c r="V216" t="s">
        <v>202</v>
      </c>
      <c r="W216" t="s">
        <v>203</v>
      </c>
      <c r="X216" t="s">
        <v>204</v>
      </c>
      <c r="Y216">
        <v>0</v>
      </c>
      <c r="Z216">
        <v>0</v>
      </c>
      <c r="AA216">
        <v>1167.29</v>
      </c>
      <c r="AB216">
        <v>0</v>
      </c>
      <c r="AC216" s="49">
        <v>45170</v>
      </c>
      <c r="AD216" s="116" t="s">
        <v>10</v>
      </c>
      <c r="AE216" s="113" t="str" cm="1">
        <f t="array" ref="AE216">_xlfn.IFS(S216&lt;=Constantes!$G$2,"Muito Curta (evitável)",S216&lt;=Constantes!$H$2,"Curta Distância",S216&gt;Constantes!$H$2,"Longa Distância")</f>
        <v>Curta Distância</v>
      </c>
      <c r="AF216" s="114">
        <f>IFERROR(VLOOKUP(AE216,Constantes!$A$1:$E$5,MATCH(AD216,Constantes!$A$1:$E$1,0),0),"")</f>
        <v>0.18286935436241611</v>
      </c>
      <c r="AG216" s="115">
        <f t="shared" si="7"/>
        <v>298.34332898083665</v>
      </c>
    </row>
    <row r="217" spans="1:33" x14ac:dyDescent="0.3">
      <c r="A217">
        <f>COUNTIF($B$2:B217,B217)</f>
        <v>2</v>
      </c>
      <c r="B217">
        <v>19236544</v>
      </c>
      <c r="C217" t="s">
        <v>790</v>
      </c>
      <c r="D217" t="s">
        <v>791</v>
      </c>
      <c r="E217" t="s">
        <v>792</v>
      </c>
      <c r="F217" t="s">
        <v>198</v>
      </c>
      <c r="G217" t="s">
        <v>233</v>
      </c>
      <c r="H217" t="s">
        <v>233</v>
      </c>
      <c r="I217" s="49">
        <v>45194</v>
      </c>
      <c r="J217" s="49">
        <v>45199</v>
      </c>
      <c r="K217" t="s">
        <v>793</v>
      </c>
      <c r="L217" s="49">
        <v>45194</v>
      </c>
      <c r="M217" s="49">
        <v>45199</v>
      </c>
      <c r="N217" t="s">
        <v>112</v>
      </c>
      <c r="O217" t="s">
        <v>315</v>
      </c>
      <c r="P217">
        <f>VLOOKUP(N217,[1]ID_Cidades!$A$1:$E$5900,2,FALSE)</f>
        <v>295766</v>
      </c>
      <c r="Q217">
        <f>VLOOKUP(O217,[1]ID_Cidades!$A$1:$E$5900,2,FALSE)</f>
        <v>300439</v>
      </c>
      <c r="R217">
        <f t="shared" si="6"/>
        <v>88859641274</v>
      </c>
      <c r="S217" s="42">
        <f>VLOOKUP(R217,'[1]GCD base'!$A$1:$M$200,7,FALSE)</f>
        <v>1678.548213</v>
      </c>
      <c r="T217" t="s">
        <v>109</v>
      </c>
      <c r="U217" t="s">
        <v>205</v>
      </c>
      <c r="V217" t="s">
        <v>202</v>
      </c>
      <c r="W217" t="s">
        <v>203</v>
      </c>
      <c r="X217" t="s">
        <v>204</v>
      </c>
      <c r="Y217">
        <v>0</v>
      </c>
      <c r="Z217">
        <v>0</v>
      </c>
      <c r="AA217">
        <v>1532.29</v>
      </c>
      <c r="AB217">
        <v>0</v>
      </c>
      <c r="AC217" s="49">
        <v>45170</v>
      </c>
      <c r="AD217" s="116" t="s">
        <v>10</v>
      </c>
      <c r="AE217" s="113" t="str" cm="1">
        <f t="array" ref="AE217">_xlfn.IFS(S217&lt;=Constantes!$G$2,"Muito Curta (evitável)",S217&lt;=Constantes!$H$2,"Curta Distância",S217&gt;Constantes!$H$2,"Longa Distância")</f>
        <v>Curta Distância</v>
      </c>
      <c r="AF217" s="114">
        <f>IFERROR(VLOOKUP(AE217,Constantes!$A$1:$E$5,MATCH(AD217,Constantes!$A$1:$E$1,0),0),"")</f>
        <v>0.18286935436241611</v>
      </c>
      <c r="AG217" s="115">
        <f t="shared" si="7"/>
        <v>306.95502797749731</v>
      </c>
    </row>
    <row r="218" spans="1:33" x14ac:dyDescent="0.3">
      <c r="A218">
        <f>COUNTIF($B$2:B218,B218)</f>
        <v>1</v>
      </c>
      <c r="B218">
        <v>19253229</v>
      </c>
      <c r="C218" t="s">
        <v>874</v>
      </c>
      <c r="D218" t="s">
        <v>875</v>
      </c>
      <c r="E218" t="s">
        <v>876</v>
      </c>
      <c r="F218" t="s">
        <v>877</v>
      </c>
      <c r="G218" t="s">
        <v>207</v>
      </c>
      <c r="H218" t="s">
        <v>204</v>
      </c>
      <c r="I218" s="49">
        <v>45195</v>
      </c>
      <c r="J218" s="49">
        <v>45197</v>
      </c>
      <c r="K218" t="s">
        <v>878</v>
      </c>
      <c r="L218" s="49">
        <v>45197</v>
      </c>
      <c r="M218" s="49">
        <v>45197</v>
      </c>
      <c r="N218" t="s">
        <v>107</v>
      </c>
      <c r="O218" t="s">
        <v>315</v>
      </c>
      <c r="P218">
        <f>VLOOKUP(N218,[1]ID_Cidades!$A$1:$E$5900,2,FALSE)</f>
        <v>295765</v>
      </c>
      <c r="Q218">
        <f>VLOOKUP(O218,[1]ID_Cidades!$A$1:$E$5900,2,FALSE)</f>
        <v>300439</v>
      </c>
      <c r="R218">
        <f t="shared" si="6"/>
        <v>88859340835</v>
      </c>
      <c r="S218" s="42">
        <f>VLOOKUP(R218,'[1]GCD base'!$A$1:$M$200,7,FALSE)</f>
        <v>1631.4561289999999</v>
      </c>
      <c r="T218" t="s">
        <v>109</v>
      </c>
      <c r="U218" t="s">
        <v>201</v>
      </c>
      <c r="V218" t="s">
        <v>202</v>
      </c>
      <c r="W218" t="s">
        <v>210</v>
      </c>
      <c r="X218" t="s">
        <v>879</v>
      </c>
      <c r="Y218">
        <v>857.82</v>
      </c>
      <c r="Z218">
        <v>0</v>
      </c>
      <c r="AA218">
        <v>4382.58</v>
      </c>
      <c r="AB218">
        <v>0</v>
      </c>
      <c r="AC218" s="49">
        <v>45184</v>
      </c>
      <c r="AD218" s="116" t="s">
        <v>10</v>
      </c>
      <c r="AE218" s="113" t="str" cm="1">
        <f t="array" ref="AE218">_xlfn.IFS(S218&lt;=Constantes!$G$2,"Muito Curta (evitável)",S218&lt;=Constantes!$H$2,"Curta Distância",S218&gt;Constantes!$H$2,"Longa Distância")</f>
        <v>Curta Distância</v>
      </c>
      <c r="AF218" s="114">
        <f>IFERROR(VLOOKUP(AE218,Constantes!$A$1:$E$5,MATCH(AD218,Constantes!$A$1:$E$1,0),0),"")</f>
        <v>0.18286935436241611</v>
      </c>
      <c r="AG218" s="115">
        <f t="shared" si="7"/>
        <v>298.34332898083665</v>
      </c>
    </row>
    <row r="219" spans="1:33" x14ac:dyDescent="0.3">
      <c r="A219">
        <f>COUNTIF($B$2:B219,B219)</f>
        <v>2</v>
      </c>
      <c r="B219">
        <v>19253229</v>
      </c>
      <c r="C219" t="s">
        <v>874</v>
      </c>
      <c r="D219" t="s">
        <v>875</v>
      </c>
      <c r="E219" t="s">
        <v>876</v>
      </c>
      <c r="F219" t="s">
        <v>877</v>
      </c>
      <c r="G219" t="s">
        <v>207</v>
      </c>
      <c r="H219" t="s">
        <v>204</v>
      </c>
      <c r="I219" s="49">
        <v>45195</v>
      </c>
      <c r="J219" s="49">
        <v>45197</v>
      </c>
      <c r="K219" t="s">
        <v>878</v>
      </c>
      <c r="L219" s="49">
        <v>45195</v>
      </c>
      <c r="M219" s="49">
        <v>45197</v>
      </c>
      <c r="N219" t="s">
        <v>315</v>
      </c>
      <c r="O219" t="s">
        <v>107</v>
      </c>
      <c r="P219">
        <f>VLOOKUP(N219,[1]ID_Cidades!$A$1:$E$5900,2,FALSE)</f>
        <v>300439</v>
      </c>
      <c r="Q219">
        <f>VLOOKUP(O219,[1]ID_Cidades!$A$1:$E$5900,2,FALSE)</f>
        <v>295765</v>
      </c>
      <c r="R219">
        <f t="shared" si="6"/>
        <v>88859340835</v>
      </c>
      <c r="S219" s="42">
        <f>VLOOKUP(R219,'[1]GCD base'!$A$1:$M$200,7,FALSE)</f>
        <v>1631.4561289999999</v>
      </c>
      <c r="T219" t="s">
        <v>109</v>
      </c>
      <c r="U219" t="s">
        <v>205</v>
      </c>
      <c r="V219" t="s">
        <v>202</v>
      </c>
      <c r="W219" t="s">
        <v>210</v>
      </c>
      <c r="X219" t="s">
        <v>879</v>
      </c>
      <c r="Y219">
        <v>0</v>
      </c>
      <c r="Z219">
        <v>0</v>
      </c>
      <c r="AA219">
        <v>0</v>
      </c>
      <c r="AB219">
        <v>0</v>
      </c>
      <c r="AC219">
        <v>0</v>
      </c>
      <c r="AD219" s="116" t="s">
        <v>10</v>
      </c>
      <c r="AE219" s="113" t="str" cm="1">
        <f t="array" ref="AE219">_xlfn.IFS(S219&lt;=Constantes!$G$2,"Muito Curta (evitável)",S219&lt;=Constantes!$H$2,"Curta Distância",S219&gt;Constantes!$H$2,"Longa Distância")</f>
        <v>Curta Distância</v>
      </c>
      <c r="AF219" s="114">
        <f>IFERROR(VLOOKUP(AE219,Constantes!$A$1:$E$5,MATCH(AD219,Constantes!$A$1:$E$1,0),0),"")</f>
        <v>0.18286935436241611</v>
      </c>
      <c r="AG219" s="115">
        <f t="shared" si="7"/>
        <v>298.34332898083665</v>
      </c>
    </row>
    <row r="220" spans="1:33" x14ac:dyDescent="0.3">
      <c r="A220">
        <f>COUNTIF($B$2:B220,B220)</f>
        <v>1</v>
      </c>
      <c r="B220">
        <v>19163841</v>
      </c>
      <c r="C220" t="s">
        <v>562</v>
      </c>
      <c r="D220" t="s">
        <v>563</v>
      </c>
      <c r="E220" t="s">
        <v>564</v>
      </c>
      <c r="F220" t="s">
        <v>198</v>
      </c>
      <c r="G220" t="s">
        <v>207</v>
      </c>
      <c r="H220" t="s">
        <v>204</v>
      </c>
      <c r="I220" s="49">
        <v>45196</v>
      </c>
      <c r="J220" s="49">
        <v>45199</v>
      </c>
      <c r="K220" t="s">
        <v>565</v>
      </c>
      <c r="L220" s="49">
        <v>45199</v>
      </c>
      <c r="M220" s="49">
        <v>45199</v>
      </c>
      <c r="N220" t="s">
        <v>110</v>
      </c>
      <c r="O220" t="s">
        <v>107</v>
      </c>
      <c r="P220">
        <f>VLOOKUP(N220,[1]ID_Cidades!$A$1:$E$5900,2,FALSE)</f>
        <v>295763</v>
      </c>
      <c r="Q220">
        <f>VLOOKUP(O220,[1]ID_Cidades!$A$1:$E$5900,2,FALSE)</f>
        <v>295765</v>
      </c>
      <c r="R220">
        <f t="shared" si="6"/>
        <v>87476343695</v>
      </c>
      <c r="S220" s="42">
        <f>VLOOKUP(R220,'[1]GCD base'!$A$1:$M$200,7,FALSE)</f>
        <v>1713.419991</v>
      </c>
      <c r="T220" t="s">
        <v>109</v>
      </c>
      <c r="U220" t="s">
        <v>201</v>
      </c>
      <c r="V220" t="s">
        <v>202</v>
      </c>
      <c r="W220" t="s">
        <v>203</v>
      </c>
      <c r="X220" t="s">
        <v>204</v>
      </c>
      <c r="Y220">
        <v>1339.26</v>
      </c>
      <c r="Z220">
        <v>0</v>
      </c>
      <c r="AA220">
        <v>1071.6099999999999</v>
      </c>
      <c r="AB220">
        <v>0</v>
      </c>
      <c r="AC220" s="49">
        <v>45174</v>
      </c>
      <c r="AD220" s="116" t="s">
        <v>10</v>
      </c>
      <c r="AE220" s="113" t="str" cm="1">
        <f t="array" ref="AE220">_xlfn.IFS(S220&lt;=Constantes!$G$2,"Muito Curta (evitável)",S220&lt;=Constantes!$H$2,"Curta Distância",S220&gt;Constantes!$H$2,"Longa Distância")</f>
        <v>Curta Distância</v>
      </c>
      <c r="AF220" s="114">
        <f>IFERROR(VLOOKUP(AE220,Constantes!$A$1:$E$5,MATCH(AD220,Constantes!$A$1:$E$1,0),0),"")</f>
        <v>0.18286935436241611</v>
      </c>
      <c r="AG220" s="115">
        <f t="shared" si="7"/>
        <v>313.33200750582682</v>
      </c>
    </row>
    <row r="221" spans="1:33" x14ac:dyDescent="0.3">
      <c r="A221">
        <f>COUNTIF($B$2:B221,B221)</f>
        <v>2</v>
      </c>
      <c r="B221">
        <v>19163841</v>
      </c>
      <c r="C221" t="s">
        <v>562</v>
      </c>
      <c r="D221" t="s">
        <v>563</v>
      </c>
      <c r="E221" t="s">
        <v>564</v>
      </c>
      <c r="F221" t="s">
        <v>198</v>
      </c>
      <c r="G221" t="s">
        <v>207</v>
      </c>
      <c r="H221" t="s">
        <v>204</v>
      </c>
      <c r="I221" s="49">
        <v>45196</v>
      </c>
      <c r="J221" s="49">
        <v>45199</v>
      </c>
      <c r="K221" t="s">
        <v>565</v>
      </c>
      <c r="L221" s="49">
        <v>45196</v>
      </c>
      <c r="M221" s="49">
        <v>45196</v>
      </c>
      <c r="N221" t="s">
        <v>107</v>
      </c>
      <c r="O221" t="s">
        <v>110</v>
      </c>
      <c r="P221">
        <f>VLOOKUP(N221,[1]ID_Cidades!$A$1:$E$5900,2,FALSE)</f>
        <v>295765</v>
      </c>
      <c r="Q221">
        <f>VLOOKUP(O221,[1]ID_Cidades!$A$1:$E$5900,2,FALSE)</f>
        <v>295763</v>
      </c>
      <c r="R221">
        <f t="shared" si="6"/>
        <v>87476343695</v>
      </c>
      <c r="S221" s="42">
        <f>VLOOKUP(R221,'[1]GCD base'!$A$1:$M$200,7,FALSE)</f>
        <v>1713.419991</v>
      </c>
      <c r="T221" t="s">
        <v>109</v>
      </c>
      <c r="U221" t="s">
        <v>201</v>
      </c>
      <c r="V221" t="s">
        <v>202</v>
      </c>
      <c r="W221" t="s">
        <v>203</v>
      </c>
      <c r="X221" t="s">
        <v>204</v>
      </c>
      <c r="Y221">
        <v>0</v>
      </c>
      <c r="Z221">
        <v>0</v>
      </c>
      <c r="AA221">
        <v>816.89</v>
      </c>
      <c r="AB221">
        <v>0</v>
      </c>
      <c r="AC221" s="49">
        <v>45174</v>
      </c>
      <c r="AD221" s="116" t="s">
        <v>10</v>
      </c>
      <c r="AE221" s="113" t="str" cm="1">
        <f t="array" ref="AE221">_xlfn.IFS(S221&lt;=Constantes!$G$2,"Muito Curta (evitável)",S221&lt;=Constantes!$H$2,"Curta Distância",S221&gt;Constantes!$H$2,"Longa Distância")</f>
        <v>Curta Distância</v>
      </c>
      <c r="AF221" s="114">
        <f>IFERROR(VLOOKUP(AE221,Constantes!$A$1:$E$5,MATCH(AD221,Constantes!$A$1:$E$1,0),0),"")</f>
        <v>0.18286935436241611</v>
      </c>
      <c r="AG221" s="115">
        <f t="shared" si="7"/>
        <v>313.33200750582682</v>
      </c>
    </row>
    <row r="222" spans="1:33" x14ac:dyDescent="0.3">
      <c r="A222">
        <f>COUNTIF($B$2:B222,B222)</f>
        <v>1</v>
      </c>
      <c r="B222">
        <v>19249490</v>
      </c>
      <c r="C222" t="s">
        <v>854</v>
      </c>
      <c r="D222" t="s">
        <v>218</v>
      </c>
      <c r="E222" t="s">
        <v>855</v>
      </c>
      <c r="F222" t="s">
        <v>234</v>
      </c>
      <c r="G222" t="s">
        <v>223</v>
      </c>
      <c r="H222" t="s">
        <v>223</v>
      </c>
      <c r="I222" s="49">
        <v>45196</v>
      </c>
      <c r="J222" s="49">
        <v>45199</v>
      </c>
      <c r="K222" t="s">
        <v>856</v>
      </c>
      <c r="L222" s="49">
        <v>45196</v>
      </c>
      <c r="M222" s="49">
        <v>45196</v>
      </c>
      <c r="N222" t="s">
        <v>107</v>
      </c>
      <c r="O222" t="s">
        <v>110</v>
      </c>
      <c r="P222">
        <f>VLOOKUP(N222,[1]ID_Cidades!$A$1:$E$5900,2,FALSE)</f>
        <v>295765</v>
      </c>
      <c r="Q222">
        <f>VLOOKUP(O222,[1]ID_Cidades!$A$1:$E$5900,2,FALSE)</f>
        <v>295763</v>
      </c>
      <c r="R222">
        <f t="shared" si="6"/>
        <v>87476343695</v>
      </c>
      <c r="S222" s="42">
        <f>VLOOKUP(R222,'[1]GCD base'!$A$1:$M$200,7,FALSE)</f>
        <v>1713.419991</v>
      </c>
      <c r="T222" t="s">
        <v>109</v>
      </c>
      <c r="U222" t="s">
        <v>201</v>
      </c>
      <c r="V222" t="s">
        <v>202</v>
      </c>
      <c r="W222" t="s">
        <v>203</v>
      </c>
      <c r="X222" t="s">
        <v>204</v>
      </c>
      <c r="Y222">
        <v>1339.26</v>
      </c>
      <c r="Z222">
        <v>0</v>
      </c>
      <c r="AA222">
        <v>1071.6099999999999</v>
      </c>
      <c r="AB222">
        <v>0</v>
      </c>
      <c r="AC222" s="49">
        <v>45174</v>
      </c>
      <c r="AD222" s="116" t="s">
        <v>10</v>
      </c>
      <c r="AE222" s="113" t="str" cm="1">
        <f t="array" ref="AE222">_xlfn.IFS(S222&lt;=Constantes!$G$2,"Muito Curta (evitável)",S222&lt;=Constantes!$H$2,"Curta Distância",S222&gt;Constantes!$H$2,"Longa Distância")</f>
        <v>Curta Distância</v>
      </c>
      <c r="AF222" s="114">
        <f>IFERROR(VLOOKUP(AE222,Constantes!$A$1:$E$5,MATCH(AD222,Constantes!$A$1:$E$1,0),0),"")</f>
        <v>0.18286935436241611</v>
      </c>
      <c r="AG222" s="115">
        <f t="shared" si="7"/>
        <v>313.33200750582682</v>
      </c>
    </row>
    <row r="223" spans="1:33" x14ac:dyDescent="0.3">
      <c r="A223">
        <f>COUNTIF($B$2:B223,B223)</f>
        <v>2</v>
      </c>
      <c r="B223">
        <v>19249490</v>
      </c>
      <c r="C223" t="s">
        <v>854</v>
      </c>
      <c r="D223" t="s">
        <v>218</v>
      </c>
      <c r="E223" t="s">
        <v>855</v>
      </c>
      <c r="F223" t="s">
        <v>234</v>
      </c>
      <c r="G223" t="s">
        <v>223</v>
      </c>
      <c r="H223" t="s">
        <v>223</v>
      </c>
      <c r="I223" s="49">
        <v>45196</v>
      </c>
      <c r="J223" s="49">
        <v>45199</v>
      </c>
      <c r="K223" t="s">
        <v>856</v>
      </c>
      <c r="L223" s="49">
        <v>45199</v>
      </c>
      <c r="M223" s="49">
        <v>45199</v>
      </c>
      <c r="N223" t="s">
        <v>110</v>
      </c>
      <c r="O223" t="s">
        <v>107</v>
      </c>
      <c r="P223">
        <f>VLOOKUP(N223,[1]ID_Cidades!$A$1:$E$5900,2,FALSE)</f>
        <v>295763</v>
      </c>
      <c r="Q223">
        <f>VLOOKUP(O223,[1]ID_Cidades!$A$1:$E$5900,2,FALSE)</f>
        <v>295765</v>
      </c>
      <c r="R223">
        <f t="shared" si="6"/>
        <v>87476343695</v>
      </c>
      <c r="S223" s="42">
        <f>VLOOKUP(R223,'[1]GCD base'!$A$1:$M$200,7,FALSE)</f>
        <v>1713.419991</v>
      </c>
      <c r="T223" t="s">
        <v>109</v>
      </c>
      <c r="U223" t="s">
        <v>201</v>
      </c>
      <c r="V223" t="s">
        <v>202</v>
      </c>
      <c r="W223" t="s">
        <v>203</v>
      </c>
      <c r="X223" t="s">
        <v>204</v>
      </c>
      <c r="Y223">
        <v>0</v>
      </c>
      <c r="Z223">
        <v>0</v>
      </c>
      <c r="AA223">
        <v>816.89</v>
      </c>
      <c r="AB223">
        <v>0</v>
      </c>
      <c r="AC223" s="49">
        <v>45174</v>
      </c>
      <c r="AD223" s="116" t="s">
        <v>10</v>
      </c>
      <c r="AE223" s="113" t="str" cm="1">
        <f t="array" ref="AE223">_xlfn.IFS(S223&lt;=Constantes!$G$2,"Muito Curta (evitável)",S223&lt;=Constantes!$H$2,"Curta Distância",S223&gt;Constantes!$H$2,"Longa Distância")</f>
        <v>Curta Distância</v>
      </c>
      <c r="AF223" s="114">
        <f>IFERROR(VLOOKUP(AE223,Constantes!$A$1:$E$5,MATCH(AD223,Constantes!$A$1:$E$1,0),0),"")</f>
        <v>0.18286935436241611</v>
      </c>
      <c r="AG223" s="115">
        <f t="shared" si="7"/>
        <v>313.33200750582682</v>
      </c>
    </row>
    <row r="224" spans="1:33" x14ac:dyDescent="0.3">
      <c r="A224">
        <f>COUNTIF($B$2:B224,B224)</f>
        <v>1</v>
      </c>
      <c r="B224">
        <v>19225071</v>
      </c>
      <c r="C224" t="s">
        <v>755</v>
      </c>
      <c r="D224" t="s">
        <v>218</v>
      </c>
      <c r="E224" t="s">
        <v>756</v>
      </c>
      <c r="F224" t="s">
        <v>218</v>
      </c>
      <c r="G224" t="s">
        <v>207</v>
      </c>
      <c r="H224" t="s">
        <v>204</v>
      </c>
      <c r="I224" s="49">
        <v>45199</v>
      </c>
      <c r="J224" s="49">
        <v>45204</v>
      </c>
      <c r="K224" t="s">
        <v>757</v>
      </c>
      <c r="L224" s="49">
        <v>45204</v>
      </c>
      <c r="M224" s="49">
        <v>45204</v>
      </c>
      <c r="N224" t="s">
        <v>371</v>
      </c>
      <c r="O224" t="s">
        <v>107</v>
      </c>
      <c r="P224">
        <f>VLOOKUP(N224,[1]ID_Cidades!$A$1:$E$5900,2,FALSE)</f>
        <v>295768</v>
      </c>
      <c r="Q224">
        <f>VLOOKUP(O224,[1]ID_Cidades!$A$1:$E$5900,2,FALSE)</f>
        <v>295765</v>
      </c>
      <c r="R224">
        <f t="shared" si="6"/>
        <v>87477822520</v>
      </c>
      <c r="S224" s="42">
        <f>VLOOKUP(R224,'[1]GCD base'!$A$1:$M$200,7,FALSE)</f>
        <v>279.06946140000002</v>
      </c>
      <c r="T224" t="s">
        <v>109</v>
      </c>
      <c r="U224" t="s">
        <v>201</v>
      </c>
      <c r="V224" t="s">
        <v>202</v>
      </c>
      <c r="W224" t="s">
        <v>203</v>
      </c>
      <c r="X224" t="s">
        <v>204</v>
      </c>
      <c r="Y224">
        <v>0</v>
      </c>
      <c r="Z224">
        <v>0</v>
      </c>
      <c r="AA224">
        <v>564.89</v>
      </c>
      <c r="AB224">
        <v>0</v>
      </c>
      <c r="AC224" s="49">
        <v>45166</v>
      </c>
      <c r="AD224" s="116" t="s">
        <v>10</v>
      </c>
      <c r="AE224" s="113" t="str" cm="1">
        <f t="array" ref="AE224">_xlfn.IFS(S224&lt;=Constantes!$G$2,"Muito Curta (evitável)",S224&lt;=Constantes!$H$2,"Curta Distância",S224&gt;Constantes!$H$2,"Longa Distância")</f>
        <v>Muito Curta (evitável)</v>
      </c>
      <c r="AF224" s="114">
        <f>IFERROR(VLOOKUP(AE224,Constantes!$A$1:$E$5,MATCH(AD224,Constantes!$A$1:$E$1,0),0),"")</f>
        <v>0.27257678523489931</v>
      </c>
      <c r="AG224" s="115">
        <f t="shared" si="7"/>
        <v>76.067856645646827</v>
      </c>
    </row>
    <row r="225" spans="1:33" x14ac:dyDescent="0.3">
      <c r="A225">
        <f>COUNTIF($B$2:B225,B225)</f>
        <v>2</v>
      </c>
      <c r="B225">
        <v>19225071</v>
      </c>
      <c r="C225" t="s">
        <v>755</v>
      </c>
      <c r="D225" t="s">
        <v>218</v>
      </c>
      <c r="E225" t="s">
        <v>756</v>
      </c>
      <c r="F225" t="s">
        <v>218</v>
      </c>
      <c r="G225" t="s">
        <v>207</v>
      </c>
      <c r="H225" t="s">
        <v>204</v>
      </c>
      <c r="I225" s="49">
        <v>45199</v>
      </c>
      <c r="J225" s="49">
        <v>45204</v>
      </c>
      <c r="K225" t="s">
        <v>757</v>
      </c>
      <c r="L225" s="49">
        <v>45199</v>
      </c>
      <c r="M225" s="49">
        <v>45204</v>
      </c>
      <c r="N225" t="s">
        <v>107</v>
      </c>
      <c r="O225" t="s">
        <v>371</v>
      </c>
      <c r="P225">
        <f>VLOOKUP(N225,[1]ID_Cidades!$A$1:$E$5900,2,FALSE)</f>
        <v>295765</v>
      </c>
      <c r="Q225">
        <f>VLOOKUP(O225,[1]ID_Cidades!$A$1:$E$5900,2,FALSE)</f>
        <v>295768</v>
      </c>
      <c r="R225">
        <f t="shared" si="6"/>
        <v>87477822520</v>
      </c>
      <c r="S225" s="42">
        <f>VLOOKUP(R225,'[1]GCD base'!$A$1:$M$200,7,FALSE)</f>
        <v>279.06946140000002</v>
      </c>
      <c r="T225" t="s">
        <v>109</v>
      </c>
      <c r="U225" t="s">
        <v>205</v>
      </c>
      <c r="V225" t="s">
        <v>202</v>
      </c>
      <c r="W225" t="s">
        <v>203</v>
      </c>
      <c r="X225" t="s">
        <v>204</v>
      </c>
      <c r="Y225">
        <v>0</v>
      </c>
      <c r="Z225">
        <v>0</v>
      </c>
      <c r="AA225">
        <v>835.79</v>
      </c>
      <c r="AB225">
        <v>0</v>
      </c>
      <c r="AC225" s="49">
        <v>45166</v>
      </c>
      <c r="AD225" s="116" t="s">
        <v>10</v>
      </c>
      <c r="AE225" s="113" t="str" cm="1">
        <f t="array" ref="AE225">_xlfn.IFS(S225&lt;=Constantes!$G$2,"Muito Curta (evitável)",S225&lt;=Constantes!$H$2,"Curta Distância",S225&gt;Constantes!$H$2,"Longa Distância")</f>
        <v>Muito Curta (evitável)</v>
      </c>
      <c r="AF225" s="114">
        <f>IFERROR(VLOOKUP(AE225,Constantes!$A$1:$E$5,MATCH(AD225,Constantes!$A$1:$E$1,0),0),"")</f>
        <v>0.27257678523489931</v>
      </c>
      <c r="AG225" s="115">
        <f t="shared" si="7"/>
        <v>76.067856645646827</v>
      </c>
    </row>
    <row r="226" spans="1:33" x14ac:dyDescent="0.3">
      <c r="A226">
        <f>COUNTIF($B$2:B226,B226)</f>
        <v>1</v>
      </c>
      <c r="B226">
        <v>19185446</v>
      </c>
      <c r="C226" t="s">
        <v>630</v>
      </c>
      <c r="D226" t="s">
        <v>631</v>
      </c>
      <c r="E226" t="s">
        <v>632</v>
      </c>
      <c r="F226" t="s">
        <v>198</v>
      </c>
      <c r="G226" t="s">
        <v>233</v>
      </c>
      <c r="H226" t="s">
        <v>233</v>
      </c>
      <c r="I226" s="49">
        <v>45200</v>
      </c>
      <c r="J226" s="49">
        <v>45203</v>
      </c>
      <c r="K226" t="s">
        <v>633</v>
      </c>
      <c r="L226" s="49">
        <v>45200</v>
      </c>
      <c r="M226" s="49">
        <v>45203</v>
      </c>
      <c r="N226" t="s">
        <v>107</v>
      </c>
      <c r="O226" t="s">
        <v>110</v>
      </c>
      <c r="P226">
        <f>VLOOKUP(N226,[1]ID_Cidades!$A$1:$E$5900,2,FALSE)</f>
        <v>295765</v>
      </c>
      <c r="Q226">
        <f>VLOOKUP(O226,[1]ID_Cidades!$A$1:$E$5900,2,FALSE)</f>
        <v>295763</v>
      </c>
      <c r="R226">
        <f t="shared" si="6"/>
        <v>87476343695</v>
      </c>
      <c r="S226" s="42">
        <f>VLOOKUP(R226,'[1]GCD base'!$A$1:$M$200,7,FALSE)</f>
        <v>1713.419991</v>
      </c>
      <c r="T226" t="s">
        <v>109</v>
      </c>
      <c r="U226" t="s">
        <v>205</v>
      </c>
      <c r="V226" t="s">
        <v>202</v>
      </c>
      <c r="W226" t="s">
        <v>203</v>
      </c>
      <c r="X226" t="s">
        <v>204</v>
      </c>
      <c r="Y226">
        <v>1339.26</v>
      </c>
      <c r="Z226">
        <v>0</v>
      </c>
      <c r="AA226">
        <v>1019.71</v>
      </c>
      <c r="AB226">
        <v>0</v>
      </c>
      <c r="AC226" s="49">
        <v>45154</v>
      </c>
      <c r="AD226" s="116" t="s">
        <v>10</v>
      </c>
      <c r="AE226" s="113" t="str" cm="1">
        <f t="array" ref="AE226">_xlfn.IFS(S226&lt;=Constantes!$G$2,"Muito Curta (evitável)",S226&lt;=Constantes!$H$2,"Curta Distância",S226&gt;Constantes!$H$2,"Longa Distância")</f>
        <v>Curta Distância</v>
      </c>
      <c r="AF226" s="114">
        <f>IFERROR(VLOOKUP(AE226,Constantes!$A$1:$E$5,MATCH(AD226,Constantes!$A$1:$E$1,0),0),"")</f>
        <v>0.18286935436241611</v>
      </c>
      <c r="AG226" s="115">
        <f t="shared" si="7"/>
        <v>313.33200750582682</v>
      </c>
    </row>
    <row r="227" spans="1:33" x14ac:dyDescent="0.3">
      <c r="A227">
        <f>COUNTIF($B$2:B227,B227)</f>
        <v>2</v>
      </c>
      <c r="B227">
        <v>19185446</v>
      </c>
      <c r="C227" t="s">
        <v>630</v>
      </c>
      <c r="D227" t="s">
        <v>631</v>
      </c>
      <c r="E227" t="s">
        <v>632</v>
      </c>
      <c r="F227" t="s">
        <v>198</v>
      </c>
      <c r="G227" t="s">
        <v>233</v>
      </c>
      <c r="H227" t="s">
        <v>233</v>
      </c>
      <c r="I227" s="49">
        <v>45200</v>
      </c>
      <c r="J227" s="49">
        <v>45203</v>
      </c>
      <c r="K227" t="s">
        <v>633</v>
      </c>
      <c r="L227" s="49">
        <v>45203</v>
      </c>
      <c r="M227" s="49">
        <v>45203</v>
      </c>
      <c r="N227" t="s">
        <v>110</v>
      </c>
      <c r="O227" t="s">
        <v>107</v>
      </c>
      <c r="P227">
        <f>VLOOKUP(N227,[1]ID_Cidades!$A$1:$E$5900,2,FALSE)</f>
        <v>295763</v>
      </c>
      <c r="Q227">
        <f>VLOOKUP(O227,[1]ID_Cidades!$A$1:$E$5900,2,FALSE)</f>
        <v>295765</v>
      </c>
      <c r="R227">
        <f t="shared" si="6"/>
        <v>87476343695</v>
      </c>
      <c r="S227" s="42">
        <f>VLOOKUP(R227,'[1]GCD base'!$A$1:$M$200,7,FALSE)</f>
        <v>1713.419991</v>
      </c>
      <c r="T227" t="s">
        <v>109</v>
      </c>
      <c r="U227" t="s">
        <v>201</v>
      </c>
      <c r="V227" t="s">
        <v>202</v>
      </c>
      <c r="W227" t="s">
        <v>203</v>
      </c>
      <c r="X227" t="s">
        <v>204</v>
      </c>
      <c r="Y227">
        <v>0</v>
      </c>
      <c r="Z227">
        <v>0</v>
      </c>
      <c r="AA227">
        <v>1296.49</v>
      </c>
      <c r="AB227">
        <v>0</v>
      </c>
      <c r="AC227" s="49">
        <v>45154</v>
      </c>
      <c r="AD227" s="116" t="s">
        <v>10</v>
      </c>
      <c r="AE227" s="113" t="str" cm="1">
        <f t="array" ref="AE227">_xlfn.IFS(S227&lt;=Constantes!$G$2,"Muito Curta (evitável)",S227&lt;=Constantes!$H$2,"Curta Distância",S227&gt;Constantes!$H$2,"Longa Distância")</f>
        <v>Curta Distância</v>
      </c>
      <c r="AF227" s="114">
        <f>IFERROR(VLOOKUP(AE227,Constantes!$A$1:$E$5,MATCH(AD227,Constantes!$A$1:$E$1,0),0),"")</f>
        <v>0.18286935436241611</v>
      </c>
      <c r="AG227" s="115">
        <f t="shared" si="7"/>
        <v>313.33200750582682</v>
      </c>
    </row>
    <row r="228" spans="1:33" x14ac:dyDescent="0.3">
      <c r="A228">
        <f>COUNTIF($B$2:B228,B228)</f>
        <v>1</v>
      </c>
      <c r="B228">
        <v>19190345</v>
      </c>
      <c r="C228" t="s">
        <v>662</v>
      </c>
      <c r="D228" t="s">
        <v>659</v>
      </c>
      <c r="E228" t="s">
        <v>660</v>
      </c>
      <c r="F228" t="s">
        <v>198</v>
      </c>
      <c r="G228" t="s">
        <v>233</v>
      </c>
      <c r="H228" t="s">
        <v>233</v>
      </c>
      <c r="I228" s="49">
        <v>45200</v>
      </c>
      <c r="J228" s="49">
        <v>45203</v>
      </c>
      <c r="K228" t="s">
        <v>663</v>
      </c>
      <c r="L228" s="49">
        <v>45203</v>
      </c>
      <c r="M228" s="49">
        <v>45203</v>
      </c>
      <c r="N228" t="s">
        <v>110</v>
      </c>
      <c r="O228" t="s">
        <v>107</v>
      </c>
      <c r="P228">
        <f>VLOOKUP(N228,[1]ID_Cidades!$A$1:$E$5900,2,FALSE)</f>
        <v>295763</v>
      </c>
      <c r="Q228">
        <f>VLOOKUP(O228,[1]ID_Cidades!$A$1:$E$5900,2,FALSE)</f>
        <v>295765</v>
      </c>
      <c r="R228">
        <f t="shared" si="6"/>
        <v>87476343695</v>
      </c>
      <c r="S228" s="42">
        <f>VLOOKUP(R228,'[1]GCD base'!$A$1:$M$200,7,FALSE)</f>
        <v>1713.419991</v>
      </c>
      <c r="T228" t="s">
        <v>109</v>
      </c>
      <c r="U228" t="s">
        <v>201</v>
      </c>
      <c r="V228" t="s">
        <v>202</v>
      </c>
      <c r="W228" t="s">
        <v>203</v>
      </c>
      <c r="X228" t="s">
        <v>204</v>
      </c>
      <c r="Y228">
        <v>1339.26</v>
      </c>
      <c r="Z228">
        <v>0</v>
      </c>
      <c r="AA228">
        <v>962.61</v>
      </c>
      <c r="AB228">
        <v>0</v>
      </c>
      <c r="AC228" s="49">
        <v>45160</v>
      </c>
      <c r="AD228" s="116" t="s">
        <v>10</v>
      </c>
      <c r="AE228" s="113" t="str" cm="1">
        <f t="array" ref="AE228">_xlfn.IFS(S228&lt;=Constantes!$G$2,"Muito Curta (evitável)",S228&lt;=Constantes!$H$2,"Curta Distância",S228&gt;Constantes!$H$2,"Longa Distância")</f>
        <v>Curta Distância</v>
      </c>
      <c r="AF228" s="114">
        <f>IFERROR(VLOOKUP(AE228,Constantes!$A$1:$E$5,MATCH(AD228,Constantes!$A$1:$E$1,0),0),"")</f>
        <v>0.18286935436241611</v>
      </c>
      <c r="AG228" s="115">
        <f t="shared" si="7"/>
        <v>313.33200750582682</v>
      </c>
    </row>
    <row r="229" spans="1:33" x14ac:dyDescent="0.3">
      <c r="A229">
        <f>COUNTIF($B$2:B229,B229)</f>
        <v>2</v>
      </c>
      <c r="B229">
        <v>19190345</v>
      </c>
      <c r="C229" t="s">
        <v>662</v>
      </c>
      <c r="D229" t="s">
        <v>659</v>
      </c>
      <c r="E229" t="s">
        <v>660</v>
      </c>
      <c r="F229" t="s">
        <v>198</v>
      </c>
      <c r="G229" t="s">
        <v>233</v>
      </c>
      <c r="H229" t="s">
        <v>233</v>
      </c>
      <c r="I229" s="49">
        <v>45200</v>
      </c>
      <c r="J229" s="49">
        <v>45203</v>
      </c>
      <c r="K229" t="s">
        <v>663</v>
      </c>
      <c r="L229" s="49">
        <v>45200</v>
      </c>
      <c r="M229" s="49">
        <v>45203</v>
      </c>
      <c r="N229" t="s">
        <v>107</v>
      </c>
      <c r="O229" t="s">
        <v>110</v>
      </c>
      <c r="P229">
        <f>VLOOKUP(N229,[1]ID_Cidades!$A$1:$E$5900,2,FALSE)</f>
        <v>295765</v>
      </c>
      <c r="Q229">
        <f>VLOOKUP(O229,[1]ID_Cidades!$A$1:$E$5900,2,FALSE)</f>
        <v>295763</v>
      </c>
      <c r="R229">
        <f t="shared" si="6"/>
        <v>87476343695</v>
      </c>
      <c r="S229" s="42">
        <f>VLOOKUP(R229,'[1]GCD base'!$A$1:$M$200,7,FALSE)</f>
        <v>1713.419991</v>
      </c>
      <c r="T229" t="s">
        <v>109</v>
      </c>
      <c r="U229" t="s">
        <v>205</v>
      </c>
      <c r="V229" t="s">
        <v>202</v>
      </c>
      <c r="W229" t="s">
        <v>203</v>
      </c>
      <c r="X229" t="s">
        <v>204</v>
      </c>
      <c r="Y229">
        <v>0</v>
      </c>
      <c r="Z229">
        <v>0</v>
      </c>
      <c r="AA229">
        <v>1348.09</v>
      </c>
      <c r="AB229">
        <v>0</v>
      </c>
      <c r="AC229" s="49">
        <v>45160</v>
      </c>
      <c r="AD229" s="116" t="s">
        <v>10</v>
      </c>
      <c r="AE229" s="113" t="str" cm="1">
        <f t="array" ref="AE229">_xlfn.IFS(S229&lt;=Constantes!$G$2,"Muito Curta (evitável)",S229&lt;=Constantes!$H$2,"Curta Distância",S229&gt;Constantes!$H$2,"Longa Distância")</f>
        <v>Curta Distância</v>
      </c>
      <c r="AF229" s="114">
        <f>IFERROR(VLOOKUP(AE229,Constantes!$A$1:$E$5,MATCH(AD229,Constantes!$A$1:$E$1,0),0),"")</f>
        <v>0.18286935436241611</v>
      </c>
      <c r="AG229" s="115">
        <f t="shared" si="7"/>
        <v>313.33200750582682</v>
      </c>
    </row>
    <row r="230" spans="1:33" x14ac:dyDescent="0.3">
      <c r="A230">
        <f>COUNTIF($B$2:B230,B230)</f>
        <v>1</v>
      </c>
      <c r="B230">
        <v>19222691</v>
      </c>
      <c r="C230" t="s">
        <v>739</v>
      </c>
      <c r="D230" t="s">
        <v>740</v>
      </c>
      <c r="E230" t="s">
        <v>741</v>
      </c>
      <c r="F230" t="s">
        <v>198</v>
      </c>
      <c r="G230" t="s">
        <v>233</v>
      </c>
      <c r="H230" t="s">
        <v>233</v>
      </c>
      <c r="I230" s="49">
        <v>45200</v>
      </c>
      <c r="J230" s="49">
        <v>45203</v>
      </c>
      <c r="K230" t="s">
        <v>742</v>
      </c>
      <c r="L230" s="49">
        <v>45200</v>
      </c>
      <c r="M230" s="49">
        <v>45203</v>
      </c>
      <c r="N230" t="s">
        <v>107</v>
      </c>
      <c r="O230" t="s">
        <v>110</v>
      </c>
      <c r="P230">
        <f>VLOOKUP(N230,[1]ID_Cidades!$A$1:$E$5900,2,FALSE)</f>
        <v>295765</v>
      </c>
      <c r="Q230">
        <f>VLOOKUP(O230,[1]ID_Cidades!$A$1:$E$5900,2,FALSE)</f>
        <v>295763</v>
      </c>
      <c r="R230">
        <f t="shared" si="6"/>
        <v>87476343695</v>
      </c>
      <c r="S230" s="42">
        <f>VLOOKUP(R230,'[1]GCD base'!$A$1:$M$200,7,FALSE)</f>
        <v>1713.419991</v>
      </c>
      <c r="T230" t="s">
        <v>109</v>
      </c>
      <c r="U230" t="s">
        <v>205</v>
      </c>
      <c r="V230" t="s">
        <v>202</v>
      </c>
      <c r="W230" t="s">
        <v>203</v>
      </c>
      <c r="X230" t="s">
        <v>204</v>
      </c>
      <c r="Y230">
        <v>1339.26</v>
      </c>
      <c r="Z230">
        <v>0</v>
      </c>
      <c r="AA230">
        <v>986.21</v>
      </c>
      <c r="AB230">
        <v>0</v>
      </c>
      <c r="AC230" s="49">
        <v>45163</v>
      </c>
      <c r="AD230" s="116" t="s">
        <v>10</v>
      </c>
      <c r="AE230" s="113" t="str" cm="1">
        <f t="array" ref="AE230">_xlfn.IFS(S230&lt;=Constantes!$G$2,"Muito Curta (evitável)",S230&lt;=Constantes!$H$2,"Curta Distância",S230&gt;Constantes!$H$2,"Longa Distância")</f>
        <v>Curta Distância</v>
      </c>
      <c r="AF230" s="114">
        <f>IFERROR(VLOOKUP(AE230,Constantes!$A$1:$E$5,MATCH(AD230,Constantes!$A$1:$E$1,0),0),"")</f>
        <v>0.18286935436241611</v>
      </c>
      <c r="AG230" s="115">
        <f t="shared" si="7"/>
        <v>313.33200750582682</v>
      </c>
    </row>
    <row r="231" spans="1:33" x14ac:dyDescent="0.3">
      <c r="A231">
        <f>COUNTIF($B$2:B231,B231)</f>
        <v>2</v>
      </c>
      <c r="B231">
        <v>19222691</v>
      </c>
      <c r="C231" t="s">
        <v>739</v>
      </c>
      <c r="D231" t="s">
        <v>740</v>
      </c>
      <c r="E231" t="s">
        <v>741</v>
      </c>
      <c r="F231" t="s">
        <v>198</v>
      </c>
      <c r="G231" t="s">
        <v>233</v>
      </c>
      <c r="H231" t="s">
        <v>233</v>
      </c>
      <c r="I231" s="49">
        <v>45200</v>
      </c>
      <c r="J231" s="49">
        <v>45203</v>
      </c>
      <c r="K231" t="s">
        <v>742</v>
      </c>
      <c r="L231" s="49">
        <v>45203</v>
      </c>
      <c r="M231" s="49">
        <v>45203</v>
      </c>
      <c r="N231" t="s">
        <v>110</v>
      </c>
      <c r="O231" t="s">
        <v>107</v>
      </c>
      <c r="P231">
        <f>VLOOKUP(N231,[1]ID_Cidades!$A$1:$E$5900,2,FALSE)</f>
        <v>295763</v>
      </c>
      <c r="Q231">
        <f>VLOOKUP(O231,[1]ID_Cidades!$A$1:$E$5900,2,FALSE)</f>
        <v>295765</v>
      </c>
      <c r="R231">
        <f t="shared" si="6"/>
        <v>87476343695</v>
      </c>
      <c r="S231" s="42">
        <f>VLOOKUP(R231,'[1]GCD base'!$A$1:$M$200,7,FALSE)</f>
        <v>1713.419991</v>
      </c>
      <c r="T231" t="s">
        <v>109</v>
      </c>
      <c r="U231" t="s">
        <v>201</v>
      </c>
      <c r="V231" t="s">
        <v>202</v>
      </c>
      <c r="W231" t="s">
        <v>203</v>
      </c>
      <c r="X231" t="s">
        <v>204</v>
      </c>
      <c r="Y231">
        <v>0</v>
      </c>
      <c r="Z231">
        <v>0</v>
      </c>
      <c r="AA231">
        <v>2442.9899999999998</v>
      </c>
      <c r="AB231">
        <v>0</v>
      </c>
      <c r="AC231" s="49">
        <v>45163</v>
      </c>
      <c r="AD231" s="116" t="s">
        <v>10</v>
      </c>
      <c r="AE231" s="113" t="str" cm="1">
        <f t="array" ref="AE231">_xlfn.IFS(S231&lt;=Constantes!$G$2,"Muito Curta (evitável)",S231&lt;=Constantes!$H$2,"Curta Distância",S231&gt;Constantes!$H$2,"Longa Distância")</f>
        <v>Curta Distância</v>
      </c>
      <c r="AF231" s="114">
        <f>IFERROR(VLOOKUP(AE231,Constantes!$A$1:$E$5,MATCH(AD231,Constantes!$A$1:$E$1,0),0),"")</f>
        <v>0.18286935436241611</v>
      </c>
      <c r="AG231" s="115">
        <f t="shared" si="7"/>
        <v>313.33200750582682</v>
      </c>
    </row>
    <row r="232" spans="1:33" x14ac:dyDescent="0.3">
      <c r="A232">
        <f>COUNTIF($B$2:B232,B232)</f>
        <v>1</v>
      </c>
      <c r="B232">
        <v>19253786</v>
      </c>
      <c r="C232" t="s">
        <v>885</v>
      </c>
      <c r="D232" t="s">
        <v>886</v>
      </c>
      <c r="E232" t="s">
        <v>887</v>
      </c>
      <c r="F232" t="s">
        <v>198</v>
      </c>
      <c r="G232" t="s">
        <v>207</v>
      </c>
      <c r="H232" t="s">
        <v>204</v>
      </c>
      <c r="I232" s="49">
        <v>45200</v>
      </c>
      <c r="J232" s="49">
        <v>45205</v>
      </c>
      <c r="K232" t="s">
        <v>888</v>
      </c>
      <c r="L232" s="49">
        <v>45205</v>
      </c>
      <c r="M232" s="49">
        <v>45205</v>
      </c>
      <c r="N232" t="s">
        <v>123</v>
      </c>
      <c r="O232" t="s">
        <v>107</v>
      </c>
      <c r="P232">
        <f>VLOOKUP(N232,[1]ID_Cidades!$A$1:$E$5900,2,FALSE)</f>
        <v>295775</v>
      </c>
      <c r="Q232">
        <f>VLOOKUP(O232,[1]ID_Cidades!$A$1:$E$5900,2,FALSE)</f>
        <v>295765</v>
      </c>
      <c r="R232">
        <f t="shared" si="6"/>
        <v>87479892875</v>
      </c>
      <c r="S232" s="42">
        <f>VLOOKUP(R232,'[1]GCD base'!$A$1:$M$200,7,FALSE)</f>
        <v>1875.298241</v>
      </c>
      <c r="T232" t="s">
        <v>109</v>
      </c>
      <c r="U232" t="s">
        <v>201</v>
      </c>
      <c r="V232" t="s">
        <v>202</v>
      </c>
      <c r="W232" t="s">
        <v>210</v>
      </c>
      <c r="X232" t="s">
        <v>889</v>
      </c>
      <c r="Y232">
        <v>1821.06</v>
      </c>
      <c r="Z232">
        <v>0</v>
      </c>
      <c r="AA232">
        <v>1755.89</v>
      </c>
      <c r="AB232">
        <v>0</v>
      </c>
      <c r="AC232" s="49">
        <v>45191</v>
      </c>
      <c r="AD232" s="116" t="s">
        <v>10</v>
      </c>
      <c r="AE232" s="113" t="str" cm="1">
        <f t="array" ref="AE232">_xlfn.IFS(S232&lt;=Constantes!$G$2,"Muito Curta (evitável)",S232&lt;=Constantes!$H$2,"Curta Distância",S232&gt;Constantes!$H$2,"Longa Distância")</f>
        <v>Curta Distância</v>
      </c>
      <c r="AF232" s="114">
        <f>IFERROR(VLOOKUP(AE232,Constantes!$A$1:$E$5,MATCH(AD232,Constantes!$A$1:$E$1,0),0),"")</f>
        <v>0.18286935436241611</v>
      </c>
      <c r="AG232" s="115">
        <f t="shared" si="7"/>
        <v>342.93457856864461</v>
      </c>
    </row>
    <row r="233" spans="1:33" x14ac:dyDescent="0.3">
      <c r="A233">
        <f>COUNTIF($B$2:B233,B233)</f>
        <v>2</v>
      </c>
      <c r="B233">
        <v>19253786</v>
      </c>
      <c r="C233" t="s">
        <v>885</v>
      </c>
      <c r="D233" t="s">
        <v>886</v>
      </c>
      <c r="E233" t="s">
        <v>887</v>
      </c>
      <c r="F233" t="s">
        <v>198</v>
      </c>
      <c r="G233" t="s">
        <v>207</v>
      </c>
      <c r="H233" t="s">
        <v>204</v>
      </c>
      <c r="I233" s="49">
        <v>45200</v>
      </c>
      <c r="J233" s="49">
        <v>45205</v>
      </c>
      <c r="K233" t="s">
        <v>888</v>
      </c>
      <c r="L233" s="49">
        <v>45200</v>
      </c>
      <c r="M233" s="49">
        <v>45200</v>
      </c>
      <c r="N233" t="s">
        <v>107</v>
      </c>
      <c r="O233" t="s">
        <v>123</v>
      </c>
      <c r="P233">
        <f>VLOOKUP(N233,[1]ID_Cidades!$A$1:$E$5900,2,FALSE)</f>
        <v>295765</v>
      </c>
      <c r="Q233">
        <f>VLOOKUP(O233,[1]ID_Cidades!$A$1:$E$5900,2,FALSE)</f>
        <v>295775</v>
      </c>
      <c r="R233">
        <f t="shared" si="6"/>
        <v>87479892875</v>
      </c>
      <c r="S233" s="42">
        <f>VLOOKUP(R233,'[1]GCD base'!$A$1:$M$200,7,FALSE)</f>
        <v>1875.298241</v>
      </c>
      <c r="T233" t="s">
        <v>109</v>
      </c>
      <c r="U233" t="s">
        <v>201</v>
      </c>
      <c r="V233" t="s">
        <v>202</v>
      </c>
      <c r="W233" t="s">
        <v>210</v>
      </c>
      <c r="X233" t="s">
        <v>889</v>
      </c>
      <c r="Y233">
        <v>0</v>
      </c>
      <c r="Z233">
        <v>0</v>
      </c>
      <c r="AA233">
        <v>1512.43</v>
      </c>
      <c r="AB233">
        <v>0</v>
      </c>
      <c r="AC233" s="49">
        <v>45191</v>
      </c>
      <c r="AD233" s="116" t="s">
        <v>10</v>
      </c>
      <c r="AE233" s="113" t="str" cm="1">
        <f t="array" ref="AE233">_xlfn.IFS(S233&lt;=Constantes!$G$2,"Muito Curta (evitável)",S233&lt;=Constantes!$H$2,"Curta Distância",S233&gt;Constantes!$H$2,"Longa Distância")</f>
        <v>Curta Distância</v>
      </c>
      <c r="AF233" s="114">
        <f>IFERROR(VLOOKUP(AE233,Constantes!$A$1:$E$5,MATCH(AD233,Constantes!$A$1:$E$1,0),0),"")</f>
        <v>0.18286935436241611</v>
      </c>
      <c r="AG233" s="115">
        <f t="shared" si="7"/>
        <v>342.93457856864461</v>
      </c>
    </row>
    <row r="234" spans="1:33" x14ac:dyDescent="0.3">
      <c r="A234">
        <f>COUNTIF($B$2:B234,B234)</f>
        <v>1</v>
      </c>
      <c r="B234">
        <v>19297861</v>
      </c>
      <c r="C234" t="s">
        <v>1065</v>
      </c>
      <c r="D234" t="s">
        <v>1066</v>
      </c>
      <c r="E234" t="s">
        <v>1067</v>
      </c>
      <c r="F234" t="s">
        <v>198</v>
      </c>
      <c r="G234" t="s">
        <v>207</v>
      </c>
      <c r="H234" t="s">
        <v>204</v>
      </c>
      <c r="I234" s="49">
        <v>45200</v>
      </c>
      <c r="J234" s="49">
        <v>45203</v>
      </c>
      <c r="K234" t="s">
        <v>1068</v>
      </c>
      <c r="L234" s="49">
        <v>45203</v>
      </c>
      <c r="M234" s="49">
        <v>45203</v>
      </c>
      <c r="N234" t="s">
        <v>110</v>
      </c>
      <c r="O234" t="s">
        <v>112</v>
      </c>
      <c r="P234">
        <f>VLOOKUP(N234,[1]ID_Cidades!$A$1:$E$5900,2,FALSE)</f>
        <v>295763</v>
      </c>
      <c r="Q234">
        <f>VLOOKUP(O234,[1]ID_Cidades!$A$1:$E$5900,2,FALSE)</f>
        <v>295766</v>
      </c>
      <c r="R234">
        <f t="shared" si="6"/>
        <v>87476639458</v>
      </c>
      <c r="S234" s="42">
        <f>VLOOKUP(R234,'[1]GCD base'!$A$1:$M$200,7,FALSE)</f>
        <v>1654.211456</v>
      </c>
      <c r="T234" t="s">
        <v>109</v>
      </c>
      <c r="U234" t="s">
        <v>201</v>
      </c>
      <c r="V234" t="s">
        <v>202</v>
      </c>
      <c r="W234" t="s">
        <v>210</v>
      </c>
      <c r="X234" t="s">
        <v>1069</v>
      </c>
      <c r="Y234">
        <v>1339.26</v>
      </c>
      <c r="Z234">
        <v>0</v>
      </c>
      <c r="AA234">
        <v>899.54</v>
      </c>
      <c r="AB234">
        <v>0</v>
      </c>
      <c r="AC234" s="49">
        <v>45187</v>
      </c>
      <c r="AD234" s="116" t="s">
        <v>10</v>
      </c>
      <c r="AE234" s="113" t="str" cm="1">
        <f t="array" ref="AE234">_xlfn.IFS(S234&lt;=Constantes!$G$2,"Muito Curta (evitável)",S234&lt;=Constantes!$H$2,"Curta Distância",S234&gt;Constantes!$H$2,"Longa Distância")</f>
        <v>Curta Distância</v>
      </c>
      <c r="AF234" s="114">
        <f>IFERROR(VLOOKUP(AE234,Constantes!$A$1:$E$5,MATCH(AD234,Constantes!$A$1:$E$1,0),0),"")</f>
        <v>0.18286935436241611</v>
      </c>
      <c r="AG234" s="115">
        <f t="shared" si="7"/>
        <v>302.50458093763228</v>
      </c>
    </row>
    <row r="235" spans="1:33" x14ac:dyDescent="0.3">
      <c r="A235">
        <f>COUNTIF($B$2:B235,B235)</f>
        <v>2</v>
      </c>
      <c r="B235">
        <v>19297861</v>
      </c>
      <c r="C235" t="s">
        <v>1065</v>
      </c>
      <c r="D235" t="s">
        <v>1066</v>
      </c>
      <c r="E235" t="s">
        <v>1067</v>
      </c>
      <c r="F235" t="s">
        <v>198</v>
      </c>
      <c r="G235" t="s">
        <v>207</v>
      </c>
      <c r="H235" t="s">
        <v>204</v>
      </c>
      <c r="I235" s="49">
        <v>45200</v>
      </c>
      <c r="J235" s="49">
        <v>45203</v>
      </c>
      <c r="K235" t="s">
        <v>1068</v>
      </c>
      <c r="L235" s="49">
        <v>45200</v>
      </c>
      <c r="M235" s="49">
        <v>45203</v>
      </c>
      <c r="N235" t="s">
        <v>112</v>
      </c>
      <c r="O235" t="s">
        <v>110</v>
      </c>
      <c r="P235">
        <f>VLOOKUP(N235,[1]ID_Cidades!$A$1:$E$5900,2,FALSE)</f>
        <v>295766</v>
      </c>
      <c r="Q235">
        <f>VLOOKUP(O235,[1]ID_Cidades!$A$1:$E$5900,2,FALSE)</f>
        <v>295763</v>
      </c>
      <c r="R235">
        <f t="shared" si="6"/>
        <v>87476639458</v>
      </c>
      <c r="S235" s="42">
        <f>VLOOKUP(R235,'[1]GCD base'!$A$1:$M$200,7,FALSE)</f>
        <v>1654.211456</v>
      </c>
      <c r="T235" t="s">
        <v>109</v>
      </c>
      <c r="U235" t="s">
        <v>205</v>
      </c>
      <c r="V235" t="s">
        <v>202</v>
      </c>
      <c r="W235" t="s">
        <v>210</v>
      </c>
      <c r="X235" t="s">
        <v>1069</v>
      </c>
      <c r="Y235">
        <v>0</v>
      </c>
      <c r="Z235">
        <v>0</v>
      </c>
      <c r="AA235">
        <v>876.31</v>
      </c>
      <c r="AB235">
        <v>0</v>
      </c>
      <c r="AC235" s="49">
        <v>45187</v>
      </c>
      <c r="AD235" s="116" t="s">
        <v>10</v>
      </c>
      <c r="AE235" s="113" t="str" cm="1">
        <f t="array" ref="AE235">_xlfn.IFS(S235&lt;=Constantes!$G$2,"Muito Curta (evitável)",S235&lt;=Constantes!$H$2,"Curta Distância",S235&gt;Constantes!$H$2,"Longa Distância")</f>
        <v>Curta Distância</v>
      </c>
      <c r="AF235" s="114">
        <f>IFERROR(VLOOKUP(AE235,Constantes!$A$1:$E$5,MATCH(AD235,Constantes!$A$1:$E$1,0),0),"")</f>
        <v>0.18286935436241611</v>
      </c>
      <c r="AG235" s="115">
        <f t="shared" si="7"/>
        <v>302.50458093763228</v>
      </c>
    </row>
    <row r="236" spans="1:33" x14ac:dyDescent="0.3">
      <c r="A236">
        <f>COUNTIF($B$2:B236,B236)</f>
        <v>1</v>
      </c>
      <c r="B236">
        <v>19322431</v>
      </c>
      <c r="C236" t="s">
        <v>1207</v>
      </c>
      <c r="D236" t="s">
        <v>1208</v>
      </c>
      <c r="E236" t="s">
        <v>1209</v>
      </c>
      <c r="F236" t="s">
        <v>198</v>
      </c>
      <c r="G236" t="s">
        <v>207</v>
      </c>
      <c r="H236" t="s">
        <v>204</v>
      </c>
      <c r="I236" s="49">
        <v>45200</v>
      </c>
      <c r="J236" s="49">
        <v>45206</v>
      </c>
      <c r="K236" t="s">
        <v>1210</v>
      </c>
      <c r="L236" s="49">
        <v>45206</v>
      </c>
      <c r="M236" s="49">
        <v>45206</v>
      </c>
      <c r="N236" t="s">
        <v>107</v>
      </c>
      <c r="O236" t="s">
        <v>1174</v>
      </c>
      <c r="P236">
        <f>VLOOKUP(N236,[1]ID_Cidades!$A$1:$E$5900,2,FALSE)</f>
        <v>295765</v>
      </c>
      <c r="Q236">
        <f>VLOOKUP(O236,[1]ID_Cidades!$A$1:$E$5900,2,FALSE)</f>
        <v>295772</v>
      </c>
      <c r="R236">
        <f t="shared" si="6"/>
        <v>87479005580</v>
      </c>
      <c r="S236" s="42">
        <f>VLOOKUP(R236,'[1]GCD base'!$A$1:$M$200,7,FALSE)</f>
        <v>901.24066259999995</v>
      </c>
      <c r="T236" t="s">
        <v>109</v>
      </c>
      <c r="U236" t="s">
        <v>201</v>
      </c>
      <c r="V236" t="s">
        <v>202</v>
      </c>
      <c r="W236" t="s">
        <v>210</v>
      </c>
      <c r="X236" t="s">
        <v>1211</v>
      </c>
      <c r="Y236">
        <v>2162.08</v>
      </c>
      <c r="Z236">
        <v>0</v>
      </c>
      <c r="AA236">
        <v>2000.89</v>
      </c>
      <c r="AB236">
        <v>0</v>
      </c>
      <c r="AC236" s="49">
        <v>45194</v>
      </c>
      <c r="AD236" s="116" t="s">
        <v>10</v>
      </c>
      <c r="AE236" s="113" t="str" cm="1">
        <f t="array" ref="AE236">_xlfn.IFS(S236&lt;=Constantes!$G$2,"Muito Curta (evitável)",S236&lt;=Constantes!$H$2,"Curta Distância",S236&gt;Constantes!$H$2,"Longa Distância")</f>
        <v>Curta Distância</v>
      </c>
      <c r="AF236" s="114">
        <f>IFERROR(VLOOKUP(AE236,Constantes!$A$1:$E$5,MATCH(AD236,Constantes!$A$1:$E$1,0),0),"")</f>
        <v>0.18286935436241611</v>
      </c>
      <c r="AG236" s="115">
        <f t="shared" si="7"/>
        <v>164.80929809481808</v>
      </c>
    </row>
    <row r="237" spans="1:33" x14ac:dyDescent="0.3">
      <c r="A237">
        <f>COUNTIF($B$2:B237,B237)</f>
        <v>2</v>
      </c>
      <c r="B237">
        <v>19322431</v>
      </c>
      <c r="C237" t="s">
        <v>1207</v>
      </c>
      <c r="D237" t="s">
        <v>1208</v>
      </c>
      <c r="E237" t="s">
        <v>1209</v>
      </c>
      <c r="F237" t="s">
        <v>198</v>
      </c>
      <c r="G237" t="s">
        <v>207</v>
      </c>
      <c r="H237" t="s">
        <v>204</v>
      </c>
      <c r="I237" s="49">
        <v>45200</v>
      </c>
      <c r="J237" s="49">
        <v>45206</v>
      </c>
      <c r="K237" t="s">
        <v>1210</v>
      </c>
      <c r="L237" s="49">
        <v>45200</v>
      </c>
      <c r="M237" s="49">
        <v>45206</v>
      </c>
      <c r="N237" t="s">
        <v>1174</v>
      </c>
      <c r="O237" t="s">
        <v>107</v>
      </c>
      <c r="P237">
        <f>VLOOKUP(N237,[1]ID_Cidades!$A$1:$E$5900,2,FALSE)</f>
        <v>295772</v>
      </c>
      <c r="Q237">
        <f>VLOOKUP(O237,[1]ID_Cidades!$A$1:$E$5900,2,FALSE)</f>
        <v>295765</v>
      </c>
      <c r="R237">
        <f t="shared" si="6"/>
        <v>87479005580</v>
      </c>
      <c r="S237" s="42">
        <f>VLOOKUP(R237,'[1]GCD base'!$A$1:$M$200,7,FALSE)</f>
        <v>901.24066259999995</v>
      </c>
      <c r="T237" t="s">
        <v>109</v>
      </c>
      <c r="U237" t="s">
        <v>205</v>
      </c>
      <c r="V237" t="s">
        <v>202</v>
      </c>
      <c r="W237" t="s">
        <v>210</v>
      </c>
      <c r="X237" t="s">
        <v>1211</v>
      </c>
      <c r="Y237">
        <v>0</v>
      </c>
      <c r="Z237">
        <v>0</v>
      </c>
      <c r="AA237">
        <v>3909.74</v>
      </c>
      <c r="AB237">
        <v>0</v>
      </c>
      <c r="AC237" s="49">
        <v>45194</v>
      </c>
      <c r="AD237" s="116" t="s">
        <v>10</v>
      </c>
      <c r="AE237" s="113" t="str" cm="1">
        <f t="array" ref="AE237">_xlfn.IFS(S237&lt;=Constantes!$G$2,"Muito Curta (evitável)",S237&lt;=Constantes!$H$2,"Curta Distância",S237&gt;Constantes!$H$2,"Longa Distância")</f>
        <v>Curta Distância</v>
      </c>
      <c r="AF237" s="114">
        <f>IFERROR(VLOOKUP(AE237,Constantes!$A$1:$E$5,MATCH(AD237,Constantes!$A$1:$E$1,0),0),"")</f>
        <v>0.18286935436241611</v>
      </c>
      <c r="AG237" s="115">
        <f t="shared" si="7"/>
        <v>164.80929809481808</v>
      </c>
    </row>
    <row r="238" spans="1:33" x14ac:dyDescent="0.3">
      <c r="A238">
        <f>COUNTIF($B$2:B238,B238)</f>
        <v>1</v>
      </c>
      <c r="B238">
        <v>19158173</v>
      </c>
      <c r="C238" t="s">
        <v>530</v>
      </c>
      <c r="D238" t="s">
        <v>531</v>
      </c>
      <c r="E238" t="s">
        <v>532</v>
      </c>
      <c r="F238" t="s">
        <v>198</v>
      </c>
      <c r="G238" t="s">
        <v>207</v>
      </c>
      <c r="H238" t="s">
        <v>204</v>
      </c>
      <c r="I238" s="49">
        <v>45201</v>
      </c>
      <c r="J238" s="49">
        <v>45205</v>
      </c>
      <c r="K238" t="s">
        <v>533</v>
      </c>
      <c r="L238" s="49">
        <v>45205</v>
      </c>
      <c r="M238" s="49">
        <v>45205</v>
      </c>
      <c r="N238" t="s">
        <v>116</v>
      </c>
      <c r="O238" t="s">
        <v>107</v>
      </c>
      <c r="P238">
        <f>VLOOKUP(N238,[1]ID_Cidades!$A$1:$E$5900,2,FALSE)</f>
        <v>295778</v>
      </c>
      <c r="Q238">
        <f>VLOOKUP(O238,[1]ID_Cidades!$A$1:$E$5900,2,FALSE)</f>
        <v>295765</v>
      </c>
      <c r="R238">
        <f t="shared" si="6"/>
        <v>87480780170</v>
      </c>
      <c r="S238" s="42">
        <f>VLOOKUP(R238,'[1]GCD base'!$A$1:$M$200,7,FALSE)</f>
        <v>1961.5007860000001</v>
      </c>
      <c r="T238" t="s">
        <v>109</v>
      </c>
      <c r="U238" t="s">
        <v>201</v>
      </c>
      <c r="V238" t="s">
        <v>202</v>
      </c>
      <c r="W238" t="s">
        <v>203</v>
      </c>
      <c r="X238" t="s">
        <v>204</v>
      </c>
      <c r="Y238">
        <v>0</v>
      </c>
      <c r="Z238">
        <v>0</v>
      </c>
      <c r="AA238">
        <v>667.5</v>
      </c>
      <c r="AB238">
        <v>0</v>
      </c>
      <c r="AC238" s="49">
        <v>45147</v>
      </c>
      <c r="AD238" s="116" t="s">
        <v>10</v>
      </c>
      <c r="AE238" s="113" t="str" cm="1">
        <f t="array" ref="AE238">_xlfn.IFS(S238&lt;=Constantes!$G$2,"Muito Curta (evitável)",S238&lt;=Constantes!$H$2,"Curta Distância",S238&gt;Constantes!$H$2,"Longa Distância")</f>
        <v>Curta Distância</v>
      </c>
      <c r="AF238" s="114">
        <f>IFERROR(VLOOKUP(AE238,Constantes!$A$1:$E$5,MATCH(AD238,Constantes!$A$1:$E$1,0),0),"")</f>
        <v>0.18286935436241611</v>
      </c>
      <c r="AG238" s="115">
        <f t="shared" si="7"/>
        <v>358.69838231719172</v>
      </c>
    </row>
    <row r="239" spans="1:33" x14ac:dyDescent="0.3">
      <c r="A239">
        <f>COUNTIF($B$2:B239,B239)</f>
        <v>2</v>
      </c>
      <c r="B239">
        <v>19158173</v>
      </c>
      <c r="C239" t="s">
        <v>530</v>
      </c>
      <c r="D239" t="s">
        <v>531</v>
      </c>
      <c r="E239" t="s">
        <v>532</v>
      </c>
      <c r="F239" t="s">
        <v>198</v>
      </c>
      <c r="G239" t="s">
        <v>207</v>
      </c>
      <c r="H239" t="s">
        <v>204</v>
      </c>
      <c r="I239" s="49">
        <v>45201</v>
      </c>
      <c r="J239" s="49">
        <v>45205</v>
      </c>
      <c r="K239" t="s">
        <v>533</v>
      </c>
      <c r="L239" s="49">
        <v>45201</v>
      </c>
      <c r="M239" s="49">
        <v>45201</v>
      </c>
      <c r="N239" t="s">
        <v>107</v>
      </c>
      <c r="O239" t="s">
        <v>116</v>
      </c>
      <c r="P239">
        <f>VLOOKUP(N239,[1]ID_Cidades!$A$1:$E$5900,2,FALSE)</f>
        <v>295765</v>
      </c>
      <c r="Q239">
        <f>VLOOKUP(O239,[1]ID_Cidades!$A$1:$E$5900,2,FALSE)</f>
        <v>295778</v>
      </c>
      <c r="R239">
        <f t="shared" si="6"/>
        <v>87480780170</v>
      </c>
      <c r="S239" s="42">
        <f>VLOOKUP(R239,'[1]GCD base'!$A$1:$M$200,7,FALSE)</f>
        <v>1961.5007860000001</v>
      </c>
      <c r="T239" t="s">
        <v>109</v>
      </c>
      <c r="U239" t="s">
        <v>201</v>
      </c>
      <c r="V239" t="s">
        <v>202</v>
      </c>
      <c r="W239" t="s">
        <v>203</v>
      </c>
      <c r="X239" t="s">
        <v>204</v>
      </c>
      <c r="Y239">
        <v>0</v>
      </c>
      <c r="Z239">
        <v>0</v>
      </c>
      <c r="AA239">
        <v>670.79</v>
      </c>
      <c r="AB239">
        <v>0</v>
      </c>
      <c r="AC239" s="49">
        <v>45147</v>
      </c>
      <c r="AD239" s="116" t="s">
        <v>10</v>
      </c>
      <c r="AE239" s="113" t="str" cm="1">
        <f t="array" ref="AE239">_xlfn.IFS(S239&lt;=Constantes!$G$2,"Muito Curta (evitável)",S239&lt;=Constantes!$H$2,"Curta Distância",S239&gt;Constantes!$H$2,"Longa Distância")</f>
        <v>Curta Distância</v>
      </c>
      <c r="AF239" s="114">
        <f>IFERROR(VLOOKUP(AE239,Constantes!$A$1:$E$5,MATCH(AD239,Constantes!$A$1:$E$1,0),0),"")</f>
        <v>0.18286935436241611</v>
      </c>
      <c r="AG239" s="115">
        <f t="shared" si="7"/>
        <v>358.69838231719172</v>
      </c>
    </row>
    <row r="240" spans="1:33" x14ac:dyDescent="0.3">
      <c r="A240">
        <f>COUNTIF($B$2:B240,B240)</f>
        <v>1</v>
      </c>
      <c r="B240">
        <v>19162401</v>
      </c>
      <c r="C240" t="s">
        <v>557</v>
      </c>
      <c r="D240" t="s">
        <v>558</v>
      </c>
      <c r="E240" t="s">
        <v>559</v>
      </c>
      <c r="F240" t="s">
        <v>198</v>
      </c>
      <c r="G240" t="s">
        <v>207</v>
      </c>
      <c r="H240" t="s">
        <v>204</v>
      </c>
      <c r="I240" s="49">
        <v>45201</v>
      </c>
      <c r="J240" s="49">
        <v>45205</v>
      </c>
      <c r="K240" t="s">
        <v>560</v>
      </c>
      <c r="L240" s="49">
        <v>45205</v>
      </c>
      <c r="M240" s="49">
        <v>45205</v>
      </c>
      <c r="N240" t="s">
        <v>561</v>
      </c>
      <c r="O240" t="s">
        <v>107</v>
      </c>
      <c r="P240">
        <f>VLOOKUP(N240,[1]ID_Cidades!$A$1:$E$5900,2,FALSE)</f>
        <v>303141</v>
      </c>
      <c r="Q240">
        <f>VLOOKUP(O240,[1]ID_Cidades!$A$1:$E$5900,2,FALSE)</f>
        <v>295765</v>
      </c>
      <c r="R240">
        <f t="shared" si="6"/>
        <v>89658497865</v>
      </c>
      <c r="S240" s="42">
        <f>VLOOKUP(R240,'[1]GCD base'!$A$1:$M$200,7,FALSE)</f>
        <v>1955.5055</v>
      </c>
      <c r="T240" t="s">
        <v>109</v>
      </c>
      <c r="U240" t="s">
        <v>201</v>
      </c>
      <c r="V240" t="s">
        <v>202</v>
      </c>
      <c r="W240" t="s">
        <v>203</v>
      </c>
      <c r="X240" t="s">
        <v>204</v>
      </c>
      <c r="Y240">
        <v>0</v>
      </c>
      <c r="Z240">
        <v>0</v>
      </c>
      <c r="AA240">
        <v>878.39</v>
      </c>
      <c r="AB240">
        <v>0</v>
      </c>
      <c r="AC240" s="49">
        <v>45152</v>
      </c>
      <c r="AD240" s="116" t="s">
        <v>10</v>
      </c>
      <c r="AE240" s="113" t="str" cm="1">
        <f t="array" ref="AE240">_xlfn.IFS(S240&lt;=Constantes!$G$2,"Muito Curta (evitável)",S240&lt;=Constantes!$H$2,"Curta Distância",S240&gt;Constantes!$H$2,"Longa Distância")</f>
        <v>Curta Distância</v>
      </c>
      <c r="AF240" s="114">
        <f>IFERROR(VLOOKUP(AE240,Constantes!$A$1:$E$5,MATCH(AD240,Constantes!$A$1:$E$1,0),0),"")</f>
        <v>0.18286935436241611</v>
      </c>
      <c r="AG240" s="115">
        <f t="shared" si="7"/>
        <v>357.60202823715372</v>
      </c>
    </row>
    <row r="241" spans="1:33" x14ac:dyDescent="0.3">
      <c r="A241">
        <f>COUNTIF($B$2:B241,B241)</f>
        <v>2</v>
      </c>
      <c r="B241">
        <v>19162401</v>
      </c>
      <c r="C241" t="s">
        <v>557</v>
      </c>
      <c r="D241" t="s">
        <v>558</v>
      </c>
      <c r="E241" t="s">
        <v>559</v>
      </c>
      <c r="F241" t="s">
        <v>198</v>
      </c>
      <c r="G241" t="s">
        <v>207</v>
      </c>
      <c r="H241" t="s">
        <v>204</v>
      </c>
      <c r="I241" s="49">
        <v>45201</v>
      </c>
      <c r="J241" s="49">
        <v>45205</v>
      </c>
      <c r="K241" t="s">
        <v>560</v>
      </c>
      <c r="L241" s="49">
        <v>45201</v>
      </c>
      <c r="M241" s="49">
        <v>45205</v>
      </c>
      <c r="N241" t="s">
        <v>107</v>
      </c>
      <c r="O241" t="s">
        <v>561</v>
      </c>
      <c r="P241">
        <f>VLOOKUP(N241,[1]ID_Cidades!$A$1:$E$5900,2,FALSE)</f>
        <v>295765</v>
      </c>
      <c r="Q241">
        <f>VLOOKUP(O241,[1]ID_Cidades!$A$1:$E$5900,2,FALSE)</f>
        <v>303141</v>
      </c>
      <c r="R241">
        <f t="shared" si="6"/>
        <v>89658497865</v>
      </c>
      <c r="S241" s="42">
        <f>VLOOKUP(R241,'[1]GCD base'!$A$1:$M$200,7,FALSE)</f>
        <v>1955.5055</v>
      </c>
      <c r="T241" t="s">
        <v>109</v>
      </c>
      <c r="U241" t="s">
        <v>205</v>
      </c>
      <c r="V241" t="s">
        <v>202</v>
      </c>
      <c r="W241" t="s">
        <v>203</v>
      </c>
      <c r="X241" t="s">
        <v>204</v>
      </c>
      <c r="Y241">
        <v>0</v>
      </c>
      <c r="Z241">
        <v>0</v>
      </c>
      <c r="AA241">
        <v>686.6</v>
      </c>
      <c r="AB241">
        <v>0</v>
      </c>
      <c r="AC241" s="49">
        <v>45152</v>
      </c>
      <c r="AD241" s="116" t="s">
        <v>10</v>
      </c>
      <c r="AE241" s="113" t="str" cm="1">
        <f t="array" ref="AE241">_xlfn.IFS(S241&lt;=Constantes!$G$2,"Muito Curta (evitável)",S241&lt;=Constantes!$H$2,"Curta Distância",S241&gt;Constantes!$H$2,"Longa Distância")</f>
        <v>Curta Distância</v>
      </c>
      <c r="AF241" s="114">
        <f>IFERROR(VLOOKUP(AE241,Constantes!$A$1:$E$5,MATCH(AD241,Constantes!$A$1:$E$1,0),0),"")</f>
        <v>0.18286935436241611</v>
      </c>
      <c r="AG241" s="115">
        <f t="shared" si="7"/>
        <v>357.60202823715372</v>
      </c>
    </row>
    <row r="242" spans="1:33" x14ac:dyDescent="0.3">
      <c r="A242">
        <f>COUNTIF($B$2:B242,B242)</f>
        <v>1</v>
      </c>
      <c r="B242">
        <v>19171863</v>
      </c>
      <c r="C242" t="s">
        <v>608</v>
      </c>
      <c r="D242" t="s">
        <v>609</v>
      </c>
      <c r="E242" t="s">
        <v>610</v>
      </c>
      <c r="F242" t="s">
        <v>198</v>
      </c>
      <c r="G242" t="s">
        <v>207</v>
      </c>
      <c r="H242" t="s">
        <v>204</v>
      </c>
      <c r="I242" s="49">
        <v>45201</v>
      </c>
      <c r="J242" s="49">
        <v>45207</v>
      </c>
      <c r="K242" t="s">
        <v>611</v>
      </c>
      <c r="L242" s="49">
        <v>45207</v>
      </c>
      <c r="M242" s="49">
        <v>45207</v>
      </c>
      <c r="N242" t="s">
        <v>116</v>
      </c>
      <c r="O242" t="s">
        <v>107</v>
      </c>
      <c r="P242">
        <f>VLOOKUP(N242,[1]ID_Cidades!$A$1:$E$5900,2,FALSE)</f>
        <v>295778</v>
      </c>
      <c r="Q242">
        <f>VLOOKUP(O242,[1]ID_Cidades!$A$1:$E$5900,2,FALSE)</f>
        <v>295765</v>
      </c>
      <c r="R242">
        <f t="shared" si="6"/>
        <v>87480780170</v>
      </c>
      <c r="S242" s="42">
        <f>VLOOKUP(R242,'[1]GCD base'!$A$1:$M$200,7,FALSE)</f>
        <v>1961.5007860000001</v>
      </c>
      <c r="T242" t="s">
        <v>109</v>
      </c>
      <c r="U242" t="s">
        <v>201</v>
      </c>
      <c r="V242" t="s">
        <v>202</v>
      </c>
      <c r="W242" t="s">
        <v>203</v>
      </c>
      <c r="X242" t="s">
        <v>204</v>
      </c>
      <c r="Y242">
        <v>0</v>
      </c>
      <c r="Z242">
        <v>0</v>
      </c>
      <c r="AA242">
        <v>716.69</v>
      </c>
      <c r="AB242">
        <v>0</v>
      </c>
      <c r="AC242" s="49">
        <v>45154</v>
      </c>
      <c r="AD242" s="116" t="s">
        <v>10</v>
      </c>
      <c r="AE242" s="113" t="str" cm="1">
        <f t="array" ref="AE242">_xlfn.IFS(S242&lt;=Constantes!$G$2,"Muito Curta (evitável)",S242&lt;=Constantes!$H$2,"Curta Distância",S242&gt;Constantes!$H$2,"Longa Distância")</f>
        <v>Curta Distância</v>
      </c>
      <c r="AF242" s="114">
        <f>IFERROR(VLOOKUP(AE242,Constantes!$A$1:$E$5,MATCH(AD242,Constantes!$A$1:$E$1,0),0),"")</f>
        <v>0.18286935436241611</v>
      </c>
      <c r="AG242" s="115">
        <f t="shared" si="7"/>
        <v>358.69838231719172</v>
      </c>
    </row>
    <row r="243" spans="1:33" x14ac:dyDescent="0.3">
      <c r="A243">
        <f>COUNTIF($B$2:B243,B243)</f>
        <v>2</v>
      </c>
      <c r="B243">
        <v>19171863</v>
      </c>
      <c r="C243" t="s">
        <v>608</v>
      </c>
      <c r="D243" t="s">
        <v>609</v>
      </c>
      <c r="E243" t="s">
        <v>610</v>
      </c>
      <c r="F243" t="s">
        <v>198</v>
      </c>
      <c r="G243" t="s">
        <v>207</v>
      </c>
      <c r="H243" t="s">
        <v>204</v>
      </c>
      <c r="I243" s="49">
        <v>45201</v>
      </c>
      <c r="J243" s="49">
        <v>45207</v>
      </c>
      <c r="K243" t="s">
        <v>611</v>
      </c>
      <c r="L243" s="49">
        <v>45207</v>
      </c>
      <c r="M243" s="49">
        <v>45207</v>
      </c>
      <c r="N243" t="s">
        <v>107</v>
      </c>
      <c r="O243" t="s">
        <v>116</v>
      </c>
      <c r="P243">
        <f>VLOOKUP(N243,[1]ID_Cidades!$A$1:$E$5900,2,FALSE)</f>
        <v>295765</v>
      </c>
      <c r="Q243">
        <f>VLOOKUP(O243,[1]ID_Cidades!$A$1:$E$5900,2,FALSE)</f>
        <v>295778</v>
      </c>
      <c r="R243">
        <f t="shared" si="6"/>
        <v>87480780170</v>
      </c>
      <c r="S243" s="42">
        <f>VLOOKUP(R243,'[1]GCD base'!$A$1:$M$200,7,FALSE)</f>
        <v>1961.5007860000001</v>
      </c>
      <c r="T243" t="s">
        <v>109</v>
      </c>
      <c r="U243" t="s">
        <v>201</v>
      </c>
      <c r="V243" t="s">
        <v>202</v>
      </c>
      <c r="W243" t="s">
        <v>203</v>
      </c>
      <c r="X243" t="s">
        <v>204</v>
      </c>
      <c r="Y243">
        <v>0</v>
      </c>
      <c r="Z243">
        <v>0</v>
      </c>
      <c r="AA243">
        <v>713.4</v>
      </c>
      <c r="AB243">
        <v>0</v>
      </c>
      <c r="AC243" s="49">
        <v>45154</v>
      </c>
      <c r="AD243" s="116" t="s">
        <v>10</v>
      </c>
      <c r="AE243" s="113" t="str" cm="1">
        <f t="array" ref="AE243">_xlfn.IFS(S243&lt;=Constantes!$G$2,"Muito Curta (evitável)",S243&lt;=Constantes!$H$2,"Curta Distância",S243&gt;Constantes!$H$2,"Longa Distância")</f>
        <v>Curta Distância</v>
      </c>
      <c r="AF243" s="114">
        <f>IFERROR(VLOOKUP(AE243,Constantes!$A$1:$E$5,MATCH(AD243,Constantes!$A$1:$E$1,0),0),"")</f>
        <v>0.18286935436241611</v>
      </c>
      <c r="AG243" s="115">
        <f t="shared" si="7"/>
        <v>358.69838231719172</v>
      </c>
    </row>
    <row r="244" spans="1:33" x14ac:dyDescent="0.3">
      <c r="A244">
        <f>COUNTIF($B$2:B244,B244)</f>
        <v>1</v>
      </c>
      <c r="B244">
        <v>19291123</v>
      </c>
      <c r="C244" t="s">
        <v>1033</v>
      </c>
      <c r="D244" t="s">
        <v>1034</v>
      </c>
      <c r="E244" t="s">
        <v>1035</v>
      </c>
      <c r="F244" t="s">
        <v>198</v>
      </c>
      <c r="G244" t="s">
        <v>207</v>
      </c>
      <c r="H244" t="s">
        <v>204</v>
      </c>
      <c r="I244" s="49">
        <v>45201</v>
      </c>
      <c r="J244" s="49">
        <v>45204</v>
      </c>
      <c r="K244" t="s">
        <v>1036</v>
      </c>
      <c r="L244" s="49">
        <v>45204</v>
      </c>
      <c r="M244" s="49">
        <v>45204</v>
      </c>
      <c r="N244" t="s">
        <v>107</v>
      </c>
      <c r="O244" t="s">
        <v>110</v>
      </c>
      <c r="P244">
        <f>VLOOKUP(N244,[1]ID_Cidades!$A$1:$E$5900,2,FALSE)</f>
        <v>295765</v>
      </c>
      <c r="Q244">
        <f>VLOOKUP(O244,[1]ID_Cidades!$A$1:$E$5900,2,FALSE)</f>
        <v>295763</v>
      </c>
      <c r="R244">
        <f t="shared" si="6"/>
        <v>87476343695</v>
      </c>
      <c r="S244" s="42">
        <f>VLOOKUP(R244,'[1]GCD base'!$A$1:$M$200,7,FALSE)</f>
        <v>1713.419991</v>
      </c>
      <c r="T244" t="s">
        <v>109</v>
      </c>
      <c r="U244" t="s">
        <v>201</v>
      </c>
      <c r="V244" t="s">
        <v>202</v>
      </c>
      <c r="W244" t="s">
        <v>210</v>
      </c>
      <c r="X244" t="s">
        <v>1037</v>
      </c>
      <c r="Y244">
        <v>1168.93</v>
      </c>
      <c r="Z244">
        <v>0</v>
      </c>
      <c r="AA244">
        <v>1031.6099999999999</v>
      </c>
      <c r="AB244">
        <v>0</v>
      </c>
      <c r="AC244" s="49">
        <v>45187</v>
      </c>
      <c r="AD244" s="116" t="s">
        <v>10</v>
      </c>
      <c r="AE244" s="113" t="str" cm="1">
        <f t="array" ref="AE244">_xlfn.IFS(S244&lt;=Constantes!$G$2,"Muito Curta (evitável)",S244&lt;=Constantes!$H$2,"Curta Distância",S244&gt;Constantes!$H$2,"Longa Distância")</f>
        <v>Curta Distância</v>
      </c>
      <c r="AF244" s="114">
        <f>IFERROR(VLOOKUP(AE244,Constantes!$A$1:$E$5,MATCH(AD244,Constantes!$A$1:$E$1,0),0),"")</f>
        <v>0.18286935436241611</v>
      </c>
      <c r="AG244" s="115">
        <f t="shared" si="7"/>
        <v>313.33200750582682</v>
      </c>
    </row>
    <row r="245" spans="1:33" x14ac:dyDescent="0.3">
      <c r="A245">
        <f>COUNTIF($B$2:B245,B245)</f>
        <v>2</v>
      </c>
      <c r="B245">
        <v>19291123</v>
      </c>
      <c r="C245" t="s">
        <v>1033</v>
      </c>
      <c r="D245" t="s">
        <v>1034</v>
      </c>
      <c r="E245" t="s">
        <v>1035</v>
      </c>
      <c r="F245" t="s">
        <v>198</v>
      </c>
      <c r="G245" t="s">
        <v>207</v>
      </c>
      <c r="H245" t="s">
        <v>204</v>
      </c>
      <c r="I245" s="49">
        <v>45201</v>
      </c>
      <c r="J245" s="49">
        <v>45204</v>
      </c>
      <c r="K245" t="s">
        <v>1036</v>
      </c>
      <c r="L245" s="49">
        <v>45201</v>
      </c>
      <c r="M245" s="49">
        <v>45204</v>
      </c>
      <c r="N245" t="s">
        <v>110</v>
      </c>
      <c r="O245" t="s">
        <v>107</v>
      </c>
      <c r="P245">
        <f>VLOOKUP(N245,[1]ID_Cidades!$A$1:$E$5900,2,FALSE)</f>
        <v>295763</v>
      </c>
      <c r="Q245">
        <f>VLOOKUP(O245,[1]ID_Cidades!$A$1:$E$5900,2,FALSE)</f>
        <v>295765</v>
      </c>
      <c r="R245">
        <f t="shared" si="6"/>
        <v>87476343695</v>
      </c>
      <c r="S245" s="42">
        <f>VLOOKUP(R245,'[1]GCD base'!$A$1:$M$200,7,FALSE)</f>
        <v>1713.419991</v>
      </c>
      <c r="T245" t="s">
        <v>109</v>
      </c>
      <c r="U245" t="s">
        <v>205</v>
      </c>
      <c r="V245" t="s">
        <v>202</v>
      </c>
      <c r="W245" t="s">
        <v>210</v>
      </c>
      <c r="X245" t="s">
        <v>1037</v>
      </c>
      <c r="Y245">
        <v>0</v>
      </c>
      <c r="Z245">
        <v>0</v>
      </c>
      <c r="AA245">
        <v>896.99</v>
      </c>
      <c r="AB245">
        <v>0</v>
      </c>
      <c r="AC245" s="49">
        <v>45187</v>
      </c>
      <c r="AD245" s="116" t="s">
        <v>10</v>
      </c>
      <c r="AE245" s="113" t="str" cm="1">
        <f t="array" ref="AE245">_xlfn.IFS(S245&lt;=Constantes!$G$2,"Muito Curta (evitável)",S245&lt;=Constantes!$H$2,"Curta Distância",S245&gt;Constantes!$H$2,"Longa Distância")</f>
        <v>Curta Distância</v>
      </c>
      <c r="AF245" s="114">
        <f>IFERROR(VLOOKUP(AE245,Constantes!$A$1:$E$5,MATCH(AD245,Constantes!$A$1:$E$1,0),0),"")</f>
        <v>0.18286935436241611</v>
      </c>
      <c r="AG245" s="115">
        <f t="shared" si="7"/>
        <v>313.33200750582682</v>
      </c>
    </row>
    <row r="246" spans="1:33" x14ac:dyDescent="0.3">
      <c r="A246">
        <f>COUNTIF($B$2:B246,B246)</f>
        <v>1</v>
      </c>
      <c r="B246">
        <v>19305842</v>
      </c>
      <c r="C246" t="s">
        <v>1101</v>
      </c>
      <c r="D246" t="s">
        <v>1102</v>
      </c>
      <c r="E246" t="s">
        <v>1103</v>
      </c>
      <c r="F246" t="s">
        <v>218</v>
      </c>
      <c r="G246" t="s">
        <v>221</v>
      </c>
      <c r="H246" t="s">
        <v>200</v>
      </c>
      <c r="I246" s="49">
        <v>45201</v>
      </c>
      <c r="J246" s="49">
        <v>45203</v>
      </c>
      <c r="K246" t="s">
        <v>1104</v>
      </c>
      <c r="L246" s="49">
        <v>45201</v>
      </c>
      <c r="M246" s="49">
        <v>45203</v>
      </c>
      <c r="N246" t="s">
        <v>115</v>
      </c>
      <c r="O246" t="s">
        <v>107</v>
      </c>
      <c r="P246">
        <f>VLOOKUP(N246,[1]ID_Cidades!$A$1:$E$5900,2,FALSE)</f>
        <v>295770</v>
      </c>
      <c r="Q246">
        <f>VLOOKUP(O246,[1]ID_Cidades!$A$1:$E$5900,2,FALSE)</f>
        <v>295765</v>
      </c>
      <c r="R246">
        <f t="shared" si="6"/>
        <v>87478414050</v>
      </c>
      <c r="S246" s="42">
        <f>VLOOKUP(R246,'[1]GCD base'!$A$1:$M$200,7,FALSE)</f>
        <v>741.11941309999997</v>
      </c>
      <c r="T246" t="s">
        <v>109</v>
      </c>
      <c r="U246" t="s">
        <v>205</v>
      </c>
      <c r="V246" t="s">
        <v>202</v>
      </c>
      <c r="W246" t="s">
        <v>210</v>
      </c>
      <c r="X246" t="s">
        <v>1105</v>
      </c>
      <c r="Y246">
        <v>947.55</v>
      </c>
      <c r="Z246">
        <v>0</v>
      </c>
      <c r="AA246">
        <v>1538.79</v>
      </c>
      <c r="AB246">
        <v>0</v>
      </c>
      <c r="AC246" s="49">
        <v>45189</v>
      </c>
      <c r="AD246" s="116" t="s">
        <v>10</v>
      </c>
      <c r="AE246" s="113" t="str" cm="1">
        <f t="array" ref="AE246">_xlfn.IFS(S246&lt;=Constantes!$G$2,"Muito Curta (evitável)",S246&lt;=Constantes!$H$2,"Curta Distância",S246&gt;Constantes!$H$2,"Longa Distância")</f>
        <v>Curta Distância</v>
      </c>
      <c r="AF246" s="114">
        <f>IFERROR(VLOOKUP(AE246,Constantes!$A$1:$E$5,MATCH(AD246,Constantes!$A$1:$E$1,0),0),"")</f>
        <v>0.18286935436241611</v>
      </c>
      <c r="AG246" s="115">
        <f t="shared" si="7"/>
        <v>135.52802857904976</v>
      </c>
    </row>
    <row r="247" spans="1:33" x14ac:dyDescent="0.3">
      <c r="A247">
        <f>COUNTIF($B$2:B247,B247)</f>
        <v>2</v>
      </c>
      <c r="B247">
        <v>19305842</v>
      </c>
      <c r="C247" t="s">
        <v>1101</v>
      </c>
      <c r="D247" t="s">
        <v>1102</v>
      </c>
      <c r="E247" t="s">
        <v>1103</v>
      </c>
      <c r="F247" t="s">
        <v>218</v>
      </c>
      <c r="G247" t="s">
        <v>221</v>
      </c>
      <c r="H247" t="s">
        <v>200</v>
      </c>
      <c r="I247" s="49">
        <v>45201</v>
      </c>
      <c r="J247" s="49">
        <v>45203</v>
      </c>
      <c r="K247" t="s">
        <v>1104</v>
      </c>
      <c r="L247" s="49">
        <v>45203</v>
      </c>
      <c r="M247" s="49">
        <v>45203</v>
      </c>
      <c r="N247" t="s">
        <v>107</v>
      </c>
      <c r="O247" t="s">
        <v>110</v>
      </c>
      <c r="P247">
        <f>VLOOKUP(N247,[1]ID_Cidades!$A$1:$E$5900,2,FALSE)</f>
        <v>295765</v>
      </c>
      <c r="Q247">
        <f>VLOOKUP(O247,[1]ID_Cidades!$A$1:$E$5900,2,FALSE)</f>
        <v>295763</v>
      </c>
      <c r="R247">
        <f t="shared" si="6"/>
        <v>87476343695</v>
      </c>
      <c r="S247" s="42">
        <f>VLOOKUP(R247,'[1]GCD base'!$A$1:$M$200,7,FALSE)</f>
        <v>1713.419991</v>
      </c>
      <c r="T247" t="s">
        <v>109</v>
      </c>
      <c r="U247" t="s">
        <v>201</v>
      </c>
      <c r="V247" t="s">
        <v>202</v>
      </c>
      <c r="W247" t="s">
        <v>210</v>
      </c>
      <c r="X247" t="s">
        <v>1105</v>
      </c>
      <c r="Y247">
        <v>0</v>
      </c>
      <c r="Z247">
        <v>0</v>
      </c>
      <c r="AA247">
        <v>0</v>
      </c>
      <c r="AB247">
        <v>0</v>
      </c>
      <c r="AC247">
        <v>0</v>
      </c>
      <c r="AD247" s="116" t="s">
        <v>10</v>
      </c>
      <c r="AE247" s="113" t="str" cm="1">
        <f t="array" ref="AE247">_xlfn.IFS(S247&lt;=Constantes!$G$2,"Muito Curta (evitável)",S247&lt;=Constantes!$H$2,"Curta Distância",S247&gt;Constantes!$H$2,"Longa Distância")</f>
        <v>Curta Distância</v>
      </c>
      <c r="AF247" s="114">
        <f>IFERROR(VLOOKUP(AE247,Constantes!$A$1:$E$5,MATCH(AD247,Constantes!$A$1:$E$1,0),0),"")</f>
        <v>0.18286935436241611</v>
      </c>
      <c r="AG247" s="115">
        <f t="shared" si="7"/>
        <v>313.33200750582682</v>
      </c>
    </row>
    <row r="248" spans="1:33" x14ac:dyDescent="0.3">
      <c r="A248">
        <f>COUNTIF($B$2:B248,B248)</f>
        <v>1</v>
      </c>
      <c r="B248">
        <v>19340849</v>
      </c>
      <c r="C248" t="s">
        <v>1265</v>
      </c>
      <c r="D248" t="s">
        <v>1266</v>
      </c>
      <c r="E248" t="s">
        <v>1267</v>
      </c>
      <c r="F248" t="s">
        <v>1268</v>
      </c>
      <c r="G248" t="s">
        <v>223</v>
      </c>
      <c r="H248" t="s">
        <v>223</v>
      </c>
      <c r="I248" s="49">
        <v>45201</v>
      </c>
      <c r="J248" s="49">
        <v>45206</v>
      </c>
      <c r="K248" t="s">
        <v>1269</v>
      </c>
      <c r="L248" s="49">
        <v>45205</v>
      </c>
      <c r="M248" s="49">
        <v>45206</v>
      </c>
      <c r="N248" t="s">
        <v>119</v>
      </c>
      <c r="O248" t="s">
        <v>107</v>
      </c>
      <c r="P248">
        <f>VLOOKUP(N248,[1]ID_Cidades!$A$1:$E$5900,2,FALSE)</f>
        <v>295786</v>
      </c>
      <c r="Q248">
        <f>VLOOKUP(O248,[1]ID_Cidades!$A$1:$E$5900,2,FALSE)</f>
        <v>295765</v>
      </c>
      <c r="R248">
        <f t="shared" si="6"/>
        <v>87483146290</v>
      </c>
      <c r="S248" s="42">
        <f>VLOOKUP(R248,'[1]GCD base'!$A$1:$M$200,7,FALSE)</f>
        <v>3054.7955320000001</v>
      </c>
      <c r="T248" t="s">
        <v>109</v>
      </c>
      <c r="U248" t="s">
        <v>201</v>
      </c>
      <c r="V248" t="s">
        <v>202</v>
      </c>
      <c r="W248" t="s">
        <v>210</v>
      </c>
      <c r="X248" t="s">
        <v>1270</v>
      </c>
      <c r="Y248">
        <v>1313.05</v>
      </c>
      <c r="Z248">
        <v>0</v>
      </c>
      <c r="AA248">
        <v>2069.2399999999998</v>
      </c>
      <c r="AB248">
        <v>0</v>
      </c>
      <c r="AC248" s="49">
        <v>45197</v>
      </c>
      <c r="AD248" s="116" t="s">
        <v>10</v>
      </c>
      <c r="AE248" s="113" t="str" cm="1">
        <f t="array" ref="AE248">_xlfn.IFS(S248&lt;=Constantes!$G$2,"Muito Curta (evitável)",S248&lt;=Constantes!$H$2,"Curta Distância",S248&gt;Constantes!$H$2,"Longa Distância")</f>
        <v>Curta Distância</v>
      </c>
      <c r="AF248" s="114">
        <f>IFERROR(VLOOKUP(AE248,Constantes!$A$1:$E$5,MATCH(AD248,Constantes!$A$1:$E$1,0),0),"")</f>
        <v>0.18286935436241611</v>
      </c>
      <c r="AG248" s="115">
        <f t="shared" si="7"/>
        <v>558.62848664603348</v>
      </c>
    </row>
    <row r="249" spans="1:33" x14ac:dyDescent="0.3">
      <c r="A249">
        <f>COUNTIF($B$2:B249,B249)</f>
        <v>2</v>
      </c>
      <c r="B249">
        <v>19340849</v>
      </c>
      <c r="C249" t="s">
        <v>1265</v>
      </c>
      <c r="D249" t="s">
        <v>1266</v>
      </c>
      <c r="E249" t="s">
        <v>1267</v>
      </c>
      <c r="F249" t="s">
        <v>1268</v>
      </c>
      <c r="G249" t="s">
        <v>223</v>
      </c>
      <c r="H249" t="s">
        <v>223</v>
      </c>
      <c r="I249" s="49">
        <v>45201</v>
      </c>
      <c r="J249" s="49">
        <v>45206</v>
      </c>
      <c r="K249" t="s">
        <v>1269</v>
      </c>
      <c r="L249" s="49">
        <v>45201</v>
      </c>
      <c r="M249" s="49">
        <v>45201</v>
      </c>
      <c r="N249" t="s">
        <v>107</v>
      </c>
      <c r="O249" t="s">
        <v>119</v>
      </c>
      <c r="P249">
        <f>VLOOKUP(N249,[1]ID_Cidades!$A$1:$E$5900,2,FALSE)</f>
        <v>295765</v>
      </c>
      <c r="Q249">
        <f>VLOOKUP(O249,[1]ID_Cidades!$A$1:$E$5900,2,FALSE)</f>
        <v>295786</v>
      </c>
      <c r="R249">
        <f t="shared" si="6"/>
        <v>87483146290</v>
      </c>
      <c r="S249" s="42">
        <f>VLOOKUP(R249,'[1]GCD base'!$A$1:$M$200,7,FALSE)</f>
        <v>3054.7955320000001</v>
      </c>
      <c r="T249" t="s">
        <v>109</v>
      </c>
      <c r="U249" t="s">
        <v>201</v>
      </c>
      <c r="V249" t="s">
        <v>202</v>
      </c>
      <c r="W249" t="s">
        <v>210</v>
      </c>
      <c r="X249" t="s">
        <v>1270</v>
      </c>
      <c r="Y249">
        <v>0</v>
      </c>
      <c r="Z249">
        <v>0</v>
      </c>
      <c r="AA249">
        <v>2542.89</v>
      </c>
      <c r="AB249">
        <v>0</v>
      </c>
      <c r="AC249" s="49">
        <v>45197</v>
      </c>
      <c r="AD249" s="116" t="s">
        <v>10</v>
      </c>
      <c r="AE249" s="113" t="str" cm="1">
        <f t="array" ref="AE249">_xlfn.IFS(S249&lt;=Constantes!$G$2,"Muito Curta (evitável)",S249&lt;=Constantes!$H$2,"Curta Distância",S249&gt;Constantes!$H$2,"Longa Distância")</f>
        <v>Curta Distância</v>
      </c>
      <c r="AF249" s="114">
        <f>IFERROR(VLOOKUP(AE249,Constantes!$A$1:$E$5,MATCH(AD249,Constantes!$A$1:$E$1,0),0),"")</f>
        <v>0.18286935436241611</v>
      </c>
      <c r="AG249" s="115">
        <f t="shared" si="7"/>
        <v>558.62848664603348</v>
      </c>
    </row>
    <row r="250" spans="1:33" x14ac:dyDescent="0.3">
      <c r="A250">
        <f>COUNTIF($B$2:B250,B250)</f>
        <v>1</v>
      </c>
      <c r="B250">
        <v>19340895</v>
      </c>
      <c r="C250" t="s">
        <v>1271</v>
      </c>
      <c r="D250" t="s">
        <v>1272</v>
      </c>
      <c r="E250" t="s">
        <v>1273</v>
      </c>
      <c r="F250" t="s">
        <v>214</v>
      </c>
      <c r="G250" t="s">
        <v>207</v>
      </c>
      <c r="H250" t="s">
        <v>204</v>
      </c>
      <c r="I250" s="49">
        <v>45201</v>
      </c>
      <c r="J250" s="49">
        <v>45206</v>
      </c>
      <c r="K250" t="s">
        <v>1269</v>
      </c>
      <c r="L250" s="49">
        <v>45201</v>
      </c>
      <c r="M250" s="49">
        <v>45201</v>
      </c>
      <c r="N250" t="s">
        <v>107</v>
      </c>
      <c r="O250" t="s">
        <v>119</v>
      </c>
      <c r="P250">
        <f>VLOOKUP(N250,[1]ID_Cidades!$A$1:$E$5900,2,FALSE)</f>
        <v>295765</v>
      </c>
      <c r="Q250">
        <f>VLOOKUP(O250,[1]ID_Cidades!$A$1:$E$5900,2,FALSE)</f>
        <v>295786</v>
      </c>
      <c r="R250">
        <f t="shared" si="6"/>
        <v>87483146290</v>
      </c>
      <c r="S250" s="42">
        <f>VLOOKUP(R250,'[1]GCD base'!$A$1:$M$200,7,FALSE)</f>
        <v>3054.7955320000001</v>
      </c>
      <c r="T250" t="s">
        <v>109</v>
      </c>
      <c r="U250" t="s">
        <v>201</v>
      </c>
      <c r="V250" t="s">
        <v>202</v>
      </c>
      <c r="W250" t="s">
        <v>210</v>
      </c>
      <c r="X250" t="s">
        <v>1274</v>
      </c>
      <c r="Y250">
        <v>1505.4</v>
      </c>
      <c r="Z250">
        <v>0</v>
      </c>
      <c r="AA250">
        <v>2069.2399999999998</v>
      </c>
      <c r="AB250">
        <v>0</v>
      </c>
      <c r="AC250" s="49">
        <v>45197</v>
      </c>
      <c r="AD250" s="116" t="s">
        <v>10</v>
      </c>
      <c r="AE250" s="113" t="str" cm="1">
        <f t="array" ref="AE250">_xlfn.IFS(S250&lt;=Constantes!$G$2,"Muito Curta (evitável)",S250&lt;=Constantes!$H$2,"Curta Distância",S250&gt;Constantes!$H$2,"Longa Distância")</f>
        <v>Curta Distância</v>
      </c>
      <c r="AF250" s="114">
        <f>IFERROR(VLOOKUP(AE250,Constantes!$A$1:$E$5,MATCH(AD250,Constantes!$A$1:$E$1,0),0),"")</f>
        <v>0.18286935436241611</v>
      </c>
      <c r="AG250" s="115">
        <f t="shared" si="7"/>
        <v>558.62848664603348</v>
      </c>
    </row>
    <row r="251" spans="1:33" x14ac:dyDescent="0.3">
      <c r="A251">
        <f>COUNTIF($B$2:B251,B251)</f>
        <v>2</v>
      </c>
      <c r="B251">
        <v>19340895</v>
      </c>
      <c r="C251" t="s">
        <v>1271</v>
      </c>
      <c r="D251" t="s">
        <v>1272</v>
      </c>
      <c r="E251" t="s">
        <v>1273</v>
      </c>
      <c r="F251" t="s">
        <v>214</v>
      </c>
      <c r="G251" t="s">
        <v>207</v>
      </c>
      <c r="H251" t="s">
        <v>204</v>
      </c>
      <c r="I251" s="49">
        <v>45201</v>
      </c>
      <c r="J251" s="49">
        <v>45206</v>
      </c>
      <c r="K251" t="s">
        <v>1269</v>
      </c>
      <c r="L251" s="49">
        <v>45205</v>
      </c>
      <c r="M251" s="49">
        <v>45206</v>
      </c>
      <c r="N251" t="s">
        <v>119</v>
      </c>
      <c r="O251" t="s">
        <v>107</v>
      </c>
      <c r="P251">
        <f>VLOOKUP(N251,[1]ID_Cidades!$A$1:$E$5900,2,FALSE)</f>
        <v>295786</v>
      </c>
      <c r="Q251">
        <f>VLOOKUP(O251,[1]ID_Cidades!$A$1:$E$5900,2,FALSE)</f>
        <v>295765</v>
      </c>
      <c r="R251">
        <f t="shared" si="6"/>
        <v>87483146290</v>
      </c>
      <c r="S251" s="42">
        <f>VLOOKUP(R251,'[1]GCD base'!$A$1:$M$200,7,FALSE)</f>
        <v>3054.7955320000001</v>
      </c>
      <c r="T251" t="s">
        <v>109</v>
      </c>
      <c r="U251" t="s">
        <v>201</v>
      </c>
      <c r="V251" t="s">
        <v>202</v>
      </c>
      <c r="W251" t="s">
        <v>210</v>
      </c>
      <c r="X251" t="s">
        <v>1274</v>
      </c>
      <c r="Y251">
        <v>0</v>
      </c>
      <c r="Z251">
        <v>0</v>
      </c>
      <c r="AA251">
        <v>2542.89</v>
      </c>
      <c r="AB251">
        <v>0</v>
      </c>
      <c r="AC251" s="49">
        <v>45197</v>
      </c>
      <c r="AD251" s="116" t="s">
        <v>10</v>
      </c>
      <c r="AE251" s="113" t="str" cm="1">
        <f t="array" ref="AE251">_xlfn.IFS(S251&lt;=Constantes!$G$2,"Muito Curta (evitável)",S251&lt;=Constantes!$H$2,"Curta Distância",S251&gt;Constantes!$H$2,"Longa Distância")</f>
        <v>Curta Distância</v>
      </c>
      <c r="AF251" s="114">
        <f>IFERROR(VLOOKUP(AE251,Constantes!$A$1:$E$5,MATCH(AD251,Constantes!$A$1:$E$1,0),0),"")</f>
        <v>0.18286935436241611</v>
      </c>
      <c r="AG251" s="115">
        <f t="shared" si="7"/>
        <v>558.62848664603348</v>
      </c>
    </row>
    <row r="252" spans="1:33" x14ac:dyDescent="0.3">
      <c r="A252">
        <f>COUNTIF($B$2:B252,B252)</f>
        <v>1</v>
      </c>
      <c r="B252">
        <v>19342070</v>
      </c>
      <c r="C252" t="s">
        <v>1283</v>
      </c>
      <c r="D252" t="s">
        <v>1284</v>
      </c>
      <c r="E252" t="s">
        <v>1285</v>
      </c>
      <c r="F252" t="s">
        <v>234</v>
      </c>
      <c r="G252" t="s">
        <v>207</v>
      </c>
      <c r="H252" t="s">
        <v>204</v>
      </c>
      <c r="I252" s="49">
        <v>45201</v>
      </c>
      <c r="J252" s="49">
        <v>45206</v>
      </c>
      <c r="K252" t="s">
        <v>1269</v>
      </c>
      <c r="L252" s="49">
        <v>45205</v>
      </c>
      <c r="M252" s="49">
        <v>45206</v>
      </c>
      <c r="N252" t="s">
        <v>119</v>
      </c>
      <c r="O252" t="s">
        <v>107</v>
      </c>
      <c r="P252">
        <f>VLOOKUP(N252,[1]ID_Cidades!$A$1:$E$5900,2,FALSE)</f>
        <v>295786</v>
      </c>
      <c r="Q252">
        <f>VLOOKUP(O252,[1]ID_Cidades!$A$1:$E$5900,2,FALSE)</f>
        <v>295765</v>
      </c>
      <c r="R252">
        <f t="shared" si="6"/>
        <v>87483146290</v>
      </c>
      <c r="S252" s="42">
        <f>VLOOKUP(R252,'[1]GCD base'!$A$1:$M$200,7,FALSE)</f>
        <v>3054.7955320000001</v>
      </c>
      <c r="T252" t="s">
        <v>109</v>
      </c>
      <c r="U252" t="s">
        <v>201</v>
      </c>
      <c r="V252" t="s">
        <v>202</v>
      </c>
      <c r="W252" t="s">
        <v>210</v>
      </c>
      <c r="X252" t="s">
        <v>1286</v>
      </c>
      <c r="Y252">
        <v>1096.2</v>
      </c>
      <c r="Z252">
        <v>0</v>
      </c>
      <c r="AA252">
        <v>2542.89</v>
      </c>
      <c r="AB252">
        <v>0</v>
      </c>
      <c r="AC252" s="49">
        <v>45197</v>
      </c>
      <c r="AD252" s="116" t="s">
        <v>10</v>
      </c>
      <c r="AE252" s="113" t="str" cm="1">
        <f t="array" ref="AE252">_xlfn.IFS(S252&lt;=Constantes!$G$2,"Muito Curta (evitável)",S252&lt;=Constantes!$H$2,"Curta Distância",S252&gt;Constantes!$H$2,"Longa Distância")</f>
        <v>Curta Distância</v>
      </c>
      <c r="AF252" s="114">
        <f>IFERROR(VLOOKUP(AE252,Constantes!$A$1:$E$5,MATCH(AD252,Constantes!$A$1:$E$1,0),0),"")</f>
        <v>0.18286935436241611</v>
      </c>
      <c r="AG252" s="115">
        <f t="shared" si="7"/>
        <v>558.62848664603348</v>
      </c>
    </row>
    <row r="253" spans="1:33" x14ac:dyDescent="0.3">
      <c r="A253">
        <f>COUNTIF($B$2:B253,B253)</f>
        <v>2</v>
      </c>
      <c r="B253">
        <v>19342070</v>
      </c>
      <c r="C253" t="s">
        <v>1283</v>
      </c>
      <c r="D253" t="s">
        <v>1284</v>
      </c>
      <c r="E253" t="s">
        <v>1285</v>
      </c>
      <c r="F253" t="s">
        <v>234</v>
      </c>
      <c r="G253" t="s">
        <v>207</v>
      </c>
      <c r="H253" t="s">
        <v>204</v>
      </c>
      <c r="I253" s="49">
        <v>45201</v>
      </c>
      <c r="J253" s="49">
        <v>45206</v>
      </c>
      <c r="K253" t="s">
        <v>1269</v>
      </c>
      <c r="L253" s="49">
        <v>45201</v>
      </c>
      <c r="M253" s="49">
        <v>45201</v>
      </c>
      <c r="N253" t="s">
        <v>107</v>
      </c>
      <c r="O253" t="s">
        <v>119</v>
      </c>
      <c r="P253">
        <f>VLOOKUP(N253,[1]ID_Cidades!$A$1:$E$5900,2,FALSE)</f>
        <v>295765</v>
      </c>
      <c r="Q253">
        <f>VLOOKUP(O253,[1]ID_Cidades!$A$1:$E$5900,2,FALSE)</f>
        <v>295786</v>
      </c>
      <c r="R253">
        <f t="shared" si="6"/>
        <v>87483146290</v>
      </c>
      <c r="S253" s="42">
        <f>VLOOKUP(R253,'[1]GCD base'!$A$1:$M$200,7,FALSE)</f>
        <v>3054.7955320000001</v>
      </c>
      <c r="T253" t="s">
        <v>109</v>
      </c>
      <c r="U253" t="s">
        <v>201</v>
      </c>
      <c r="V253" t="s">
        <v>202</v>
      </c>
      <c r="W253" t="s">
        <v>210</v>
      </c>
      <c r="X253" t="s">
        <v>1286</v>
      </c>
      <c r="Y253">
        <v>0</v>
      </c>
      <c r="Z253">
        <v>0</v>
      </c>
      <c r="AA253">
        <v>2069.2399999999998</v>
      </c>
      <c r="AB253">
        <v>0</v>
      </c>
      <c r="AC253" s="49">
        <v>45197</v>
      </c>
      <c r="AD253" s="116" t="s">
        <v>10</v>
      </c>
      <c r="AE253" s="113" t="str" cm="1">
        <f t="array" ref="AE253">_xlfn.IFS(S253&lt;=Constantes!$G$2,"Muito Curta (evitável)",S253&lt;=Constantes!$H$2,"Curta Distância",S253&gt;Constantes!$H$2,"Longa Distância")</f>
        <v>Curta Distância</v>
      </c>
      <c r="AF253" s="114">
        <f>IFERROR(VLOOKUP(AE253,Constantes!$A$1:$E$5,MATCH(AD253,Constantes!$A$1:$E$1,0),0),"")</f>
        <v>0.18286935436241611</v>
      </c>
      <c r="AG253" s="115">
        <f t="shared" si="7"/>
        <v>558.62848664603348</v>
      </c>
    </row>
    <row r="254" spans="1:33" x14ac:dyDescent="0.3">
      <c r="A254">
        <f>COUNTIF($B$2:B254,B254)</f>
        <v>1</v>
      </c>
      <c r="B254">
        <v>19342110</v>
      </c>
      <c r="C254" t="s">
        <v>1287</v>
      </c>
      <c r="D254" t="s">
        <v>1288</v>
      </c>
      <c r="E254" t="s">
        <v>1289</v>
      </c>
      <c r="F254" t="s">
        <v>1290</v>
      </c>
      <c r="G254" t="s">
        <v>211</v>
      </c>
      <c r="H254" t="s">
        <v>211</v>
      </c>
      <c r="I254" s="49">
        <v>45201</v>
      </c>
      <c r="J254" s="49">
        <v>45206</v>
      </c>
      <c r="K254" t="s">
        <v>1269</v>
      </c>
      <c r="L254" s="49">
        <v>45205</v>
      </c>
      <c r="M254" s="49">
        <v>45206</v>
      </c>
      <c r="N254" t="s">
        <v>119</v>
      </c>
      <c r="O254" t="s">
        <v>107</v>
      </c>
      <c r="P254">
        <f>VLOOKUP(N254,[1]ID_Cidades!$A$1:$E$5900,2,FALSE)</f>
        <v>295786</v>
      </c>
      <c r="Q254">
        <f>VLOOKUP(O254,[1]ID_Cidades!$A$1:$E$5900,2,FALSE)</f>
        <v>295765</v>
      </c>
      <c r="R254">
        <f t="shared" si="6"/>
        <v>87483146290</v>
      </c>
      <c r="S254" s="42">
        <f>VLOOKUP(R254,'[1]GCD base'!$A$1:$M$200,7,FALSE)</f>
        <v>3054.7955320000001</v>
      </c>
      <c r="T254" t="s">
        <v>109</v>
      </c>
      <c r="U254" t="s">
        <v>201</v>
      </c>
      <c r="V254" t="s">
        <v>202</v>
      </c>
      <c r="W254" t="s">
        <v>210</v>
      </c>
      <c r="X254" t="s">
        <v>1274</v>
      </c>
      <c r="Y254">
        <v>1505.4</v>
      </c>
      <c r="Z254">
        <v>0</v>
      </c>
      <c r="AA254">
        <v>2069.2399999999998</v>
      </c>
      <c r="AB254">
        <v>0</v>
      </c>
      <c r="AC254" s="49">
        <v>45197</v>
      </c>
      <c r="AD254" s="116" t="s">
        <v>10</v>
      </c>
      <c r="AE254" s="113" t="str" cm="1">
        <f t="array" ref="AE254">_xlfn.IFS(S254&lt;=Constantes!$G$2,"Muito Curta (evitável)",S254&lt;=Constantes!$H$2,"Curta Distância",S254&gt;Constantes!$H$2,"Longa Distância")</f>
        <v>Curta Distância</v>
      </c>
      <c r="AF254" s="114">
        <f>IFERROR(VLOOKUP(AE254,Constantes!$A$1:$E$5,MATCH(AD254,Constantes!$A$1:$E$1,0),0),"")</f>
        <v>0.18286935436241611</v>
      </c>
      <c r="AG254" s="115">
        <f t="shared" si="7"/>
        <v>558.62848664603348</v>
      </c>
    </row>
    <row r="255" spans="1:33" x14ac:dyDescent="0.3">
      <c r="A255">
        <f>COUNTIF($B$2:B255,B255)</f>
        <v>2</v>
      </c>
      <c r="B255">
        <v>19342110</v>
      </c>
      <c r="C255" t="s">
        <v>1287</v>
      </c>
      <c r="D255" t="s">
        <v>1288</v>
      </c>
      <c r="E255" t="s">
        <v>1289</v>
      </c>
      <c r="F255" t="s">
        <v>1290</v>
      </c>
      <c r="G255" t="s">
        <v>211</v>
      </c>
      <c r="H255" t="s">
        <v>211</v>
      </c>
      <c r="I255" s="49">
        <v>45201</v>
      </c>
      <c r="J255" s="49">
        <v>45206</v>
      </c>
      <c r="K255" t="s">
        <v>1269</v>
      </c>
      <c r="L255" s="49">
        <v>45201</v>
      </c>
      <c r="M255" s="49">
        <v>45201</v>
      </c>
      <c r="N255" t="s">
        <v>107</v>
      </c>
      <c r="O255" t="s">
        <v>119</v>
      </c>
      <c r="P255">
        <f>VLOOKUP(N255,[1]ID_Cidades!$A$1:$E$5900,2,FALSE)</f>
        <v>295765</v>
      </c>
      <c r="Q255">
        <f>VLOOKUP(O255,[1]ID_Cidades!$A$1:$E$5900,2,FALSE)</f>
        <v>295786</v>
      </c>
      <c r="R255">
        <f t="shared" si="6"/>
        <v>87483146290</v>
      </c>
      <c r="S255" s="42">
        <f>VLOOKUP(R255,'[1]GCD base'!$A$1:$M$200,7,FALSE)</f>
        <v>3054.7955320000001</v>
      </c>
      <c r="T255" t="s">
        <v>109</v>
      </c>
      <c r="U255" t="s">
        <v>201</v>
      </c>
      <c r="V255" t="s">
        <v>202</v>
      </c>
      <c r="W255" t="s">
        <v>210</v>
      </c>
      <c r="X255" t="s">
        <v>1274</v>
      </c>
      <c r="Y255">
        <v>0</v>
      </c>
      <c r="Z255">
        <v>0</v>
      </c>
      <c r="AA255">
        <v>2542.89</v>
      </c>
      <c r="AB255">
        <v>0</v>
      </c>
      <c r="AC255" s="49">
        <v>45197</v>
      </c>
      <c r="AD255" s="116" t="s">
        <v>10</v>
      </c>
      <c r="AE255" s="113" t="str" cm="1">
        <f t="array" ref="AE255">_xlfn.IFS(S255&lt;=Constantes!$G$2,"Muito Curta (evitável)",S255&lt;=Constantes!$H$2,"Curta Distância",S255&gt;Constantes!$H$2,"Longa Distância")</f>
        <v>Curta Distância</v>
      </c>
      <c r="AF255" s="114">
        <f>IFERROR(VLOOKUP(AE255,Constantes!$A$1:$E$5,MATCH(AD255,Constantes!$A$1:$E$1,0),0),"")</f>
        <v>0.18286935436241611</v>
      </c>
      <c r="AG255" s="115">
        <f t="shared" si="7"/>
        <v>558.62848664603348</v>
      </c>
    </row>
    <row r="256" spans="1:33" x14ac:dyDescent="0.3">
      <c r="A256">
        <f>COUNTIF($B$2:B256,B256)</f>
        <v>1</v>
      </c>
      <c r="B256">
        <v>19342162</v>
      </c>
      <c r="C256" t="s">
        <v>1291</v>
      </c>
      <c r="D256" t="s">
        <v>227</v>
      </c>
      <c r="E256" t="s">
        <v>111</v>
      </c>
      <c r="F256" t="s">
        <v>214</v>
      </c>
      <c r="G256" t="s">
        <v>215</v>
      </c>
      <c r="H256" t="s">
        <v>200</v>
      </c>
      <c r="I256" s="49">
        <v>45201</v>
      </c>
      <c r="J256" s="49">
        <v>45206</v>
      </c>
      <c r="K256" t="s">
        <v>1269</v>
      </c>
      <c r="L256" s="49">
        <v>45201</v>
      </c>
      <c r="M256" s="49">
        <v>45201</v>
      </c>
      <c r="N256" t="s">
        <v>107</v>
      </c>
      <c r="O256" t="s">
        <v>119</v>
      </c>
      <c r="P256">
        <f>VLOOKUP(N256,[1]ID_Cidades!$A$1:$E$5900,2,FALSE)</f>
        <v>295765</v>
      </c>
      <c r="Q256">
        <f>VLOOKUP(O256,[1]ID_Cidades!$A$1:$E$5900,2,FALSE)</f>
        <v>295786</v>
      </c>
      <c r="R256">
        <f t="shared" si="6"/>
        <v>87483146290</v>
      </c>
      <c r="S256" s="42">
        <f>VLOOKUP(R256,'[1]GCD base'!$A$1:$M$200,7,FALSE)</f>
        <v>3054.7955320000001</v>
      </c>
      <c r="T256" t="s">
        <v>109</v>
      </c>
      <c r="U256" t="s">
        <v>201</v>
      </c>
      <c r="V256" t="s">
        <v>202</v>
      </c>
      <c r="W256" t="s">
        <v>210</v>
      </c>
      <c r="X256" t="s">
        <v>1274</v>
      </c>
      <c r="Y256">
        <v>1732.72</v>
      </c>
      <c r="Z256">
        <v>0</v>
      </c>
      <c r="AA256">
        <v>2542.89</v>
      </c>
      <c r="AB256">
        <v>0</v>
      </c>
      <c r="AC256" s="49">
        <v>45197</v>
      </c>
      <c r="AD256" s="116" t="s">
        <v>10</v>
      </c>
      <c r="AE256" s="113" t="str" cm="1">
        <f t="array" ref="AE256">_xlfn.IFS(S256&lt;=Constantes!$G$2,"Muito Curta (evitável)",S256&lt;=Constantes!$H$2,"Curta Distância",S256&gt;Constantes!$H$2,"Longa Distância")</f>
        <v>Curta Distância</v>
      </c>
      <c r="AF256" s="114">
        <f>IFERROR(VLOOKUP(AE256,Constantes!$A$1:$E$5,MATCH(AD256,Constantes!$A$1:$E$1,0),0),"")</f>
        <v>0.18286935436241611</v>
      </c>
      <c r="AG256" s="115">
        <f t="shared" si="7"/>
        <v>558.62848664603348</v>
      </c>
    </row>
    <row r="257" spans="1:33" x14ac:dyDescent="0.3">
      <c r="A257">
        <f>COUNTIF($B$2:B257,B257)</f>
        <v>2</v>
      </c>
      <c r="B257">
        <v>19342162</v>
      </c>
      <c r="C257" t="s">
        <v>1291</v>
      </c>
      <c r="D257" t="s">
        <v>227</v>
      </c>
      <c r="E257" t="s">
        <v>111</v>
      </c>
      <c r="F257" t="s">
        <v>214</v>
      </c>
      <c r="G257" t="s">
        <v>215</v>
      </c>
      <c r="H257" t="s">
        <v>200</v>
      </c>
      <c r="I257" s="49">
        <v>45201</v>
      </c>
      <c r="J257" s="49">
        <v>45206</v>
      </c>
      <c r="K257" t="s">
        <v>1269</v>
      </c>
      <c r="L257" s="49">
        <v>45205</v>
      </c>
      <c r="M257" s="49">
        <v>45206</v>
      </c>
      <c r="N257" t="s">
        <v>119</v>
      </c>
      <c r="O257" t="s">
        <v>107</v>
      </c>
      <c r="P257">
        <f>VLOOKUP(N257,[1]ID_Cidades!$A$1:$E$5900,2,FALSE)</f>
        <v>295786</v>
      </c>
      <c r="Q257">
        <f>VLOOKUP(O257,[1]ID_Cidades!$A$1:$E$5900,2,FALSE)</f>
        <v>295765</v>
      </c>
      <c r="R257">
        <f t="shared" si="6"/>
        <v>87483146290</v>
      </c>
      <c r="S257" s="42">
        <f>VLOOKUP(R257,'[1]GCD base'!$A$1:$M$200,7,FALSE)</f>
        <v>3054.7955320000001</v>
      </c>
      <c r="T257" t="s">
        <v>109</v>
      </c>
      <c r="U257" t="s">
        <v>201</v>
      </c>
      <c r="V257" t="s">
        <v>202</v>
      </c>
      <c r="W257" t="s">
        <v>210</v>
      </c>
      <c r="X257" t="s">
        <v>1274</v>
      </c>
      <c r="Y257">
        <v>0</v>
      </c>
      <c r="Z257">
        <v>0</v>
      </c>
      <c r="AA257">
        <v>2069.2399999999998</v>
      </c>
      <c r="AB257">
        <v>0</v>
      </c>
      <c r="AC257" s="49">
        <v>45197</v>
      </c>
      <c r="AD257" s="116" t="s">
        <v>10</v>
      </c>
      <c r="AE257" s="113" t="str" cm="1">
        <f t="array" ref="AE257">_xlfn.IFS(S257&lt;=Constantes!$G$2,"Muito Curta (evitável)",S257&lt;=Constantes!$H$2,"Curta Distância",S257&gt;Constantes!$H$2,"Longa Distância")</f>
        <v>Curta Distância</v>
      </c>
      <c r="AF257" s="114">
        <f>IFERROR(VLOOKUP(AE257,Constantes!$A$1:$E$5,MATCH(AD257,Constantes!$A$1:$E$1,0),0),"")</f>
        <v>0.18286935436241611</v>
      </c>
      <c r="AG257" s="115">
        <f t="shared" si="7"/>
        <v>558.62848664603348</v>
      </c>
    </row>
    <row r="258" spans="1:33" x14ac:dyDescent="0.3">
      <c r="A258">
        <f>COUNTIF($B$2:B258,B258)</f>
        <v>1</v>
      </c>
      <c r="B258">
        <v>19312470</v>
      </c>
      <c r="C258" t="s">
        <v>1130</v>
      </c>
      <c r="D258" t="s">
        <v>218</v>
      </c>
      <c r="E258" t="s">
        <v>1131</v>
      </c>
      <c r="F258" t="s">
        <v>218</v>
      </c>
      <c r="G258" t="s">
        <v>207</v>
      </c>
      <c r="H258" t="s">
        <v>204</v>
      </c>
      <c r="I258" s="49">
        <v>45202</v>
      </c>
      <c r="J258" s="49">
        <v>45206</v>
      </c>
      <c r="K258" t="s">
        <v>1132</v>
      </c>
      <c r="L258" s="49">
        <v>45202</v>
      </c>
      <c r="M258" s="49">
        <v>45206</v>
      </c>
      <c r="N258" t="s">
        <v>107</v>
      </c>
      <c r="O258" t="s">
        <v>114</v>
      </c>
      <c r="P258">
        <f>VLOOKUP(N258,[1]ID_Cidades!$A$1:$E$5900,2,FALSE)</f>
        <v>295765</v>
      </c>
      <c r="Q258">
        <f>VLOOKUP(O258,[1]ID_Cidades!$A$1:$E$5900,2,FALSE)</f>
        <v>295777</v>
      </c>
      <c r="R258">
        <f t="shared" ref="R258:R321" si="8">P258*Q258</f>
        <v>87480484405</v>
      </c>
      <c r="S258" s="42">
        <f>VLOOKUP(R258,'[1]GCD base'!$A$1:$M$200,7,FALSE)</f>
        <v>1714.8365369999999</v>
      </c>
      <c r="T258" t="s">
        <v>109</v>
      </c>
      <c r="U258" t="s">
        <v>205</v>
      </c>
      <c r="V258" t="s">
        <v>202</v>
      </c>
      <c r="W258" t="s">
        <v>210</v>
      </c>
      <c r="X258" t="s">
        <v>1133</v>
      </c>
      <c r="Y258">
        <v>0</v>
      </c>
      <c r="Z258">
        <v>0</v>
      </c>
      <c r="AA258">
        <v>1597.09</v>
      </c>
      <c r="AB258">
        <v>0</v>
      </c>
      <c r="AC258" s="49">
        <v>45189</v>
      </c>
      <c r="AD258" s="116" t="s">
        <v>10</v>
      </c>
      <c r="AE258" s="113" t="str" cm="1">
        <f t="array" ref="AE258">_xlfn.IFS(S258&lt;=Constantes!$G$2,"Muito Curta (evitável)",S258&lt;=Constantes!$H$2,"Curta Distância",S258&gt;Constantes!$H$2,"Longa Distância")</f>
        <v>Curta Distância</v>
      </c>
      <c r="AF258" s="114">
        <f>IFERROR(VLOOKUP(AE258,Constantes!$A$1:$E$5,MATCH(AD258,Constantes!$A$1:$E$1,0),0),"")</f>
        <v>0.18286935436241611</v>
      </c>
      <c r="AG258" s="115">
        <f t="shared" si="7"/>
        <v>313.59105035827145</v>
      </c>
    </row>
    <row r="259" spans="1:33" x14ac:dyDescent="0.3">
      <c r="A259">
        <f>COUNTIF($B$2:B259,B259)</f>
        <v>2</v>
      </c>
      <c r="B259">
        <v>19312470</v>
      </c>
      <c r="C259" t="s">
        <v>1130</v>
      </c>
      <c r="D259" t="s">
        <v>218</v>
      </c>
      <c r="E259" t="s">
        <v>1131</v>
      </c>
      <c r="F259" t="s">
        <v>218</v>
      </c>
      <c r="G259" t="s">
        <v>207</v>
      </c>
      <c r="H259" t="s">
        <v>204</v>
      </c>
      <c r="I259" s="49">
        <v>45202</v>
      </c>
      <c r="J259" s="49">
        <v>45206</v>
      </c>
      <c r="K259" t="s">
        <v>1132</v>
      </c>
      <c r="L259" s="49">
        <v>45206</v>
      </c>
      <c r="M259" s="49">
        <v>45206</v>
      </c>
      <c r="N259" t="s">
        <v>114</v>
      </c>
      <c r="O259" t="s">
        <v>107</v>
      </c>
      <c r="P259">
        <f>VLOOKUP(N259,[1]ID_Cidades!$A$1:$E$5900,2,FALSE)</f>
        <v>295777</v>
      </c>
      <c r="Q259">
        <f>VLOOKUP(O259,[1]ID_Cidades!$A$1:$E$5900,2,FALSE)</f>
        <v>295765</v>
      </c>
      <c r="R259">
        <f t="shared" si="8"/>
        <v>87480484405</v>
      </c>
      <c r="S259" s="42">
        <f>VLOOKUP(R259,'[1]GCD base'!$A$1:$M$200,7,FALSE)</f>
        <v>1714.8365369999999</v>
      </c>
      <c r="T259" t="s">
        <v>109</v>
      </c>
      <c r="U259" t="s">
        <v>201</v>
      </c>
      <c r="V259" t="s">
        <v>202</v>
      </c>
      <c r="W259" t="s">
        <v>210</v>
      </c>
      <c r="X259" t="s">
        <v>1133</v>
      </c>
      <c r="Y259">
        <v>0</v>
      </c>
      <c r="Z259">
        <v>0</v>
      </c>
      <c r="AA259">
        <v>1582.4</v>
      </c>
      <c r="AB259">
        <v>0</v>
      </c>
      <c r="AC259" s="49">
        <v>45189</v>
      </c>
      <c r="AD259" s="116" t="s">
        <v>10</v>
      </c>
      <c r="AE259" s="113" t="str" cm="1">
        <f t="array" ref="AE259">_xlfn.IFS(S259&lt;=Constantes!$G$2,"Muito Curta (evitável)",S259&lt;=Constantes!$H$2,"Curta Distância",S259&gt;Constantes!$H$2,"Longa Distância")</f>
        <v>Curta Distância</v>
      </c>
      <c r="AF259" s="114">
        <f>IFERROR(VLOOKUP(AE259,Constantes!$A$1:$E$5,MATCH(AD259,Constantes!$A$1:$E$1,0),0),"")</f>
        <v>0.18286935436241611</v>
      </c>
      <c r="AG259" s="115">
        <f t="shared" ref="AG259:AG322" si="9">AF259*S259</f>
        <v>313.59105035827145</v>
      </c>
    </row>
    <row r="260" spans="1:33" x14ac:dyDescent="0.3">
      <c r="A260">
        <f>COUNTIF($B$2:B260,B260)</f>
        <v>1</v>
      </c>
      <c r="B260">
        <v>19318863</v>
      </c>
      <c r="C260" t="s">
        <v>1195</v>
      </c>
      <c r="D260" t="s">
        <v>218</v>
      </c>
      <c r="E260" t="s">
        <v>1196</v>
      </c>
      <c r="F260" t="s">
        <v>218</v>
      </c>
      <c r="G260" t="s">
        <v>207</v>
      </c>
      <c r="H260" t="s">
        <v>204</v>
      </c>
      <c r="I260" s="49">
        <v>45202</v>
      </c>
      <c r="J260" s="49">
        <v>45206</v>
      </c>
      <c r="K260" t="s">
        <v>1197</v>
      </c>
      <c r="L260" s="49">
        <v>45202</v>
      </c>
      <c r="M260" s="49">
        <v>45206</v>
      </c>
      <c r="N260" t="s">
        <v>107</v>
      </c>
      <c r="O260" t="s">
        <v>114</v>
      </c>
      <c r="P260">
        <f>VLOOKUP(N260,[1]ID_Cidades!$A$1:$E$5900,2,FALSE)</f>
        <v>295765</v>
      </c>
      <c r="Q260">
        <f>VLOOKUP(O260,[1]ID_Cidades!$A$1:$E$5900,2,FALSE)</f>
        <v>295777</v>
      </c>
      <c r="R260">
        <f t="shared" si="8"/>
        <v>87480484405</v>
      </c>
      <c r="S260" s="42">
        <f>VLOOKUP(R260,'[1]GCD base'!$A$1:$M$200,7,FALSE)</f>
        <v>1714.8365369999999</v>
      </c>
      <c r="T260" t="s">
        <v>109</v>
      </c>
      <c r="U260" t="s">
        <v>205</v>
      </c>
      <c r="V260" t="s">
        <v>202</v>
      </c>
      <c r="W260" t="s">
        <v>210</v>
      </c>
      <c r="X260" t="s">
        <v>1198</v>
      </c>
      <c r="Y260">
        <v>0</v>
      </c>
      <c r="Z260">
        <v>0</v>
      </c>
      <c r="AA260">
        <v>1690.59</v>
      </c>
      <c r="AB260">
        <v>0</v>
      </c>
      <c r="AC260" s="49">
        <v>45191</v>
      </c>
      <c r="AD260" s="116" t="s">
        <v>10</v>
      </c>
      <c r="AE260" s="113" t="str" cm="1">
        <f t="array" ref="AE260">_xlfn.IFS(S260&lt;=Constantes!$G$2,"Muito Curta (evitável)",S260&lt;=Constantes!$H$2,"Curta Distância",S260&gt;Constantes!$H$2,"Longa Distância")</f>
        <v>Curta Distância</v>
      </c>
      <c r="AF260" s="114">
        <f>IFERROR(VLOOKUP(AE260,Constantes!$A$1:$E$5,MATCH(AD260,Constantes!$A$1:$E$1,0),0),"")</f>
        <v>0.18286935436241611</v>
      </c>
      <c r="AG260" s="115">
        <f t="shared" si="9"/>
        <v>313.59105035827145</v>
      </c>
    </row>
    <row r="261" spans="1:33" x14ac:dyDescent="0.3">
      <c r="A261">
        <f>COUNTIF($B$2:B261,B261)</f>
        <v>2</v>
      </c>
      <c r="B261">
        <v>19318863</v>
      </c>
      <c r="C261" t="s">
        <v>1195</v>
      </c>
      <c r="D261" t="s">
        <v>218</v>
      </c>
      <c r="E261" t="s">
        <v>1196</v>
      </c>
      <c r="F261" t="s">
        <v>218</v>
      </c>
      <c r="G261" t="s">
        <v>207</v>
      </c>
      <c r="H261" t="s">
        <v>204</v>
      </c>
      <c r="I261" s="49">
        <v>45202</v>
      </c>
      <c r="J261" s="49">
        <v>45206</v>
      </c>
      <c r="K261" t="s">
        <v>1197</v>
      </c>
      <c r="L261" s="49">
        <v>45206</v>
      </c>
      <c r="M261" s="49">
        <v>45206</v>
      </c>
      <c r="N261" t="s">
        <v>114</v>
      </c>
      <c r="O261" t="s">
        <v>107</v>
      </c>
      <c r="P261">
        <f>VLOOKUP(N261,[1]ID_Cidades!$A$1:$E$5900,2,FALSE)</f>
        <v>295777</v>
      </c>
      <c r="Q261">
        <f>VLOOKUP(O261,[1]ID_Cidades!$A$1:$E$5900,2,FALSE)</f>
        <v>295765</v>
      </c>
      <c r="R261">
        <f t="shared" si="8"/>
        <v>87480484405</v>
      </c>
      <c r="S261" s="42">
        <f>VLOOKUP(R261,'[1]GCD base'!$A$1:$M$200,7,FALSE)</f>
        <v>1714.8365369999999</v>
      </c>
      <c r="T261" t="s">
        <v>109</v>
      </c>
      <c r="U261" t="s">
        <v>201</v>
      </c>
      <c r="V261" t="s">
        <v>202</v>
      </c>
      <c r="W261" t="s">
        <v>210</v>
      </c>
      <c r="X261" t="s">
        <v>1198</v>
      </c>
      <c r="Y261">
        <v>0</v>
      </c>
      <c r="Z261">
        <v>0</v>
      </c>
      <c r="AA261">
        <v>1703.9</v>
      </c>
      <c r="AB261">
        <v>0</v>
      </c>
      <c r="AC261" s="49">
        <v>45191</v>
      </c>
      <c r="AD261" s="116" t="s">
        <v>10</v>
      </c>
      <c r="AE261" s="113" t="str" cm="1">
        <f t="array" ref="AE261">_xlfn.IFS(S261&lt;=Constantes!$G$2,"Muito Curta (evitável)",S261&lt;=Constantes!$H$2,"Curta Distância",S261&gt;Constantes!$H$2,"Longa Distância")</f>
        <v>Curta Distância</v>
      </c>
      <c r="AF261" s="114">
        <f>IFERROR(VLOOKUP(AE261,Constantes!$A$1:$E$5,MATCH(AD261,Constantes!$A$1:$E$1,0),0),"")</f>
        <v>0.18286935436241611</v>
      </c>
      <c r="AG261" s="115">
        <f t="shared" si="9"/>
        <v>313.59105035827145</v>
      </c>
    </row>
    <row r="262" spans="1:33" x14ac:dyDescent="0.3">
      <c r="A262">
        <f>COUNTIF($B$2:B262,B262)</f>
        <v>1</v>
      </c>
      <c r="B262">
        <v>19076874</v>
      </c>
      <c r="C262" t="s">
        <v>363</v>
      </c>
      <c r="D262" t="s">
        <v>364</v>
      </c>
      <c r="E262" t="s">
        <v>365</v>
      </c>
      <c r="F262" t="s">
        <v>198</v>
      </c>
      <c r="G262" t="s">
        <v>233</v>
      </c>
      <c r="H262" t="s">
        <v>233</v>
      </c>
      <c r="I262" s="49">
        <v>45203</v>
      </c>
      <c r="J262" s="49">
        <v>45206</v>
      </c>
      <c r="K262" t="s">
        <v>366</v>
      </c>
      <c r="L262" s="49">
        <v>45206</v>
      </c>
      <c r="M262" s="49">
        <v>45206</v>
      </c>
      <c r="N262" t="s">
        <v>110</v>
      </c>
      <c r="O262" t="s">
        <v>107</v>
      </c>
      <c r="P262">
        <f>VLOOKUP(N262,[1]ID_Cidades!$A$1:$E$5900,2,FALSE)</f>
        <v>295763</v>
      </c>
      <c r="Q262">
        <f>VLOOKUP(O262,[1]ID_Cidades!$A$1:$E$5900,2,FALSE)</f>
        <v>295765</v>
      </c>
      <c r="R262">
        <f t="shared" si="8"/>
        <v>87476343695</v>
      </c>
      <c r="S262" s="42">
        <f>VLOOKUP(R262,'[1]GCD base'!$A$1:$M$200,7,FALSE)</f>
        <v>1713.419991</v>
      </c>
      <c r="T262" t="s">
        <v>109</v>
      </c>
      <c r="U262" t="s">
        <v>201</v>
      </c>
      <c r="V262" t="s">
        <v>202</v>
      </c>
      <c r="W262" t="s">
        <v>203</v>
      </c>
      <c r="X262" t="s">
        <v>204</v>
      </c>
      <c r="Y262">
        <v>1339.26</v>
      </c>
      <c r="Z262">
        <v>0</v>
      </c>
      <c r="AA262">
        <v>963.41</v>
      </c>
      <c r="AB262">
        <v>0</v>
      </c>
      <c r="AC262" s="49">
        <v>45134</v>
      </c>
      <c r="AD262" s="116" t="s">
        <v>10</v>
      </c>
      <c r="AE262" s="113" t="str" cm="1">
        <f t="array" ref="AE262">_xlfn.IFS(S262&lt;=Constantes!$G$2,"Muito Curta (evitável)",S262&lt;=Constantes!$H$2,"Curta Distância",S262&gt;Constantes!$H$2,"Longa Distância")</f>
        <v>Curta Distância</v>
      </c>
      <c r="AF262" s="114">
        <f>IFERROR(VLOOKUP(AE262,Constantes!$A$1:$E$5,MATCH(AD262,Constantes!$A$1:$E$1,0),0),"")</f>
        <v>0.18286935436241611</v>
      </c>
      <c r="AG262" s="115">
        <f t="shared" si="9"/>
        <v>313.33200750582682</v>
      </c>
    </row>
    <row r="263" spans="1:33" x14ac:dyDescent="0.3">
      <c r="A263">
        <f>COUNTIF($B$2:B263,B263)</f>
        <v>2</v>
      </c>
      <c r="B263">
        <v>19076874</v>
      </c>
      <c r="C263" t="s">
        <v>363</v>
      </c>
      <c r="D263" t="s">
        <v>364</v>
      </c>
      <c r="E263" t="s">
        <v>365</v>
      </c>
      <c r="F263" t="s">
        <v>198</v>
      </c>
      <c r="G263" t="s">
        <v>233</v>
      </c>
      <c r="H263" t="s">
        <v>233</v>
      </c>
      <c r="I263" s="49">
        <v>45203</v>
      </c>
      <c r="J263" s="49">
        <v>45206</v>
      </c>
      <c r="K263" t="s">
        <v>366</v>
      </c>
      <c r="L263" s="49">
        <v>45203</v>
      </c>
      <c r="M263" s="49">
        <v>45206</v>
      </c>
      <c r="N263" t="s">
        <v>107</v>
      </c>
      <c r="O263" t="s">
        <v>110</v>
      </c>
      <c r="P263">
        <f>VLOOKUP(N263,[1]ID_Cidades!$A$1:$E$5900,2,FALSE)</f>
        <v>295765</v>
      </c>
      <c r="Q263">
        <f>VLOOKUP(O263,[1]ID_Cidades!$A$1:$E$5900,2,FALSE)</f>
        <v>295763</v>
      </c>
      <c r="R263">
        <f t="shared" si="8"/>
        <v>87476343695</v>
      </c>
      <c r="S263" s="42">
        <f>VLOOKUP(R263,'[1]GCD base'!$A$1:$M$200,7,FALSE)</f>
        <v>1713.419991</v>
      </c>
      <c r="T263" t="s">
        <v>109</v>
      </c>
      <c r="U263" t="s">
        <v>205</v>
      </c>
      <c r="V263" t="s">
        <v>202</v>
      </c>
      <c r="W263" t="s">
        <v>203</v>
      </c>
      <c r="X263" t="s">
        <v>204</v>
      </c>
      <c r="Y263">
        <v>0</v>
      </c>
      <c r="Z263">
        <v>0</v>
      </c>
      <c r="AA263">
        <v>565.99</v>
      </c>
      <c r="AB263">
        <v>0</v>
      </c>
      <c r="AC263" s="49">
        <v>45134</v>
      </c>
      <c r="AD263" s="116" t="s">
        <v>10</v>
      </c>
      <c r="AE263" s="113" t="str" cm="1">
        <f t="array" ref="AE263">_xlfn.IFS(S263&lt;=Constantes!$G$2,"Muito Curta (evitável)",S263&lt;=Constantes!$H$2,"Curta Distância",S263&gt;Constantes!$H$2,"Longa Distância")</f>
        <v>Curta Distância</v>
      </c>
      <c r="AF263" s="114">
        <f>IFERROR(VLOOKUP(AE263,Constantes!$A$1:$E$5,MATCH(AD263,Constantes!$A$1:$E$1,0),0),"")</f>
        <v>0.18286935436241611</v>
      </c>
      <c r="AG263" s="115">
        <f t="shared" si="9"/>
        <v>313.33200750582682</v>
      </c>
    </row>
    <row r="264" spans="1:33" x14ac:dyDescent="0.3">
      <c r="A264">
        <f>COUNTIF($B$2:B264,B264)</f>
        <v>1</v>
      </c>
      <c r="B264">
        <v>19099989</v>
      </c>
      <c r="C264" t="s">
        <v>399</v>
      </c>
      <c r="D264" t="s">
        <v>400</v>
      </c>
      <c r="E264" t="s">
        <v>401</v>
      </c>
      <c r="F264" t="s">
        <v>198</v>
      </c>
      <c r="G264" t="s">
        <v>233</v>
      </c>
      <c r="H264" t="s">
        <v>233</v>
      </c>
      <c r="I264" s="49">
        <v>45203</v>
      </c>
      <c r="J264" s="49">
        <v>45206</v>
      </c>
      <c r="K264" t="s">
        <v>402</v>
      </c>
      <c r="L264" s="49">
        <v>45203</v>
      </c>
      <c r="M264" s="49">
        <v>45206</v>
      </c>
      <c r="N264" t="s">
        <v>107</v>
      </c>
      <c r="O264" t="s">
        <v>110</v>
      </c>
      <c r="P264">
        <f>VLOOKUP(N264,[1]ID_Cidades!$A$1:$E$5900,2,FALSE)</f>
        <v>295765</v>
      </c>
      <c r="Q264">
        <f>VLOOKUP(O264,[1]ID_Cidades!$A$1:$E$5900,2,FALSE)</f>
        <v>295763</v>
      </c>
      <c r="R264">
        <f t="shared" si="8"/>
        <v>87476343695</v>
      </c>
      <c r="S264" s="42">
        <f>VLOOKUP(R264,'[1]GCD base'!$A$1:$M$200,7,FALSE)</f>
        <v>1713.419991</v>
      </c>
      <c r="T264" t="s">
        <v>109</v>
      </c>
      <c r="U264" t="s">
        <v>205</v>
      </c>
      <c r="V264" t="s">
        <v>202</v>
      </c>
      <c r="W264" t="s">
        <v>203</v>
      </c>
      <c r="X264" t="s">
        <v>204</v>
      </c>
      <c r="Y264">
        <v>1127.46</v>
      </c>
      <c r="Z264">
        <v>0</v>
      </c>
      <c r="AA264">
        <v>963.41</v>
      </c>
      <c r="AB264">
        <v>0</v>
      </c>
      <c r="AC264" s="49">
        <v>45134</v>
      </c>
      <c r="AD264" s="116" t="s">
        <v>10</v>
      </c>
      <c r="AE264" s="113" t="str" cm="1">
        <f t="array" ref="AE264">_xlfn.IFS(S264&lt;=Constantes!$G$2,"Muito Curta (evitável)",S264&lt;=Constantes!$H$2,"Curta Distância",S264&gt;Constantes!$H$2,"Longa Distância")</f>
        <v>Curta Distância</v>
      </c>
      <c r="AF264" s="114">
        <f>IFERROR(VLOOKUP(AE264,Constantes!$A$1:$E$5,MATCH(AD264,Constantes!$A$1:$E$1,0),0),"")</f>
        <v>0.18286935436241611</v>
      </c>
      <c r="AG264" s="115">
        <f t="shared" si="9"/>
        <v>313.33200750582682</v>
      </c>
    </row>
    <row r="265" spans="1:33" x14ac:dyDescent="0.3">
      <c r="A265">
        <f>COUNTIF($B$2:B265,B265)</f>
        <v>2</v>
      </c>
      <c r="B265">
        <v>19099989</v>
      </c>
      <c r="C265" t="s">
        <v>399</v>
      </c>
      <c r="D265" t="s">
        <v>400</v>
      </c>
      <c r="E265" t="s">
        <v>401</v>
      </c>
      <c r="F265" t="s">
        <v>198</v>
      </c>
      <c r="G265" t="s">
        <v>233</v>
      </c>
      <c r="H265" t="s">
        <v>233</v>
      </c>
      <c r="I265" s="49">
        <v>45203</v>
      </c>
      <c r="J265" s="49">
        <v>45206</v>
      </c>
      <c r="K265" t="s">
        <v>402</v>
      </c>
      <c r="L265" s="49">
        <v>45206</v>
      </c>
      <c r="M265" s="49">
        <v>45206</v>
      </c>
      <c r="N265" t="s">
        <v>110</v>
      </c>
      <c r="O265" t="s">
        <v>107</v>
      </c>
      <c r="P265">
        <f>VLOOKUP(N265,[1]ID_Cidades!$A$1:$E$5900,2,FALSE)</f>
        <v>295763</v>
      </c>
      <c r="Q265">
        <f>VLOOKUP(O265,[1]ID_Cidades!$A$1:$E$5900,2,FALSE)</f>
        <v>295765</v>
      </c>
      <c r="R265">
        <f t="shared" si="8"/>
        <v>87476343695</v>
      </c>
      <c r="S265" s="42">
        <f>VLOOKUP(R265,'[1]GCD base'!$A$1:$M$200,7,FALSE)</f>
        <v>1713.419991</v>
      </c>
      <c r="T265" t="s">
        <v>109</v>
      </c>
      <c r="U265" t="s">
        <v>201</v>
      </c>
      <c r="V265" t="s">
        <v>202</v>
      </c>
      <c r="W265" t="s">
        <v>203</v>
      </c>
      <c r="X265" t="s">
        <v>204</v>
      </c>
      <c r="Y265">
        <v>0</v>
      </c>
      <c r="Z265">
        <v>0</v>
      </c>
      <c r="AA265">
        <v>565.99</v>
      </c>
      <c r="AB265">
        <v>0</v>
      </c>
      <c r="AC265" s="49">
        <v>45134</v>
      </c>
      <c r="AD265" s="116" t="s">
        <v>10</v>
      </c>
      <c r="AE265" s="113" t="str" cm="1">
        <f t="array" ref="AE265">_xlfn.IFS(S265&lt;=Constantes!$G$2,"Muito Curta (evitável)",S265&lt;=Constantes!$H$2,"Curta Distância",S265&gt;Constantes!$H$2,"Longa Distância")</f>
        <v>Curta Distância</v>
      </c>
      <c r="AF265" s="114">
        <f>IFERROR(VLOOKUP(AE265,Constantes!$A$1:$E$5,MATCH(AD265,Constantes!$A$1:$E$1,0),0),"")</f>
        <v>0.18286935436241611</v>
      </c>
      <c r="AG265" s="115">
        <f t="shared" si="9"/>
        <v>313.33200750582682</v>
      </c>
    </row>
    <row r="266" spans="1:33" x14ac:dyDescent="0.3">
      <c r="A266">
        <f>COUNTIF($B$2:B266,B266)</f>
        <v>1</v>
      </c>
      <c r="B266">
        <v>19276393</v>
      </c>
      <c r="C266" t="s">
        <v>949</v>
      </c>
      <c r="D266" t="s">
        <v>950</v>
      </c>
      <c r="E266" t="s">
        <v>951</v>
      </c>
      <c r="F266" t="s">
        <v>198</v>
      </c>
      <c r="G266" t="s">
        <v>233</v>
      </c>
      <c r="H266" t="s">
        <v>233</v>
      </c>
      <c r="I266" s="49">
        <v>45203</v>
      </c>
      <c r="J266" s="49">
        <v>45206</v>
      </c>
      <c r="K266" t="s">
        <v>952</v>
      </c>
      <c r="L266" s="49">
        <v>45206</v>
      </c>
      <c r="M266" s="49">
        <v>45206</v>
      </c>
      <c r="N266" t="s">
        <v>110</v>
      </c>
      <c r="O266" t="s">
        <v>107</v>
      </c>
      <c r="P266">
        <f>VLOOKUP(N266,[1]ID_Cidades!$A$1:$E$5900,2,FALSE)</f>
        <v>295763</v>
      </c>
      <c r="Q266">
        <f>VLOOKUP(O266,[1]ID_Cidades!$A$1:$E$5900,2,FALSE)</f>
        <v>295765</v>
      </c>
      <c r="R266">
        <f t="shared" si="8"/>
        <v>87476343695</v>
      </c>
      <c r="S266" s="42">
        <f>VLOOKUP(R266,'[1]GCD base'!$A$1:$M$200,7,FALSE)</f>
        <v>1713.419991</v>
      </c>
      <c r="T266" t="s">
        <v>109</v>
      </c>
      <c r="U266" t="s">
        <v>201</v>
      </c>
      <c r="V266" t="s">
        <v>202</v>
      </c>
      <c r="W266" t="s">
        <v>210</v>
      </c>
      <c r="X266" t="s">
        <v>953</v>
      </c>
      <c r="Y266">
        <v>95</v>
      </c>
      <c r="Z266">
        <v>0</v>
      </c>
      <c r="AA266">
        <v>2618.21</v>
      </c>
      <c r="AB266">
        <v>0</v>
      </c>
      <c r="AC266" s="49">
        <v>45190</v>
      </c>
      <c r="AD266" s="116" t="s">
        <v>10</v>
      </c>
      <c r="AE266" s="113" t="str" cm="1">
        <f t="array" ref="AE266">_xlfn.IFS(S266&lt;=Constantes!$G$2,"Muito Curta (evitável)",S266&lt;=Constantes!$H$2,"Curta Distância",S266&gt;Constantes!$H$2,"Longa Distância")</f>
        <v>Curta Distância</v>
      </c>
      <c r="AF266" s="114">
        <f>IFERROR(VLOOKUP(AE266,Constantes!$A$1:$E$5,MATCH(AD266,Constantes!$A$1:$E$1,0),0),"")</f>
        <v>0.18286935436241611</v>
      </c>
      <c r="AG266" s="115">
        <f t="shared" si="9"/>
        <v>313.33200750582682</v>
      </c>
    </row>
    <row r="267" spans="1:33" x14ac:dyDescent="0.3">
      <c r="A267">
        <f>COUNTIF($B$2:B267,B267)</f>
        <v>2</v>
      </c>
      <c r="B267">
        <v>19276393</v>
      </c>
      <c r="C267" t="s">
        <v>949</v>
      </c>
      <c r="D267" t="s">
        <v>950</v>
      </c>
      <c r="E267" t="s">
        <v>951</v>
      </c>
      <c r="F267" t="s">
        <v>198</v>
      </c>
      <c r="G267" t="s">
        <v>233</v>
      </c>
      <c r="H267" t="s">
        <v>233</v>
      </c>
      <c r="I267" s="49">
        <v>45203</v>
      </c>
      <c r="J267" s="49">
        <v>45206</v>
      </c>
      <c r="K267" t="s">
        <v>952</v>
      </c>
      <c r="L267" s="49">
        <v>45203</v>
      </c>
      <c r="M267" s="49">
        <v>45203</v>
      </c>
      <c r="N267" t="s">
        <v>107</v>
      </c>
      <c r="O267" t="s">
        <v>110</v>
      </c>
      <c r="P267">
        <f>VLOOKUP(N267,[1]ID_Cidades!$A$1:$E$5900,2,FALSE)</f>
        <v>295765</v>
      </c>
      <c r="Q267">
        <f>VLOOKUP(O267,[1]ID_Cidades!$A$1:$E$5900,2,FALSE)</f>
        <v>295763</v>
      </c>
      <c r="R267">
        <f t="shared" si="8"/>
        <v>87476343695</v>
      </c>
      <c r="S267" s="42">
        <f>VLOOKUP(R267,'[1]GCD base'!$A$1:$M$200,7,FALSE)</f>
        <v>1713.419991</v>
      </c>
      <c r="T267" t="s">
        <v>109</v>
      </c>
      <c r="U267" t="s">
        <v>201</v>
      </c>
      <c r="V267" t="s">
        <v>202</v>
      </c>
      <c r="W267" t="s">
        <v>210</v>
      </c>
      <c r="X267" t="s">
        <v>953</v>
      </c>
      <c r="Y267">
        <v>0</v>
      </c>
      <c r="Z267">
        <v>0</v>
      </c>
      <c r="AA267">
        <v>1608.29</v>
      </c>
      <c r="AB267">
        <v>0</v>
      </c>
      <c r="AC267" s="49">
        <v>45190</v>
      </c>
      <c r="AD267" s="116" t="s">
        <v>10</v>
      </c>
      <c r="AE267" s="113" t="str" cm="1">
        <f t="array" ref="AE267">_xlfn.IFS(S267&lt;=Constantes!$G$2,"Muito Curta (evitável)",S267&lt;=Constantes!$H$2,"Curta Distância",S267&gt;Constantes!$H$2,"Longa Distância")</f>
        <v>Curta Distância</v>
      </c>
      <c r="AF267" s="114">
        <f>IFERROR(VLOOKUP(AE267,Constantes!$A$1:$E$5,MATCH(AD267,Constantes!$A$1:$E$1,0),0),"")</f>
        <v>0.18286935436241611</v>
      </c>
      <c r="AG267" s="115">
        <f t="shared" si="9"/>
        <v>313.33200750582682</v>
      </c>
    </row>
    <row r="268" spans="1:33" x14ac:dyDescent="0.3">
      <c r="A268">
        <f>COUNTIF($B$2:B268,B268)</f>
        <v>1</v>
      </c>
      <c r="B268">
        <v>19295355</v>
      </c>
      <c r="C268" t="s">
        <v>1058</v>
      </c>
      <c r="D268" t="s">
        <v>218</v>
      </c>
      <c r="E268" t="s">
        <v>1059</v>
      </c>
      <c r="F268" t="s">
        <v>218</v>
      </c>
      <c r="G268" t="s">
        <v>207</v>
      </c>
      <c r="H268" t="s">
        <v>204</v>
      </c>
      <c r="I268" s="49">
        <v>45203</v>
      </c>
      <c r="J268" s="49">
        <v>45208</v>
      </c>
      <c r="K268" t="s">
        <v>1060</v>
      </c>
      <c r="L268" s="49">
        <v>45203</v>
      </c>
      <c r="M268" s="49">
        <v>45207</v>
      </c>
      <c r="N268" t="s">
        <v>107</v>
      </c>
      <c r="O268" t="s">
        <v>114</v>
      </c>
      <c r="P268">
        <f>VLOOKUP(N268,[1]ID_Cidades!$A$1:$E$5900,2,FALSE)</f>
        <v>295765</v>
      </c>
      <c r="Q268">
        <f>VLOOKUP(O268,[1]ID_Cidades!$A$1:$E$5900,2,FALSE)</f>
        <v>295777</v>
      </c>
      <c r="R268">
        <f t="shared" si="8"/>
        <v>87480484405</v>
      </c>
      <c r="S268" s="42">
        <f>VLOOKUP(R268,'[1]GCD base'!$A$1:$M$200,7,FALSE)</f>
        <v>1714.8365369999999</v>
      </c>
      <c r="T268" t="s">
        <v>109</v>
      </c>
      <c r="U268" t="s">
        <v>205</v>
      </c>
      <c r="V268" t="s">
        <v>202</v>
      </c>
      <c r="W268" t="s">
        <v>203</v>
      </c>
      <c r="X268" t="s">
        <v>204</v>
      </c>
      <c r="Y268">
        <v>0</v>
      </c>
      <c r="Z268">
        <v>0</v>
      </c>
      <c r="AA268">
        <v>1230.49</v>
      </c>
      <c r="AB268">
        <v>0</v>
      </c>
      <c r="AC268" s="49">
        <v>45184</v>
      </c>
      <c r="AD268" s="116" t="s">
        <v>10</v>
      </c>
      <c r="AE268" s="113" t="str" cm="1">
        <f t="array" ref="AE268">_xlfn.IFS(S268&lt;=Constantes!$G$2,"Muito Curta (evitável)",S268&lt;=Constantes!$H$2,"Curta Distância",S268&gt;Constantes!$H$2,"Longa Distância")</f>
        <v>Curta Distância</v>
      </c>
      <c r="AF268" s="114">
        <f>IFERROR(VLOOKUP(AE268,Constantes!$A$1:$E$5,MATCH(AD268,Constantes!$A$1:$E$1,0),0),"")</f>
        <v>0.18286935436241611</v>
      </c>
      <c r="AG268" s="115">
        <f t="shared" si="9"/>
        <v>313.59105035827145</v>
      </c>
    </row>
    <row r="269" spans="1:33" x14ac:dyDescent="0.3">
      <c r="A269">
        <f>COUNTIF($B$2:B269,B269)</f>
        <v>2</v>
      </c>
      <c r="B269">
        <v>19295355</v>
      </c>
      <c r="C269" t="s">
        <v>1058</v>
      </c>
      <c r="D269" t="s">
        <v>218</v>
      </c>
      <c r="E269" t="s">
        <v>1059</v>
      </c>
      <c r="F269" t="s">
        <v>218</v>
      </c>
      <c r="G269" t="s">
        <v>207</v>
      </c>
      <c r="H269" t="s">
        <v>204</v>
      </c>
      <c r="I269" s="49">
        <v>45203</v>
      </c>
      <c r="J269" s="49">
        <v>45208</v>
      </c>
      <c r="K269" t="s">
        <v>1060</v>
      </c>
      <c r="L269" s="49">
        <v>45207</v>
      </c>
      <c r="M269" s="49">
        <v>45208</v>
      </c>
      <c r="N269" t="s">
        <v>114</v>
      </c>
      <c r="O269" t="s">
        <v>107</v>
      </c>
      <c r="P269">
        <f>VLOOKUP(N269,[1]ID_Cidades!$A$1:$E$5900,2,FALSE)</f>
        <v>295777</v>
      </c>
      <c r="Q269">
        <f>VLOOKUP(O269,[1]ID_Cidades!$A$1:$E$5900,2,FALSE)</f>
        <v>295765</v>
      </c>
      <c r="R269">
        <f t="shared" si="8"/>
        <v>87480484405</v>
      </c>
      <c r="S269" s="42">
        <f>VLOOKUP(R269,'[1]GCD base'!$A$1:$M$200,7,FALSE)</f>
        <v>1714.8365369999999</v>
      </c>
      <c r="T269" t="s">
        <v>109</v>
      </c>
      <c r="U269" t="s">
        <v>201</v>
      </c>
      <c r="V269" t="s">
        <v>202</v>
      </c>
      <c r="W269" t="s">
        <v>203</v>
      </c>
      <c r="X269" t="s">
        <v>204</v>
      </c>
      <c r="Y269">
        <v>0</v>
      </c>
      <c r="Z269">
        <v>0</v>
      </c>
      <c r="AA269">
        <v>1215.8</v>
      </c>
      <c r="AB269">
        <v>0</v>
      </c>
      <c r="AC269" s="49">
        <v>45184</v>
      </c>
      <c r="AD269" s="116" t="s">
        <v>10</v>
      </c>
      <c r="AE269" s="113" t="str" cm="1">
        <f t="array" ref="AE269">_xlfn.IFS(S269&lt;=Constantes!$G$2,"Muito Curta (evitável)",S269&lt;=Constantes!$H$2,"Curta Distância",S269&gt;Constantes!$H$2,"Longa Distância")</f>
        <v>Curta Distância</v>
      </c>
      <c r="AF269" s="114">
        <f>IFERROR(VLOOKUP(AE269,Constantes!$A$1:$E$5,MATCH(AD269,Constantes!$A$1:$E$1,0),0),"")</f>
        <v>0.18286935436241611</v>
      </c>
      <c r="AG269" s="115">
        <f t="shared" si="9"/>
        <v>313.59105035827145</v>
      </c>
    </row>
    <row r="270" spans="1:33" x14ac:dyDescent="0.3">
      <c r="A270">
        <f>COUNTIF($B$2:B270,B270)</f>
        <v>1</v>
      </c>
      <c r="B270">
        <v>19103008</v>
      </c>
      <c r="C270" t="s">
        <v>413</v>
      </c>
      <c r="D270" t="s">
        <v>414</v>
      </c>
      <c r="E270" t="s">
        <v>415</v>
      </c>
      <c r="F270" t="s">
        <v>198</v>
      </c>
      <c r="G270" t="s">
        <v>207</v>
      </c>
      <c r="H270" t="s">
        <v>204</v>
      </c>
      <c r="I270" s="49">
        <v>45207</v>
      </c>
      <c r="J270" s="49">
        <v>45210</v>
      </c>
      <c r="K270" t="s">
        <v>416</v>
      </c>
      <c r="L270" s="49">
        <v>45210</v>
      </c>
      <c r="M270" s="49">
        <v>45210</v>
      </c>
      <c r="N270" t="s">
        <v>110</v>
      </c>
      <c r="O270" t="s">
        <v>107</v>
      </c>
      <c r="P270">
        <f>VLOOKUP(N270,[1]ID_Cidades!$A$1:$E$5900,2,FALSE)</f>
        <v>295763</v>
      </c>
      <c r="Q270">
        <f>VLOOKUP(O270,[1]ID_Cidades!$A$1:$E$5900,2,FALSE)</f>
        <v>295765</v>
      </c>
      <c r="R270">
        <f t="shared" si="8"/>
        <v>87476343695</v>
      </c>
      <c r="S270" s="42">
        <f>VLOOKUP(R270,'[1]GCD base'!$A$1:$M$200,7,FALSE)</f>
        <v>1713.419991</v>
      </c>
      <c r="T270" t="s">
        <v>109</v>
      </c>
      <c r="U270" t="s">
        <v>201</v>
      </c>
      <c r="V270" t="s">
        <v>202</v>
      </c>
      <c r="W270" t="s">
        <v>203</v>
      </c>
      <c r="X270" t="s">
        <v>204</v>
      </c>
      <c r="Y270">
        <v>1339.26</v>
      </c>
      <c r="Z270">
        <v>0</v>
      </c>
      <c r="AA270">
        <v>2243.2600000000002</v>
      </c>
      <c r="AB270">
        <v>0</v>
      </c>
      <c r="AC270" s="49">
        <v>45128</v>
      </c>
      <c r="AD270" s="116" t="s">
        <v>10</v>
      </c>
      <c r="AE270" s="113" t="str" cm="1">
        <f t="array" ref="AE270">_xlfn.IFS(S270&lt;=Constantes!$G$2,"Muito Curta (evitável)",S270&lt;=Constantes!$H$2,"Curta Distância",S270&gt;Constantes!$H$2,"Longa Distância")</f>
        <v>Curta Distância</v>
      </c>
      <c r="AF270" s="114">
        <f>IFERROR(VLOOKUP(AE270,Constantes!$A$1:$E$5,MATCH(AD270,Constantes!$A$1:$E$1,0),0),"")</f>
        <v>0.18286935436241611</v>
      </c>
      <c r="AG270" s="115">
        <f t="shared" si="9"/>
        <v>313.33200750582682</v>
      </c>
    </row>
    <row r="271" spans="1:33" x14ac:dyDescent="0.3">
      <c r="A271">
        <f>COUNTIF($B$2:B271,B271)</f>
        <v>2</v>
      </c>
      <c r="B271">
        <v>19103008</v>
      </c>
      <c r="C271" t="s">
        <v>413</v>
      </c>
      <c r="D271" t="s">
        <v>414</v>
      </c>
      <c r="E271" t="s">
        <v>415</v>
      </c>
      <c r="F271" t="s">
        <v>198</v>
      </c>
      <c r="G271" t="s">
        <v>207</v>
      </c>
      <c r="H271" t="s">
        <v>204</v>
      </c>
      <c r="I271" s="49">
        <v>45207</v>
      </c>
      <c r="J271" s="49">
        <v>45210</v>
      </c>
      <c r="K271" t="s">
        <v>416</v>
      </c>
      <c r="L271" s="49">
        <v>45207</v>
      </c>
      <c r="M271" s="49">
        <v>45210</v>
      </c>
      <c r="N271" t="s">
        <v>107</v>
      </c>
      <c r="O271" t="s">
        <v>110</v>
      </c>
      <c r="P271">
        <f>VLOOKUP(N271,[1]ID_Cidades!$A$1:$E$5900,2,FALSE)</f>
        <v>295765</v>
      </c>
      <c r="Q271">
        <f>VLOOKUP(O271,[1]ID_Cidades!$A$1:$E$5900,2,FALSE)</f>
        <v>295763</v>
      </c>
      <c r="R271">
        <f t="shared" si="8"/>
        <v>87476343695</v>
      </c>
      <c r="S271" s="42">
        <f>VLOOKUP(R271,'[1]GCD base'!$A$1:$M$200,7,FALSE)</f>
        <v>1713.419991</v>
      </c>
      <c r="T271" t="s">
        <v>109</v>
      </c>
      <c r="U271" t="s">
        <v>205</v>
      </c>
      <c r="V271" t="s">
        <v>202</v>
      </c>
      <c r="W271" t="s">
        <v>203</v>
      </c>
      <c r="X271" t="s">
        <v>204</v>
      </c>
      <c r="Y271">
        <v>0</v>
      </c>
      <c r="Z271">
        <v>0</v>
      </c>
      <c r="AA271">
        <v>0</v>
      </c>
      <c r="AB271">
        <v>0</v>
      </c>
      <c r="AC271">
        <v>0</v>
      </c>
      <c r="AD271" s="116" t="s">
        <v>10</v>
      </c>
      <c r="AE271" s="113" t="str" cm="1">
        <f t="array" ref="AE271">_xlfn.IFS(S271&lt;=Constantes!$G$2,"Muito Curta (evitável)",S271&lt;=Constantes!$H$2,"Curta Distância",S271&gt;Constantes!$H$2,"Longa Distância")</f>
        <v>Curta Distância</v>
      </c>
      <c r="AF271" s="114">
        <f>IFERROR(VLOOKUP(AE271,Constantes!$A$1:$E$5,MATCH(AD271,Constantes!$A$1:$E$1,0),0),"")</f>
        <v>0.18286935436241611</v>
      </c>
      <c r="AG271" s="115">
        <f t="shared" si="9"/>
        <v>313.33200750582682</v>
      </c>
    </row>
    <row r="272" spans="1:33" x14ac:dyDescent="0.3">
      <c r="A272">
        <f>COUNTIF($B$2:B272,B272)</f>
        <v>1</v>
      </c>
      <c r="B272">
        <v>19203567</v>
      </c>
      <c r="C272" t="s">
        <v>696</v>
      </c>
      <c r="D272" t="s">
        <v>218</v>
      </c>
      <c r="E272" t="s">
        <v>697</v>
      </c>
      <c r="F272" t="s">
        <v>218</v>
      </c>
      <c r="G272" t="s">
        <v>207</v>
      </c>
      <c r="H272" t="s">
        <v>204</v>
      </c>
      <c r="I272" s="49">
        <v>45207</v>
      </c>
      <c r="J272" s="49">
        <v>45211</v>
      </c>
      <c r="K272" t="s">
        <v>698</v>
      </c>
      <c r="L272" s="49">
        <v>45207</v>
      </c>
      <c r="M272" s="49">
        <v>45211</v>
      </c>
      <c r="N272" t="s">
        <v>107</v>
      </c>
      <c r="O272" t="s">
        <v>114</v>
      </c>
      <c r="P272">
        <f>VLOOKUP(N272,[1]ID_Cidades!$A$1:$E$5900,2,FALSE)</f>
        <v>295765</v>
      </c>
      <c r="Q272">
        <f>VLOOKUP(O272,[1]ID_Cidades!$A$1:$E$5900,2,FALSE)</f>
        <v>295777</v>
      </c>
      <c r="R272">
        <f t="shared" si="8"/>
        <v>87480484405</v>
      </c>
      <c r="S272" s="42">
        <f>VLOOKUP(R272,'[1]GCD base'!$A$1:$M$200,7,FALSE)</f>
        <v>1714.8365369999999</v>
      </c>
      <c r="T272" t="s">
        <v>109</v>
      </c>
      <c r="U272" t="s">
        <v>205</v>
      </c>
      <c r="V272" t="s">
        <v>202</v>
      </c>
      <c r="W272" t="s">
        <v>203</v>
      </c>
      <c r="X272" t="s">
        <v>204</v>
      </c>
      <c r="Y272">
        <v>0</v>
      </c>
      <c r="Z272">
        <v>0</v>
      </c>
      <c r="AA272">
        <v>1160.5999999999999</v>
      </c>
      <c r="AB272">
        <v>0</v>
      </c>
      <c r="AC272" s="49">
        <v>45160</v>
      </c>
      <c r="AD272" s="116" t="s">
        <v>10</v>
      </c>
      <c r="AE272" s="113" t="str" cm="1">
        <f t="array" ref="AE272">_xlfn.IFS(S272&lt;=Constantes!$G$2,"Muito Curta (evitável)",S272&lt;=Constantes!$H$2,"Curta Distância",S272&gt;Constantes!$H$2,"Longa Distância")</f>
        <v>Curta Distância</v>
      </c>
      <c r="AF272" s="114">
        <f>IFERROR(VLOOKUP(AE272,Constantes!$A$1:$E$5,MATCH(AD272,Constantes!$A$1:$E$1,0),0),"")</f>
        <v>0.18286935436241611</v>
      </c>
      <c r="AG272" s="115">
        <f t="shared" si="9"/>
        <v>313.59105035827145</v>
      </c>
    </row>
    <row r="273" spans="1:33" x14ac:dyDescent="0.3">
      <c r="A273">
        <f>COUNTIF($B$2:B273,B273)</f>
        <v>2</v>
      </c>
      <c r="B273">
        <v>19203567</v>
      </c>
      <c r="C273" t="s">
        <v>696</v>
      </c>
      <c r="D273" t="s">
        <v>218</v>
      </c>
      <c r="E273" t="s">
        <v>697</v>
      </c>
      <c r="F273" t="s">
        <v>218</v>
      </c>
      <c r="G273" t="s">
        <v>207</v>
      </c>
      <c r="H273" t="s">
        <v>204</v>
      </c>
      <c r="I273" s="49">
        <v>45207</v>
      </c>
      <c r="J273" s="49">
        <v>45211</v>
      </c>
      <c r="K273" t="s">
        <v>698</v>
      </c>
      <c r="L273" s="49">
        <v>45211</v>
      </c>
      <c r="M273" s="49">
        <v>45211</v>
      </c>
      <c r="N273" t="s">
        <v>114</v>
      </c>
      <c r="O273" t="s">
        <v>107</v>
      </c>
      <c r="P273">
        <f>VLOOKUP(N273,[1]ID_Cidades!$A$1:$E$5900,2,FALSE)</f>
        <v>295777</v>
      </c>
      <c r="Q273">
        <f>VLOOKUP(O273,[1]ID_Cidades!$A$1:$E$5900,2,FALSE)</f>
        <v>295765</v>
      </c>
      <c r="R273">
        <f t="shared" si="8"/>
        <v>87480484405</v>
      </c>
      <c r="S273" s="42">
        <f>VLOOKUP(R273,'[1]GCD base'!$A$1:$M$200,7,FALSE)</f>
        <v>1714.8365369999999</v>
      </c>
      <c r="T273" t="s">
        <v>109</v>
      </c>
      <c r="U273" t="s">
        <v>201</v>
      </c>
      <c r="V273" t="s">
        <v>202</v>
      </c>
      <c r="W273" t="s">
        <v>203</v>
      </c>
      <c r="X273" t="s">
        <v>204</v>
      </c>
      <c r="Y273">
        <v>0</v>
      </c>
      <c r="Z273">
        <v>0</v>
      </c>
      <c r="AA273">
        <v>773.49</v>
      </c>
      <c r="AB273">
        <v>0</v>
      </c>
      <c r="AC273" s="49">
        <v>45160</v>
      </c>
      <c r="AD273" s="116" t="s">
        <v>10</v>
      </c>
      <c r="AE273" s="113" t="str" cm="1">
        <f t="array" ref="AE273">_xlfn.IFS(S273&lt;=Constantes!$G$2,"Muito Curta (evitável)",S273&lt;=Constantes!$H$2,"Curta Distância",S273&gt;Constantes!$H$2,"Longa Distância")</f>
        <v>Curta Distância</v>
      </c>
      <c r="AF273" s="114">
        <f>IFERROR(VLOOKUP(AE273,Constantes!$A$1:$E$5,MATCH(AD273,Constantes!$A$1:$E$1,0),0),"")</f>
        <v>0.18286935436241611</v>
      </c>
      <c r="AG273" s="115">
        <f t="shared" si="9"/>
        <v>313.59105035827145</v>
      </c>
    </row>
    <row r="274" spans="1:33" x14ac:dyDescent="0.3">
      <c r="A274">
        <f>COUNTIF($B$2:B274,B274)</f>
        <v>1</v>
      </c>
      <c r="B274">
        <v>19231794</v>
      </c>
      <c r="C274" t="s">
        <v>771</v>
      </c>
      <c r="D274" t="s">
        <v>772</v>
      </c>
      <c r="E274" t="s">
        <v>773</v>
      </c>
      <c r="F274" t="s">
        <v>198</v>
      </c>
      <c r="G274" t="s">
        <v>207</v>
      </c>
      <c r="H274" t="s">
        <v>204</v>
      </c>
      <c r="I274" s="49">
        <v>45207</v>
      </c>
      <c r="J274" s="49">
        <v>45210</v>
      </c>
      <c r="K274" t="s">
        <v>774</v>
      </c>
      <c r="L274" s="49">
        <v>45207</v>
      </c>
      <c r="M274" s="49">
        <v>45209</v>
      </c>
      <c r="N274" t="s">
        <v>107</v>
      </c>
      <c r="O274" t="s">
        <v>110</v>
      </c>
      <c r="P274">
        <f>VLOOKUP(N274,[1]ID_Cidades!$A$1:$E$5900,2,FALSE)</f>
        <v>295765</v>
      </c>
      <c r="Q274">
        <f>VLOOKUP(O274,[1]ID_Cidades!$A$1:$E$5900,2,FALSE)</f>
        <v>295763</v>
      </c>
      <c r="R274">
        <f t="shared" si="8"/>
        <v>87476343695</v>
      </c>
      <c r="S274" s="42">
        <f>VLOOKUP(R274,'[1]GCD base'!$A$1:$M$200,7,FALSE)</f>
        <v>1713.419991</v>
      </c>
      <c r="T274" t="s">
        <v>109</v>
      </c>
      <c r="U274" t="s">
        <v>205</v>
      </c>
      <c r="V274" t="s">
        <v>202</v>
      </c>
      <c r="W274" t="s">
        <v>203</v>
      </c>
      <c r="X274" t="s">
        <v>204</v>
      </c>
      <c r="Y274">
        <v>1339.26</v>
      </c>
      <c r="Z274">
        <v>0</v>
      </c>
      <c r="AA274">
        <v>1723.91</v>
      </c>
      <c r="AB274">
        <v>0</v>
      </c>
      <c r="AC274" s="49">
        <v>45168</v>
      </c>
      <c r="AD274" s="116" t="s">
        <v>10</v>
      </c>
      <c r="AE274" s="113" t="str" cm="1">
        <f t="array" ref="AE274">_xlfn.IFS(S274&lt;=Constantes!$G$2,"Muito Curta (evitável)",S274&lt;=Constantes!$H$2,"Curta Distância",S274&gt;Constantes!$H$2,"Longa Distância")</f>
        <v>Curta Distância</v>
      </c>
      <c r="AF274" s="114">
        <f>IFERROR(VLOOKUP(AE274,Constantes!$A$1:$E$5,MATCH(AD274,Constantes!$A$1:$E$1,0),0),"")</f>
        <v>0.18286935436241611</v>
      </c>
      <c r="AG274" s="115">
        <f t="shared" si="9"/>
        <v>313.33200750582682</v>
      </c>
    </row>
    <row r="275" spans="1:33" x14ac:dyDescent="0.3">
      <c r="A275">
        <f>COUNTIF($B$2:B275,B275)</f>
        <v>2</v>
      </c>
      <c r="B275">
        <v>19231794</v>
      </c>
      <c r="C275" t="s">
        <v>771</v>
      </c>
      <c r="D275" t="s">
        <v>772</v>
      </c>
      <c r="E275" t="s">
        <v>773</v>
      </c>
      <c r="F275" t="s">
        <v>198</v>
      </c>
      <c r="G275" t="s">
        <v>207</v>
      </c>
      <c r="H275" t="s">
        <v>204</v>
      </c>
      <c r="I275" s="49">
        <v>45207</v>
      </c>
      <c r="J275" s="49">
        <v>45210</v>
      </c>
      <c r="K275" t="s">
        <v>774</v>
      </c>
      <c r="L275" s="49">
        <v>45209</v>
      </c>
      <c r="M275" s="49">
        <v>45210</v>
      </c>
      <c r="N275" t="s">
        <v>110</v>
      </c>
      <c r="O275" t="s">
        <v>107</v>
      </c>
      <c r="P275">
        <f>VLOOKUP(N275,[1]ID_Cidades!$A$1:$E$5900,2,FALSE)</f>
        <v>295763</v>
      </c>
      <c r="Q275">
        <f>VLOOKUP(O275,[1]ID_Cidades!$A$1:$E$5900,2,FALSE)</f>
        <v>295765</v>
      </c>
      <c r="R275">
        <f t="shared" si="8"/>
        <v>87476343695</v>
      </c>
      <c r="S275" s="42">
        <f>VLOOKUP(R275,'[1]GCD base'!$A$1:$M$200,7,FALSE)</f>
        <v>1713.419991</v>
      </c>
      <c r="T275" t="s">
        <v>109</v>
      </c>
      <c r="U275" t="s">
        <v>201</v>
      </c>
      <c r="V275" t="s">
        <v>202</v>
      </c>
      <c r="W275" t="s">
        <v>203</v>
      </c>
      <c r="X275" t="s">
        <v>204</v>
      </c>
      <c r="Y275">
        <v>0</v>
      </c>
      <c r="Z275">
        <v>0</v>
      </c>
      <c r="AA275">
        <v>1739.49</v>
      </c>
      <c r="AB275">
        <v>0</v>
      </c>
      <c r="AC275" s="49">
        <v>45168</v>
      </c>
      <c r="AD275" s="116" t="s">
        <v>10</v>
      </c>
      <c r="AE275" s="113" t="str" cm="1">
        <f t="array" ref="AE275">_xlfn.IFS(S275&lt;=Constantes!$G$2,"Muito Curta (evitável)",S275&lt;=Constantes!$H$2,"Curta Distância",S275&gt;Constantes!$H$2,"Longa Distância")</f>
        <v>Curta Distância</v>
      </c>
      <c r="AF275" s="114">
        <f>IFERROR(VLOOKUP(AE275,Constantes!$A$1:$E$5,MATCH(AD275,Constantes!$A$1:$E$1,0),0),"")</f>
        <v>0.18286935436241611</v>
      </c>
      <c r="AG275" s="115">
        <f t="shared" si="9"/>
        <v>313.33200750582682</v>
      </c>
    </row>
    <row r="276" spans="1:33" x14ac:dyDescent="0.3">
      <c r="A276">
        <f>COUNTIF($B$2:B276,B276)</f>
        <v>1</v>
      </c>
      <c r="B276">
        <v>19240270</v>
      </c>
      <c r="C276" t="s">
        <v>801</v>
      </c>
      <c r="D276" t="s">
        <v>802</v>
      </c>
      <c r="E276" t="s">
        <v>803</v>
      </c>
      <c r="F276" t="s">
        <v>198</v>
      </c>
      <c r="G276" t="s">
        <v>233</v>
      </c>
      <c r="H276" t="s">
        <v>233</v>
      </c>
      <c r="I276" s="49">
        <v>45207</v>
      </c>
      <c r="J276" s="49">
        <v>45214</v>
      </c>
      <c r="K276" t="s">
        <v>804</v>
      </c>
      <c r="L276" s="49">
        <v>45214</v>
      </c>
      <c r="M276" s="49">
        <v>45214</v>
      </c>
      <c r="N276" t="s">
        <v>805</v>
      </c>
      <c r="O276" t="s">
        <v>107</v>
      </c>
      <c r="P276">
        <f>VLOOKUP(N276,[1]ID_Cidades!$A$1:$E$5900,2,FALSE)</f>
        <v>305111</v>
      </c>
      <c r="Q276">
        <f>VLOOKUP(O276,[1]ID_Cidades!$A$1:$E$5900,2,FALSE)</f>
        <v>295765</v>
      </c>
      <c r="R276">
        <f t="shared" si="8"/>
        <v>90241154915</v>
      </c>
      <c r="S276" s="42">
        <f>VLOOKUP(R276,'[1]GCD base'!$A$1:$M$200,7,FALSE)</f>
        <v>1515.0099190000001</v>
      </c>
      <c r="T276" t="s">
        <v>109</v>
      </c>
      <c r="U276" t="s">
        <v>201</v>
      </c>
      <c r="V276" t="s">
        <v>202</v>
      </c>
      <c r="W276" t="s">
        <v>203</v>
      </c>
      <c r="X276" t="s">
        <v>204</v>
      </c>
      <c r="Y276">
        <v>2533.0100000000002</v>
      </c>
      <c r="Z276">
        <v>0</v>
      </c>
      <c r="AA276">
        <v>1472.49</v>
      </c>
      <c r="AB276">
        <v>0</v>
      </c>
      <c r="AC276" s="49">
        <v>45170</v>
      </c>
      <c r="AD276" s="116" t="s">
        <v>10</v>
      </c>
      <c r="AE276" s="113" t="str" cm="1">
        <f t="array" ref="AE276">_xlfn.IFS(S276&lt;=Constantes!$G$2,"Muito Curta (evitável)",S276&lt;=Constantes!$H$2,"Curta Distância",S276&gt;Constantes!$H$2,"Longa Distância")</f>
        <v>Curta Distância</v>
      </c>
      <c r="AF276" s="114">
        <f>IFERROR(VLOOKUP(AE276,Constantes!$A$1:$E$5,MATCH(AD276,Constantes!$A$1:$E$1,0),0),"")</f>
        <v>0.18286935436241611</v>
      </c>
      <c r="AG276" s="115">
        <f t="shared" si="9"/>
        <v>277.04888574018634</v>
      </c>
    </row>
    <row r="277" spans="1:33" x14ac:dyDescent="0.3">
      <c r="A277">
        <f>COUNTIF($B$2:B277,B277)</f>
        <v>2</v>
      </c>
      <c r="B277">
        <v>19240270</v>
      </c>
      <c r="C277" t="s">
        <v>801</v>
      </c>
      <c r="D277" t="s">
        <v>802</v>
      </c>
      <c r="E277" t="s">
        <v>803</v>
      </c>
      <c r="F277" t="s">
        <v>198</v>
      </c>
      <c r="G277" t="s">
        <v>233</v>
      </c>
      <c r="H277" t="s">
        <v>233</v>
      </c>
      <c r="I277" s="49">
        <v>45207</v>
      </c>
      <c r="J277" s="49">
        <v>45214</v>
      </c>
      <c r="K277" t="s">
        <v>804</v>
      </c>
      <c r="L277" s="49">
        <v>45207</v>
      </c>
      <c r="M277" s="49">
        <v>45214</v>
      </c>
      <c r="N277" t="s">
        <v>107</v>
      </c>
      <c r="O277" t="s">
        <v>805</v>
      </c>
      <c r="P277">
        <f>VLOOKUP(N277,[1]ID_Cidades!$A$1:$E$5900,2,FALSE)</f>
        <v>295765</v>
      </c>
      <c r="Q277">
        <f>VLOOKUP(O277,[1]ID_Cidades!$A$1:$E$5900,2,FALSE)</f>
        <v>305111</v>
      </c>
      <c r="R277">
        <f t="shared" si="8"/>
        <v>90241154915</v>
      </c>
      <c r="S277" s="42">
        <f>VLOOKUP(R277,'[1]GCD base'!$A$1:$M$200,7,FALSE)</f>
        <v>1515.0099190000001</v>
      </c>
      <c r="T277" t="s">
        <v>109</v>
      </c>
      <c r="U277" t="s">
        <v>205</v>
      </c>
      <c r="V277" t="s">
        <v>202</v>
      </c>
      <c r="W277" t="s">
        <v>203</v>
      </c>
      <c r="X277" t="s">
        <v>204</v>
      </c>
      <c r="Y277">
        <v>0</v>
      </c>
      <c r="Z277">
        <v>0</v>
      </c>
      <c r="AA277">
        <v>1814.99</v>
      </c>
      <c r="AB277">
        <v>0</v>
      </c>
      <c r="AC277" s="49">
        <v>45170</v>
      </c>
      <c r="AD277" s="116" t="s">
        <v>10</v>
      </c>
      <c r="AE277" s="113" t="str" cm="1">
        <f t="array" ref="AE277">_xlfn.IFS(S277&lt;=Constantes!$G$2,"Muito Curta (evitável)",S277&lt;=Constantes!$H$2,"Curta Distância",S277&gt;Constantes!$H$2,"Longa Distância")</f>
        <v>Curta Distância</v>
      </c>
      <c r="AF277" s="114">
        <f>IFERROR(VLOOKUP(AE277,Constantes!$A$1:$E$5,MATCH(AD277,Constantes!$A$1:$E$1,0),0),"")</f>
        <v>0.18286935436241611</v>
      </c>
      <c r="AG277" s="115">
        <f t="shared" si="9"/>
        <v>277.04888574018634</v>
      </c>
    </row>
    <row r="278" spans="1:33" x14ac:dyDescent="0.3">
      <c r="A278">
        <f>COUNTIF($B$2:B278,B278)</f>
        <v>1</v>
      </c>
      <c r="B278">
        <v>19269792</v>
      </c>
      <c r="C278" t="s">
        <v>927</v>
      </c>
      <c r="D278" t="s">
        <v>665</v>
      </c>
      <c r="E278" t="s">
        <v>666</v>
      </c>
      <c r="F278" t="s">
        <v>198</v>
      </c>
      <c r="G278" t="s">
        <v>207</v>
      </c>
      <c r="H278" t="s">
        <v>204</v>
      </c>
      <c r="I278" s="49">
        <v>45207</v>
      </c>
      <c r="J278" s="49">
        <v>45210</v>
      </c>
      <c r="K278" t="s">
        <v>928</v>
      </c>
      <c r="L278" s="49">
        <v>45210</v>
      </c>
      <c r="M278" s="49">
        <v>45210</v>
      </c>
      <c r="N278" t="s">
        <v>117</v>
      </c>
      <c r="O278" t="s">
        <v>107</v>
      </c>
      <c r="P278">
        <f>VLOOKUP(N278,[1]ID_Cidades!$A$1:$E$5900,2,FALSE)</f>
        <v>295779</v>
      </c>
      <c r="Q278">
        <f>VLOOKUP(O278,[1]ID_Cidades!$A$1:$E$5900,2,FALSE)</f>
        <v>295765</v>
      </c>
      <c r="R278">
        <f t="shared" si="8"/>
        <v>87481075935</v>
      </c>
      <c r="S278" s="42">
        <f>VLOOKUP(R278,'[1]GCD base'!$A$1:$M$200,7,FALSE)</f>
        <v>2189.9742419999998</v>
      </c>
      <c r="T278" t="s">
        <v>109</v>
      </c>
      <c r="U278" t="s">
        <v>201</v>
      </c>
      <c r="V278" t="s">
        <v>202</v>
      </c>
      <c r="W278" t="s">
        <v>203</v>
      </c>
      <c r="X278" t="s">
        <v>204</v>
      </c>
      <c r="Y278">
        <v>1248.42</v>
      </c>
      <c r="Z278">
        <v>0</v>
      </c>
      <c r="AA278">
        <v>1221.8499999999999</v>
      </c>
      <c r="AB278">
        <v>0</v>
      </c>
      <c r="AC278" s="49">
        <v>45188</v>
      </c>
      <c r="AD278" s="116" t="s">
        <v>10</v>
      </c>
      <c r="AE278" s="113" t="str" cm="1">
        <f t="array" ref="AE278">_xlfn.IFS(S278&lt;=Constantes!$G$2,"Muito Curta (evitável)",S278&lt;=Constantes!$H$2,"Curta Distância",S278&gt;Constantes!$H$2,"Longa Distância")</f>
        <v>Curta Distância</v>
      </c>
      <c r="AF278" s="114">
        <f>IFERROR(VLOOKUP(AE278,Constantes!$A$1:$E$5,MATCH(AD278,Constantes!$A$1:$E$1,0),0),"")</f>
        <v>0.18286935436241611</v>
      </c>
      <c r="AG278" s="115">
        <f t="shared" si="9"/>
        <v>400.47917570486158</v>
      </c>
    </row>
    <row r="279" spans="1:33" x14ac:dyDescent="0.3">
      <c r="A279">
        <f>COUNTIF($B$2:B279,B279)</f>
        <v>2</v>
      </c>
      <c r="B279">
        <v>19269792</v>
      </c>
      <c r="C279" t="s">
        <v>927</v>
      </c>
      <c r="D279" t="s">
        <v>665</v>
      </c>
      <c r="E279" t="s">
        <v>666</v>
      </c>
      <c r="F279" t="s">
        <v>198</v>
      </c>
      <c r="G279" t="s">
        <v>207</v>
      </c>
      <c r="H279" t="s">
        <v>204</v>
      </c>
      <c r="I279" s="49">
        <v>45207</v>
      </c>
      <c r="J279" s="49">
        <v>45210</v>
      </c>
      <c r="K279" t="s">
        <v>928</v>
      </c>
      <c r="L279" s="49">
        <v>45207</v>
      </c>
      <c r="M279" s="49">
        <v>45207</v>
      </c>
      <c r="N279" t="s">
        <v>107</v>
      </c>
      <c r="O279" t="s">
        <v>117</v>
      </c>
      <c r="P279">
        <f>VLOOKUP(N279,[1]ID_Cidades!$A$1:$E$5900,2,FALSE)</f>
        <v>295765</v>
      </c>
      <c r="Q279">
        <f>VLOOKUP(O279,[1]ID_Cidades!$A$1:$E$5900,2,FALSE)</f>
        <v>295779</v>
      </c>
      <c r="R279">
        <f t="shared" si="8"/>
        <v>87481075935</v>
      </c>
      <c r="S279" s="42">
        <f>VLOOKUP(R279,'[1]GCD base'!$A$1:$M$200,7,FALSE)</f>
        <v>2189.9742419999998</v>
      </c>
      <c r="T279" t="s">
        <v>109</v>
      </c>
      <c r="U279" t="s">
        <v>201</v>
      </c>
      <c r="V279" t="s">
        <v>202</v>
      </c>
      <c r="W279" t="s">
        <v>203</v>
      </c>
      <c r="X279" t="s">
        <v>204</v>
      </c>
      <c r="Y279">
        <v>0</v>
      </c>
      <c r="Z279">
        <v>0</v>
      </c>
      <c r="AA279">
        <v>1166.29</v>
      </c>
      <c r="AB279">
        <v>0</v>
      </c>
      <c r="AC279" s="49">
        <v>45188</v>
      </c>
      <c r="AD279" s="116" t="s">
        <v>10</v>
      </c>
      <c r="AE279" s="113" t="str" cm="1">
        <f t="array" ref="AE279">_xlfn.IFS(S279&lt;=Constantes!$G$2,"Muito Curta (evitável)",S279&lt;=Constantes!$H$2,"Curta Distância",S279&gt;Constantes!$H$2,"Longa Distância")</f>
        <v>Curta Distância</v>
      </c>
      <c r="AF279" s="114">
        <f>IFERROR(VLOOKUP(AE279,Constantes!$A$1:$E$5,MATCH(AD279,Constantes!$A$1:$E$1,0),0),"")</f>
        <v>0.18286935436241611</v>
      </c>
      <c r="AG279" s="115">
        <f t="shared" si="9"/>
        <v>400.47917570486158</v>
      </c>
    </row>
    <row r="280" spans="1:33" x14ac:dyDescent="0.3">
      <c r="A280">
        <f>COUNTIF($B$2:B280,B280)</f>
        <v>1</v>
      </c>
      <c r="B280">
        <v>19280102</v>
      </c>
      <c r="C280" t="s">
        <v>966</v>
      </c>
      <c r="D280" t="s">
        <v>218</v>
      </c>
      <c r="E280" t="s">
        <v>967</v>
      </c>
      <c r="F280" t="s">
        <v>218</v>
      </c>
      <c r="G280" t="s">
        <v>207</v>
      </c>
      <c r="H280" t="s">
        <v>204</v>
      </c>
      <c r="I280" s="49">
        <v>45207</v>
      </c>
      <c r="J280" s="49">
        <v>45216</v>
      </c>
      <c r="K280" t="s">
        <v>968</v>
      </c>
      <c r="L280" s="49">
        <v>45215</v>
      </c>
      <c r="M280" s="49">
        <v>45216</v>
      </c>
      <c r="N280" t="s">
        <v>969</v>
      </c>
      <c r="O280" t="s">
        <v>112</v>
      </c>
      <c r="P280">
        <f>VLOOKUP(N280,[1]ID_Cidades!$A$1:$E$5900,2,FALSE)</f>
        <v>300514</v>
      </c>
      <c r="Q280">
        <f>VLOOKUP(O280,[1]ID_Cidades!$A$1:$E$5900,2,FALSE)</f>
        <v>295766</v>
      </c>
      <c r="R280">
        <f t="shared" si="8"/>
        <v>88881823724</v>
      </c>
      <c r="S280" s="42">
        <f>VLOOKUP(R280,'[1]GCD base'!$A$1:$M$200,7,FALSE)</f>
        <v>6669.1027400000003</v>
      </c>
      <c r="T280" t="s">
        <v>109</v>
      </c>
      <c r="U280" t="s">
        <v>201</v>
      </c>
      <c r="V280" t="s">
        <v>202</v>
      </c>
      <c r="W280" t="s">
        <v>203</v>
      </c>
      <c r="X280" t="s">
        <v>204</v>
      </c>
      <c r="Y280">
        <v>0</v>
      </c>
      <c r="Z280">
        <v>444.6</v>
      </c>
      <c r="AA280">
        <v>8706.33</v>
      </c>
      <c r="AB280">
        <v>0</v>
      </c>
      <c r="AC280" s="49">
        <v>45191</v>
      </c>
      <c r="AD280" s="116" t="s">
        <v>10</v>
      </c>
      <c r="AE280" s="113" t="str" cm="1">
        <f t="array" ref="AE280">_xlfn.IFS(S280&lt;=Constantes!$G$2,"Muito Curta (evitável)",S280&lt;=Constantes!$H$2,"Curta Distância",S280&gt;Constantes!$H$2,"Longa Distância")</f>
        <v>Longa Distância</v>
      </c>
      <c r="AF280" s="114">
        <f>IFERROR(VLOOKUP(AE280,Constantes!$A$1:$E$5,MATCH(AD280,Constantes!$A$1:$E$1,0),0),"")</f>
        <v>0.20010828053691276</v>
      </c>
      <c r="AG280" s="115">
        <f t="shared" si="9"/>
        <v>1334.5426820254136</v>
      </c>
    </row>
    <row r="281" spans="1:33" x14ac:dyDescent="0.3">
      <c r="A281">
        <f>COUNTIF($B$2:B281,B281)</f>
        <v>2</v>
      </c>
      <c r="B281">
        <v>19280102</v>
      </c>
      <c r="C281" t="s">
        <v>966</v>
      </c>
      <c r="D281" t="s">
        <v>218</v>
      </c>
      <c r="E281" t="s">
        <v>967</v>
      </c>
      <c r="F281" t="s">
        <v>218</v>
      </c>
      <c r="G281" t="s">
        <v>207</v>
      </c>
      <c r="H281" t="s">
        <v>204</v>
      </c>
      <c r="I281" s="49">
        <v>45207</v>
      </c>
      <c r="J281" s="49">
        <v>45216</v>
      </c>
      <c r="K281" t="s">
        <v>968</v>
      </c>
      <c r="L281" s="49">
        <v>45207</v>
      </c>
      <c r="M281" s="49">
        <v>45215</v>
      </c>
      <c r="N281" t="s">
        <v>112</v>
      </c>
      <c r="O281" t="s">
        <v>969</v>
      </c>
      <c r="P281">
        <f>VLOOKUP(N281,[1]ID_Cidades!$A$1:$E$5900,2,FALSE)</f>
        <v>295766</v>
      </c>
      <c r="Q281">
        <f>VLOOKUP(O281,[1]ID_Cidades!$A$1:$E$5900,2,FALSE)</f>
        <v>300514</v>
      </c>
      <c r="R281">
        <f t="shared" si="8"/>
        <v>88881823724</v>
      </c>
      <c r="S281" s="42">
        <f>VLOOKUP(R281,'[1]GCD base'!$A$1:$M$200,7,FALSE)</f>
        <v>6669.1027400000003</v>
      </c>
      <c r="T281" t="s">
        <v>109</v>
      </c>
      <c r="U281" t="s">
        <v>205</v>
      </c>
      <c r="V281" t="s">
        <v>202</v>
      </c>
      <c r="W281" t="s">
        <v>203</v>
      </c>
      <c r="X281" t="s">
        <v>204</v>
      </c>
      <c r="Y281">
        <v>0</v>
      </c>
      <c r="Z281">
        <v>0</v>
      </c>
      <c r="AA281">
        <v>0</v>
      </c>
      <c r="AB281">
        <v>0</v>
      </c>
      <c r="AC281">
        <v>0</v>
      </c>
      <c r="AD281" s="116" t="s">
        <v>10</v>
      </c>
      <c r="AE281" s="113" t="str" cm="1">
        <f t="array" ref="AE281">_xlfn.IFS(S281&lt;=Constantes!$G$2,"Muito Curta (evitável)",S281&lt;=Constantes!$H$2,"Curta Distância",S281&gt;Constantes!$H$2,"Longa Distância")</f>
        <v>Longa Distância</v>
      </c>
      <c r="AF281" s="114">
        <f>IFERROR(VLOOKUP(AE281,Constantes!$A$1:$E$5,MATCH(AD281,Constantes!$A$1:$E$1,0),0),"")</f>
        <v>0.20010828053691276</v>
      </c>
      <c r="AG281" s="115">
        <f t="shared" si="9"/>
        <v>1334.5426820254136</v>
      </c>
    </row>
    <row r="282" spans="1:33" x14ac:dyDescent="0.3">
      <c r="A282">
        <f>COUNTIF($B$2:B282,B282)</f>
        <v>1</v>
      </c>
      <c r="B282">
        <v>19281212</v>
      </c>
      <c r="C282" t="s">
        <v>974</v>
      </c>
      <c r="D282" t="s">
        <v>218</v>
      </c>
      <c r="E282" t="s">
        <v>975</v>
      </c>
      <c r="F282" t="s">
        <v>218</v>
      </c>
      <c r="G282" t="s">
        <v>207</v>
      </c>
      <c r="H282" t="s">
        <v>204</v>
      </c>
      <c r="I282" s="49">
        <v>45207</v>
      </c>
      <c r="J282" s="49">
        <v>45216</v>
      </c>
      <c r="K282" t="s">
        <v>968</v>
      </c>
      <c r="L282" s="49">
        <v>45215</v>
      </c>
      <c r="M282" s="49">
        <v>45216</v>
      </c>
      <c r="N282" t="s">
        <v>969</v>
      </c>
      <c r="O282" t="s">
        <v>112</v>
      </c>
      <c r="P282">
        <f>VLOOKUP(N282,[1]ID_Cidades!$A$1:$E$5900,2,FALSE)</f>
        <v>300514</v>
      </c>
      <c r="Q282">
        <f>VLOOKUP(O282,[1]ID_Cidades!$A$1:$E$5900,2,FALSE)</f>
        <v>295766</v>
      </c>
      <c r="R282">
        <f t="shared" si="8"/>
        <v>88881823724</v>
      </c>
      <c r="S282" s="42">
        <f>VLOOKUP(R282,'[1]GCD base'!$A$1:$M$200,7,FALSE)</f>
        <v>6669.1027400000003</v>
      </c>
      <c r="T282" t="s">
        <v>109</v>
      </c>
      <c r="U282" t="s">
        <v>201</v>
      </c>
      <c r="V282" t="s">
        <v>202</v>
      </c>
      <c r="W282" t="s">
        <v>203</v>
      </c>
      <c r="X282" t="s">
        <v>204</v>
      </c>
      <c r="Y282">
        <v>0</v>
      </c>
      <c r="Z282">
        <v>444.6</v>
      </c>
      <c r="AA282">
        <v>8706.33</v>
      </c>
      <c r="AB282">
        <v>0</v>
      </c>
      <c r="AC282" s="49">
        <v>45191</v>
      </c>
      <c r="AD282" s="116" t="s">
        <v>10</v>
      </c>
      <c r="AE282" s="113" t="str" cm="1">
        <f t="array" ref="AE282">_xlfn.IFS(S282&lt;=Constantes!$G$2,"Muito Curta (evitável)",S282&lt;=Constantes!$H$2,"Curta Distância",S282&gt;Constantes!$H$2,"Longa Distância")</f>
        <v>Longa Distância</v>
      </c>
      <c r="AF282" s="114">
        <f>IFERROR(VLOOKUP(AE282,Constantes!$A$1:$E$5,MATCH(AD282,Constantes!$A$1:$E$1,0),0),"")</f>
        <v>0.20010828053691276</v>
      </c>
      <c r="AG282" s="115">
        <f t="shared" si="9"/>
        <v>1334.5426820254136</v>
      </c>
    </row>
    <row r="283" spans="1:33" x14ac:dyDescent="0.3">
      <c r="A283">
        <f>COUNTIF($B$2:B283,B283)</f>
        <v>2</v>
      </c>
      <c r="B283">
        <v>19281212</v>
      </c>
      <c r="C283" t="s">
        <v>974</v>
      </c>
      <c r="D283" t="s">
        <v>218</v>
      </c>
      <c r="E283" t="s">
        <v>975</v>
      </c>
      <c r="F283" t="s">
        <v>218</v>
      </c>
      <c r="G283" t="s">
        <v>207</v>
      </c>
      <c r="H283" t="s">
        <v>204</v>
      </c>
      <c r="I283" s="49">
        <v>45207</v>
      </c>
      <c r="J283" s="49">
        <v>45216</v>
      </c>
      <c r="K283" t="s">
        <v>968</v>
      </c>
      <c r="L283" s="49">
        <v>45207</v>
      </c>
      <c r="M283" s="49">
        <v>45215</v>
      </c>
      <c r="N283" t="s">
        <v>112</v>
      </c>
      <c r="O283" t="s">
        <v>969</v>
      </c>
      <c r="P283">
        <f>VLOOKUP(N283,[1]ID_Cidades!$A$1:$E$5900,2,FALSE)</f>
        <v>295766</v>
      </c>
      <c r="Q283">
        <f>VLOOKUP(O283,[1]ID_Cidades!$A$1:$E$5900,2,FALSE)</f>
        <v>300514</v>
      </c>
      <c r="R283">
        <f t="shared" si="8"/>
        <v>88881823724</v>
      </c>
      <c r="S283" s="42">
        <f>VLOOKUP(R283,'[1]GCD base'!$A$1:$M$200,7,FALSE)</f>
        <v>6669.1027400000003</v>
      </c>
      <c r="T283" t="s">
        <v>109</v>
      </c>
      <c r="U283" t="s">
        <v>205</v>
      </c>
      <c r="V283" t="s">
        <v>202</v>
      </c>
      <c r="W283" t="s">
        <v>203</v>
      </c>
      <c r="X283" t="s">
        <v>204</v>
      </c>
      <c r="Y283">
        <v>0</v>
      </c>
      <c r="Z283">
        <v>0</v>
      </c>
      <c r="AA283">
        <v>0</v>
      </c>
      <c r="AB283">
        <v>0</v>
      </c>
      <c r="AC283">
        <v>0</v>
      </c>
      <c r="AD283" s="116" t="s">
        <v>10</v>
      </c>
      <c r="AE283" s="113" t="str" cm="1">
        <f t="array" ref="AE283">_xlfn.IFS(S283&lt;=Constantes!$G$2,"Muito Curta (evitável)",S283&lt;=Constantes!$H$2,"Curta Distância",S283&gt;Constantes!$H$2,"Longa Distância")</f>
        <v>Longa Distância</v>
      </c>
      <c r="AF283" s="114">
        <f>IFERROR(VLOOKUP(AE283,Constantes!$A$1:$E$5,MATCH(AD283,Constantes!$A$1:$E$1,0),0),"")</f>
        <v>0.20010828053691276</v>
      </c>
      <c r="AG283" s="115">
        <f t="shared" si="9"/>
        <v>1334.5426820254136</v>
      </c>
    </row>
    <row r="284" spans="1:33" x14ac:dyDescent="0.3">
      <c r="A284">
        <f>COUNTIF($B$2:B284,B284)</f>
        <v>1</v>
      </c>
      <c r="B284">
        <v>19281441</v>
      </c>
      <c r="C284" t="s">
        <v>976</v>
      </c>
      <c r="D284" t="s">
        <v>218</v>
      </c>
      <c r="E284" t="s">
        <v>977</v>
      </c>
      <c r="F284" t="s">
        <v>218</v>
      </c>
      <c r="G284" t="s">
        <v>207</v>
      </c>
      <c r="H284" t="s">
        <v>204</v>
      </c>
      <c r="I284" s="49">
        <v>45207</v>
      </c>
      <c r="J284" s="49">
        <v>45216</v>
      </c>
      <c r="K284" t="s">
        <v>968</v>
      </c>
      <c r="L284" s="49">
        <v>45207</v>
      </c>
      <c r="M284" s="49">
        <v>45215</v>
      </c>
      <c r="N284" t="s">
        <v>112</v>
      </c>
      <c r="O284" t="s">
        <v>969</v>
      </c>
      <c r="P284">
        <f>VLOOKUP(N284,[1]ID_Cidades!$A$1:$E$5900,2,FALSE)</f>
        <v>295766</v>
      </c>
      <c r="Q284">
        <f>VLOOKUP(O284,[1]ID_Cidades!$A$1:$E$5900,2,FALSE)</f>
        <v>300514</v>
      </c>
      <c r="R284">
        <f t="shared" si="8"/>
        <v>88881823724</v>
      </c>
      <c r="S284" s="42">
        <f>VLOOKUP(R284,'[1]GCD base'!$A$1:$M$200,7,FALSE)</f>
        <v>6669.1027400000003</v>
      </c>
      <c r="T284" t="s">
        <v>109</v>
      </c>
      <c r="U284" t="s">
        <v>205</v>
      </c>
      <c r="V284" t="s">
        <v>202</v>
      </c>
      <c r="W284" t="s">
        <v>203</v>
      </c>
      <c r="X284" t="s">
        <v>204</v>
      </c>
      <c r="Y284">
        <v>0</v>
      </c>
      <c r="Z284">
        <v>444.6</v>
      </c>
      <c r="AA284">
        <v>8706.33</v>
      </c>
      <c r="AB284">
        <v>0</v>
      </c>
      <c r="AC284" s="49">
        <v>45191</v>
      </c>
      <c r="AD284" s="116" t="s">
        <v>10</v>
      </c>
      <c r="AE284" s="113" t="str" cm="1">
        <f t="array" ref="AE284">_xlfn.IFS(S284&lt;=Constantes!$G$2,"Muito Curta (evitável)",S284&lt;=Constantes!$H$2,"Curta Distância",S284&gt;Constantes!$H$2,"Longa Distância")</f>
        <v>Longa Distância</v>
      </c>
      <c r="AF284" s="114">
        <f>IFERROR(VLOOKUP(AE284,Constantes!$A$1:$E$5,MATCH(AD284,Constantes!$A$1:$E$1,0),0),"")</f>
        <v>0.20010828053691276</v>
      </c>
      <c r="AG284" s="115">
        <f t="shared" si="9"/>
        <v>1334.5426820254136</v>
      </c>
    </row>
    <row r="285" spans="1:33" x14ac:dyDescent="0.3">
      <c r="A285">
        <f>COUNTIF($B$2:B285,B285)</f>
        <v>2</v>
      </c>
      <c r="B285">
        <v>19281441</v>
      </c>
      <c r="C285" t="s">
        <v>976</v>
      </c>
      <c r="D285" t="s">
        <v>218</v>
      </c>
      <c r="E285" t="s">
        <v>977</v>
      </c>
      <c r="F285" t="s">
        <v>218</v>
      </c>
      <c r="G285" t="s">
        <v>207</v>
      </c>
      <c r="H285" t="s">
        <v>204</v>
      </c>
      <c r="I285" s="49">
        <v>45207</v>
      </c>
      <c r="J285" s="49">
        <v>45216</v>
      </c>
      <c r="K285" t="s">
        <v>968</v>
      </c>
      <c r="L285" s="49">
        <v>45215</v>
      </c>
      <c r="M285" s="49">
        <v>45216</v>
      </c>
      <c r="N285" t="s">
        <v>969</v>
      </c>
      <c r="O285" t="s">
        <v>112</v>
      </c>
      <c r="P285">
        <f>VLOOKUP(N285,[1]ID_Cidades!$A$1:$E$5900,2,FALSE)</f>
        <v>300514</v>
      </c>
      <c r="Q285">
        <f>VLOOKUP(O285,[1]ID_Cidades!$A$1:$E$5900,2,FALSE)</f>
        <v>295766</v>
      </c>
      <c r="R285">
        <f t="shared" si="8"/>
        <v>88881823724</v>
      </c>
      <c r="S285" s="42">
        <f>VLOOKUP(R285,'[1]GCD base'!$A$1:$M$200,7,FALSE)</f>
        <v>6669.1027400000003</v>
      </c>
      <c r="T285" t="s">
        <v>109</v>
      </c>
      <c r="U285" t="s">
        <v>201</v>
      </c>
      <c r="V285" t="s">
        <v>202</v>
      </c>
      <c r="W285" t="s">
        <v>203</v>
      </c>
      <c r="X285" t="s">
        <v>204</v>
      </c>
      <c r="Y285">
        <v>0</v>
      </c>
      <c r="Z285">
        <v>0</v>
      </c>
      <c r="AA285">
        <v>0</v>
      </c>
      <c r="AB285">
        <v>0</v>
      </c>
      <c r="AC285">
        <v>0</v>
      </c>
      <c r="AD285" s="116" t="s">
        <v>10</v>
      </c>
      <c r="AE285" s="113" t="str" cm="1">
        <f t="array" ref="AE285">_xlfn.IFS(S285&lt;=Constantes!$G$2,"Muito Curta (evitável)",S285&lt;=Constantes!$H$2,"Curta Distância",S285&gt;Constantes!$H$2,"Longa Distância")</f>
        <v>Longa Distância</v>
      </c>
      <c r="AF285" s="114">
        <f>IFERROR(VLOOKUP(AE285,Constantes!$A$1:$E$5,MATCH(AD285,Constantes!$A$1:$E$1,0),0),"")</f>
        <v>0.20010828053691276</v>
      </c>
      <c r="AG285" s="115">
        <f t="shared" si="9"/>
        <v>1334.5426820254136</v>
      </c>
    </row>
    <row r="286" spans="1:33" x14ac:dyDescent="0.3">
      <c r="A286">
        <f>COUNTIF($B$2:B286,B286)</f>
        <v>1</v>
      </c>
      <c r="B286">
        <v>19281615</v>
      </c>
      <c r="C286" t="s">
        <v>978</v>
      </c>
      <c r="D286" t="s">
        <v>218</v>
      </c>
      <c r="E286" t="s">
        <v>979</v>
      </c>
      <c r="F286" t="s">
        <v>218</v>
      </c>
      <c r="G286" t="s">
        <v>207</v>
      </c>
      <c r="H286" t="s">
        <v>204</v>
      </c>
      <c r="I286" s="49">
        <v>45207</v>
      </c>
      <c r="J286" s="49">
        <v>45216</v>
      </c>
      <c r="K286" t="s">
        <v>968</v>
      </c>
      <c r="L286" s="49">
        <v>45215</v>
      </c>
      <c r="M286" s="49">
        <v>45216</v>
      </c>
      <c r="N286" t="s">
        <v>969</v>
      </c>
      <c r="O286" t="s">
        <v>112</v>
      </c>
      <c r="P286">
        <f>VLOOKUP(N286,[1]ID_Cidades!$A$1:$E$5900,2,FALSE)</f>
        <v>300514</v>
      </c>
      <c r="Q286">
        <f>VLOOKUP(O286,[1]ID_Cidades!$A$1:$E$5900,2,FALSE)</f>
        <v>295766</v>
      </c>
      <c r="R286">
        <f t="shared" si="8"/>
        <v>88881823724</v>
      </c>
      <c r="S286" s="42">
        <f>VLOOKUP(R286,'[1]GCD base'!$A$1:$M$200,7,FALSE)</f>
        <v>6669.1027400000003</v>
      </c>
      <c r="T286" t="s">
        <v>109</v>
      </c>
      <c r="U286" t="s">
        <v>201</v>
      </c>
      <c r="V286" t="s">
        <v>202</v>
      </c>
      <c r="W286" t="s">
        <v>203</v>
      </c>
      <c r="X286" t="s">
        <v>204</v>
      </c>
      <c r="Y286">
        <v>0</v>
      </c>
      <c r="Z286">
        <v>444.6</v>
      </c>
      <c r="AA286">
        <v>8706.33</v>
      </c>
      <c r="AB286">
        <v>0</v>
      </c>
      <c r="AC286" s="49">
        <v>45191</v>
      </c>
      <c r="AD286" s="116" t="s">
        <v>10</v>
      </c>
      <c r="AE286" s="113" t="str" cm="1">
        <f t="array" ref="AE286">_xlfn.IFS(S286&lt;=Constantes!$G$2,"Muito Curta (evitável)",S286&lt;=Constantes!$H$2,"Curta Distância",S286&gt;Constantes!$H$2,"Longa Distância")</f>
        <v>Longa Distância</v>
      </c>
      <c r="AF286" s="114">
        <f>IFERROR(VLOOKUP(AE286,Constantes!$A$1:$E$5,MATCH(AD286,Constantes!$A$1:$E$1,0),0),"")</f>
        <v>0.20010828053691276</v>
      </c>
      <c r="AG286" s="115">
        <f t="shared" si="9"/>
        <v>1334.5426820254136</v>
      </c>
    </row>
    <row r="287" spans="1:33" x14ac:dyDescent="0.3">
      <c r="A287">
        <f>COUNTIF($B$2:B287,B287)</f>
        <v>2</v>
      </c>
      <c r="B287">
        <v>19281615</v>
      </c>
      <c r="C287" t="s">
        <v>978</v>
      </c>
      <c r="D287" t="s">
        <v>218</v>
      </c>
      <c r="E287" t="s">
        <v>979</v>
      </c>
      <c r="F287" t="s">
        <v>218</v>
      </c>
      <c r="G287" t="s">
        <v>207</v>
      </c>
      <c r="H287" t="s">
        <v>204</v>
      </c>
      <c r="I287" s="49">
        <v>45207</v>
      </c>
      <c r="J287" s="49">
        <v>45216</v>
      </c>
      <c r="K287" t="s">
        <v>968</v>
      </c>
      <c r="L287" s="49">
        <v>45207</v>
      </c>
      <c r="M287" s="49">
        <v>45215</v>
      </c>
      <c r="N287" t="s">
        <v>112</v>
      </c>
      <c r="O287" t="s">
        <v>969</v>
      </c>
      <c r="P287">
        <f>VLOOKUP(N287,[1]ID_Cidades!$A$1:$E$5900,2,FALSE)</f>
        <v>295766</v>
      </c>
      <c r="Q287">
        <f>VLOOKUP(O287,[1]ID_Cidades!$A$1:$E$5900,2,FALSE)</f>
        <v>300514</v>
      </c>
      <c r="R287">
        <f t="shared" si="8"/>
        <v>88881823724</v>
      </c>
      <c r="S287" s="42">
        <f>VLOOKUP(R287,'[1]GCD base'!$A$1:$M$200,7,FALSE)</f>
        <v>6669.1027400000003</v>
      </c>
      <c r="T287" t="s">
        <v>109</v>
      </c>
      <c r="U287" t="s">
        <v>205</v>
      </c>
      <c r="V287" t="s">
        <v>202</v>
      </c>
      <c r="W287" t="s">
        <v>203</v>
      </c>
      <c r="X287" t="s">
        <v>204</v>
      </c>
      <c r="Y287">
        <v>0</v>
      </c>
      <c r="Z287">
        <v>0</v>
      </c>
      <c r="AA287">
        <v>0</v>
      </c>
      <c r="AB287">
        <v>0</v>
      </c>
      <c r="AC287">
        <v>0</v>
      </c>
      <c r="AD287" s="116" t="s">
        <v>10</v>
      </c>
      <c r="AE287" s="113" t="str" cm="1">
        <f t="array" ref="AE287">_xlfn.IFS(S287&lt;=Constantes!$G$2,"Muito Curta (evitável)",S287&lt;=Constantes!$H$2,"Curta Distância",S287&gt;Constantes!$H$2,"Longa Distância")</f>
        <v>Longa Distância</v>
      </c>
      <c r="AF287" s="114">
        <f>IFERROR(VLOOKUP(AE287,Constantes!$A$1:$E$5,MATCH(AD287,Constantes!$A$1:$E$1,0),0),"")</f>
        <v>0.20010828053691276</v>
      </c>
      <c r="AG287" s="115">
        <f t="shared" si="9"/>
        <v>1334.5426820254136</v>
      </c>
    </row>
    <row r="288" spans="1:33" x14ac:dyDescent="0.3">
      <c r="A288">
        <f>COUNTIF($B$2:B288,B288)</f>
        <v>1</v>
      </c>
      <c r="B288">
        <v>19281740</v>
      </c>
      <c r="C288" t="s">
        <v>980</v>
      </c>
      <c r="D288" t="s">
        <v>218</v>
      </c>
      <c r="E288" t="s">
        <v>981</v>
      </c>
      <c r="F288" t="s">
        <v>218</v>
      </c>
      <c r="G288" t="s">
        <v>207</v>
      </c>
      <c r="H288" t="s">
        <v>204</v>
      </c>
      <c r="I288" s="49">
        <v>45207</v>
      </c>
      <c r="J288" s="49">
        <v>45216</v>
      </c>
      <c r="K288" t="s">
        <v>968</v>
      </c>
      <c r="L288" s="49">
        <v>45215</v>
      </c>
      <c r="M288" s="49">
        <v>45216</v>
      </c>
      <c r="N288" t="s">
        <v>969</v>
      </c>
      <c r="O288" t="s">
        <v>112</v>
      </c>
      <c r="P288">
        <f>VLOOKUP(N288,[1]ID_Cidades!$A$1:$E$5900,2,FALSE)</f>
        <v>300514</v>
      </c>
      <c r="Q288">
        <f>VLOOKUP(O288,[1]ID_Cidades!$A$1:$E$5900,2,FALSE)</f>
        <v>295766</v>
      </c>
      <c r="R288">
        <f t="shared" si="8"/>
        <v>88881823724</v>
      </c>
      <c r="S288" s="42">
        <f>VLOOKUP(R288,'[1]GCD base'!$A$1:$M$200,7,FALSE)</f>
        <v>6669.1027400000003</v>
      </c>
      <c r="T288" t="s">
        <v>109</v>
      </c>
      <c r="U288" t="s">
        <v>201</v>
      </c>
      <c r="V288" t="s">
        <v>202</v>
      </c>
      <c r="W288" t="s">
        <v>203</v>
      </c>
      <c r="X288" t="s">
        <v>204</v>
      </c>
      <c r="Y288">
        <v>0</v>
      </c>
      <c r="Z288">
        <v>444.6</v>
      </c>
      <c r="AA288">
        <v>8706.33</v>
      </c>
      <c r="AB288">
        <v>0</v>
      </c>
      <c r="AC288" s="49">
        <v>45191</v>
      </c>
      <c r="AD288" s="116" t="s">
        <v>10</v>
      </c>
      <c r="AE288" s="113" t="str" cm="1">
        <f t="array" ref="AE288">_xlfn.IFS(S288&lt;=Constantes!$G$2,"Muito Curta (evitável)",S288&lt;=Constantes!$H$2,"Curta Distância",S288&gt;Constantes!$H$2,"Longa Distância")</f>
        <v>Longa Distância</v>
      </c>
      <c r="AF288" s="114">
        <f>IFERROR(VLOOKUP(AE288,Constantes!$A$1:$E$5,MATCH(AD288,Constantes!$A$1:$E$1,0),0),"")</f>
        <v>0.20010828053691276</v>
      </c>
      <c r="AG288" s="115">
        <f t="shared" si="9"/>
        <v>1334.5426820254136</v>
      </c>
    </row>
    <row r="289" spans="1:33" x14ac:dyDescent="0.3">
      <c r="A289">
        <f>COUNTIF($B$2:B289,B289)</f>
        <v>2</v>
      </c>
      <c r="B289">
        <v>19281740</v>
      </c>
      <c r="C289" t="s">
        <v>980</v>
      </c>
      <c r="D289" t="s">
        <v>218</v>
      </c>
      <c r="E289" t="s">
        <v>981</v>
      </c>
      <c r="F289" t="s">
        <v>218</v>
      </c>
      <c r="G289" t="s">
        <v>207</v>
      </c>
      <c r="H289" t="s">
        <v>204</v>
      </c>
      <c r="I289" s="49">
        <v>45207</v>
      </c>
      <c r="J289" s="49">
        <v>45216</v>
      </c>
      <c r="K289" t="s">
        <v>968</v>
      </c>
      <c r="L289" s="49">
        <v>45207</v>
      </c>
      <c r="M289" s="49">
        <v>45215</v>
      </c>
      <c r="N289" t="s">
        <v>112</v>
      </c>
      <c r="O289" t="s">
        <v>969</v>
      </c>
      <c r="P289">
        <f>VLOOKUP(N289,[1]ID_Cidades!$A$1:$E$5900,2,FALSE)</f>
        <v>295766</v>
      </c>
      <c r="Q289">
        <f>VLOOKUP(O289,[1]ID_Cidades!$A$1:$E$5900,2,FALSE)</f>
        <v>300514</v>
      </c>
      <c r="R289">
        <f t="shared" si="8"/>
        <v>88881823724</v>
      </c>
      <c r="S289" s="42">
        <f>VLOOKUP(R289,'[1]GCD base'!$A$1:$M$200,7,FALSE)</f>
        <v>6669.1027400000003</v>
      </c>
      <c r="T289" t="s">
        <v>109</v>
      </c>
      <c r="U289" t="s">
        <v>205</v>
      </c>
      <c r="V289" t="s">
        <v>202</v>
      </c>
      <c r="W289" t="s">
        <v>203</v>
      </c>
      <c r="X289" t="s">
        <v>204</v>
      </c>
      <c r="Y289">
        <v>0</v>
      </c>
      <c r="Z289">
        <v>0</v>
      </c>
      <c r="AA289">
        <v>0</v>
      </c>
      <c r="AB289">
        <v>0</v>
      </c>
      <c r="AC289">
        <v>0</v>
      </c>
      <c r="AD289" s="116" t="s">
        <v>10</v>
      </c>
      <c r="AE289" s="113" t="str" cm="1">
        <f t="array" ref="AE289">_xlfn.IFS(S289&lt;=Constantes!$G$2,"Muito Curta (evitável)",S289&lt;=Constantes!$H$2,"Curta Distância",S289&gt;Constantes!$H$2,"Longa Distância")</f>
        <v>Longa Distância</v>
      </c>
      <c r="AF289" s="114">
        <f>IFERROR(VLOOKUP(AE289,Constantes!$A$1:$E$5,MATCH(AD289,Constantes!$A$1:$E$1,0),0),"")</f>
        <v>0.20010828053691276</v>
      </c>
      <c r="AG289" s="115">
        <f t="shared" si="9"/>
        <v>1334.5426820254136</v>
      </c>
    </row>
    <row r="290" spans="1:33" x14ac:dyDescent="0.3">
      <c r="A290">
        <f>COUNTIF($B$2:B290,B290)</f>
        <v>1</v>
      </c>
      <c r="B290">
        <v>19282859</v>
      </c>
      <c r="C290" t="s">
        <v>982</v>
      </c>
      <c r="D290" t="s">
        <v>218</v>
      </c>
      <c r="E290" t="s">
        <v>983</v>
      </c>
      <c r="F290" t="s">
        <v>218</v>
      </c>
      <c r="G290" t="s">
        <v>207</v>
      </c>
      <c r="H290" t="s">
        <v>204</v>
      </c>
      <c r="I290" s="49">
        <v>45207</v>
      </c>
      <c r="J290" s="49">
        <v>45216</v>
      </c>
      <c r="K290" t="s">
        <v>968</v>
      </c>
      <c r="L290" s="49">
        <v>45215</v>
      </c>
      <c r="M290" s="49">
        <v>45216</v>
      </c>
      <c r="N290" t="s">
        <v>969</v>
      </c>
      <c r="O290" t="s">
        <v>112</v>
      </c>
      <c r="P290">
        <f>VLOOKUP(N290,[1]ID_Cidades!$A$1:$E$5900,2,FALSE)</f>
        <v>300514</v>
      </c>
      <c r="Q290">
        <f>VLOOKUP(O290,[1]ID_Cidades!$A$1:$E$5900,2,FALSE)</f>
        <v>295766</v>
      </c>
      <c r="R290">
        <f t="shared" si="8"/>
        <v>88881823724</v>
      </c>
      <c r="S290" s="42">
        <f>VLOOKUP(R290,'[1]GCD base'!$A$1:$M$200,7,FALSE)</f>
        <v>6669.1027400000003</v>
      </c>
      <c r="T290" t="s">
        <v>109</v>
      </c>
      <c r="U290" t="s">
        <v>201</v>
      </c>
      <c r="V290" t="s">
        <v>202</v>
      </c>
      <c r="W290" t="s">
        <v>203</v>
      </c>
      <c r="X290" t="s">
        <v>204</v>
      </c>
      <c r="Y290">
        <v>0</v>
      </c>
      <c r="Z290">
        <v>444.6</v>
      </c>
      <c r="AA290">
        <v>8706.33</v>
      </c>
      <c r="AB290">
        <v>0</v>
      </c>
      <c r="AC290" s="49">
        <v>45191</v>
      </c>
      <c r="AD290" s="116" t="s">
        <v>10</v>
      </c>
      <c r="AE290" s="113" t="str" cm="1">
        <f t="array" ref="AE290">_xlfn.IFS(S290&lt;=Constantes!$G$2,"Muito Curta (evitável)",S290&lt;=Constantes!$H$2,"Curta Distância",S290&gt;Constantes!$H$2,"Longa Distância")</f>
        <v>Longa Distância</v>
      </c>
      <c r="AF290" s="114">
        <f>IFERROR(VLOOKUP(AE290,Constantes!$A$1:$E$5,MATCH(AD290,Constantes!$A$1:$E$1,0),0),"")</f>
        <v>0.20010828053691276</v>
      </c>
      <c r="AG290" s="115">
        <f t="shared" si="9"/>
        <v>1334.5426820254136</v>
      </c>
    </row>
    <row r="291" spans="1:33" x14ac:dyDescent="0.3">
      <c r="A291">
        <f>COUNTIF($B$2:B291,B291)</f>
        <v>2</v>
      </c>
      <c r="B291">
        <v>19282859</v>
      </c>
      <c r="C291" t="s">
        <v>982</v>
      </c>
      <c r="D291" t="s">
        <v>218</v>
      </c>
      <c r="E291" t="s">
        <v>983</v>
      </c>
      <c r="F291" t="s">
        <v>218</v>
      </c>
      <c r="G291" t="s">
        <v>207</v>
      </c>
      <c r="H291" t="s">
        <v>204</v>
      </c>
      <c r="I291" s="49">
        <v>45207</v>
      </c>
      <c r="J291" s="49">
        <v>45216</v>
      </c>
      <c r="K291" t="s">
        <v>968</v>
      </c>
      <c r="L291" s="49">
        <v>45207</v>
      </c>
      <c r="M291" s="49">
        <v>45215</v>
      </c>
      <c r="N291" t="s">
        <v>112</v>
      </c>
      <c r="O291" t="s">
        <v>969</v>
      </c>
      <c r="P291">
        <f>VLOOKUP(N291,[1]ID_Cidades!$A$1:$E$5900,2,FALSE)</f>
        <v>295766</v>
      </c>
      <c r="Q291">
        <f>VLOOKUP(O291,[1]ID_Cidades!$A$1:$E$5900,2,FALSE)</f>
        <v>300514</v>
      </c>
      <c r="R291">
        <f t="shared" si="8"/>
        <v>88881823724</v>
      </c>
      <c r="S291" s="42">
        <f>VLOOKUP(R291,'[1]GCD base'!$A$1:$M$200,7,FALSE)</f>
        <v>6669.1027400000003</v>
      </c>
      <c r="T291" t="s">
        <v>109</v>
      </c>
      <c r="U291" t="s">
        <v>205</v>
      </c>
      <c r="V291" t="s">
        <v>202</v>
      </c>
      <c r="W291" t="s">
        <v>203</v>
      </c>
      <c r="X291" t="s">
        <v>204</v>
      </c>
      <c r="Y291">
        <v>0</v>
      </c>
      <c r="Z291">
        <v>0</v>
      </c>
      <c r="AA291">
        <v>0</v>
      </c>
      <c r="AB291">
        <v>0</v>
      </c>
      <c r="AC291">
        <v>0</v>
      </c>
      <c r="AD291" s="116" t="s">
        <v>10</v>
      </c>
      <c r="AE291" s="113" t="str" cm="1">
        <f t="array" ref="AE291">_xlfn.IFS(S291&lt;=Constantes!$G$2,"Muito Curta (evitável)",S291&lt;=Constantes!$H$2,"Curta Distância",S291&gt;Constantes!$H$2,"Longa Distância")</f>
        <v>Longa Distância</v>
      </c>
      <c r="AF291" s="114">
        <f>IFERROR(VLOOKUP(AE291,Constantes!$A$1:$E$5,MATCH(AD291,Constantes!$A$1:$E$1,0),0),"")</f>
        <v>0.20010828053691276</v>
      </c>
      <c r="AG291" s="115">
        <f t="shared" si="9"/>
        <v>1334.5426820254136</v>
      </c>
    </row>
    <row r="292" spans="1:33" x14ac:dyDescent="0.3">
      <c r="A292">
        <f>COUNTIF($B$2:B292,B292)</f>
        <v>1</v>
      </c>
      <c r="B292">
        <v>19296208</v>
      </c>
      <c r="C292" t="s">
        <v>1061</v>
      </c>
      <c r="D292" t="s">
        <v>1062</v>
      </c>
      <c r="E292" t="s">
        <v>1063</v>
      </c>
      <c r="F292" t="s">
        <v>234</v>
      </c>
      <c r="G292" t="s">
        <v>207</v>
      </c>
      <c r="H292" t="s">
        <v>204</v>
      </c>
      <c r="I292" s="49">
        <v>45207</v>
      </c>
      <c r="J292" s="49">
        <v>45211</v>
      </c>
      <c r="K292" t="s">
        <v>1064</v>
      </c>
      <c r="L292" s="49">
        <v>45211</v>
      </c>
      <c r="M292" s="49">
        <v>45211</v>
      </c>
      <c r="N292" t="s">
        <v>119</v>
      </c>
      <c r="O292" t="s">
        <v>107</v>
      </c>
      <c r="P292">
        <f>VLOOKUP(N292,[1]ID_Cidades!$A$1:$E$5900,2,FALSE)</f>
        <v>295786</v>
      </c>
      <c r="Q292">
        <f>VLOOKUP(O292,[1]ID_Cidades!$A$1:$E$5900,2,FALSE)</f>
        <v>295765</v>
      </c>
      <c r="R292">
        <f t="shared" si="8"/>
        <v>87483146290</v>
      </c>
      <c r="S292" s="42">
        <f>VLOOKUP(R292,'[1]GCD base'!$A$1:$M$200,7,FALSE)</f>
        <v>3054.7955320000001</v>
      </c>
      <c r="T292" t="s">
        <v>109</v>
      </c>
      <c r="U292" t="s">
        <v>201</v>
      </c>
      <c r="V292" t="s">
        <v>202</v>
      </c>
      <c r="W292" t="s">
        <v>203</v>
      </c>
      <c r="X292" t="s">
        <v>204</v>
      </c>
      <c r="Y292">
        <v>1539.86</v>
      </c>
      <c r="Z292">
        <v>0</v>
      </c>
      <c r="AA292">
        <v>1375.19</v>
      </c>
      <c r="AB292">
        <v>0</v>
      </c>
      <c r="AC292" s="49">
        <v>45187</v>
      </c>
      <c r="AD292" s="116" t="s">
        <v>10</v>
      </c>
      <c r="AE292" s="113" t="str" cm="1">
        <f t="array" ref="AE292">_xlfn.IFS(S292&lt;=Constantes!$G$2,"Muito Curta (evitável)",S292&lt;=Constantes!$H$2,"Curta Distância",S292&gt;Constantes!$H$2,"Longa Distância")</f>
        <v>Curta Distância</v>
      </c>
      <c r="AF292" s="114">
        <f>IFERROR(VLOOKUP(AE292,Constantes!$A$1:$E$5,MATCH(AD292,Constantes!$A$1:$E$1,0),0),"")</f>
        <v>0.18286935436241611</v>
      </c>
      <c r="AG292" s="115">
        <f t="shared" si="9"/>
        <v>558.62848664603348</v>
      </c>
    </row>
    <row r="293" spans="1:33" x14ac:dyDescent="0.3">
      <c r="A293">
        <f>COUNTIF($B$2:B293,B293)</f>
        <v>2</v>
      </c>
      <c r="B293">
        <v>19296208</v>
      </c>
      <c r="C293" t="s">
        <v>1061</v>
      </c>
      <c r="D293" t="s">
        <v>1062</v>
      </c>
      <c r="E293" t="s">
        <v>1063</v>
      </c>
      <c r="F293" t="s">
        <v>234</v>
      </c>
      <c r="G293" t="s">
        <v>207</v>
      </c>
      <c r="H293" t="s">
        <v>204</v>
      </c>
      <c r="I293" s="49">
        <v>45207</v>
      </c>
      <c r="J293" s="49">
        <v>45211</v>
      </c>
      <c r="K293" t="s">
        <v>1064</v>
      </c>
      <c r="L293" s="49">
        <v>45207</v>
      </c>
      <c r="M293" s="49">
        <v>45211</v>
      </c>
      <c r="N293" t="s">
        <v>107</v>
      </c>
      <c r="O293" t="s">
        <v>119</v>
      </c>
      <c r="P293">
        <f>VLOOKUP(N293,[1]ID_Cidades!$A$1:$E$5900,2,FALSE)</f>
        <v>295765</v>
      </c>
      <c r="Q293">
        <f>VLOOKUP(O293,[1]ID_Cidades!$A$1:$E$5900,2,FALSE)</f>
        <v>295786</v>
      </c>
      <c r="R293">
        <f t="shared" si="8"/>
        <v>87483146290</v>
      </c>
      <c r="S293" s="42">
        <f>VLOOKUP(R293,'[1]GCD base'!$A$1:$M$200,7,FALSE)</f>
        <v>3054.7955320000001</v>
      </c>
      <c r="T293" t="s">
        <v>109</v>
      </c>
      <c r="U293" t="s">
        <v>205</v>
      </c>
      <c r="V293" t="s">
        <v>202</v>
      </c>
      <c r="W293" t="s">
        <v>203</v>
      </c>
      <c r="X293" t="s">
        <v>204</v>
      </c>
      <c r="Y293">
        <v>0</v>
      </c>
      <c r="Z293">
        <v>0</v>
      </c>
      <c r="AA293">
        <v>1034.24</v>
      </c>
      <c r="AB293">
        <v>0</v>
      </c>
      <c r="AC293" s="49">
        <v>45187</v>
      </c>
      <c r="AD293" s="116" t="s">
        <v>10</v>
      </c>
      <c r="AE293" s="113" t="str" cm="1">
        <f t="array" ref="AE293">_xlfn.IFS(S293&lt;=Constantes!$G$2,"Muito Curta (evitável)",S293&lt;=Constantes!$H$2,"Curta Distância",S293&gt;Constantes!$H$2,"Longa Distância")</f>
        <v>Curta Distância</v>
      </c>
      <c r="AF293" s="114">
        <f>IFERROR(VLOOKUP(AE293,Constantes!$A$1:$E$5,MATCH(AD293,Constantes!$A$1:$E$1,0),0),"")</f>
        <v>0.18286935436241611</v>
      </c>
      <c r="AG293" s="115">
        <f t="shared" si="9"/>
        <v>558.62848664603348</v>
      </c>
    </row>
    <row r="294" spans="1:33" x14ac:dyDescent="0.3">
      <c r="A294">
        <f>COUNTIF($B$2:B294,B294)</f>
        <v>1</v>
      </c>
      <c r="B294">
        <v>19298105</v>
      </c>
      <c r="C294" t="s">
        <v>1070</v>
      </c>
      <c r="D294" t="s">
        <v>1071</v>
      </c>
      <c r="E294" t="s">
        <v>1072</v>
      </c>
      <c r="F294" t="s">
        <v>232</v>
      </c>
      <c r="G294" t="s">
        <v>207</v>
      </c>
      <c r="H294" t="s">
        <v>204</v>
      </c>
      <c r="I294" s="49">
        <v>45207</v>
      </c>
      <c r="J294" s="49">
        <v>45211</v>
      </c>
      <c r="K294" t="s">
        <v>1073</v>
      </c>
      <c r="L294" s="49">
        <v>45211</v>
      </c>
      <c r="M294" s="49">
        <v>45211</v>
      </c>
      <c r="N294" t="s">
        <v>119</v>
      </c>
      <c r="O294" t="s">
        <v>107</v>
      </c>
      <c r="P294">
        <f>VLOOKUP(N294,[1]ID_Cidades!$A$1:$E$5900,2,FALSE)</f>
        <v>295786</v>
      </c>
      <c r="Q294">
        <f>VLOOKUP(O294,[1]ID_Cidades!$A$1:$E$5900,2,FALSE)</f>
        <v>295765</v>
      </c>
      <c r="R294">
        <f t="shared" si="8"/>
        <v>87483146290</v>
      </c>
      <c r="S294" s="42">
        <f>VLOOKUP(R294,'[1]GCD base'!$A$1:$M$200,7,FALSE)</f>
        <v>3054.7955320000001</v>
      </c>
      <c r="T294" t="s">
        <v>109</v>
      </c>
      <c r="U294" t="s">
        <v>201</v>
      </c>
      <c r="V294" t="s">
        <v>202</v>
      </c>
      <c r="W294" t="s">
        <v>203</v>
      </c>
      <c r="X294" t="s">
        <v>204</v>
      </c>
      <c r="Y294">
        <v>1539.86</v>
      </c>
      <c r="Z294">
        <v>0</v>
      </c>
      <c r="AA294">
        <v>1375.19</v>
      </c>
      <c r="AB294">
        <v>0</v>
      </c>
      <c r="AC294" s="49">
        <v>45187</v>
      </c>
      <c r="AD294" s="116" t="s">
        <v>10</v>
      </c>
      <c r="AE294" s="113" t="str" cm="1">
        <f t="array" ref="AE294">_xlfn.IFS(S294&lt;=Constantes!$G$2,"Muito Curta (evitável)",S294&lt;=Constantes!$H$2,"Curta Distância",S294&gt;Constantes!$H$2,"Longa Distância")</f>
        <v>Curta Distância</v>
      </c>
      <c r="AF294" s="114">
        <f>IFERROR(VLOOKUP(AE294,Constantes!$A$1:$E$5,MATCH(AD294,Constantes!$A$1:$E$1,0),0),"")</f>
        <v>0.18286935436241611</v>
      </c>
      <c r="AG294" s="115">
        <f t="shared" si="9"/>
        <v>558.62848664603348</v>
      </c>
    </row>
    <row r="295" spans="1:33" x14ac:dyDescent="0.3">
      <c r="A295">
        <f>COUNTIF($B$2:B295,B295)</f>
        <v>2</v>
      </c>
      <c r="B295">
        <v>19298105</v>
      </c>
      <c r="C295" t="s">
        <v>1070</v>
      </c>
      <c r="D295" t="s">
        <v>1071</v>
      </c>
      <c r="E295" t="s">
        <v>1072</v>
      </c>
      <c r="F295" t="s">
        <v>232</v>
      </c>
      <c r="G295" t="s">
        <v>207</v>
      </c>
      <c r="H295" t="s">
        <v>204</v>
      </c>
      <c r="I295" s="49">
        <v>45207</v>
      </c>
      <c r="J295" s="49">
        <v>45211</v>
      </c>
      <c r="K295" t="s">
        <v>1073</v>
      </c>
      <c r="L295" s="49">
        <v>45207</v>
      </c>
      <c r="M295" s="49">
        <v>45211</v>
      </c>
      <c r="N295" t="s">
        <v>107</v>
      </c>
      <c r="O295" t="s">
        <v>119</v>
      </c>
      <c r="P295">
        <f>VLOOKUP(N295,[1]ID_Cidades!$A$1:$E$5900,2,FALSE)</f>
        <v>295765</v>
      </c>
      <c r="Q295">
        <f>VLOOKUP(O295,[1]ID_Cidades!$A$1:$E$5900,2,FALSE)</f>
        <v>295786</v>
      </c>
      <c r="R295">
        <f t="shared" si="8"/>
        <v>87483146290</v>
      </c>
      <c r="S295" s="42">
        <f>VLOOKUP(R295,'[1]GCD base'!$A$1:$M$200,7,FALSE)</f>
        <v>3054.7955320000001</v>
      </c>
      <c r="T295" t="s">
        <v>109</v>
      </c>
      <c r="U295" t="s">
        <v>205</v>
      </c>
      <c r="V295" t="s">
        <v>202</v>
      </c>
      <c r="W295" t="s">
        <v>203</v>
      </c>
      <c r="X295" t="s">
        <v>204</v>
      </c>
      <c r="Y295">
        <v>0</v>
      </c>
      <c r="Z295">
        <v>0</v>
      </c>
      <c r="AA295">
        <v>1034.24</v>
      </c>
      <c r="AB295">
        <v>0</v>
      </c>
      <c r="AC295" s="49">
        <v>45187</v>
      </c>
      <c r="AD295" s="116" t="s">
        <v>10</v>
      </c>
      <c r="AE295" s="113" t="str" cm="1">
        <f t="array" ref="AE295">_xlfn.IFS(S295&lt;=Constantes!$G$2,"Muito Curta (evitável)",S295&lt;=Constantes!$H$2,"Curta Distância",S295&gt;Constantes!$H$2,"Longa Distância")</f>
        <v>Curta Distância</v>
      </c>
      <c r="AF295" s="114">
        <f>IFERROR(VLOOKUP(AE295,Constantes!$A$1:$E$5,MATCH(AD295,Constantes!$A$1:$E$1,0),0),"")</f>
        <v>0.18286935436241611</v>
      </c>
      <c r="AG295" s="115">
        <f t="shared" si="9"/>
        <v>558.62848664603348</v>
      </c>
    </row>
    <row r="296" spans="1:33" x14ac:dyDescent="0.3">
      <c r="A296">
        <f>COUNTIF($B$2:B296,B296)</f>
        <v>1</v>
      </c>
      <c r="B296">
        <v>19318681</v>
      </c>
      <c r="C296" t="s">
        <v>1191</v>
      </c>
      <c r="D296" t="s">
        <v>1192</v>
      </c>
      <c r="E296" t="s">
        <v>1193</v>
      </c>
      <c r="F296" t="s">
        <v>198</v>
      </c>
      <c r="G296" t="s">
        <v>233</v>
      </c>
      <c r="H296" t="s">
        <v>233</v>
      </c>
      <c r="I296" s="49">
        <v>45207</v>
      </c>
      <c r="J296" s="49">
        <v>45210</v>
      </c>
      <c r="K296" t="s">
        <v>1194</v>
      </c>
      <c r="L296" s="49">
        <v>45210</v>
      </c>
      <c r="M296" s="49">
        <v>45210</v>
      </c>
      <c r="N296" t="s">
        <v>110</v>
      </c>
      <c r="O296" t="s">
        <v>107</v>
      </c>
      <c r="P296">
        <f>VLOOKUP(N296,[1]ID_Cidades!$A$1:$E$5900,2,FALSE)</f>
        <v>295763</v>
      </c>
      <c r="Q296">
        <f>VLOOKUP(O296,[1]ID_Cidades!$A$1:$E$5900,2,FALSE)</f>
        <v>295765</v>
      </c>
      <c r="R296">
        <f t="shared" si="8"/>
        <v>87476343695</v>
      </c>
      <c r="S296" s="42">
        <f>VLOOKUP(R296,'[1]GCD base'!$A$1:$M$200,7,FALSE)</f>
        <v>1713.419991</v>
      </c>
      <c r="T296" t="s">
        <v>109</v>
      </c>
      <c r="U296" t="s">
        <v>201</v>
      </c>
      <c r="V296" t="s">
        <v>202</v>
      </c>
      <c r="W296" t="s">
        <v>203</v>
      </c>
      <c r="X296" t="s">
        <v>204</v>
      </c>
      <c r="Y296">
        <v>1339.26</v>
      </c>
      <c r="Z296">
        <v>0</v>
      </c>
      <c r="AA296">
        <v>1204.99</v>
      </c>
      <c r="AB296">
        <v>0</v>
      </c>
      <c r="AC296" s="49">
        <v>45190</v>
      </c>
      <c r="AD296" s="116" t="s">
        <v>10</v>
      </c>
      <c r="AE296" s="113" t="str" cm="1">
        <f t="array" ref="AE296">_xlfn.IFS(S296&lt;=Constantes!$G$2,"Muito Curta (evitável)",S296&lt;=Constantes!$H$2,"Curta Distância",S296&gt;Constantes!$H$2,"Longa Distância")</f>
        <v>Curta Distância</v>
      </c>
      <c r="AF296" s="114">
        <f>IFERROR(VLOOKUP(AE296,Constantes!$A$1:$E$5,MATCH(AD296,Constantes!$A$1:$E$1,0),0),"")</f>
        <v>0.18286935436241611</v>
      </c>
      <c r="AG296" s="115">
        <f t="shared" si="9"/>
        <v>313.33200750582682</v>
      </c>
    </row>
    <row r="297" spans="1:33" x14ac:dyDescent="0.3">
      <c r="A297">
        <f>COUNTIF($B$2:B297,B297)</f>
        <v>2</v>
      </c>
      <c r="B297">
        <v>19318681</v>
      </c>
      <c r="C297" t="s">
        <v>1191</v>
      </c>
      <c r="D297" t="s">
        <v>1192</v>
      </c>
      <c r="E297" t="s">
        <v>1193</v>
      </c>
      <c r="F297" t="s">
        <v>198</v>
      </c>
      <c r="G297" t="s">
        <v>233</v>
      </c>
      <c r="H297" t="s">
        <v>233</v>
      </c>
      <c r="I297" s="49">
        <v>45207</v>
      </c>
      <c r="J297" s="49">
        <v>45210</v>
      </c>
      <c r="K297" t="s">
        <v>1194</v>
      </c>
      <c r="L297" s="49">
        <v>45207</v>
      </c>
      <c r="M297" s="49">
        <v>45210</v>
      </c>
      <c r="N297" t="s">
        <v>107</v>
      </c>
      <c r="O297" t="s">
        <v>110</v>
      </c>
      <c r="P297">
        <f>VLOOKUP(N297,[1]ID_Cidades!$A$1:$E$5900,2,FALSE)</f>
        <v>295765</v>
      </c>
      <c r="Q297">
        <f>VLOOKUP(O297,[1]ID_Cidades!$A$1:$E$5900,2,FALSE)</f>
        <v>295763</v>
      </c>
      <c r="R297">
        <f t="shared" si="8"/>
        <v>87476343695</v>
      </c>
      <c r="S297" s="42">
        <f>VLOOKUP(R297,'[1]GCD base'!$A$1:$M$200,7,FALSE)</f>
        <v>1713.419991</v>
      </c>
      <c r="T297" t="s">
        <v>109</v>
      </c>
      <c r="U297" t="s">
        <v>205</v>
      </c>
      <c r="V297" t="s">
        <v>202</v>
      </c>
      <c r="W297" t="s">
        <v>203</v>
      </c>
      <c r="X297" t="s">
        <v>204</v>
      </c>
      <c r="Y297">
        <v>0</v>
      </c>
      <c r="Z297">
        <v>0</v>
      </c>
      <c r="AA297">
        <v>1092.01</v>
      </c>
      <c r="AB297">
        <v>0</v>
      </c>
      <c r="AC297" s="49">
        <v>45190</v>
      </c>
      <c r="AD297" s="116" t="s">
        <v>10</v>
      </c>
      <c r="AE297" s="113" t="str" cm="1">
        <f t="array" ref="AE297">_xlfn.IFS(S297&lt;=Constantes!$G$2,"Muito Curta (evitável)",S297&lt;=Constantes!$H$2,"Curta Distância",S297&gt;Constantes!$H$2,"Longa Distância")</f>
        <v>Curta Distância</v>
      </c>
      <c r="AF297" s="114">
        <f>IFERROR(VLOOKUP(AE297,Constantes!$A$1:$E$5,MATCH(AD297,Constantes!$A$1:$E$1,0),0),"")</f>
        <v>0.18286935436241611</v>
      </c>
      <c r="AG297" s="115">
        <f t="shared" si="9"/>
        <v>313.33200750582682</v>
      </c>
    </row>
    <row r="298" spans="1:33" x14ac:dyDescent="0.3">
      <c r="A298">
        <f>COUNTIF($B$2:B298,B298)</f>
        <v>1</v>
      </c>
      <c r="B298">
        <v>19144173</v>
      </c>
      <c r="C298" t="s">
        <v>505</v>
      </c>
      <c r="D298" t="s">
        <v>506</v>
      </c>
      <c r="E298" t="s">
        <v>507</v>
      </c>
      <c r="F298" t="s">
        <v>198</v>
      </c>
      <c r="G298" t="s">
        <v>207</v>
      </c>
      <c r="H298" t="s">
        <v>204</v>
      </c>
      <c r="I298" s="49">
        <v>45210</v>
      </c>
      <c r="J298" s="49">
        <v>45214</v>
      </c>
      <c r="K298" t="s">
        <v>508</v>
      </c>
      <c r="L298" s="49">
        <v>45210</v>
      </c>
      <c r="M298" s="49">
        <v>45214</v>
      </c>
      <c r="N298" t="s">
        <v>509</v>
      </c>
      <c r="O298" t="s">
        <v>116</v>
      </c>
      <c r="P298">
        <f>VLOOKUP(N298,[1]ID_Cidades!$A$1:$E$5900,2,FALSE)</f>
        <v>295764</v>
      </c>
      <c r="Q298">
        <f>VLOOKUP(O298,[1]ID_Cidades!$A$1:$E$5900,2,FALSE)</f>
        <v>295778</v>
      </c>
      <c r="R298">
        <f t="shared" si="8"/>
        <v>87480484392</v>
      </c>
      <c r="S298" s="42">
        <f>VLOOKUP(R298,'[1]GCD base'!$A$1:$M$200,7,FALSE)</f>
        <v>2082.3368770000002</v>
      </c>
      <c r="T298" t="s">
        <v>109</v>
      </c>
      <c r="U298" t="s">
        <v>205</v>
      </c>
      <c r="V298" t="s">
        <v>202</v>
      </c>
      <c r="W298" t="s">
        <v>203</v>
      </c>
      <c r="X298" t="s">
        <v>204</v>
      </c>
      <c r="Y298">
        <v>1750.31</v>
      </c>
      <c r="Z298">
        <v>0</v>
      </c>
      <c r="AA298">
        <v>1998.27</v>
      </c>
      <c r="AB298">
        <v>0</v>
      </c>
      <c r="AC298" s="49">
        <v>45156</v>
      </c>
      <c r="AD298" s="116" t="s">
        <v>10</v>
      </c>
      <c r="AE298" s="113" t="str" cm="1">
        <f t="array" ref="AE298">_xlfn.IFS(S298&lt;=Constantes!$G$2,"Muito Curta (evitável)",S298&lt;=Constantes!$H$2,"Curta Distância",S298&gt;Constantes!$H$2,"Longa Distância")</f>
        <v>Curta Distância</v>
      </c>
      <c r="AF298" s="114">
        <f>IFERROR(VLOOKUP(AE298,Constantes!$A$1:$E$5,MATCH(AD298,Constantes!$A$1:$E$1,0),0),"")</f>
        <v>0.18286935436241611</v>
      </c>
      <c r="AG298" s="115">
        <f t="shared" si="9"/>
        <v>380.7956002620399</v>
      </c>
    </row>
    <row r="299" spans="1:33" x14ac:dyDescent="0.3">
      <c r="A299">
        <f>COUNTIF($B$2:B299,B299)</f>
        <v>2</v>
      </c>
      <c r="B299">
        <v>19144173</v>
      </c>
      <c r="C299" t="s">
        <v>505</v>
      </c>
      <c r="D299" t="s">
        <v>506</v>
      </c>
      <c r="E299" t="s">
        <v>507</v>
      </c>
      <c r="F299" t="s">
        <v>198</v>
      </c>
      <c r="G299" t="s">
        <v>207</v>
      </c>
      <c r="H299" t="s">
        <v>204</v>
      </c>
      <c r="I299" s="49">
        <v>45210</v>
      </c>
      <c r="J299" s="49">
        <v>45214</v>
      </c>
      <c r="K299" t="s">
        <v>508</v>
      </c>
      <c r="L299" s="49">
        <v>45214</v>
      </c>
      <c r="M299" s="49">
        <v>45214</v>
      </c>
      <c r="N299" t="s">
        <v>116</v>
      </c>
      <c r="O299" t="s">
        <v>509</v>
      </c>
      <c r="P299">
        <f>VLOOKUP(N299,[1]ID_Cidades!$A$1:$E$5900,2,FALSE)</f>
        <v>295778</v>
      </c>
      <c r="Q299">
        <f>VLOOKUP(O299,[1]ID_Cidades!$A$1:$E$5900,2,FALSE)</f>
        <v>295764</v>
      </c>
      <c r="R299">
        <f t="shared" si="8"/>
        <v>87480484392</v>
      </c>
      <c r="S299" s="42">
        <f>VLOOKUP(R299,'[1]GCD base'!$A$1:$M$200,7,FALSE)</f>
        <v>2082.3368770000002</v>
      </c>
      <c r="T299" t="s">
        <v>109</v>
      </c>
      <c r="U299" t="s">
        <v>201</v>
      </c>
      <c r="V299" t="s">
        <v>202</v>
      </c>
      <c r="W299" t="s">
        <v>203</v>
      </c>
      <c r="X299" t="s">
        <v>204</v>
      </c>
      <c r="Y299">
        <v>0</v>
      </c>
      <c r="Z299">
        <v>0</v>
      </c>
      <c r="AA299">
        <v>0</v>
      </c>
      <c r="AB299">
        <v>0</v>
      </c>
      <c r="AC299">
        <v>0</v>
      </c>
      <c r="AD299" s="116" t="s">
        <v>10</v>
      </c>
      <c r="AE299" s="113" t="str" cm="1">
        <f t="array" ref="AE299">_xlfn.IFS(S299&lt;=Constantes!$G$2,"Muito Curta (evitável)",S299&lt;=Constantes!$H$2,"Curta Distância",S299&gt;Constantes!$H$2,"Longa Distância")</f>
        <v>Curta Distância</v>
      </c>
      <c r="AF299" s="114">
        <f>IFERROR(VLOOKUP(AE299,Constantes!$A$1:$E$5,MATCH(AD299,Constantes!$A$1:$E$1,0),0),"")</f>
        <v>0.18286935436241611</v>
      </c>
      <c r="AG299" s="115">
        <f t="shared" si="9"/>
        <v>380.7956002620399</v>
      </c>
    </row>
    <row r="300" spans="1:33" x14ac:dyDescent="0.3">
      <c r="A300">
        <f>COUNTIF($B$2:B300,B300)</f>
        <v>1</v>
      </c>
      <c r="B300">
        <v>19286033</v>
      </c>
      <c r="C300" t="s">
        <v>1007</v>
      </c>
      <c r="D300" t="s">
        <v>1008</v>
      </c>
      <c r="E300" t="s">
        <v>1009</v>
      </c>
      <c r="F300" t="s">
        <v>218</v>
      </c>
      <c r="G300" t="s">
        <v>207</v>
      </c>
      <c r="H300" t="s">
        <v>204</v>
      </c>
      <c r="I300" s="49">
        <v>45211</v>
      </c>
      <c r="J300" s="49">
        <v>45221</v>
      </c>
      <c r="K300" t="s">
        <v>1010</v>
      </c>
      <c r="L300" s="49">
        <v>45221</v>
      </c>
      <c r="M300" s="49">
        <v>45221</v>
      </c>
      <c r="N300" t="s">
        <v>107</v>
      </c>
      <c r="O300" t="s">
        <v>315</v>
      </c>
      <c r="P300">
        <f>VLOOKUP(N300,[1]ID_Cidades!$A$1:$E$5900,2,FALSE)</f>
        <v>295765</v>
      </c>
      <c r="Q300">
        <f>VLOOKUP(O300,[1]ID_Cidades!$A$1:$E$5900,2,FALSE)</f>
        <v>300439</v>
      </c>
      <c r="R300">
        <f t="shared" si="8"/>
        <v>88859340835</v>
      </c>
      <c r="S300" s="42">
        <f>VLOOKUP(R300,'[1]GCD base'!$A$1:$M$200,7,FALSE)</f>
        <v>1631.4561289999999</v>
      </c>
      <c r="T300" t="s">
        <v>109</v>
      </c>
      <c r="U300" t="s">
        <v>201</v>
      </c>
      <c r="V300" t="s">
        <v>202</v>
      </c>
      <c r="W300" t="s">
        <v>210</v>
      </c>
      <c r="X300" t="s">
        <v>1011</v>
      </c>
      <c r="Y300">
        <v>3294.57</v>
      </c>
      <c r="Z300">
        <v>0</v>
      </c>
      <c r="AA300">
        <v>2612.19</v>
      </c>
      <c r="AB300">
        <v>0</v>
      </c>
      <c r="AC300" s="49">
        <v>45202</v>
      </c>
      <c r="AD300" s="116" t="s">
        <v>10</v>
      </c>
      <c r="AE300" s="113" t="str" cm="1">
        <f t="array" ref="AE300">_xlfn.IFS(S300&lt;=Constantes!$G$2,"Muito Curta (evitável)",S300&lt;=Constantes!$H$2,"Curta Distância",S300&gt;Constantes!$H$2,"Longa Distância")</f>
        <v>Curta Distância</v>
      </c>
      <c r="AF300" s="114">
        <f>IFERROR(VLOOKUP(AE300,Constantes!$A$1:$E$5,MATCH(AD300,Constantes!$A$1:$E$1,0),0),"")</f>
        <v>0.18286935436241611</v>
      </c>
      <c r="AG300" s="115">
        <f t="shared" si="9"/>
        <v>298.34332898083665</v>
      </c>
    </row>
    <row r="301" spans="1:33" x14ac:dyDescent="0.3">
      <c r="A301">
        <f>COUNTIF($B$2:B301,B301)</f>
        <v>2</v>
      </c>
      <c r="B301">
        <v>19286033</v>
      </c>
      <c r="C301" t="s">
        <v>1007</v>
      </c>
      <c r="D301" t="s">
        <v>1008</v>
      </c>
      <c r="E301" t="s">
        <v>1009</v>
      </c>
      <c r="F301" t="s">
        <v>218</v>
      </c>
      <c r="G301" t="s">
        <v>207</v>
      </c>
      <c r="H301" t="s">
        <v>204</v>
      </c>
      <c r="I301" s="49">
        <v>45211</v>
      </c>
      <c r="J301" s="49">
        <v>45221</v>
      </c>
      <c r="K301" t="s">
        <v>1010</v>
      </c>
      <c r="L301" s="49">
        <v>45211</v>
      </c>
      <c r="M301" s="49">
        <v>45212</v>
      </c>
      <c r="N301" t="s">
        <v>315</v>
      </c>
      <c r="O301" t="s">
        <v>107</v>
      </c>
      <c r="P301">
        <f>VLOOKUP(N301,[1]ID_Cidades!$A$1:$E$5900,2,FALSE)</f>
        <v>300439</v>
      </c>
      <c r="Q301">
        <f>VLOOKUP(O301,[1]ID_Cidades!$A$1:$E$5900,2,FALSE)</f>
        <v>295765</v>
      </c>
      <c r="R301">
        <f t="shared" si="8"/>
        <v>88859340835</v>
      </c>
      <c r="S301" s="42">
        <f>VLOOKUP(R301,'[1]GCD base'!$A$1:$M$200,7,FALSE)</f>
        <v>1631.4561289999999</v>
      </c>
      <c r="T301" t="s">
        <v>109</v>
      </c>
      <c r="U301" t="s">
        <v>201</v>
      </c>
      <c r="V301" t="s">
        <v>202</v>
      </c>
      <c r="W301" t="s">
        <v>210</v>
      </c>
      <c r="X301" t="s">
        <v>1011</v>
      </c>
      <c r="Y301">
        <v>0</v>
      </c>
      <c r="Z301">
        <v>0</v>
      </c>
      <c r="AA301">
        <v>1686.49</v>
      </c>
      <c r="AB301">
        <v>0</v>
      </c>
      <c r="AC301" s="49">
        <v>45202</v>
      </c>
      <c r="AD301" s="116" t="s">
        <v>10</v>
      </c>
      <c r="AE301" s="113" t="str" cm="1">
        <f t="array" ref="AE301">_xlfn.IFS(S301&lt;=Constantes!$G$2,"Muito Curta (evitável)",S301&lt;=Constantes!$H$2,"Curta Distância",S301&gt;Constantes!$H$2,"Longa Distância")</f>
        <v>Curta Distância</v>
      </c>
      <c r="AF301" s="114">
        <f>IFERROR(VLOOKUP(AE301,Constantes!$A$1:$E$5,MATCH(AD301,Constantes!$A$1:$E$1,0),0),"")</f>
        <v>0.18286935436241611</v>
      </c>
      <c r="AG301" s="115">
        <f t="shared" si="9"/>
        <v>298.34332898083665</v>
      </c>
    </row>
    <row r="302" spans="1:33" x14ac:dyDescent="0.3">
      <c r="A302">
        <f>COUNTIF($B$2:B302,B302)</f>
        <v>1</v>
      </c>
      <c r="B302">
        <v>19295088</v>
      </c>
      <c r="C302" t="s">
        <v>1055</v>
      </c>
      <c r="D302" t="s">
        <v>218</v>
      </c>
      <c r="E302" t="s">
        <v>1056</v>
      </c>
      <c r="F302" t="s">
        <v>218</v>
      </c>
      <c r="G302" t="s">
        <v>207</v>
      </c>
      <c r="H302" t="s">
        <v>204</v>
      </c>
      <c r="I302" s="49">
        <v>45211</v>
      </c>
      <c r="J302" s="49">
        <v>45221</v>
      </c>
      <c r="K302" t="s">
        <v>1010</v>
      </c>
      <c r="L302" s="49">
        <v>45211</v>
      </c>
      <c r="M302" s="49">
        <v>45212</v>
      </c>
      <c r="N302" t="s">
        <v>315</v>
      </c>
      <c r="O302" t="s">
        <v>107</v>
      </c>
      <c r="P302">
        <f>VLOOKUP(N302,[1]ID_Cidades!$A$1:$E$5900,2,FALSE)</f>
        <v>300439</v>
      </c>
      <c r="Q302">
        <f>VLOOKUP(O302,[1]ID_Cidades!$A$1:$E$5900,2,FALSE)</f>
        <v>295765</v>
      </c>
      <c r="R302">
        <f t="shared" si="8"/>
        <v>88859340835</v>
      </c>
      <c r="S302" s="42">
        <f>VLOOKUP(R302,'[1]GCD base'!$A$1:$M$200,7,FALSE)</f>
        <v>1631.4561289999999</v>
      </c>
      <c r="T302" t="s">
        <v>109</v>
      </c>
      <c r="U302" t="s">
        <v>201</v>
      </c>
      <c r="V302" t="s">
        <v>202</v>
      </c>
      <c r="W302" t="s">
        <v>210</v>
      </c>
      <c r="X302" t="s">
        <v>1057</v>
      </c>
      <c r="Y302">
        <v>3294.57</v>
      </c>
      <c r="Z302">
        <v>0</v>
      </c>
      <c r="AA302">
        <v>1686.49</v>
      </c>
      <c r="AB302">
        <v>0</v>
      </c>
      <c r="AC302" s="49">
        <v>45202</v>
      </c>
      <c r="AD302" s="116" t="s">
        <v>10</v>
      </c>
      <c r="AE302" s="113" t="str" cm="1">
        <f t="array" ref="AE302">_xlfn.IFS(S302&lt;=Constantes!$G$2,"Muito Curta (evitável)",S302&lt;=Constantes!$H$2,"Curta Distância",S302&gt;Constantes!$H$2,"Longa Distância")</f>
        <v>Curta Distância</v>
      </c>
      <c r="AF302" s="114">
        <f>IFERROR(VLOOKUP(AE302,Constantes!$A$1:$E$5,MATCH(AD302,Constantes!$A$1:$E$1,0),0),"")</f>
        <v>0.18286935436241611</v>
      </c>
      <c r="AG302" s="115">
        <f t="shared" si="9"/>
        <v>298.34332898083665</v>
      </c>
    </row>
    <row r="303" spans="1:33" x14ac:dyDescent="0.3">
      <c r="A303">
        <f>COUNTIF($B$2:B303,B303)</f>
        <v>2</v>
      </c>
      <c r="B303">
        <v>19295088</v>
      </c>
      <c r="C303" t="s">
        <v>1055</v>
      </c>
      <c r="D303" t="s">
        <v>218</v>
      </c>
      <c r="E303" t="s">
        <v>1056</v>
      </c>
      <c r="F303" t="s">
        <v>218</v>
      </c>
      <c r="G303" t="s">
        <v>207</v>
      </c>
      <c r="H303" t="s">
        <v>204</v>
      </c>
      <c r="I303" s="49">
        <v>45211</v>
      </c>
      <c r="J303" s="49">
        <v>45221</v>
      </c>
      <c r="K303" t="s">
        <v>1010</v>
      </c>
      <c r="L303" s="49">
        <v>45221</v>
      </c>
      <c r="M303" s="49">
        <v>45221</v>
      </c>
      <c r="N303" t="s">
        <v>107</v>
      </c>
      <c r="O303" t="s">
        <v>315</v>
      </c>
      <c r="P303">
        <f>VLOOKUP(N303,[1]ID_Cidades!$A$1:$E$5900,2,FALSE)</f>
        <v>295765</v>
      </c>
      <c r="Q303">
        <f>VLOOKUP(O303,[1]ID_Cidades!$A$1:$E$5900,2,FALSE)</f>
        <v>300439</v>
      </c>
      <c r="R303">
        <f t="shared" si="8"/>
        <v>88859340835</v>
      </c>
      <c r="S303" s="42">
        <f>VLOOKUP(R303,'[1]GCD base'!$A$1:$M$200,7,FALSE)</f>
        <v>1631.4561289999999</v>
      </c>
      <c r="T303" t="s">
        <v>109</v>
      </c>
      <c r="U303" t="s">
        <v>201</v>
      </c>
      <c r="V303" t="s">
        <v>202</v>
      </c>
      <c r="W303" t="s">
        <v>210</v>
      </c>
      <c r="X303" t="s">
        <v>1057</v>
      </c>
      <c r="Y303">
        <v>0</v>
      </c>
      <c r="Z303">
        <v>0</v>
      </c>
      <c r="AA303">
        <v>2612.19</v>
      </c>
      <c r="AB303">
        <v>0</v>
      </c>
      <c r="AC303" s="49">
        <v>45202</v>
      </c>
      <c r="AD303" s="116" t="s">
        <v>10</v>
      </c>
      <c r="AE303" s="113" t="str" cm="1">
        <f t="array" ref="AE303">_xlfn.IFS(S303&lt;=Constantes!$G$2,"Muito Curta (evitável)",S303&lt;=Constantes!$H$2,"Curta Distância",S303&gt;Constantes!$H$2,"Longa Distância")</f>
        <v>Curta Distância</v>
      </c>
      <c r="AF303" s="114">
        <f>IFERROR(VLOOKUP(AE303,Constantes!$A$1:$E$5,MATCH(AD303,Constantes!$A$1:$E$1,0),0),"")</f>
        <v>0.18286935436241611</v>
      </c>
      <c r="AG303" s="115">
        <f t="shared" si="9"/>
        <v>298.34332898083665</v>
      </c>
    </row>
    <row r="304" spans="1:33" x14ac:dyDescent="0.3">
      <c r="A304">
        <f>COUNTIF($B$2:B304,B304)</f>
        <v>1</v>
      </c>
      <c r="B304">
        <v>19259579</v>
      </c>
      <c r="C304" t="s">
        <v>902</v>
      </c>
      <c r="D304" t="s">
        <v>218</v>
      </c>
      <c r="E304" t="s">
        <v>903</v>
      </c>
      <c r="F304" t="s">
        <v>218</v>
      </c>
      <c r="G304" t="s">
        <v>207</v>
      </c>
      <c r="H304" t="s">
        <v>204</v>
      </c>
      <c r="I304" s="49">
        <v>45213</v>
      </c>
      <c r="J304" s="49">
        <v>45218</v>
      </c>
      <c r="K304" t="s">
        <v>904</v>
      </c>
      <c r="L304" s="49">
        <v>45217</v>
      </c>
      <c r="M304" s="49">
        <v>45218</v>
      </c>
      <c r="N304" t="s">
        <v>120</v>
      </c>
      <c r="O304" t="s">
        <v>107</v>
      </c>
      <c r="P304">
        <f>VLOOKUP(N304,[1]ID_Cidades!$A$1:$E$5900,2,FALSE)</f>
        <v>295783</v>
      </c>
      <c r="Q304">
        <f>VLOOKUP(O304,[1]ID_Cidades!$A$1:$E$5900,2,FALSE)</f>
        <v>295765</v>
      </c>
      <c r="R304">
        <f t="shared" si="8"/>
        <v>87482258995</v>
      </c>
      <c r="S304" s="42">
        <f>VLOOKUP(R304,'[1]GCD base'!$A$1:$M$200,7,FALSE)</f>
        <v>2817.0983059999999</v>
      </c>
      <c r="T304" t="s">
        <v>109</v>
      </c>
      <c r="U304" t="s">
        <v>201</v>
      </c>
      <c r="V304" t="s">
        <v>202</v>
      </c>
      <c r="W304" t="s">
        <v>203</v>
      </c>
      <c r="X304" t="s">
        <v>204</v>
      </c>
      <c r="Y304">
        <v>0</v>
      </c>
      <c r="Z304">
        <v>0</v>
      </c>
      <c r="AA304">
        <v>1944.02</v>
      </c>
      <c r="AB304">
        <v>0</v>
      </c>
      <c r="AC304" s="49">
        <v>45182</v>
      </c>
      <c r="AD304" s="116" t="s">
        <v>10</v>
      </c>
      <c r="AE304" s="113" t="str" cm="1">
        <f t="array" ref="AE304">_xlfn.IFS(S304&lt;=Constantes!$G$2,"Muito Curta (evitável)",S304&lt;=Constantes!$H$2,"Curta Distância",S304&gt;Constantes!$H$2,"Longa Distância")</f>
        <v>Curta Distância</v>
      </c>
      <c r="AF304" s="114">
        <f>IFERROR(VLOOKUP(AE304,Constantes!$A$1:$E$5,MATCH(AD304,Constantes!$A$1:$E$1,0),0),"")</f>
        <v>0.18286935436241611</v>
      </c>
      <c r="AG304" s="115">
        <f t="shared" si="9"/>
        <v>515.16094839367611</v>
      </c>
    </row>
    <row r="305" spans="1:33" x14ac:dyDescent="0.3">
      <c r="A305">
        <f>COUNTIF($B$2:B305,B305)</f>
        <v>2</v>
      </c>
      <c r="B305">
        <v>19259579</v>
      </c>
      <c r="C305" t="s">
        <v>902</v>
      </c>
      <c r="D305" t="s">
        <v>218</v>
      </c>
      <c r="E305" t="s">
        <v>903</v>
      </c>
      <c r="F305" t="s">
        <v>218</v>
      </c>
      <c r="G305" t="s">
        <v>207</v>
      </c>
      <c r="H305" t="s">
        <v>204</v>
      </c>
      <c r="I305" s="49">
        <v>45213</v>
      </c>
      <c r="J305" s="49">
        <v>45218</v>
      </c>
      <c r="K305" t="s">
        <v>904</v>
      </c>
      <c r="L305" s="49">
        <v>45213</v>
      </c>
      <c r="M305" s="49">
        <v>45217</v>
      </c>
      <c r="N305" t="s">
        <v>107</v>
      </c>
      <c r="O305" t="s">
        <v>120</v>
      </c>
      <c r="P305">
        <f>VLOOKUP(N305,[1]ID_Cidades!$A$1:$E$5900,2,FALSE)</f>
        <v>295765</v>
      </c>
      <c r="Q305">
        <f>VLOOKUP(O305,[1]ID_Cidades!$A$1:$E$5900,2,FALSE)</f>
        <v>295783</v>
      </c>
      <c r="R305">
        <f t="shared" si="8"/>
        <v>87482258995</v>
      </c>
      <c r="S305" s="42">
        <f>VLOOKUP(R305,'[1]GCD base'!$A$1:$M$200,7,FALSE)</f>
        <v>2817.0983059999999</v>
      </c>
      <c r="T305" t="s">
        <v>109</v>
      </c>
      <c r="U305" t="s">
        <v>205</v>
      </c>
      <c r="V305" t="s">
        <v>202</v>
      </c>
      <c r="W305" t="s">
        <v>203</v>
      </c>
      <c r="X305" t="s">
        <v>204</v>
      </c>
      <c r="Y305">
        <v>0</v>
      </c>
      <c r="Z305">
        <v>0</v>
      </c>
      <c r="AA305">
        <v>1612.09</v>
      </c>
      <c r="AB305">
        <v>0</v>
      </c>
      <c r="AC305" s="49">
        <v>45182</v>
      </c>
      <c r="AD305" s="116" t="s">
        <v>10</v>
      </c>
      <c r="AE305" s="113" t="str" cm="1">
        <f t="array" ref="AE305">_xlfn.IFS(S305&lt;=Constantes!$G$2,"Muito Curta (evitável)",S305&lt;=Constantes!$H$2,"Curta Distância",S305&gt;Constantes!$H$2,"Longa Distância")</f>
        <v>Curta Distância</v>
      </c>
      <c r="AF305" s="114">
        <f>IFERROR(VLOOKUP(AE305,Constantes!$A$1:$E$5,MATCH(AD305,Constantes!$A$1:$E$1,0),0),"")</f>
        <v>0.18286935436241611</v>
      </c>
      <c r="AG305" s="115">
        <f t="shared" si="9"/>
        <v>515.16094839367611</v>
      </c>
    </row>
    <row r="306" spans="1:33" x14ac:dyDescent="0.3">
      <c r="A306">
        <f>COUNTIF($B$2:B306,B306)</f>
        <v>1</v>
      </c>
      <c r="B306">
        <v>19293802</v>
      </c>
      <c r="C306" t="s">
        <v>1052</v>
      </c>
      <c r="D306" t="s">
        <v>218</v>
      </c>
      <c r="E306" t="s">
        <v>1053</v>
      </c>
      <c r="F306" t="s">
        <v>218</v>
      </c>
      <c r="G306" t="s">
        <v>207</v>
      </c>
      <c r="H306" t="s">
        <v>204</v>
      </c>
      <c r="I306" s="49">
        <v>45213</v>
      </c>
      <c r="J306" s="49">
        <v>45221</v>
      </c>
      <c r="K306" t="s">
        <v>1054</v>
      </c>
      <c r="L306" s="49">
        <v>45213</v>
      </c>
      <c r="M306" s="49">
        <v>45213</v>
      </c>
      <c r="N306" t="s">
        <v>805</v>
      </c>
      <c r="O306" t="s">
        <v>107</v>
      </c>
      <c r="P306">
        <f>VLOOKUP(N306,[1]ID_Cidades!$A$1:$E$5900,2,FALSE)</f>
        <v>305111</v>
      </c>
      <c r="Q306">
        <f>VLOOKUP(O306,[1]ID_Cidades!$A$1:$E$5900,2,FALSE)</f>
        <v>295765</v>
      </c>
      <c r="R306">
        <f t="shared" si="8"/>
        <v>90241154915</v>
      </c>
      <c r="S306" s="42">
        <f>VLOOKUP(R306,'[1]GCD base'!$A$1:$M$200,7,FALSE)</f>
        <v>1515.0099190000001</v>
      </c>
      <c r="T306" t="s">
        <v>109</v>
      </c>
      <c r="U306" t="s">
        <v>201</v>
      </c>
      <c r="V306" t="s">
        <v>202</v>
      </c>
      <c r="W306" t="s">
        <v>210</v>
      </c>
      <c r="X306" t="s">
        <v>1011</v>
      </c>
      <c r="Y306">
        <v>2652.65</v>
      </c>
      <c r="Z306">
        <v>0</v>
      </c>
      <c r="AA306">
        <v>1306.49</v>
      </c>
      <c r="AB306">
        <v>0</v>
      </c>
      <c r="AC306" s="49">
        <v>45203</v>
      </c>
      <c r="AD306" s="116" t="s">
        <v>10</v>
      </c>
      <c r="AE306" s="113" t="str" cm="1">
        <f t="array" ref="AE306">_xlfn.IFS(S306&lt;=Constantes!$G$2,"Muito Curta (evitável)",S306&lt;=Constantes!$H$2,"Curta Distância",S306&gt;Constantes!$H$2,"Longa Distância")</f>
        <v>Curta Distância</v>
      </c>
      <c r="AF306" s="114">
        <f>IFERROR(VLOOKUP(AE306,Constantes!$A$1:$E$5,MATCH(AD306,Constantes!$A$1:$E$1,0),0),"")</f>
        <v>0.18286935436241611</v>
      </c>
      <c r="AG306" s="115">
        <f t="shared" si="9"/>
        <v>277.04888574018634</v>
      </c>
    </row>
    <row r="307" spans="1:33" x14ac:dyDescent="0.3">
      <c r="A307">
        <f>COUNTIF($B$2:B307,B307)</f>
        <v>2</v>
      </c>
      <c r="B307">
        <v>19293802</v>
      </c>
      <c r="C307" t="s">
        <v>1052</v>
      </c>
      <c r="D307" t="s">
        <v>218</v>
      </c>
      <c r="E307" t="s">
        <v>1053</v>
      </c>
      <c r="F307" t="s">
        <v>218</v>
      </c>
      <c r="G307" t="s">
        <v>207</v>
      </c>
      <c r="H307" t="s">
        <v>204</v>
      </c>
      <c r="I307" s="49">
        <v>45213</v>
      </c>
      <c r="J307" s="49">
        <v>45221</v>
      </c>
      <c r="K307" t="s">
        <v>1054</v>
      </c>
      <c r="L307" s="49">
        <v>45221</v>
      </c>
      <c r="M307" s="49">
        <v>45221</v>
      </c>
      <c r="N307" t="s">
        <v>107</v>
      </c>
      <c r="O307" t="s">
        <v>805</v>
      </c>
      <c r="P307">
        <f>VLOOKUP(N307,[1]ID_Cidades!$A$1:$E$5900,2,FALSE)</f>
        <v>295765</v>
      </c>
      <c r="Q307">
        <f>VLOOKUP(O307,[1]ID_Cidades!$A$1:$E$5900,2,FALSE)</f>
        <v>305111</v>
      </c>
      <c r="R307">
        <f t="shared" si="8"/>
        <v>90241154915</v>
      </c>
      <c r="S307" s="42">
        <f>VLOOKUP(R307,'[1]GCD base'!$A$1:$M$200,7,FALSE)</f>
        <v>1515.0099190000001</v>
      </c>
      <c r="T307" t="s">
        <v>109</v>
      </c>
      <c r="U307" t="s">
        <v>201</v>
      </c>
      <c r="V307" t="s">
        <v>202</v>
      </c>
      <c r="W307" t="s">
        <v>210</v>
      </c>
      <c r="X307" t="s">
        <v>1011</v>
      </c>
      <c r="Y307">
        <v>0</v>
      </c>
      <c r="Z307">
        <v>0</v>
      </c>
      <c r="AA307">
        <v>1083.19</v>
      </c>
      <c r="AB307">
        <v>0</v>
      </c>
      <c r="AC307" s="49">
        <v>45203</v>
      </c>
      <c r="AD307" s="116" t="s">
        <v>10</v>
      </c>
      <c r="AE307" s="113" t="str" cm="1">
        <f t="array" ref="AE307">_xlfn.IFS(S307&lt;=Constantes!$G$2,"Muito Curta (evitável)",S307&lt;=Constantes!$H$2,"Curta Distância",S307&gt;Constantes!$H$2,"Longa Distância")</f>
        <v>Curta Distância</v>
      </c>
      <c r="AF307" s="114">
        <f>IFERROR(VLOOKUP(AE307,Constantes!$A$1:$E$5,MATCH(AD307,Constantes!$A$1:$E$1,0),0),"")</f>
        <v>0.18286935436241611</v>
      </c>
      <c r="AG307" s="115">
        <f t="shared" si="9"/>
        <v>277.04888574018634</v>
      </c>
    </row>
    <row r="308" spans="1:33" x14ac:dyDescent="0.3">
      <c r="A308">
        <f>COUNTIF($B$2:B308,B308)</f>
        <v>1</v>
      </c>
      <c r="B308">
        <v>19119278</v>
      </c>
      <c r="C308" t="s">
        <v>463</v>
      </c>
      <c r="D308" t="s">
        <v>259</v>
      </c>
      <c r="E308" t="s">
        <v>260</v>
      </c>
      <c r="F308" t="s">
        <v>198</v>
      </c>
      <c r="G308" t="s">
        <v>233</v>
      </c>
      <c r="H308" t="s">
        <v>233</v>
      </c>
      <c r="I308" s="49">
        <v>45214</v>
      </c>
      <c r="J308" s="49">
        <v>45217</v>
      </c>
      <c r="K308" t="s">
        <v>464</v>
      </c>
      <c r="L308" s="49">
        <v>45214</v>
      </c>
      <c r="M308" s="49">
        <v>45217</v>
      </c>
      <c r="N308" t="s">
        <v>107</v>
      </c>
      <c r="O308" t="s">
        <v>110</v>
      </c>
      <c r="P308">
        <f>VLOOKUP(N308,[1]ID_Cidades!$A$1:$E$5900,2,FALSE)</f>
        <v>295765</v>
      </c>
      <c r="Q308">
        <f>VLOOKUP(O308,[1]ID_Cidades!$A$1:$E$5900,2,FALSE)</f>
        <v>295763</v>
      </c>
      <c r="R308">
        <f t="shared" si="8"/>
        <v>87476343695</v>
      </c>
      <c r="S308" s="42">
        <f>VLOOKUP(R308,'[1]GCD base'!$A$1:$M$200,7,FALSE)</f>
        <v>1713.419991</v>
      </c>
      <c r="T308" t="s">
        <v>109</v>
      </c>
      <c r="U308" t="s">
        <v>205</v>
      </c>
      <c r="V308" t="s">
        <v>202</v>
      </c>
      <c r="W308" t="s">
        <v>203</v>
      </c>
      <c r="X308" t="s">
        <v>204</v>
      </c>
      <c r="Y308">
        <v>1339.26</v>
      </c>
      <c r="Z308">
        <v>0</v>
      </c>
      <c r="AA308">
        <v>2832</v>
      </c>
      <c r="AB308">
        <v>0</v>
      </c>
      <c r="AC308" s="49">
        <v>45133</v>
      </c>
      <c r="AD308" s="116" t="s">
        <v>10</v>
      </c>
      <c r="AE308" s="113" t="str" cm="1">
        <f t="array" ref="AE308">_xlfn.IFS(S308&lt;=Constantes!$G$2,"Muito Curta (evitável)",S308&lt;=Constantes!$H$2,"Curta Distância",S308&gt;Constantes!$H$2,"Longa Distância")</f>
        <v>Curta Distância</v>
      </c>
      <c r="AF308" s="114">
        <f>IFERROR(VLOOKUP(AE308,Constantes!$A$1:$E$5,MATCH(AD308,Constantes!$A$1:$E$1,0),0),"")</f>
        <v>0.18286935436241611</v>
      </c>
      <c r="AG308" s="115">
        <f t="shared" si="9"/>
        <v>313.33200750582682</v>
      </c>
    </row>
    <row r="309" spans="1:33" x14ac:dyDescent="0.3">
      <c r="A309">
        <f>COUNTIF($B$2:B309,B309)</f>
        <v>2</v>
      </c>
      <c r="B309">
        <v>19119278</v>
      </c>
      <c r="C309" t="s">
        <v>463</v>
      </c>
      <c r="D309" t="s">
        <v>259</v>
      </c>
      <c r="E309" t="s">
        <v>260</v>
      </c>
      <c r="F309" t="s">
        <v>198</v>
      </c>
      <c r="G309" t="s">
        <v>233</v>
      </c>
      <c r="H309" t="s">
        <v>233</v>
      </c>
      <c r="I309" s="49">
        <v>45214</v>
      </c>
      <c r="J309" s="49">
        <v>45217</v>
      </c>
      <c r="K309" t="s">
        <v>464</v>
      </c>
      <c r="L309" s="49">
        <v>45217</v>
      </c>
      <c r="M309" s="49">
        <v>45217</v>
      </c>
      <c r="N309" t="s">
        <v>110</v>
      </c>
      <c r="O309" t="s">
        <v>107</v>
      </c>
      <c r="P309">
        <f>VLOOKUP(N309,[1]ID_Cidades!$A$1:$E$5900,2,FALSE)</f>
        <v>295763</v>
      </c>
      <c r="Q309">
        <f>VLOOKUP(O309,[1]ID_Cidades!$A$1:$E$5900,2,FALSE)</f>
        <v>295765</v>
      </c>
      <c r="R309">
        <f t="shared" si="8"/>
        <v>87476343695</v>
      </c>
      <c r="S309" s="42">
        <f>VLOOKUP(R309,'[1]GCD base'!$A$1:$M$200,7,FALSE)</f>
        <v>1713.419991</v>
      </c>
      <c r="T309" t="s">
        <v>109</v>
      </c>
      <c r="U309" t="s">
        <v>201</v>
      </c>
      <c r="V309" t="s">
        <v>202</v>
      </c>
      <c r="W309" t="s">
        <v>203</v>
      </c>
      <c r="X309" t="s">
        <v>204</v>
      </c>
      <c r="Y309">
        <v>0</v>
      </c>
      <c r="Z309">
        <v>0</v>
      </c>
      <c r="AA309">
        <v>0</v>
      </c>
      <c r="AB309">
        <v>0</v>
      </c>
      <c r="AC309">
        <v>0</v>
      </c>
      <c r="AD309" s="116" t="s">
        <v>10</v>
      </c>
      <c r="AE309" s="113" t="str" cm="1">
        <f t="array" ref="AE309">_xlfn.IFS(S309&lt;=Constantes!$G$2,"Muito Curta (evitável)",S309&lt;=Constantes!$H$2,"Curta Distância",S309&gt;Constantes!$H$2,"Longa Distância")</f>
        <v>Curta Distância</v>
      </c>
      <c r="AF309" s="114">
        <f>IFERROR(VLOOKUP(AE309,Constantes!$A$1:$E$5,MATCH(AD309,Constantes!$A$1:$E$1,0),0),"")</f>
        <v>0.18286935436241611</v>
      </c>
      <c r="AG309" s="115">
        <f t="shared" si="9"/>
        <v>313.33200750582682</v>
      </c>
    </row>
    <row r="310" spans="1:33" x14ac:dyDescent="0.3">
      <c r="A310">
        <f>COUNTIF($B$2:B310,B310)</f>
        <v>1</v>
      </c>
      <c r="B310">
        <v>19123862</v>
      </c>
      <c r="C310" t="s">
        <v>472</v>
      </c>
      <c r="D310" t="s">
        <v>473</v>
      </c>
      <c r="E310" t="s">
        <v>474</v>
      </c>
      <c r="F310" t="s">
        <v>198</v>
      </c>
      <c r="G310" t="s">
        <v>233</v>
      </c>
      <c r="H310" t="s">
        <v>233</v>
      </c>
      <c r="I310" s="49">
        <v>45214</v>
      </c>
      <c r="J310" s="49">
        <v>45217</v>
      </c>
      <c r="K310" t="s">
        <v>475</v>
      </c>
      <c r="L310" s="49">
        <v>45214</v>
      </c>
      <c r="M310" s="49">
        <v>45217</v>
      </c>
      <c r="N310" t="s">
        <v>107</v>
      </c>
      <c r="O310" t="s">
        <v>110</v>
      </c>
      <c r="P310">
        <f>VLOOKUP(N310,[1]ID_Cidades!$A$1:$E$5900,2,FALSE)</f>
        <v>295765</v>
      </c>
      <c r="Q310">
        <f>VLOOKUP(O310,[1]ID_Cidades!$A$1:$E$5900,2,FALSE)</f>
        <v>295763</v>
      </c>
      <c r="R310">
        <f t="shared" si="8"/>
        <v>87476343695</v>
      </c>
      <c r="S310" s="42">
        <f>VLOOKUP(R310,'[1]GCD base'!$A$1:$M$200,7,FALSE)</f>
        <v>1713.419991</v>
      </c>
      <c r="T310" t="s">
        <v>109</v>
      </c>
      <c r="U310" t="s">
        <v>205</v>
      </c>
      <c r="V310" t="s">
        <v>202</v>
      </c>
      <c r="W310" t="s">
        <v>203</v>
      </c>
      <c r="X310" t="s">
        <v>204</v>
      </c>
      <c r="Y310">
        <v>1339.26</v>
      </c>
      <c r="Z310">
        <v>0</v>
      </c>
      <c r="AA310">
        <v>2453.1</v>
      </c>
      <c r="AB310">
        <v>0</v>
      </c>
      <c r="AC310" s="49">
        <v>45139</v>
      </c>
      <c r="AD310" s="116" t="s">
        <v>10</v>
      </c>
      <c r="AE310" s="113" t="str" cm="1">
        <f t="array" ref="AE310">_xlfn.IFS(S310&lt;=Constantes!$G$2,"Muito Curta (evitável)",S310&lt;=Constantes!$H$2,"Curta Distância",S310&gt;Constantes!$H$2,"Longa Distância")</f>
        <v>Curta Distância</v>
      </c>
      <c r="AF310" s="114">
        <f>IFERROR(VLOOKUP(AE310,Constantes!$A$1:$E$5,MATCH(AD310,Constantes!$A$1:$E$1,0),0),"")</f>
        <v>0.18286935436241611</v>
      </c>
      <c r="AG310" s="115">
        <f t="shared" si="9"/>
        <v>313.33200750582682</v>
      </c>
    </row>
    <row r="311" spans="1:33" x14ac:dyDescent="0.3">
      <c r="A311">
        <f>COUNTIF($B$2:B311,B311)</f>
        <v>2</v>
      </c>
      <c r="B311">
        <v>19123862</v>
      </c>
      <c r="C311" t="s">
        <v>472</v>
      </c>
      <c r="D311" t="s">
        <v>473</v>
      </c>
      <c r="E311" t="s">
        <v>474</v>
      </c>
      <c r="F311" t="s">
        <v>198</v>
      </c>
      <c r="G311" t="s">
        <v>233</v>
      </c>
      <c r="H311" t="s">
        <v>233</v>
      </c>
      <c r="I311" s="49">
        <v>45214</v>
      </c>
      <c r="J311" s="49">
        <v>45217</v>
      </c>
      <c r="K311" t="s">
        <v>475</v>
      </c>
      <c r="L311" s="49">
        <v>45217</v>
      </c>
      <c r="M311" s="49">
        <v>45217</v>
      </c>
      <c r="N311" t="s">
        <v>110</v>
      </c>
      <c r="O311" t="s">
        <v>107</v>
      </c>
      <c r="P311">
        <f>VLOOKUP(N311,[1]ID_Cidades!$A$1:$E$5900,2,FALSE)</f>
        <v>295763</v>
      </c>
      <c r="Q311">
        <f>VLOOKUP(O311,[1]ID_Cidades!$A$1:$E$5900,2,FALSE)</f>
        <v>295765</v>
      </c>
      <c r="R311">
        <f t="shared" si="8"/>
        <v>87476343695</v>
      </c>
      <c r="S311" s="42">
        <f>VLOOKUP(R311,'[1]GCD base'!$A$1:$M$200,7,FALSE)</f>
        <v>1713.419991</v>
      </c>
      <c r="T311" t="s">
        <v>109</v>
      </c>
      <c r="U311" t="s">
        <v>201</v>
      </c>
      <c r="V311" t="s">
        <v>202</v>
      </c>
      <c r="W311" t="s">
        <v>203</v>
      </c>
      <c r="X311" t="s">
        <v>204</v>
      </c>
      <c r="Y311">
        <v>0</v>
      </c>
      <c r="Z311">
        <v>0</v>
      </c>
      <c r="AA311">
        <v>0</v>
      </c>
      <c r="AB311">
        <v>0</v>
      </c>
      <c r="AC311">
        <v>0</v>
      </c>
      <c r="AD311" s="116" t="s">
        <v>10</v>
      </c>
      <c r="AE311" s="113" t="str" cm="1">
        <f t="array" ref="AE311">_xlfn.IFS(S311&lt;=Constantes!$G$2,"Muito Curta (evitável)",S311&lt;=Constantes!$H$2,"Curta Distância",S311&gt;Constantes!$H$2,"Longa Distância")</f>
        <v>Curta Distância</v>
      </c>
      <c r="AF311" s="114">
        <f>IFERROR(VLOOKUP(AE311,Constantes!$A$1:$E$5,MATCH(AD311,Constantes!$A$1:$E$1,0),0),"")</f>
        <v>0.18286935436241611</v>
      </c>
      <c r="AG311" s="115">
        <f t="shared" si="9"/>
        <v>313.33200750582682</v>
      </c>
    </row>
    <row r="312" spans="1:33" x14ac:dyDescent="0.3">
      <c r="A312">
        <f>COUNTIF($B$2:B312,B312)</f>
        <v>1</v>
      </c>
      <c r="B312">
        <v>19274544</v>
      </c>
      <c r="C312" t="s">
        <v>933</v>
      </c>
      <c r="D312" t="s">
        <v>934</v>
      </c>
      <c r="E312" t="s">
        <v>935</v>
      </c>
      <c r="F312" t="s">
        <v>198</v>
      </c>
      <c r="G312" t="s">
        <v>233</v>
      </c>
      <c r="H312" t="s">
        <v>233</v>
      </c>
      <c r="I312" s="49">
        <v>45214</v>
      </c>
      <c r="J312" s="49">
        <v>45217</v>
      </c>
      <c r="K312" t="s">
        <v>936</v>
      </c>
      <c r="L312" s="49">
        <v>45217</v>
      </c>
      <c r="M312" s="49">
        <v>45217</v>
      </c>
      <c r="N312" t="s">
        <v>110</v>
      </c>
      <c r="O312" t="s">
        <v>107</v>
      </c>
      <c r="P312">
        <f>VLOOKUP(N312,[1]ID_Cidades!$A$1:$E$5900,2,FALSE)</f>
        <v>295763</v>
      </c>
      <c r="Q312">
        <f>VLOOKUP(O312,[1]ID_Cidades!$A$1:$E$5900,2,FALSE)</f>
        <v>295765</v>
      </c>
      <c r="R312">
        <f t="shared" si="8"/>
        <v>87476343695</v>
      </c>
      <c r="S312" s="42">
        <f>VLOOKUP(R312,'[1]GCD base'!$A$1:$M$200,7,FALSE)</f>
        <v>1713.419991</v>
      </c>
      <c r="T312" t="s">
        <v>109</v>
      </c>
      <c r="U312" t="s">
        <v>201</v>
      </c>
      <c r="V312" t="s">
        <v>202</v>
      </c>
      <c r="W312" t="s">
        <v>203</v>
      </c>
      <c r="X312" t="s">
        <v>204</v>
      </c>
      <c r="Y312">
        <v>1339.26</v>
      </c>
      <c r="Z312">
        <v>0</v>
      </c>
      <c r="AA312">
        <v>1192.9100000000001</v>
      </c>
      <c r="AB312">
        <v>0</v>
      </c>
      <c r="AC312" s="49">
        <v>45182</v>
      </c>
      <c r="AD312" s="116" t="s">
        <v>10</v>
      </c>
      <c r="AE312" s="113" t="str" cm="1">
        <f t="array" ref="AE312">_xlfn.IFS(S312&lt;=Constantes!$G$2,"Muito Curta (evitável)",S312&lt;=Constantes!$H$2,"Curta Distância",S312&gt;Constantes!$H$2,"Longa Distância")</f>
        <v>Curta Distância</v>
      </c>
      <c r="AF312" s="114">
        <f>IFERROR(VLOOKUP(AE312,Constantes!$A$1:$E$5,MATCH(AD312,Constantes!$A$1:$E$1,0),0),"")</f>
        <v>0.18286935436241611</v>
      </c>
      <c r="AG312" s="115">
        <f t="shared" si="9"/>
        <v>313.33200750582682</v>
      </c>
    </row>
    <row r="313" spans="1:33" x14ac:dyDescent="0.3">
      <c r="A313">
        <f>COUNTIF($B$2:B313,B313)</f>
        <v>2</v>
      </c>
      <c r="B313">
        <v>19274544</v>
      </c>
      <c r="C313" t="s">
        <v>933</v>
      </c>
      <c r="D313" t="s">
        <v>934</v>
      </c>
      <c r="E313" t="s">
        <v>935</v>
      </c>
      <c r="F313" t="s">
        <v>198</v>
      </c>
      <c r="G313" t="s">
        <v>233</v>
      </c>
      <c r="H313" t="s">
        <v>233</v>
      </c>
      <c r="I313" s="49">
        <v>45214</v>
      </c>
      <c r="J313" s="49">
        <v>45217</v>
      </c>
      <c r="K313" t="s">
        <v>936</v>
      </c>
      <c r="L313" s="49">
        <v>45214</v>
      </c>
      <c r="M313" s="49">
        <v>45217</v>
      </c>
      <c r="N313" t="s">
        <v>107</v>
      </c>
      <c r="O313" t="s">
        <v>110</v>
      </c>
      <c r="P313">
        <f>VLOOKUP(N313,[1]ID_Cidades!$A$1:$E$5900,2,FALSE)</f>
        <v>295765</v>
      </c>
      <c r="Q313">
        <f>VLOOKUP(O313,[1]ID_Cidades!$A$1:$E$5900,2,FALSE)</f>
        <v>295763</v>
      </c>
      <c r="R313">
        <f t="shared" si="8"/>
        <v>87476343695</v>
      </c>
      <c r="S313" s="42">
        <f>VLOOKUP(R313,'[1]GCD base'!$A$1:$M$200,7,FALSE)</f>
        <v>1713.419991</v>
      </c>
      <c r="T313" t="s">
        <v>109</v>
      </c>
      <c r="U313" t="s">
        <v>205</v>
      </c>
      <c r="V313" t="s">
        <v>202</v>
      </c>
      <c r="W313" t="s">
        <v>203</v>
      </c>
      <c r="X313" t="s">
        <v>204</v>
      </c>
      <c r="Y313">
        <v>0</v>
      </c>
      <c r="Z313">
        <v>0</v>
      </c>
      <c r="AA313">
        <v>2253.59</v>
      </c>
      <c r="AB313">
        <v>0</v>
      </c>
      <c r="AC313" s="49">
        <v>45182</v>
      </c>
      <c r="AD313" s="116" t="s">
        <v>10</v>
      </c>
      <c r="AE313" s="113" t="str" cm="1">
        <f t="array" ref="AE313">_xlfn.IFS(S313&lt;=Constantes!$G$2,"Muito Curta (evitável)",S313&lt;=Constantes!$H$2,"Curta Distância",S313&gt;Constantes!$H$2,"Longa Distância")</f>
        <v>Curta Distância</v>
      </c>
      <c r="AF313" s="114">
        <f>IFERROR(VLOOKUP(AE313,Constantes!$A$1:$E$5,MATCH(AD313,Constantes!$A$1:$E$1,0),0),"")</f>
        <v>0.18286935436241611</v>
      </c>
      <c r="AG313" s="115">
        <f t="shared" si="9"/>
        <v>313.33200750582682</v>
      </c>
    </row>
    <row r="314" spans="1:33" x14ac:dyDescent="0.3">
      <c r="A314">
        <f>COUNTIF($B$2:B314,B314)</f>
        <v>1</v>
      </c>
      <c r="B314">
        <v>19309933</v>
      </c>
      <c r="C314" t="s">
        <v>1106</v>
      </c>
      <c r="D314" t="s">
        <v>1107</v>
      </c>
      <c r="E314" t="s">
        <v>1108</v>
      </c>
      <c r="F314" t="s">
        <v>218</v>
      </c>
      <c r="G314" t="s">
        <v>207</v>
      </c>
      <c r="H314" t="s">
        <v>204</v>
      </c>
      <c r="I314" s="49">
        <v>45214</v>
      </c>
      <c r="J314" s="49">
        <v>45219</v>
      </c>
      <c r="K314" t="s">
        <v>1109</v>
      </c>
      <c r="L314" s="49">
        <v>45219</v>
      </c>
      <c r="M314" s="49">
        <v>45219</v>
      </c>
      <c r="N314" t="s">
        <v>107</v>
      </c>
      <c r="O314" t="s">
        <v>126</v>
      </c>
      <c r="P314">
        <f>VLOOKUP(N314,[1]ID_Cidades!$A$1:$E$5900,2,FALSE)</f>
        <v>295765</v>
      </c>
      <c r="Q314">
        <f>VLOOKUP(O314,[1]ID_Cidades!$A$1:$E$5900,2,FALSE)</f>
        <v>303652</v>
      </c>
      <c r="R314">
        <f t="shared" si="8"/>
        <v>89809633780</v>
      </c>
      <c r="S314" s="42">
        <f>VLOOKUP(R314,'[1]GCD base'!$A$1:$M$200,7,FALSE)</f>
        <v>2193.8649999999998</v>
      </c>
      <c r="T314" t="s">
        <v>109</v>
      </c>
      <c r="U314" t="s">
        <v>201</v>
      </c>
      <c r="V314" t="s">
        <v>202</v>
      </c>
      <c r="W314" t="s">
        <v>210</v>
      </c>
      <c r="X314" t="s">
        <v>1011</v>
      </c>
      <c r="Y314">
        <v>1749.95</v>
      </c>
      <c r="Z314">
        <v>0</v>
      </c>
      <c r="AA314">
        <v>2406.75</v>
      </c>
      <c r="AB314">
        <v>0</v>
      </c>
      <c r="AC314" s="49">
        <v>45205</v>
      </c>
      <c r="AD314" s="116" t="s">
        <v>10</v>
      </c>
      <c r="AE314" s="113" t="str" cm="1">
        <f t="array" ref="AE314">_xlfn.IFS(S314&lt;=Constantes!$G$2,"Muito Curta (evitável)",S314&lt;=Constantes!$H$2,"Curta Distância",S314&gt;Constantes!$H$2,"Longa Distância")</f>
        <v>Curta Distância</v>
      </c>
      <c r="AF314" s="114">
        <f>IFERROR(VLOOKUP(AE314,Constantes!$A$1:$E$5,MATCH(AD314,Constantes!$A$1:$E$1,0),0),"")</f>
        <v>0.18286935436241611</v>
      </c>
      <c r="AG314" s="115">
        <f t="shared" si="9"/>
        <v>401.190676108302</v>
      </c>
    </row>
    <row r="315" spans="1:33" x14ac:dyDescent="0.3">
      <c r="A315">
        <f>COUNTIF($B$2:B315,B315)</f>
        <v>2</v>
      </c>
      <c r="B315">
        <v>19309933</v>
      </c>
      <c r="C315" t="s">
        <v>1106</v>
      </c>
      <c r="D315" t="s">
        <v>1107</v>
      </c>
      <c r="E315" t="s">
        <v>1108</v>
      </c>
      <c r="F315" t="s">
        <v>218</v>
      </c>
      <c r="G315" t="s">
        <v>207</v>
      </c>
      <c r="H315" t="s">
        <v>204</v>
      </c>
      <c r="I315" s="49">
        <v>45214</v>
      </c>
      <c r="J315" s="49">
        <v>45219</v>
      </c>
      <c r="K315" t="s">
        <v>1109</v>
      </c>
      <c r="L315" s="49">
        <v>45214</v>
      </c>
      <c r="M315" s="49">
        <v>45214</v>
      </c>
      <c r="N315" t="s">
        <v>126</v>
      </c>
      <c r="O315" t="s">
        <v>107</v>
      </c>
      <c r="P315">
        <f>VLOOKUP(N315,[1]ID_Cidades!$A$1:$E$5900,2,FALSE)</f>
        <v>303652</v>
      </c>
      <c r="Q315">
        <f>VLOOKUP(O315,[1]ID_Cidades!$A$1:$E$5900,2,FALSE)</f>
        <v>295765</v>
      </c>
      <c r="R315">
        <f t="shared" si="8"/>
        <v>89809633780</v>
      </c>
      <c r="S315" s="42">
        <f>VLOOKUP(R315,'[1]GCD base'!$A$1:$M$200,7,FALSE)</f>
        <v>2193.8649999999998</v>
      </c>
      <c r="T315" t="s">
        <v>109</v>
      </c>
      <c r="U315" t="s">
        <v>201</v>
      </c>
      <c r="V315" t="s">
        <v>202</v>
      </c>
      <c r="W315" t="s">
        <v>210</v>
      </c>
      <c r="X315" t="s">
        <v>1011</v>
      </c>
      <c r="Y315">
        <v>0</v>
      </c>
      <c r="Z315">
        <v>0</v>
      </c>
      <c r="AA315">
        <v>1669.89</v>
      </c>
      <c r="AB315">
        <v>0</v>
      </c>
      <c r="AC315" s="49">
        <v>45205</v>
      </c>
      <c r="AD315" s="116" t="s">
        <v>10</v>
      </c>
      <c r="AE315" s="113" t="str" cm="1">
        <f t="array" ref="AE315">_xlfn.IFS(S315&lt;=Constantes!$G$2,"Muito Curta (evitável)",S315&lt;=Constantes!$H$2,"Curta Distância",S315&gt;Constantes!$H$2,"Longa Distância")</f>
        <v>Curta Distância</v>
      </c>
      <c r="AF315" s="114">
        <f>IFERROR(VLOOKUP(AE315,Constantes!$A$1:$E$5,MATCH(AD315,Constantes!$A$1:$E$1,0),0),"")</f>
        <v>0.18286935436241611</v>
      </c>
      <c r="AG315" s="115">
        <f t="shared" si="9"/>
        <v>401.190676108302</v>
      </c>
    </row>
    <row r="316" spans="1:33" x14ac:dyDescent="0.3">
      <c r="A316">
        <f>COUNTIF($B$2:B316,B316)</f>
        <v>1</v>
      </c>
      <c r="B316">
        <v>19311024</v>
      </c>
      <c r="C316" t="s">
        <v>1114</v>
      </c>
      <c r="D316" t="s">
        <v>1115</v>
      </c>
      <c r="E316" t="s">
        <v>1116</v>
      </c>
      <c r="F316" t="s">
        <v>218</v>
      </c>
      <c r="G316" t="s">
        <v>207</v>
      </c>
      <c r="H316" t="s">
        <v>204</v>
      </c>
      <c r="I316" s="49">
        <v>45214</v>
      </c>
      <c r="J316" s="49">
        <v>45220</v>
      </c>
      <c r="K316" t="s">
        <v>1117</v>
      </c>
      <c r="L316" s="49">
        <v>45214</v>
      </c>
      <c r="M316" s="49">
        <v>45215</v>
      </c>
      <c r="N316" t="s">
        <v>315</v>
      </c>
      <c r="O316" t="s">
        <v>107</v>
      </c>
      <c r="P316">
        <f>VLOOKUP(N316,[1]ID_Cidades!$A$1:$E$5900,2,FALSE)</f>
        <v>300439</v>
      </c>
      <c r="Q316">
        <f>VLOOKUP(O316,[1]ID_Cidades!$A$1:$E$5900,2,FALSE)</f>
        <v>295765</v>
      </c>
      <c r="R316">
        <f t="shared" si="8"/>
        <v>88859340835</v>
      </c>
      <c r="S316" s="42">
        <f>VLOOKUP(R316,'[1]GCD base'!$A$1:$M$200,7,FALSE)</f>
        <v>1631.4561289999999</v>
      </c>
      <c r="T316" t="s">
        <v>109</v>
      </c>
      <c r="U316" t="s">
        <v>201</v>
      </c>
      <c r="V316" t="s">
        <v>202</v>
      </c>
      <c r="W316" t="s">
        <v>210</v>
      </c>
      <c r="X316" t="s">
        <v>1118</v>
      </c>
      <c r="Y316">
        <v>2090.9699999999998</v>
      </c>
      <c r="Z316">
        <v>0</v>
      </c>
      <c r="AA316">
        <v>2533.39</v>
      </c>
      <c r="AB316">
        <v>0</v>
      </c>
      <c r="AC316" s="49">
        <v>45203</v>
      </c>
      <c r="AD316" s="116" t="s">
        <v>10</v>
      </c>
      <c r="AE316" s="113" t="str" cm="1">
        <f t="array" ref="AE316">_xlfn.IFS(S316&lt;=Constantes!$G$2,"Muito Curta (evitável)",S316&lt;=Constantes!$H$2,"Curta Distância",S316&gt;Constantes!$H$2,"Longa Distância")</f>
        <v>Curta Distância</v>
      </c>
      <c r="AF316" s="114">
        <f>IFERROR(VLOOKUP(AE316,Constantes!$A$1:$E$5,MATCH(AD316,Constantes!$A$1:$E$1,0),0),"")</f>
        <v>0.18286935436241611</v>
      </c>
      <c r="AG316" s="115">
        <f t="shared" si="9"/>
        <v>298.34332898083665</v>
      </c>
    </row>
    <row r="317" spans="1:33" x14ac:dyDescent="0.3">
      <c r="A317">
        <f>COUNTIF($B$2:B317,B317)</f>
        <v>2</v>
      </c>
      <c r="B317">
        <v>19311024</v>
      </c>
      <c r="C317" t="s">
        <v>1114</v>
      </c>
      <c r="D317" t="s">
        <v>1115</v>
      </c>
      <c r="E317" t="s">
        <v>1116</v>
      </c>
      <c r="F317" t="s">
        <v>218</v>
      </c>
      <c r="G317" t="s">
        <v>207</v>
      </c>
      <c r="H317" t="s">
        <v>204</v>
      </c>
      <c r="I317" s="49">
        <v>45214</v>
      </c>
      <c r="J317" s="49">
        <v>45220</v>
      </c>
      <c r="K317" t="s">
        <v>1117</v>
      </c>
      <c r="L317" s="49">
        <v>45220</v>
      </c>
      <c r="M317" s="49">
        <v>45220</v>
      </c>
      <c r="N317" t="s">
        <v>107</v>
      </c>
      <c r="O317" t="s">
        <v>315</v>
      </c>
      <c r="P317">
        <f>VLOOKUP(N317,[1]ID_Cidades!$A$1:$E$5900,2,FALSE)</f>
        <v>295765</v>
      </c>
      <c r="Q317">
        <f>VLOOKUP(O317,[1]ID_Cidades!$A$1:$E$5900,2,FALSE)</f>
        <v>300439</v>
      </c>
      <c r="R317">
        <f t="shared" si="8"/>
        <v>88859340835</v>
      </c>
      <c r="S317" s="42">
        <f>VLOOKUP(R317,'[1]GCD base'!$A$1:$M$200,7,FALSE)</f>
        <v>1631.4561289999999</v>
      </c>
      <c r="T317" t="s">
        <v>109</v>
      </c>
      <c r="U317" t="s">
        <v>201</v>
      </c>
      <c r="V317" t="s">
        <v>202</v>
      </c>
      <c r="W317" t="s">
        <v>210</v>
      </c>
      <c r="X317" t="s">
        <v>1118</v>
      </c>
      <c r="Y317">
        <v>0</v>
      </c>
      <c r="Z317">
        <v>0</v>
      </c>
      <c r="AA317">
        <v>1871.69</v>
      </c>
      <c r="AB317">
        <v>0</v>
      </c>
      <c r="AC317" s="49">
        <v>45203</v>
      </c>
      <c r="AD317" s="116" t="s">
        <v>10</v>
      </c>
      <c r="AE317" s="113" t="str" cm="1">
        <f t="array" ref="AE317">_xlfn.IFS(S317&lt;=Constantes!$G$2,"Muito Curta (evitável)",S317&lt;=Constantes!$H$2,"Curta Distância",S317&gt;Constantes!$H$2,"Longa Distância")</f>
        <v>Curta Distância</v>
      </c>
      <c r="AF317" s="114">
        <f>IFERROR(VLOOKUP(AE317,Constantes!$A$1:$E$5,MATCH(AD317,Constantes!$A$1:$E$1,0),0),"")</f>
        <v>0.18286935436241611</v>
      </c>
      <c r="AG317" s="115">
        <f t="shared" si="9"/>
        <v>298.34332898083665</v>
      </c>
    </row>
    <row r="318" spans="1:33" x14ac:dyDescent="0.3">
      <c r="A318">
        <f>COUNTIF($B$2:B318,B318)</f>
        <v>1</v>
      </c>
      <c r="B318">
        <v>19314758</v>
      </c>
      <c r="C318" t="s">
        <v>1156</v>
      </c>
      <c r="D318" t="s">
        <v>1157</v>
      </c>
      <c r="E318" t="s">
        <v>1158</v>
      </c>
      <c r="F318" t="s">
        <v>218</v>
      </c>
      <c r="G318" t="s">
        <v>207</v>
      </c>
      <c r="H318" t="s">
        <v>204</v>
      </c>
      <c r="I318" s="49">
        <v>45214</v>
      </c>
      <c r="J318" s="49">
        <v>45217</v>
      </c>
      <c r="K318" t="s">
        <v>1159</v>
      </c>
      <c r="L318" s="49">
        <v>45217</v>
      </c>
      <c r="M318" s="49">
        <v>45217</v>
      </c>
      <c r="N318" t="s">
        <v>107</v>
      </c>
      <c r="O318" t="s">
        <v>110</v>
      </c>
      <c r="P318">
        <f>VLOOKUP(N318,[1]ID_Cidades!$A$1:$E$5900,2,FALSE)</f>
        <v>295765</v>
      </c>
      <c r="Q318">
        <f>VLOOKUP(O318,[1]ID_Cidades!$A$1:$E$5900,2,FALSE)</f>
        <v>295763</v>
      </c>
      <c r="R318">
        <f t="shared" si="8"/>
        <v>87476343695</v>
      </c>
      <c r="S318" s="42">
        <f>VLOOKUP(R318,'[1]GCD base'!$A$1:$M$200,7,FALSE)</f>
        <v>1713.419991</v>
      </c>
      <c r="T318" t="s">
        <v>109</v>
      </c>
      <c r="U318" t="s">
        <v>201</v>
      </c>
      <c r="V318" t="s">
        <v>202</v>
      </c>
      <c r="W318" t="s">
        <v>210</v>
      </c>
      <c r="X318" t="s">
        <v>1118</v>
      </c>
      <c r="Y318">
        <v>1148.1500000000001</v>
      </c>
      <c r="Z318">
        <v>0</v>
      </c>
      <c r="AA318">
        <v>1535.11</v>
      </c>
      <c r="AB318">
        <v>0</v>
      </c>
      <c r="AC318" s="49">
        <v>45203</v>
      </c>
      <c r="AD318" s="116" t="s">
        <v>10</v>
      </c>
      <c r="AE318" s="113" t="str" cm="1">
        <f t="array" ref="AE318">_xlfn.IFS(S318&lt;=Constantes!$G$2,"Muito Curta (evitável)",S318&lt;=Constantes!$H$2,"Curta Distância",S318&gt;Constantes!$H$2,"Longa Distância")</f>
        <v>Curta Distância</v>
      </c>
      <c r="AF318" s="114">
        <f>IFERROR(VLOOKUP(AE318,Constantes!$A$1:$E$5,MATCH(AD318,Constantes!$A$1:$E$1,0),0),"")</f>
        <v>0.18286935436241611</v>
      </c>
      <c r="AG318" s="115">
        <f t="shared" si="9"/>
        <v>313.33200750582682</v>
      </c>
    </row>
    <row r="319" spans="1:33" x14ac:dyDescent="0.3">
      <c r="A319">
        <f>COUNTIF($B$2:B319,B319)</f>
        <v>2</v>
      </c>
      <c r="B319">
        <v>19314758</v>
      </c>
      <c r="C319" t="s">
        <v>1156</v>
      </c>
      <c r="D319" t="s">
        <v>1157</v>
      </c>
      <c r="E319" t="s">
        <v>1158</v>
      </c>
      <c r="F319" t="s">
        <v>218</v>
      </c>
      <c r="G319" t="s">
        <v>207</v>
      </c>
      <c r="H319" t="s">
        <v>204</v>
      </c>
      <c r="I319" s="49">
        <v>45214</v>
      </c>
      <c r="J319" s="49">
        <v>45217</v>
      </c>
      <c r="K319" t="s">
        <v>1159</v>
      </c>
      <c r="L319" s="49">
        <v>45214</v>
      </c>
      <c r="M319" s="49">
        <v>45214</v>
      </c>
      <c r="N319" t="s">
        <v>110</v>
      </c>
      <c r="O319" t="s">
        <v>107</v>
      </c>
      <c r="P319">
        <f>VLOOKUP(N319,[1]ID_Cidades!$A$1:$E$5900,2,FALSE)</f>
        <v>295763</v>
      </c>
      <c r="Q319">
        <f>VLOOKUP(O319,[1]ID_Cidades!$A$1:$E$5900,2,FALSE)</f>
        <v>295765</v>
      </c>
      <c r="R319">
        <f t="shared" si="8"/>
        <v>87476343695</v>
      </c>
      <c r="S319" s="42">
        <f>VLOOKUP(R319,'[1]GCD base'!$A$1:$M$200,7,FALSE)</f>
        <v>1713.419991</v>
      </c>
      <c r="T319" t="s">
        <v>109</v>
      </c>
      <c r="U319" t="s">
        <v>201</v>
      </c>
      <c r="V319" t="s">
        <v>202</v>
      </c>
      <c r="W319" t="s">
        <v>210</v>
      </c>
      <c r="X319" t="s">
        <v>1118</v>
      </c>
      <c r="Y319">
        <v>0</v>
      </c>
      <c r="Z319">
        <v>0</v>
      </c>
      <c r="AA319">
        <v>1225.99</v>
      </c>
      <c r="AB319">
        <v>0</v>
      </c>
      <c r="AC319" s="49">
        <v>45203</v>
      </c>
      <c r="AD319" s="116" t="s">
        <v>10</v>
      </c>
      <c r="AE319" s="113" t="str" cm="1">
        <f t="array" ref="AE319">_xlfn.IFS(S319&lt;=Constantes!$G$2,"Muito Curta (evitável)",S319&lt;=Constantes!$H$2,"Curta Distância",S319&gt;Constantes!$H$2,"Longa Distância")</f>
        <v>Curta Distância</v>
      </c>
      <c r="AF319" s="114">
        <f>IFERROR(VLOOKUP(AE319,Constantes!$A$1:$E$5,MATCH(AD319,Constantes!$A$1:$E$1,0),0),"")</f>
        <v>0.18286935436241611</v>
      </c>
      <c r="AG319" s="115">
        <f t="shared" si="9"/>
        <v>313.33200750582682</v>
      </c>
    </row>
    <row r="320" spans="1:33" x14ac:dyDescent="0.3">
      <c r="A320">
        <f>COUNTIF($B$2:B320,B320)</f>
        <v>1</v>
      </c>
      <c r="B320">
        <v>19328310</v>
      </c>
      <c r="C320" t="s">
        <v>1226</v>
      </c>
      <c r="D320" t="s">
        <v>1227</v>
      </c>
      <c r="E320" t="s">
        <v>1228</v>
      </c>
      <c r="F320" t="s">
        <v>198</v>
      </c>
      <c r="G320" t="s">
        <v>207</v>
      </c>
      <c r="H320" t="s">
        <v>204</v>
      </c>
      <c r="I320" s="49">
        <v>45214</v>
      </c>
      <c r="J320" s="49">
        <v>45220</v>
      </c>
      <c r="K320" t="s">
        <v>1229</v>
      </c>
      <c r="L320" s="49">
        <v>45220</v>
      </c>
      <c r="M320" s="49">
        <v>45220</v>
      </c>
      <c r="N320" t="s">
        <v>107</v>
      </c>
      <c r="O320" t="s">
        <v>1174</v>
      </c>
      <c r="P320">
        <f>VLOOKUP(N320,[1]ID_Cidades!$A$1:$E$5900,2,FALSE)</f>
        <v>295765</v>
      </c>
      <c r="Q320">
        <f>VLOOKUP(O320,[1]ID_Cidades!$A$1:$E$5900,2,FALSE)</f>
        <v>295772</v>
      </c>
      <c r="R320">
        <f t="shared" si="8"/>
        <v>87479005580</v>
      </c>
      <c r="S320" s="42">
        <f>VLOOKUP(R320,'[1]GCD base'!$A$1:$M$200,7,FALSE)</f>
        <v>901.24066259999995</v>
      </c>
      <c r="T320" t="s">
        <v>109</v>
      </c>
      <c r="U320" t="s">
        <v>201</v>
      </c>
      <c r="V320" t="s">
        <v>202</v>
      </c>
      <c r="W320" t="s">
        <v>210</v>
      </c>
      <c r="X320" t="s">
        <v>1230</v>
      </c>
      <c r="Y320">
        <v>2162.08</v>
      </c>
      <c r="Z320">
        <v>0</v>
      </c>
      <c r="AA320">
        <v>1526.29</v>
      </c>
      <c r="AB320">
        <v>0</v>
      </c>
      <c r="AC320" s="49">
        <v>45202</v>
      </c>
      <c r="AD320" s="116" t="s">
        <v>10</v>
      </c>
      <c r="AE320" s="113" t="str" cm="1">
        <f t="array" ref="AE320">_xlfn.IFS(S320&lt;=Constantes!$G$2,"Muito Curta (evitável)",S320&lt;=Constantes!$H$2,"Curta Distância",S320&gt;Constantes!$H$2,"Longa Distância")</f>
        <v>Curta Distância</v>
      </c>
      <c r="AF320" s="114">
        <f>IFERROR(VLOOKUP(AE320,Constantes!$A$1:$E$5,MATCH(AD320,Constantes!$A$1:$E$1,0),0),"")</f>
        <v>0.18286935436241611</v>
      </c>
      <c r="AG320" s="115">
        <f t="shared" si="9"/>
        <v>164.80929809481808</v>
      </c>
    </row>
    <row r="321" spans="1:33" x14ac:dyDescent="0.3">
      <c r="A321">
        <f>COUNTIF($B$2:B321,B321)</f>
        <v>2</v>
      </c>
      <c r="B321">
        <v>19328310</v>
      </c>
      <c r="C321" t="s">
        <v>1226</v>
      </c>
      <c r="D321" t="s">
        <v>1227</v>
      </c>
      <c r="E321" t="s">
        <v>1228</v>
      </c>
      <c r="F321" t="s">
        <v>198</v>
      </c>
      <c r="G321" t="s">
        <v>207</v>
      </c>
      <c r="H321" t="s">
        <v>204</v>
      </c>
      <c r="I321" s="49">
        <v>45214</v>
      </c>
      <c r="J321" s="49">
        <v>45220</v>
      </c>
      <c r="K321" t="s">
        <v>1229</v>
      </c>
      <c r="L321" s="49">
        <v>45214</v>
      </c>
      <c r="M321" s="49">
        <v>45220</v>
      </c>
      <c r="N321" t="s">
        <v>1174</v>
      </c>
      <c r="O321" t="s">
        <v>107</v>
      </c>
      <c r="P321">
        <f>VLOOKUP(N321,[1]ID_Cidades!$A$1:$E$5900,2,FALSE)</f>
        <v>295772</v>
      </c>
      <c r="Q321">
        <f>VLOOKUP(O321,[1]ID_Cidades!$A$1:$E$5900,2,FALSE)</f>
        <v>295765</v>
      </c>
      <c r="R321">
        <f t="shared" si="8"/>
        <v>87479005580</v>
      </c>
      <c r="S321" s="42">
        <f>VLOOKUP(R321,'[1]GCD base'!$A$1:$M$200,7,FALSE)</f>
        <v>901.24066259999995</v>
      </c>
      <c r="T321" t="s">
        <v>109</v>
      </c>
      <c r="U321" t="s">
        <v>205</v>
      </c>
      <c r="V321" t="s">
        <v>202</v>
      </c>
      <c r="W321" t="s">
        <v>210</v>
      </c>
      <c r="X321" t="s">
        <v>1230</v>
      </c>
      <c r="Y321">
        <v>0</v>
      </c>
      <c r="Z321">
        <v>0</v>
      </c>
      <c r="AA321">
        <v>2507.34</v>
      </c>
      <c r="AB321">
        <v>0</v>
      </c>
      <c r="AC321" s="49">
        <v>45202</v>
      </c>
      <c r="AD321" s="116" t="s">
        <v>10</v>
      </c>
      <c r="AE321" s="113" t="str" cm="1">
        <f t="array" ref="AE321">_xlfn.IFS(S321&lt;=Constantes!$G$2,"Muito Curta (evitável)",S321&lt;=Constantes!$H$2,"Curta Distância",S321&gt;Constantes!$H$2,"Longa Distância")</f>
        <v>Curta Distância</v>
      </c>
      <c r="AF321" s="114">
        <f>IFERROR(VLOOKUP(AE321,Constantes!$A$1:$E$5,MATCH(AD321,Constantes!$A$1:$E$1,0),0),"")</f>
        <v>0.18286935436241611</v>
      </c>
      <c r="AG321" s="115">
        <f t="shared" si="9"/>
        <v>164.80929809481808</v>
      </c>
    </row>
    <row r="322" spans="1:33" x14ac:dyDescent="0.3">
      <c r="A322">
        <f>COUNTIF($B$2:B322,B322)</f>
        <v>1</v>
      </c>
      <c r="B322">
        <v>19328610</v>
      </c>
      <c r="C322" t="s">
        <v>1231</v>
      </c>
      <c r="D322" t="s">
        <v>1232</v>
      </c>
      <c r="E322" t="s">
        <v>1233</v>
      </c>
      <c r="F322" t="s">
        <v>198</v>
      </c>
      <c r="G322" t="s">
        <v>207</v>
      </c>
      <c r="H322" t="s">
        <v>204</v>
      </c>
      <c r="I322" s="49">
        <v>45214</v>
      </c>
      <c r="J322" s="49">
        <v>45219</v>
      </c>
      <c r="K322" t="s">
        <v>1234</v>
      </c>
      <c r="L322" s="49">
        <v>45219</v>
      </c>
      <c r="M322" s="49">
        <v>45219</v>
      </c>
      <c r="N322" t="s">
        <v>107</v>
      </c>
      <c r="O322" t="s">
        <v>115</v>
      </c>
      <c r="P322">
        <f>VLOOKUP(N322,[1]ID_Cidades!$A$1:$E$5900,2,FALSE)</f>
        <v>295765</v>
      </c>
      <c r="Q322">
        <f>VLOOKUP(O322,[1]ID_Cidades!$A$1:$E$5900,2,FALSE)</f>
        <v>295770</v>
      </c>
      <c r="R322">
        <f t="shared" ref="R322:R385" si="10">P322*Q322</f>
        <v>87478414050</v>
      </c>
      <c r="S322" s="42">
        <f>VLOOKUP(R322,'[1]GCD base'!$A$1:$M$200,7,FALSE)</f>
        <v>741.11941309999997</v>
      </c>
      <c r="T322" t="s">
        <v>109</v>
      </c>
      <c r="U322" t="s">
        <v>201</v>
      </c>
      <c r="V322" t="s">
        <v>202</v>
      </c>
      <c r="W322" t="s">
        <v>210</v>
      </c>
      <c r="X322" t="s">
        <v>1235</v>
      </c>
      <c r="Y322">
        <v>1821.06</v>
      </c>
      <c r="Z322">
        <v>0</v>
      </c>
      <c r="AA322">
        <v>902.69</v>
      </c>
      <c r="AB322">
        <v>0</v>
      </c>
      <c r="AC322" s="49">
        <v>45202</v>
      </c>
      <c r="AD322" s="116" t="s">
        <v>10</v>
      </c>
      <c r="AE322" s="113" t="str" cm="1">
        <f t="array" ref="AE322">_xlfn.IFS(S322&lt;=Constantes!$G$2,"Muito Curta (evitável)",S322&lt;=Constantes!$H$2,"Curta Distância",S322&gt;Constantes!$H$2,"Longa Distância")</f>
        <v>Curta Distância</v>
      </c>
      <c r="AF322" s="114">
        <f>IFERROR(VLOOKUP(AE322,Constantes!$A$1:$E$5,MATCH(AD322,Constantes!$A$1:$E$1,0),0),"")</f>
        <v>0.18286935436241611</v>
      </c>
      <c r="AG322" s="115">
        <f t="shared" si="9"/>
        <v>135.52802857904976</v>
      </c>
    </row>
    <row r="323" spans="1:33" x14ac:dyDescent="0.3">
      <c r="A323">
        <f>COUNTIF($B$2:B323,B323)</f>
        <v>2</v>
      </c>
      <c r="B323">
        <v>19328610</v>
      </c>
      <c r="C323" t="s">
        <v>1231</v>
      </c>
      <c r="D323" t="s">
        <v>1232</v>
      </c>
      <c r="E323" t="s">
        <v>1233</v>
      </c>
      <c r="F323" t="s">
        <v>198</v>
      </c>
      <c r="G323" t="s">
        <v>207</v>
      </c>
      <c r="H323" t="s">
        <v>204</v>
      </c>
      <c r="I323" s="49">
        <v>45214</v>
      </c>
      <c r="J323" s="49">
        <v>45219</v>
      </c>
      <c r="K323" t="s">
        <v>1234</v>
      </c>
      <c r="L323" s="49">
        <v>45214</v>
      </c>
      <c r="M323" s="49">
        <v>45219</v>
      </c>
      <c r="N323" t="s">
        <v>115</v>
      </c>
      <c r="O323" t="s">
        <v>107</v>
      </c>
      <c r="P323">
        <f>VLOOKUP(N323,[1]ID_Cidades!$A$1:$E$5900,2,FALSE)</f>
        <v>295770</v>
      </c>
      <c r="Q323">
        <f>VLOOKUP(O323,[1]ID_Cidades!$A$1:$E$5900,2,FALSE)</f>
        <v>295765</v>
      </c>
      <c r="R323">
        <f t="shared" si="10"/>
        <v>87478414050</v>
      </c>
      <c r="S323" s="42">
        <f>VLOOKUP(R323,'[1]GCD base'!$A$1:$M$200,7,FALSE)</f>
        <v>741.11941309999997</v>
      </c>
      <c r="T323" t="s">
        <v>109</v>
      </c>
      <c r="U323" t="s">
        <v>205</v>
      </c>
      <c r="V323" t="s">
        <v>202</v>
      </c>
      <c r="W323" t="s">
        <v>210</v>
      </c>
      <c r="X323" t="s">
        <v>1235</v>
      </c>
      <c r="Y323">
        <v>0</v>
      </c>
      <c r="Z323">
        <v>0</v>
      </c>
      <c r="AA323">
        <v>1147.8900000000001</v>
      </c>
      <c r="AB323">
        <v>0</v>
      </c>
      <c r="AC323" s="49">
        <v>45202</v>
      </c>
      <c r="AD323" s="116" t="s">
        <v>10</v>
      </c>
      <c r="AE323" s="113" t="str" cm="1">
        <f t="array" ref="AE323">_xlfn.IFS(S323&lt;=Constantes!$G$2,"Muito Curta (evitável)",S323&lt;=Constantes!$H$2,"Curta Distância",S323&gt;Constantes!$H$2,"Longa Distância")</f>
        <v>Curta Distância</v>
      </c>
      <c r="AF323" s="114">
        <f>IFERROR(VLOOKUP(AE323,Constantes!$A$1:$E$5,MATCH(AD323,Constantes!$A$1:$E$1,0),0),"")</f>
        <v>0.18286935436241611</v>
      </c>
      <c r="AG323" s="115">
        <f t="shared" ref="AG323:AG386" si="11">AF323*S323</f>
        <v>135.52802857904976</v>
      </c>
    </row>
    <row r="324" spans="1:33" x14ac:dyDescent="0.3">
      <c r="A324">
        <f>COUNTIF($B$2:B324,B324)</f>
        <v>1</v>
      </c>
      <c r="B324">
        <v>19373861</v>
      </c>
      <c r="C324" t="s">
        <v>1395</v>
      </c>
      <c r="D324" t="s">
        <v>1396</v>
      </c>
      <c r="E324" t="s">
        <v>1397</v>
      </c>
      <c r="F324" t="s">
        <v>198</v>
      </c>
      <c r="G324" t="s">
        <v>207</v>
      </c>
      <c r="H324" t="s">
        <v>204</v>
      </c>
      <c r="I324" s="49">
        <v>45214</v>
      </c>
      <c r="J324" s="49">
        <v>45221</v>
      </c>
      <c r="K324" t="s">
        <v>1398</v>
      </c>
      <c r="L324" s="49">
        <v>45214</v>
      </c>
      <c r="M324" s="49">
        <v>45220</v>
      </c>
      <c r="N324" t="s">
        <v>315</v>
      </c>
      <c r="O324" t="s">
        <v>107</v>
      </c>
      <c r="P324">
        <f>VLOOKUP(N324,[1]ID_Cidades!$A$1:$E$5900,2,FALSE)</f>
        <v>300439</v>
      </c>
      <c r="Q324">
        <f>VLOOKUP(O324,[1]ID_Cidades!$A$1:$E$5900,2,FALSE)</f>
        <v>295765</v>
      </c>
      <c r="R324">
        <f t="shared" si="10"/>
        <v>88859340835</v>
      </c>
      <c r="S324" s="42">
        <f>VLOOKUP(R324,'[1]GCD base'!$A$1:$M$200,7,FALSE)</f>
        <v>1631.4561289999999</v>
      </c>
      <c r="T324" t="s">
        <v>109</v>
      </c>
      <c r="U324" t="s">
        <v>205</v>
      </c>
      <c r="V324" t="s">
        <v>202</v>
      </c>
      <c r="W324" t="s">
        <v>210</v>
      </c>
      <c r="X324" t="s">
        <v>1399</v>
      </c>
      <c r="Y324">
        <v>2503.1</v>
      </c>
      <c r="Z324">
        <v>0</v>
      </c>
      <c r="AA324">
        <v>2887.49</v>
      </c>
      <c r="AB324">
        <v>0</v>
      </c>
      <c r="AC324" s="49">
        <v>45209</v>
      </c>
      <c r="AD324" s="116" t="s">
        <v>10</v>
      </c>
      <c r="AE324" s="113" t="str" cm="1">
        <f t="array" ref="AE324">_xlfn.IFS(S324&lt;=Constantes!$G$2,"Muito Curta (evitável)",S324&lt;=Constantes!$H$2,"Curta Distância",S324&gt;Constantes!$H$2,"Longa Distância")</f>
        <v>Curta Distância</v>
      </c>
      <c r="AF324" s="114">
        <f>IFERROR(VLOOKUP(AE324,Constantes!$A$1:$E$5,MATCH(AD324,Constantes!$A$1:$E$1,0),0),"")</f>
        <v>0.18286935436241611</v>
      </c>
      <c r="AG324" s="115">
        <f t="shared" si="11"/>
        <v>298.34332898083665</v>
      </c>
    </row>
    <row r="325" spans="1:33" x14ac:dyDescent="0.3">
      <c r="A325">
        <f>COUNTIF($B$2:B325,B325)</f>
        <v>2</v>
      </c>
      <c r="B325">
        <v>19373861</v>
      </c>
      <c r="C325" t="s">
        <v>1395</v>
      </c>
      <c r="D325" t="s">
        <v>1396</v>
      </c>
      <c r="E325" t="s">
        <v>1397</v>
      </c>
      <c r="F325" t="s">
        <v>198</v>
      </c>
      <c r="G325" t="s">
        <v>207</v>
      </c>
      <c r="H325" t="s">
        <v>204</v>
      </c>
      <c r="I325" s="49">
        <v>45214</v>
      </c>
      <c r="J325" s="49">
        <v>45221</v>
      </c>
      <c r="K325" t="s">
        <v>1398</v>
      </c>
      <c r="L325" s="49">
        <v>45220</v>
      </c>
      <c r="M325" s="49">
        <v>45221</v>
      </c>
      <c r="N325" t="s">
        <v>107</v>
      </c>
      <c r="O325" t="s">
        <v>315</v>
      </c>
      <c r="P325">
        <f>VLOOKUP(N325,[1]ID_Cidades!$A$1:$E$5900,2,FALSE)</f>
        <v>295765</v>
      </c>
      <c r="Q325">
        <f>VLOOKUP(O325,[1]ID_Cidades!$A$1:$E$5900,2,FALSE)</f>
        <v>300439</v>
      </c>
      <c r="R325">
        <f t="shared" si="10"/>
        <v>88859340835</v>
      </c>
      <c r="S325" s="42">
        <f>VLOOKUP(R325,'[1]GCD base'!$A$1:$M$200,7,FALSE)</f>
        <v>1631.4561289999999</v>
      </c>
      <c r="T325" t="s">
        <v>109</v>
      </c>
      <c r="U325" t="s">
        <v>201</v>
      </c>
      <c r="V325" t="s">
        <v>202</v>
      </c>
      <c r="W325" t="s">
        <v>210</v>
      </c>
      <c r="X325" t="s">
        <v>1399</v>
      </c>
      <c r="Y325">
        <v>0</v>
      </c>
      <c r="Z325">
        <v>0</v>
      </c>
      <c r="AA325">
        <v>2419.89</v>
      </c>
      <c r="AB325">
        <v>0</v>
      </c>
      <c r="AC325" s="49">
        <v>45209</v>
      </c>
      <c r="AD325" s="116" t="s">
        <v>10</v>
      </c>
      <c r="AE325" s="113" t="str" cm="1">
        <f t="array" ref="AE325">_xlfn.IFS(S325&lt;=Constantes!$G$2,"Muito Curta (evitável)",S325&lt;=Constantes!$H$2,"Curta Distância",S325&gt;Constantes!$H$2,"Longa Distância")</f>
        <v>Curta Distância</v>
      </c>
      <c r="AF325" s="114">
        <f>IFERROR(VLOOKUP(AE325,Constantes!$A$1:$E$5,MATCH(AD325,Constantes!$A$1:$E$1,0),0),"")</f>
        <v>0.18286935436241611</v>
      </c>
      <c r="AG325" s="115">
        <f t="shared" si="11"/>
        <v>298.34332898083665</v>
      </c>
    </row>
    <row r="326" spans="1:33" x14ac:dyDescent="0.3">
      <c r="A326">
        <f>COUNTIF($B$2:B326,B326)</f>
        <v>1</v>
      </c>
      <c r="B326">
        <v>19394869</v>
      </c>
      <c r="C326" t="s">
        <v>1485</v>
      </c>
      <c r="D326" t="s">
        <v>1486</v>
      </c>
      <c r="E326" t="s">
        <v>1487</v>
      </c>
      <c r="F326" t="s">
        <v>198</v>
      </c>
      <c r="G326" t="s">
        <v>215</v>
      </c>
      <c r="H326" t="s">
        <v>200</v>
      </c>
      <c r="I326" s="49">
        <v>45214</v>
      </c>
      <c r="J326" s="49">
        <v>45217</v>
      </c>
      <c r="K326" t="s">
        <v>1488</v>
      </c>
      <c r="L326" s="49">
        <v>45214</v>
      </c>
      <c r="M326" s="49">
        <v>45217</v>
      </c>
      <c r="N326" t="s">
        <v>107</v>
      </c>
      <c r="O326" t="s">
        <v>117</v>
      </c>
      <c r="P326">
        <f>VLOOKUP(N326,[1]ID_Cidades!$A$1:$E$5900,2,FALSE)</f>
        <v>295765</v>
      </c>
      <c r="Q326">
        <f>VLOOKUP(O326,[1]ID_Cidades!$A$1:$E$5900,2,FALSE)</f>
        <v>295779</v>
      </c>
      <c r="R326">
        <f t="shared" si="10"/>
        <v>87481075935</v>
      </c>
      <c r="S326" s="42">
        <f>VLOOKUP(R326,'[1]GCD base'!$A$1:$M$200,7,FALSE)</f>
        <v>2189.9742419999998</v>
      </c>
      <c r="T326" t="s">
        <v>109</v>
      </c>
      <c r="U326" t="s">
        <v>205</v>
      </c>
      <c r="V326" t="s">
        <v>202</v>
      </c>
      <c r="W326" t="s">
        <v>210</v>
      </c>
      <c r="X326" t="s">
        <v>1489</v>
      </c>
      <c r="Y326">
        <v>1522.48</v>
      </c>
      <c r="Z326">
        <v>0</v>
      </c>
      <c r="AA326">
        <v>2734.99</v>
      </c>
      <c r="AB326">
        <v>0</v>
      </c>
      <c r="AC326" s="49">
        <v>45210</v>
      </c>
      <c r="AD326" s="116" t="s">
        <v>10</v>
      </c>
      <c r="AE326" s="113" t="str" cm="1">
        <f t="array" ref="AE326">_xlfn.IFS(S326&lt;=Constantes!$G$2,"Muito Curta (evitável)",S326&lt;=Constantes!$H$2,"Curta Distância",S326&gt;Constantes!$H$2,"Longa Distância")</f>
        <v>Curta Distância</v>
      </c>
      <c r="AF326" s="114">
        <f>IFERROR(VLOOKUP(AE326,Constantes!$A$1:$E$5,MATCH(AD326,Constantes!$A$1:$E$1,0),0),"")</f>
        <v>0.18286935436241611</v>
      </c>
      <c r="AG326" s="115">
        <f t="shared" si="11"/>
        <v>400.47917570486158</v>
      </c>
    </row>
    <row r="327" spans="1:33" x14ac:dyDescent="0.3">
      <c r="A327">
        <f>COUNTIF($B$2:B327,B327)</f>
        <v>2</v>
      </c>
      <c r="B327">
        <v>19394869</v>
      </c>
      <c r="C327" t="s">
        <v>1485</v>
      </c>
      <c r="D327" t="s">
        <v>1486</v>
      </c>
      <c r="E327" t="s">
        <v>1487</v>
      </c>
      <c r="F327" t="s">
        <v>198</v>
      </c>
      <c r="G327" t="s">
        <v>215</v>
      </c>
      <c r="H327" t="s">
        <v>200</v>
      </c>
      <c r="I327" s="49">
        <v>45214</v>
      </c>
      <c r="J327" s="49">
        <v>45217</v>
      </c>
      <c r="K327" t="s">
        <v>1488</v>
      </c>
      <c r="L327" s="49">
        <v>45217</v>
      </c>
      <c r="M327" s="49">
        <v>45217</v>
      </c>
      <c r="N327" t="s">
        <v>117</v>
      </c>
      <c r="O327" t="s">
        <v>107</v>
      </c>
      <c r="P327">
        <f>VLOOKUP(N327,[1]ID_Cidades!$A$1:$E$5900,2,FALSE)</f>
        <v>295779</v>
      </c>
      <c r="Q327">
        <f>VLOOKUP(O327,[1]ID_Cidades!$A$1:$E$5900,2,FALSE)</f>
        <v>295765</v>
      </c>
      <c r="R327">
        <f t="shared" si="10"/>
        <v>87481075935</v>
      </c>
      <c r="S327" s="42">
        <f>VLOOKUP(R327,'[1]GCD base'!$A$1:$M$200,7,FALSE)</f>
        <v>2189.9742419999998</v>
      </c>
      <c r="T327" t="s">
        <v>109</v>
      </c>
      <c r="U327" t="s">
        <v>201</v>
      </c>
      <c r="V327" t="s">
        <v>202</v>
      </c>
      <c r="W327" t="s">
        <v>210</v>
      </c>
      <c r="X327" t="s">
        <v>1489</v>
      </c>
      <c r="Y327">
        <v>0</v>
      </c>
      <c r="Z327">
        <v>0</v>
      </c>
      <c r="AA327">
        <v>2367.85</v>
      </c>
      <c r="AB327">
        <v>0</v>
      </c>
      <c r="AC327" s="49">
        <v>45210</v>
      </c>
      <c r="AD327" s="116" t="s">
        <v>10</v>
      </c>
      <c r="AE327" s="113" t="str" cm="1">
        <f t="array" ref="AE327">_xlfn.IFS(S327&lt;=Constantes!$G$2,"Muito Curta (evitável)",S327&lt;=Constantes!$H$2,"Curta Distância",S327&gt;Constantes!$H$2,"Longa Distância")</f>
        <v>Curta Distância</v>
      </c>
      <c r="AF327" s="114">
        <f>IFERROR(VLOOKUP(AE327,Constantes!$A$1:$E$5,MATCH(AD327,Constantes!$A$1:$E$1,0),0),"")</f>
        <v>0.18286935436241611</v>
      </c>
      <c r="AG327" s="115">
        <f t="shared" si="11"/>
        <v>400.47917570486158</v>
      </c>
    </row>
    <row r="328" spans="1:33" x14ac:dyDescent="0.3">
      <c r="A328">
        <f>COUNTIF($B$2:B328,B328)</f>
        <v>1</v>
      </c>
      <c r="B328">
        <v>19395066</v>
      </c>
      <c r="C328" t="s">
        <v>1493</v>
      </c>
      <c r="D328" t="s">
        <v>1401</v>
      </c>
      <c r="E328" t="s">
        <v>1402</v>
      </c>
      <c r="F328" t="s">
        <v>198</v>
      </c>
      <c r="G328" t="s">
        <v>207</v>
      </c>
      <c r="H328" t="s">
        <v>204</v>
      </c>
      <c r="I328" s="49">
        <v>45214</v>
      </c>
      <c r="J328" s="49">
        <v>45217</v>
      </c>
      <c r="K328" t="s">
        <v>1494</v>
      </c>
      <c r="L328" s="49">
        <v>45214</v>
      </c>
      <c r="M328" s="49">
        <v>45217</v>
      </c>
      <c r="N328" t="s">
        <v>107</v>
      </c>
      <c r="O328" t="s">
        <v>117</v>
      </c>
      <c r="P328">
        <f>VLOOKUP(N328,[1]ID_Cidades!$A$1:$E$5900,2,FALSE)</f>
        <v>295765</v>
      </c>
      <c r="Q328">
        <f>VLOOKUP(O328,[1]ID_Cidades!$A$1:$E$5900,2,FALSE)</f>
        <v>295779</v>
      </c>
      <c r="R328">
        <f t="shared" si="10"/>
        <v>87481075935</v>
      </c>
      <c r="S328" s="42">
        <f>VLOOKUP(R328,'[1]GCD base'!$A$1:$M$200,7,FALSE)</f>
        <v>2189.9742419999998</v>
      </c>
      <c r="T328" t="s">
        <v>109</v>
      </c>
      <c r="U328" t="s">
        <v>205</v>
      </c>
      <c r="V328" t="s">
        <v>202</v>
      </c>
      <c r="W328" t="s">
        <v>210</v>
      </c>
      <c r="X328" t="s">
        <v>1495</v>
      </c>
      <c r="Y328">
        <v>1339.26</v>
      </c>
      <c r="Z328">
        <v>0</v>
      </c>
      <c r="AA328">
        <v>2734.99</v>
      </c>
      <c r="AB328">
        <v>0</v>
      </c>
      <c r="AC328" s="49">
        <v>45210</v>
      </c>
      <c r="AD328" s="116" t="s">
        <v>10</v>
      </c>
      <c r="AE328" s="113" t="str" cm="1">
        <f t="array" ref="AE328">_xlfn.IFS(S328&lt;=Constantes!$G$2,"Muito Curta (evitável)",S328&lt;=Constantes!$H$2,"Curta Distância",S328&gt;Constantes!$H$2,"Longa Distância")</f>
        <v>Curta Distância</v>
      </c>
      <c r="AF328" s="114">
        <f>IFERROR(VLOOKUP(AE328,Constantes!$A$1:$E$5,MATCH(AD328,Constantes!$A$1:$E$1,0),0),"")</f>
        <v>0.18286935436241611</v>
      </c>
      <c r="AG328" s="115">
        <f t="shared" si="11"/>
        <v>400.47917570486158</v>
      </c>
    </row>
    <row r="329" spans="1:33" x14ac:dyDescent="0.3">
      <c r="A329">
        <f>COUNTIF($B$2:B329,B329)</f>
        <v>2</v>
      </c>
      <c r="B329">
        <v>19395066</v>
      </c>
      <c r="C329" t="s">
        <v>1493</v>
      </c>
      <c r="D329" t="s">
        <v>1401</v>
      </c>
      <c r="E329" t="s">
        <v>1402</v>
      </c>
      <c r="F329" t="s">
        <v>198</v>
      </c>
      <c r="G329" t="s">
        <v>207</v>
      </c>
      <c r="H329" t="s">
        <v>204</v>
      </c>
      <c r="I329" s="49">
        <v>45214</v>
      </c>
      <c r="J329" s="49">
        <v>45217</v>
      </c>
      <c r="K329" t="s">
        <v>1494</v>
      </c>
      <c r="L329" s="49">
        <v>45217</v>
      </c>
      <c r="M329" s="49">
        <v>45217</v>
      </c>
      <c r="N329" t="s">
        <v>117</v>
      </c>
      <c r="O329" t="s">
        <v>107</v>
      </c>
      <c r="P329">
        <f>VLOOKUP(N329,[1]ID_Cidades!$A$1:$E$5900,2,FALSE)</f>
        <v>295779</v>
      </c>
      <c r="Q329">
        <f>VLOOKUP(O329,[1]ID_Cidades!$A$1:$E$5900,2,FALSE)</f>
        <v>295765</v>
      </c>
      <c r="R329">
        <f t="shared" si="10"/>
        <v>87481075935</v>
      </c>
      <c r="S329" s="42">
        <f>VLOOKUP(R329,'[1]GCD base'!$A$1:$M$200,7,FALSE)</f>
        <v>2189.9742419999998</v>
      </c>
      <c r="T329" t="s">
        <v>109</v>
      </c>
      <c r="U329" t="s">
        <v>201</v>
      </c>
      <c r="V329" t="s">
        <v>202</v>
      </c>
      <c r="W329" t="s">
        <v>210</v>
      </c>
      <c r="X329" t="s">
        <v>1495</v>
      </c>
      <c r="Y329">
        <v>0</v>
      </c>
      <c r="Z329">
        <v>0</v>
      </c>
      <c r="AA329">
        <v>2367.85</v>
      </c>
      <c r="AB329">
        <v>0</v>
      </c>
      <c r="AC329" s="49">
        <v>45210</v>
      </c>
      <c r="AD329" s="116" t="s">
        <v>10</v>
      </c>
      <c r="AE329" s="113" t="str" cm="1">
        <f t="array" ref="AE329">_xlfn.IFS(S329&lt;=Constantes!$G$2,"Muito Curta (evitável)",S329&lt;=Constantes!$H$2,"Curta Distância",S329&gt;Constantes!$H$2,"Longa Distância")</f>
        <v>Curta Distância</v>
      </c>
      <c r="AF329" s="114">
        <f>IFERROR(VLOOKUP(AE329,Constantes!$A$1:$E$5,MATCH(AD329,Constantes!$A$1:$E$1,0),0),"")</f>
        <v>0.18286935436241611</v>
      </c>
      <c r="AG329" s="115">
        <f t="shared" si="11"/>
        <v>400.47917570486158</v>
      </c>
    </row>
    <row r="330" spans="1:33" x14ac:dyDescent="0.3">
      <c r="A330">
        <f>COUNTIF($B$2:B330,B330)</f>
        <v>1</v>
      </c>
      <c r="B330">
        <v>19291959</v>
      </c>
      <c r="C330" t="s">
        <v>1038</v>
      </c>
      <c r="D330" t="s">
        <v>1039</v>
      </c>
      <c r="E330" t="s">
        <v>1040</v>
      </c>
      <c r="F330" t="s">
        <v>1041</v>
      </c>
      <c r="G330" t="s">
        <v>211</v>
      </c>
      <c r="H330" t="s">
        <v>211</v>
      </c>
      <c r="I330" s="49">
        <v>45215</v>
      </c>
      <c r="J330" s="49">
        <v>45219</v>
      </c>
      <c r="K330" t="s">
        <v>1042</v>
      </c>
      <c r="L330" s="49">
        <v>45215</v>
      </c>
      <c r="M330" s="49">
        <v>45215</v>
      </c>
      <c r="N330" t="s">
        <v>110</v>
      </c>
      <c r="O330" t="s">
        <v>107</v>
      </c>
      <c r="P330">
        <f>VLOOKUP(N330,[1]ID_Cidades!$A$1:$E$5900,2,FALSE)</f>
        <v>295763</v>
      </c>
      <c r="Q330">
        <f>VLOOKUP(O330,[1]ID_Cidades!$A$1:$E$5900,2,FALSE)</f>
        <v>295765</v>
      </c>
      <c r="R330">
        <f t="shared" si="10"/>
        <v>87476343695</v>
      </c>
      <c r="S330" s="42">
        <f>VLOOKUP(R330,'[1]GCD base'!$A$1:$M$200,7,FALSE)</f>
        <v>1713.419991</v>
      </c>
      <c r="T330" t="s">
        <v>109</v>
      </c>
      <c r="U330" t="s">
        <v>201</v>
      </c>
      <c r="V330" t="s">
        <v>202</v>
      </c>
      <c r="W330" t="s">
        <v>203</v>
      </c>
      <c r="X330" t="s">
        <v>204</v>
      </c>
      <c r="Y330">
        <v>1299.5</v>
      </c>
      <c r="Z330">
        <v>0</v>
      </c>
      <c r="AA330">
        <v>1152.81</v>
      </c>
      <c r="AB330">
        <v>0</v>
      </c>
      <c r="AC330" s="49">
        <v>45196</v>
      </c>
      <c r="AD330" s="116" t="s">
        <v>10</v>
      </c>
      <c r="AE330" s="113" t="str" cm="1">
        <f t="array" ref="AE330">_xlfn.IFS(S330&lt;=Constantes!$G$2,"Muito Curta (evitável)",S330&lt;=Constantes!$H$2,"Curta Distância",S330&gt;Constantes!$H$2,"Longa Distância")</f>
        <v>Curta Distância</v>
      </c>
      <c r="AF330" s="114">
        <f>IFERROR(VLOOKUP(AE330,Constantes!$A$1:$E$5,MATCH(AD330,Constantes!$A$1:$E$1,0),0),"")</f>
        <v>0.18286935436241611</v>
      </c>
      <c r="AG330" s="115">
        <f t="shared" si="11"/>
        <v>313.33200750582682</v>
      </c>
    </row>
    <row r="331" spans="1:33" x14ac:dyDescent="0.3">
      <c r="A331">
        <f>COUNTIF($B$2:B331,B331)</f>
        <v>2</v>
      </c>
      <c r="B331">
        <v>19291959</v>
      </c>
      <c r="C331" t="s">
        <v>1038</v>
      </c>
      <c r="D331" t="s">
        <v>1039</v>
      </c>
      <c r="E331" t="s">
        <v>1040</v>
      </c>
      <c r="F331" t="s">
        <v>1041</v>
      </c>
      <c r="G331" t="s">
        <v>211</v>
      </c>
      <c r="H331" t="s">
        <v>211</v>
      </c>
      <c r="I331" s="49">
        <v>45215</v>
      </c>
      <c r="J331" s="49">
        <v>45219</v>
      </c>
      <c r="K331" t="s">
        <v>1042</v>
      </c>
      <c r="L331" s="49">
        <v>45219</v>
      </c>
      <c r="M331" s="49">
        <v>45219</v>
      </c>
      <c r="N331" t="s">
        <v>107</v>
      </c>
      <c r="O331" t="s">
        <v>110</v>
      </c>
      <c r="P331">
        <f>VLOOKUP(N331,[1]ID_Cidades!$A$1:$E$5900,2,FALSE)</f>
        <v>295765</v>
      </c>
      <c r="Q331">
        <f>VLOOKUP(O331,[1]ID_Cidades!$A$1:$E$5900,2,FALSE)</f>
        <v>295763</v>
      </c>
      <c r="R331">
        <f t="shared" si="10"/>
        <v>87476343695</v>
      </c>
      <c r="S331" s="42">
        <f>VLOOKUP(R331,'[1]GCD base'!$A$1:$M$200,7,FALSE)</f>
        <v>1713.419991</v>
      </c>
      <c r="T331" t="s">
        <v>109</v>
      </c>
      <c r="U331" t="s">
        <v>201</v>
      </c>
      <c r="V331" t="s">
        <v>202</v>
      </c>
      <c r="W331" t="s">
        <v>203</v>
      </c>
      <c r="X331" t="s">
        <v>204</v>
      </c>
      <c r="Y331">
        <v>0</v>
      </c>
      <c r="Z331">
        <v>0</v>
      </c>
      <c r="AA331">
        <v>1032.0899999999999</v>
      </c>
      <c r="AB331">
        <v>0</v>
      </c>
      <c r="AC331" s="49">
        <v>45196</v>
      </c>
      <c r="AD331" s="116" t="s">
        <v>10</v>
      </c>
      <c r="AE331" s="113" t="str" cm="1">
        <f t="array" ref="AE331">_xlfn.IFS(S331&lt;=Constantes!$G$2,"Muito Curta (evitável)",S331&lt;=Constantes!$H$2,"Curta Distância",S331&gt;Constantes!$H$2,"Longa Distância")</f>
        <v>Curta Distância</v>
      </c>
      <c r="AF331" s="114">
        <f>IFERROR(VLOOKUP(AE331,Constantes!$A$1:$E$5,MATCH(AD331,Constantes!$A$1:$E$1,0),0),"")</f>
        <v>0.18286935436241611</v>
      </c>
      <c r="AG331" s="115">
        <f t="shared" si="11"/>
        <v>313.33200750582682</v>
      </c>
    </row>
    <row r="332" spans="1:33" x14ac:dyDescent="0.3">
      <c r="A332">
        <f>COUNTIF($B$2:B332,B332)</f>
        <v>1</v>
      </c>
      <c r="B332">
        <v>19310853</v>
      </c>
      <c r="C332" t="s">
        <v>1110</v>
      </c>
      <c r="D332" t="s">
        <v>218</v>
      </c>
      <c r="E332" t="s">
        <v>1111</v>
      </c>
      <c r="F332" t="s">
        <v>218</v>
      </c>
      <c r="G332" t="s">
        <v>207</v>
      </c>
      <c r="H332" t="s">
        <v>204</v>
      </c>
      <c r="I332" s="49">
        <v>45215</v>
      </c>
      <c r="J332" s="49">
        <v>45219</v>
      </c>
      <c r="K332" t="s">
        <v>1112</v>
      </c>
      <c r="L332" s="49">
        <v>45219</v>
      </c>
      <c r="M332" s="49">
        <v>45219</v>
      </c>
      <c r="N332" t="s">
        <v>107</v>
      </c>
      <c r="O332" t="s">
        <v>127</v>
      </c>
      <c r="P332">
        <f>VLOOKUP(N332,[1]ID_Cidades!$A$1:$E$5900,2,FALSE)</f>
        <v>295765</v>
      </c>
      <c r="Q332">
        <f>VLOOKUP(O332,[1]ID_Cidades!$A$1:$E$5900,2,FALSE)</f>
        <v>301205</v>
      </c>
      <c r="R332">
        <f t="shared" si="10"/>
        <v>89085896825</v>
      </c>
      <c r="S332" s="42">
        <f>VLOOKUP(R332,'[1]GCD base'!$A$1:$M$200,7,FALSE)</f>
        <v>2588.8989320000001</v>
      </c>
      <c r="T332" t="s">
        <v>109</v>
      </c>
      <c r="U332" t="s">
        <v>201</v>
      </c>
      <c r="V332" t="s">
        <v>202</v>
      </c>
      <c r="W332" t="s">
        <v>210</v>
      </c>
      <c r="X332" t="s">
        <v>1113</v>
      </c>
      <c r="Y332">
        <v>1449.05</v>
      </c>
      <c r="Z332">
        <v>0</v>
      </c>
      <c r="AA332">
        <v>1168.99</v>
      </c>
      <c r="AB332">
        <v>0</v>
      </c>
      <c r="AC332" s="49">
        <v>45203</v>
      </c>
      <c r="AD332" s="116" t="s">
        <v>10</v>
      </c>
      <c r="AE332" s="113" t="str" cm="1">
        <f t="array" ref="AE332">_xlfn.IFS(S332&lt;=Constantes!$G$2,"Muito Curta (evitável)",S332&lt;=Constantes!$H$2,"Curta Distância",S332&gt;Constantes!$H$2,"Longa Distância")</f>
        <v>Curta Distância</v>
      </c>
      <c r="AF332" s="114">
        <f>IFERROR(VLOOKUP(AE332,Constantes!$A$1:$E$5,MATCH(AD332,Constantes!$A$1:$E$1,0),0),"")</f>
        <v>0.18286935436241611</v>
      </c>
      <c r="AG332" s="115">
        <f t="shared" si="11"/>
        <v>473.43027620438863</v>
      </c>
    </row>
    <row r="333" spans="1:33" x14ac:dyDescent="0.3">
      <c r="A333">
        <f>COUNTIF($B$2:B333,B333)</f>
        <v>2</v>
      </c>
      <c r="B333">
        <v>19310853</v>
      </c>
      <c r="C333" t="s">
        <v>1110</v>
      </c>
      <c r="D333" t="s">
        <v>218</v>
      </c>
      <c r="E333" t="s">
        <v>1111</v>
      </c>
      <c r="F333" t="s">
        <v>218</v>
      </c>
      <c r="G333" t="s">
        <v>207</v>
      </c>
      <c r="H333" t="s">
        <v>204</v>
      </c>
      <c r="I333" s="49">
        <v>45215</v>
      </c>
      <c r="J333" s="49">
        <v>45219</v>
      </c>
      <c r="K333" t="s">
        <v>1112</v>
      </c>
      <c r="L333" s="49">
        <v>45215</v>
      </c>
      <c r="M333" s="49">
        <v>45215</v>
      </c>
      <c r="N333" t="s">
        <v>127</v>
      </c>
      <c r="O333" t="s">
        <v>107</v>
      </c>
      <c r="P333">
        <f>VLOOKUP(N333,[1]ID_Cidades!$A$1:$E$5900,2,FALSE)</f>
        <v>301205</v>
      </c>
      <c r="Q333">
        <f>VLOOKUP(O333,[1]ID_Cidades!$A$1:$E$5900,2,FALSE)</f>
        <v>295765</v>
      </c>
      <c r="R333">
        <f t="shared" si="10"/>
        <v>89085896825</v>
      </c>
      <c r="S333" s="42">
        <f>VLOOKUP(R333,'[1]GCD base'!$A$1:$M$200,7,FALSE)</f>
        <v>2588.8989320000001</v>
      </c>
      <c r="T333" t="s">
        <v>109</v>
      </c>
      <c r="U333" t="s">
        <v>201</v>
      </c>
      <c r="V333" t="s">
        <v>202</v>
      </c>
      <c r="W333" t="s">
        <v>210</v>
      </c>
      <c r="X333" t="s">
        <v>1113</v>
      </c>
      <c r="Y333">
        <v>0</v>
      </c>
      <c r="Z333">
        <v>0</v>
      </c>
      <c r="AA333">
        <v>1606.93</v>
      </c>
      <c r="AB333">
        <v>0</v>
      </c>
      <c r="AC333" s="49">
        <v>45203</v>
      </c>
      <c r="AD333" s="116" t="s">
        <v>10</v>
      </c>
      <c r="AE333" s="113" t="str" cm="1">
        <f t="array" ref="AE333">_xlfn.IFS(S333&lt;=Constantes!$G$2,"Muito Curta (evitável)",S333&lt;=Constantes!$H$2,"Curta Distância",S333&gt;Constantes!$H$2,"Longa Distância")</f>
        <v>Curta Distância</v>
      </c>
      <c r="AF333" s="114">
        <f>IFERROR(VLOOKUP(AE333,Constantes!$A$1:$E$5,MATCH(AD333,Constantes!$A$1:$E$1,0),0),"")</f>
        <v>0.18286935436241611</v>
      </c>
      <c r="AG333" s="115">
        <f t="shared" si="11"/>
        <v>473.43027620438863</v>
      </c>
    </row>
    <row r="334" spans="1:33" x14ac:dyDescent="0.3">
      <c r="A334">
        <f>COUNTIF($B$2:B334,B334)</f>
        <v>1</v>
      </c>
      <c r="B334">
        <v>19311228</v>
      </c>
      <c r="C334" t="s">
        <v>1119</v>
      </c>
      <c r="D334" t="s">
        <v>1120</v>
      </c>
      <c r="E334" t="s">
        <v>1121</v>
      </c>
      <c r="F334" t="s">
        <v>214</v>
      </c>
      <c r="G334" t="s">
        <v>199</v>
      </c>
      <c r="H334" t="s">
        <v>200</v>
      </c>
      <c r="I334" s="49">
        <v>45215</v>
      </c>
      <c r="J334" s="49">
        <v>45220</v>
      </c>
      <c r="K334" t="s">
        <v>1122</v>
      </c>
      <c r="L334" s="49">
        <v>45215</v>
      </c>
      <c r="M334" s="49">
        <v>45215</v>
      </c>
      <c r="N334" t="s">
        <v>1123</v>
      </c>
      <c r="O334" t="s">
        <v>107</v>
      </c>
      <c r="P334">
        <f>VLOOKUP(N334,[1]ID_Cidades!$A$1:$E$5900,2,FALSE)</f>
        <v>300651</v>
      </c>
      <c r="Q334">
        <f>VLOOKUP(O334,[1]ID_Cidades!$A$1:$E$5900,2,FALSE)</f>
        <v>295765</v>
      </c>
      <c r="R334">
        <f t="shared" si="10"/>
        <v>88922043015</v>
      </c>
      <c r="S334" s="42">
        <f>VLOOKUP(R334,'[1]GCD base'!$A$1:$M$200,7,FALSE)</f>
        <v>3065.9559380000001</v>
      </c>
      <c r="T334" t="s">
        <v>109</v>
      </c>
      <c r="U334" t="s">
        <v>201</v>
      </c>
      <c r="V334" t="s">
        <v>202</v>
      </c>
      <c r="W334" t="s">
        <v>203</v>
      </c>
      <c r="X334" t="s">
        <v>204</v>
      </c>
      <c r="Y334">
        <v>1417.7</v>
      </c>
      <c r="Z334">
        <v>0</v>
      </c>
      <c r="AA334">
        <v>2824.01</v>
      </c>
      <c r="AB334">
        <v>0</v>
      </c>
      <c r="AC334" s="49">
        <v>45197</v>
      </c>
      <c r="AD334" s="116" t="s">
        <v>10</v>
      </c>
      <c r="AE334" s="113" t="str" cm="1">
        <f t="array" ref="AE334">_xlfn.IFS(S334&lt;=Constantes!$G$2,"Muito Curta (evitável)",S334&lt;=Constantes!$H$2,"Curta Distância",S334&gt;Constantes!$H$2,"Longa Distância")</f>
        <v>Curta Distância</v>
      </c>
      <c r="AF334" s="114">
        <f>IFERROR(VLOOKUP(AE334,Constantes!$A$1:$E$5,MATCH(AD334,Constantes!$A$1:$E$1,0),0),"")</f>
        <v>0.18286935436241611</v>
      </c>
      <c r="AG334" s="115">
        <f t="shared" si="11"/>
        <v>560.66938288567587</v>
      </c>
    </row>
    <row r="335" spans="1:33" x14ac:dyDescent="0.3">
      <c r="A335">
        <f>COUNTIF($B$2:B335,B335)</f>
        <v>2</v>
      </c>
      <c r="B335">
        <v>19311228</v>
      </c>
      <c r="C335" t="s">
        <v>1119</v>
      </c>
      <c r="D335" t="s">
        <v>1120</v>
      </c>
      <c r="E335" t="s">
        <v>1121</v>
      </c>
      <c r="F335" t="s">
        <v>214</v>
      </c>
      <c r="G335" t="s">
        <v>199</v>
      </c>
      <c r="H335" t="s">
        <v>200</v>
      </c>
      <c r="I335" s="49">
        <v>45215</v>
      </c>
      <c r="J335" s="49">
        <v>45220</v>
      </c>
      <c r="K335" t="s">
        <v>1122</v>
      </c>
      <c r="L335" s="49">
        <v>45219</v>
      </c>
      <c r="M335" s="49">
        <v>45220</v>
      </c>
      <c r="N335" t="s">
        <v>107</v>
      </c>
      <c r="O335" t="s">
        <v>1123</v>
      </c>
      <c r="P335">
        <f>VLOOKUP(N335,[1]ID_Cidades!$A$1:$E$5900,2,FALSE)</f>
        <v>295765</v>
      </c>
      <c r="Q335">
        <f>VLOOKUP(O335,[1]ID_Cidades!$A$1:$E$5900,2,FALSE)</f>
        <v>300651</v>
      </c>
      <c r="R335">
        <f t="shared" si="10"/>
        <v>88922043015</v>
      </c>
      <c r="S335" s="42">
        <f>VLOOKUP(R335,'[1]GCD base'!$A$1:$M$200,7,FALSE)</f>
        <v>3065.9559380000001</v>
      </c>
      <c r="T335" t="s">
        <v>109</v>
      </c>
      <c r="U335" t="s">
        <v>201</v>
      </c>
      <c r="V335" t="s">
        <v>202</v>
      </c>
      <c r="W335" t="s">
        <v>203</v>
      </c>
      <c r="X335" t="s">
        <v>204</v>
      </c>
      <c r="Y335">
        <v>0</v>
      </c>
      <c r="Z335">
        <v>0</v>
      </c>
      <c r="AA335">
        <v>2210.29</v>
      </c>
      <c r="AB335">
        <v>0</v>
      </c>
      <c r="AC335" s="49">
        <v>45197</v>
      </c>
      <c r="AD335" s="116" t="s">
        <v>10</v>
      </c>
      <c r="AE335" s="113" t="str" cm="1">
        <f t="array" ref="AE335">_xlfn.IFS(S335&lt;=Constantes!$G$2,"Muito Curta (evitável)",S335&lt;=Constantes!$H$2,"Curta Distância",S335&gt;Constantes!$H$2,"Longa Distância")</f>
        <v>Curta Distância</v>
      </c>
      <c r="AF335" s="114">
        <f>IFERROR(VLOOKUP(AE335,Constantes!$A$1:$E$5,MATCH(AD335,Constantes!$A$1:$E$1,0),0),"")</f>
        <v>0.18286935436241611</v>
      </c>
      <c r="AG335" s="115">
        <f t="shared" si="11"/>
        <v>560.66938288567587</v>
      </c>
    </row>
    <row r="336" spans="1:33" x14ac:dyDescent="0.3">
      <c r="A336">
        <f>COUNTIF($B$2:B336,B336)</f>
        <v>1</v>
      </c>
      <c r="B336">
        <v>19313568</v>
      </c>
      <c r="C336" t="s">
        <v>1144</v>
      </c>
      <c r="D336" t="s">
        <v>218</v>
      </c>
      <c r="E336" t="s">
        <v>1145</v>
      </c>
      <c r="F336" t="s">
        <v>218</v>
      </c>
      <c r="G336" t="s">
        <v>207</v>
      </c>
      <c r="H336" t="s">
        <v>204</v>
      </c>
      <c r="I336" s="49">
        <v>45215</v>
      </c>
      <c r="J336" s="49">
        <v>45219</v>
      </c>
      <c r="K336" t="s">
        <v>1146</v>
      </c>
      <c r="L336" s="49">
        <v>45215</v>
      </c>
      <c r="M336" s="49">
        <v>45216</v>
      </c>
      <c r="N336" t="s">
        <v>122</v>
      </c>
      <c r="O336" t="s">
        <v>107</v>
      </c>
      <c r="P336">
        <f>VLOOKUP(N336,[1]ID_Cidades!$A$1:$E$5900,2,FALSE)</f>
        <v>295781</v>
      </c>
      <c r="Q336">
        <f>VLOOKUP(O336,[1]ID_Cidades!$A$1:$E$5900,2,FALSE)</f>
        <v>295765</v>
      </c>
      <c r="R336">
        <f t="shared" si="10"/>
        <v>87481667465</v>
      </c>
      <c r="S336" s="42">
        <f>VLOOKUP(R336,'[1]GCD base'!$A$1:$M$200,7,FALSE)</f>
        <v>2695.5823350000001</v>
      </c>
      <c r="T336" t="s">
        <v>109</v>
      </c>
      <c r="U336" t="s">
        <v>201</v>
      </c>
      <c r="V336" t="s">
        <v>202</v>
      </c>
      <c r="W336" t="s">
        <v>210</v>
      </c>
      <c r="X336" t="s">
        <v>1147</v>
      </c>
      <c r="Y336">
        <v>1489.17</v>
      </c>
      <c r="Z336">
        <v>0</v>
      </c>
      <c r="AA336">
        <v>2418.3000000000002</v>
      </c>
      <c r="AB336">
        <v>0</v>
      </c>
      <c r="AC336" s="49">
        <v>45203</v>
      </c>
      <c r="AD336" s="116" t="s">
        <v>10</v>
      </c>
      <c r="AE336" s="113" t="str" cm="1">
        <f t="array" ref="AE336">_xlfn.IFS(S336&lt;=Constantes!$G$2,"Muito Curta (evitável)",S336&lt;=Constantes!$H$2,"Curta Distância",S336&gt;Constantes!$H$2,"Longa Distância")</f>
        <v>Curta Distância</v>
      </c>
      <c r="AF336" s="114">
        <f>IFERROR(VLOOKUP(AE336,Constantes!$A$1:$E$5,MATCH(AD336,Constantes!$A$1:$E$1,0),0),"")</f>
        <v>0.18286935436241611</v>
      </c>
      <c r="AG336" s="115">
        <f t="shared" si="11"/>
        <v>492.93940123218408</v>
      </c>
    </row>
    <row r="337" spans="1:33" x14ac:dyDescent="0.3">
      <c r="A337">
        <f>COUNTIF($B$2:B337,B337)</f>
        <v>2</v>
      </c>
      <c r="B337">
        <v>19313568</v>
      </c>
      <c r="C337" t="s">
        <v>1144</v>
      </c>
      <c r="D337" t="s">
        <v>218</v>
      </c>
      <c r="E337" t="s">
        <v>1145</v>
      </c>
      <c r="F337" t="s">
        <v>218</v>
      </c>
      <c r="G337" t="s">
        <v>207</v>
      </c>
      <c r="H337" t="s">
        <v>204</v>
      </c>
      <c r="I337" s="49">
        <v>45215</v>
      </c>
      <c r="J337" s="49">
        <v>45219</v>
      </c>
      <c r="K337" t="s">
        <v>1146</v>
      </c>
      <c r="L337" s="49">
        <v>45219</v>
      </c>
      <c r="M337" s="49">
        <v>45219</v>
      </c>
      <c r="N337" t="s">
        <v>107</v>
      </c>
      <c r="O337" t="s">
        <v>122</v>
      </c>
      <c r="P337">
        <f>VLOOKUP(N337,[1]ID_Cidades!$A$1:$E$5900,2,FALSE)</f>
        <v>295765</v>
      </c>
      <c r="Q337">
        <f>VLOOKUP(O337,[1]ID_Cidades!$A$1:$E$5900,2,FALSE)</f>
        <v>295781</v>
      </c>
      <c r="R337">
        <f t="shared" si="10"/>
        <v>87481667465</v>
      </c>
      <c r="S337" s="42">
        <f>VLOOKUP(R337,'[1]GCD base'!$A$1:$M$200,7,FALSE)</f>
        <v>2695.5823350000001</v>
      </c>
      <c r="T337" t="s">
        <v>109</v>
      </c>
      <c r="U337" t="s">
        <v>201</v>
      </c>
      <c r="V337" t="s">
        <v>202</v>
      </c>
      <c r="W337" t="s">
        <v>210</v>
      </c>
      <c r="X337" t="s">
        <v>1147</v>
      </c>
      <c r="Y337">
        <v>0</v>
      </c>
      <c r="Z337">
        <v>0</v>
      </c>
      <c r="AA337">
        <v>2268.09</v>
      </c>
      <c r="AB337">
        <v>0</v>
      </c>
      <c r="AC337" s="49">
        <v>45203</v>
      </c>
      <c r="AD337" s="116" t="s">
        <v>10</v>
      </c>
      <c r="AE337" s="113" t="str" cm="1">
        <f t="array" ref="AE337">_xlfn.IFS(S337&lt;=Constantes!$G$2,"Muito Curta (evitável)",S337&lt;=Constantes!$H$2,"Curta Distância",S337&gt;Constantes!$H$2,"Longa Distância")</f>
        <v>Curta Distância</v>
      </c>
      <c r="AF337" s="114">
        <f>IFERROR(VLOOKUP(AE337,Constantes!$A$1:$E$5,MATCH(AD337,Constantes!$A$1:$E$1,0),0),"")</f>
        <v>0.18286935436241611</v>
      </c>
      <c r="AG337" s="115">
        <f t="shared" si="11"/>
        <v>492.93940123218408</v>
      </c>
    </row>
    <row r="338" spans="1:33" x14ac:dyDescent="0.3">
      <c r="A338">
        <f>COUNTIF($B$2:B338,B338)</f>
        <v>1</v>
      </c>
      <c r="B338">
        <v>19358004</v>
      </c>
      <c r="C338" t="s">
        <v>1339</v>
      </c>
      <c r="D338" t="s">
        <v>208</v>
      </c>
      <c r="E338" t="s">
        <v>132</v>
      </c>
      <c r="F338" t="s">
        <v>198</v>
      </c>
      <c r="G338" t="s">
        <v>209</v>
      </c>
      <c r="H338" t="s">
        <v>200</v>
      </c>
      <c r="I338" s="49">
        <v>45215</v>
      </c>
      <c r="J338" s="49">
        <v>45219</v>
      </c>
      <c r="K338" t="s">
        <v>1340</v>
      </c>
      <c r="L338" s="49">
        <v>45217</v>
      </c>
      <c r="M338" s="49">
        <v>45219</v>
      </c>
      <c r="N338" t="s">
        <v>117</v>
      </c>
      <c r="O338" t="s">
        <v>110</v>
      </c>
      <c r="P338">
        <f>VLOOKUP(N338,[1]ID_Cidades!$A$1:$E$5900,2,FALSE)</f>
        <v>295779</v>
      </c>
      <c r="Q338">
        <f>VLOOKUP(O338,[1]ID_Cidades!$A$1:$E$5900,2,FALSE)</f>
        <v>295763</v>
      </c>
      <c r="R338">
        <f t="shared" si="10"/>
        <v>87480484377</v>
      </c>
      <c r="S338" s="42">
        <f>VLOOKUP(R338,'[1]GCD base'!$A$1:$M$200,7,FALSE)</f>
        <v>854.35576990000004</v>
      </c>
      <c r="T338" t="s">
        <v>109</v>
      </c>
      <c r="U338" t="s">
        <v>205</v>
      </c>
      <c r="V338" t="s">
        <v>202</v>
      </c>
      <c r="W338" t="s">
        <v>210</v>
      </c>
      <c r="X338" t="s">
        <v>1341</v>
      </c>
      <c r="Y338">
        <v>1713.63</v>
      </c>
      <c r="Z338">
        <v>0</v>
      </c>
      <c r="AA338">
        <v>2326.9899999999998</v>
      </c>
      <c r="AB338">
        <v>0</v>
      </c>
      <c r="AC338" s="49">
        <v>45202</v>
      </c>
      <c r="AD338" s="116" t="s">
        <v>10</v>
      </c>
      <c r="AE338" s="113" t="str" cm="1">
        <f t="array" ref="AE338">_xlfn.IFS(S338&lt;=Constantes!$G$2,"Muito Curta (evitável)",S338&lt;=Constantes!$H$2,"Curta Distância",S338&gt;Constantes!$H$2,"Longa Distância")</f>
        <v>Curta Distância</v>
      </c>
      <c r="AF338" s="114">
        <f>IFERROR(VLOOKUP(AE338,Constantes!$A$1:$E$5,MATCH(AD338,Constantes!$A$1:$E$1,0),0),"")</f>
        <v>0.18286935436241611</v>
      </c>
      <c r="AG338" s="115">
        <f t="shared" si="11"/>
        <v>156.23548803741795</v>
      </c>
    </row>
    <row r="339" spans="1:33" x14ac:dyDescent="0.3">
      <c r="A339">
        <f>COUNTIF($B$2:B339,B339)</f>
        <v>2</v>
      </c>
      <c r="B339">
        <v>19358004</v>
      </c>
      <c r="C339" t="s">
        <v>1339</v>
      </c>
      <c r="D339" t="s">
        <v>208</v>
      </c>
      <c r="E339" t="s">
        <v>132</v>
      </c>
      <c r="F339" t="s">
        <v>198</v>
      </c>
      <c r="G339" t="s">
        <v>209</v>
      </c>
      <c r="H339" t="s">
        <v>200</v>
      </c>
      <c r="I339" s="49">
        <v>45215</v>
      </c>
      <c r="J339" s="49">
        <v>45219</v>
      </c>
      <c r="K339" t="s">
        <v>1340</v>
      </c>
      <c r="L339" s="49">
        <v>45219</v>
      </c>
      <c r="M339" s="49">
        <v>45219</v>
      </c>
      <c r="N339" t="s">
        <v>110</v>
      </c>
      <c r="O339" t="s">
        <v>107</v>
      </c>
      <c r="P339">
        <f>VLOOKUP(N339,[1]ID_Cidades!$A$1:$E$5900,2,FALSE)</f>
        <v>295763</v>
      </c>
      <c r="Q339">
        <f>VLOOKUP(O339,[1]ID_Cidades!$A$1:$E$5900,2,FALSE)</f>
        <v>295765</v>
      </c>
      <c r="R339">
        <f t="shared" si="10"/>
        <v>87476343695</v>
      </c>
      <c r="S339" s="42">
        <f>VLOOKUP(R339,'[1]GCD base'!$A$1:$M$200,7,FALSE)</f>
        <v>1713.419991</v>
      </c>
      <c r="T339" t="s">
        <v>109</v>
      </c>
      <c r="U339" t="s">
        <v>201</v>
      </c>
      <c r="V339" t="s">
        <v>202</v>
      </c>
      <c r="W339" t="s">
        <v>210</v>
      </c>
      <c r="X339" t="s">
        <v>1341</v>
      </c>
      <c r="Y339">
        <v>0</v>
      </c>
      <c r="Z339">
        <v>0</v>
      </c>
      <c r="AA339">
        <v>1071.6500000000001</v>
      </c>
      <c r="AB339">
        <v>0</v>
      </c>
      <c r="AC339" s="49">
        <v>45202</v>
      </c>
      <c r="AD339" s="116" t="s">
        <v>10</v>
      </c>
      <c r="AE339" s="113" t="str" cm="1">
        <f t="array" ref="AE339">_xlfn.IFS(S339&lt;=Constantes!$G$2,"Muito Curta (evitável)",S339&lt;=Constantes!$H$2,"Curta Distância",S339&gt;Constantes!$H$2,"Longa Distância")</f>
        <v>Curta Distância</v>
      </c>
      <c r="AF339" s="114">
        <f>IFERROR(VLOOKUP(AE339,Constantes!$A$1:$E$5,MATCH(AD339,Constantes!$A$1:$E$1,0),0),"")</f>
        <v>0.18286935436241611</v>
      </c>
      <c r="AG339" s="115">
        <f t="shared" si="11"/>
        <v>313.33200750582682</v>
      </c>
    </row>
    <row r="340" spans="1:33" x14ac:dyDescent="0.3">
      <c r="A340">
        <f>COUNTIF($B$2:B340,B340)</f>
        <v>3</v>
      </c>
      <c r="B340">
        <v>19358004</v>
      </c>
      <c r="C340" t="s">
        <v>1339</v>
      </c>
      <c r="D340" t="s">
        <v>208</v>
      </c>
      <c r="E340" t="s">
        <v>132</v>
      </c>
      <c r="F340" t="s">
        <v>198</v>
      </c>
      <c r="G340" t="s">
        <v>209</v>
      </c>
      <c r="H340" t="s">
        <v>200</v>
      </c>
      <c r="I340" s="49">
        <v>45215</v>
      </c>
      <c r="J340" s="49">
        <v>45219</v>
      </c>
      <c r="K340" t="s">
        <v>1340</v>
      </c>
      <c r="L340" s="49">
        <v>45215</v>
      </c>
      <c r="M340" s="49">
        <v>45215</v>
      </c>
      <c r="N340" t="s">
        <v>107</v>
      </c>
      <c r="O340" t="s">
        <v>117</v>
      </c>
      <c r="P340">
        <f>VLOOKUP(N340,[1]ID_Cidades!$A$1:$E$5900,2,FALSE)</f>
        <v>295765</v>
      </c>
      <c r="Q340">
        <f>VLOOKUP(O340,[1]ID_Cidades!$A$1:$E$5900,2,FALSE)</f>
        <v>295779</v>
      </c>
      <c r="R340">
        <f t="shared" si="10"/>
        <v>87481075935</v>
      </c>
      <c r="S340" s="42">
        <f>VLOOKUP(R340,'[1]GCD base'!$A$1:$M$200,7,FALSE)</f>
        <v>2189.9742419999998</v>
      </c>
      <c r="T340" t="s">
        <v>109</v>
      </c>
      <c r="U340" t="s">
        <v>201</v>
      </c>
      <c r="V340" t="s">
        <v>202</v>
      </c>
      <c r="W340" t="s">
        <v>210</v>
      </c>
      <c r="X340" t="s">
        <v>1341</v>
      </c>
      <c r="Y340">
        <v>0</v>
      </c>
      <c r="Z340">
        <v>0</v>
      </c>
      <c r="AA340">
        <v>1117.51</v>
      </c>
      <c r="AB340">
        <v>0</v>
      </c>
      <c r="AC340" s="49">
        <v>45202</v>
      </c>
      <c r="AD340" s="116" t="s">
        <v>10</v>
      </c>
      <c r="AE340" s="113" t="str" cm="1">
        <f t="array" ref="AE340">_xlfn.IFS(S340&lt;=Constantes!$G$2,"Muito Curta (evitável)",S340&lt;=Constantes!$H$2,"Curta Distância",S340&gt;Constantes!$H$2,"Longa Distância")</f>
        <v>Curta Distância</v>
      </c>
      <c r="AF340" s="114">
        <f>IFERROR(VLOOKUP(AE340,Constantes!$A$1:$E$5,MATCH(AD340,Constantes!$A$1:$E$1,0),0),"")</f>
        <v>0.18286935436241611</v>
      </c>
      <c r="AG340" s="115">
        <f t="shared" si="11"/>
        <v>400.47917570486158</v>
      </c>
    </row>
    <row r="341" spans="1:33" x14ac:dyDescent="0.3">
      <c r="A341">
        <f>COUNTIF($B$2:B341,B341)</f>
        <v>1</v>
      </c>
      <c r="B341">
        <v>19379967</v>
      </c>
      <c r="C341" t="s">
        <v>1431</v>
      </c>
      <c r="D341" t="s">
        <v>1432</v>
      </c>
      <c r="E341" t="s">
        <v>1433</v>
      </c>
      <c r="F341" t="s">
        <v>218</v>
      </c>
      <c r="G341" t="s">
        <v>207</v>
      </c>
      <c r="H341" t="s">
        <v>204</v>
      </c>
      <c r="I341" s="49">
        <v>45215</v>
      </c>
      <c r="J341" s="49">
        <v>45218</v>
      </c>
      <c r="K341" t="s">
        <v>1434</v>
      </c>
      <c r="L341" s="49">
        <v>45218</v>
      </c>
      <c r="M341" s="49">
        <v>45218</v>
      </c>
      <c r="N341" t="s">
        <v>107</v>
      </c>
      <c r="O341" t="s">
        <v>120</v>
      </c>
      <c r="P341">
        <f>VLOOKUP(N341,[1]ID_Cidades!$A$1:$E$5900,2,FALSE)</f>
        <v>295765</v>
      </c>
      <c r="Q341">
        <f>VLOOKUP(O341,[1]ID_Cidades!$A$1:$E$5900,2,FALSE)</f>
        <v>295783</v>
      </c>
      <c r="R341">
        <f t="shared" si="10"/>
        <v>87482258995</v>
      </c>
      <c r="S341" s="42">
        <f>VLOOKUP(R341,'[1]GCD base'!$A$1:$M$200,7,FALSE)</f>
        <v>2817.0983059999999</v>
      </c>
      <c r="T341" t="s">
        <v>109</v>
      </c>
      <c r="U341" t="s">
        <v>201</v>
      </c>
      <c r="V341" t="s">
        <v>202</v>
      </c>
      <c r="W341" t="s">
        <v>210</v>
      </c>
      <c r="X341" t="s">
        <v>1435</v>
      </c>
      <c r="Y341">
        <v>1057.23</v>
      </c>
      <c r="Z341">
        <v>0</v>
      </c>
      <c r="AA341">
        <v>2555.2199999999998</v>
      </c>
      <c r="AB341">
        <v>0</v>
      </c>
      <c r="AC341" s="49">
        <v>45209</v>
      </c>
      <c r="AD341" s="116" t="s">
        <v>10</v>
      </c>
      <c r="AE341" s="113" t="str" cm="1">
        <f t="array" ref="AE341">_xlfn.IFS(S341&lt;=Constantes!$G$2,"Muito Curta (evitável)",S341&lt;=Constantes!$H$2,"Curta Distância",S341&gt;Constantes!$H$2,"Longa Distância")</f>
        <v>Curta Distância</v>
      </c>
      <c r="AF341" s="114">
        <f>IFERROR(VLOOKUP(AE341,Constantes!$A$1:$E$5,MATCH(AD341,Constantes!$A$1:$E$1,0),0),"")</f>
        <v>0.18286935436241611</v>
      </c>
      <c r="AG341" s="115">
        <f t="shared" si="11"/>
        <v>515.16094839367611</v>
      </c>
    </row>
    <row r="342" spans="1:33" x14ac:dyDescent="0.3">
      <c r="A342">
        <f>COUNTIF($B$2:B342,B342)</f>
        <v>2</v>
      </c>
      <c r="B342">
        <v>19379967</v>
      </c>
      <c r="C342" t="s">
        <v>1431</v>
      </c>
      <c r="D342" t="s">
        <v>1432</v>
      </c>
      <c r="E342" t="s">
        <v>1433</v>
      </c>
      <c r="F342" t="s">
        <v>218</v>
      </c>
      <c r="G342" t="s">
        <v>207</v>
      </c>
      <c r="H342" t="s">
        <v>204</v>
      </c>
      <c r="I342" s="49">
        <v>45215</v>
      </c>
      <c r="J342" s="49">
        <v>45218</v>
      </c>
      <c r="K342" t="s">
        <v>1434</v>
      </c>
      <c r="L342" s="49">
        <v>45215</v>
      </c>
      <c r="M342" s="49">
        <v>45215</v>
      </c>
      <c r="N342" t="s">
        <v>120</v>
      </c>
      <c r="O342" t="s">
        <v>107</v>
      </c>
      <c r="P342">
        <f>VLOOKUP(N342,[1]ID_Cidades!$A$1:$E$5900,2,FALSE)</f>
        <v>295783</v>
      </c>
      <c r="Q342">
        <f>VLOOKUP(O342,[1]ID_Cidades!$A$1:$E$5900,2,FALSE)</f>
        <v>295765</v>
      </c>
      <c r="R342">
        <f t="shared" si="10"/>
        <v>87482258995</v>
      </c>
      <c r="S342" s="42">
        <f>VLOOKUP(R342,'[1]GCD base'!$A$1:$M$200,7,FALSE)</f>
        <v>2817.0983059999999</v>
      </c>
      <c r="T342" t="s">
        <v>109</v>
      </c>
      <c r="U342" t="s">
        <v>201</v>
      </c>
      <c r="V342" t="s">
        <v>202</v>
      </c>
      <c r="W342" t="s">
        <v>210</v>
      </c>
      <c r="X342" t="s">
        <v>1435</v>
      </c>
      <c r="Y342">
        <v>0</v>
      </c>
      <c r="Z342">
        <v>0</v>
      </c>
      <c r="AA342">
        <v>2164.19</v>
      </c>
      <c r="AB342">
        <v>0</v>
      </c>
      <c r="AC342" s="49">
        <v>45209</v>
      </c>
      <c r="AD342" s="116" t="s">
        <v>10</v>
      </c>
      <c r="AE342" s="113" t="str" cm="1">
        <f t="array" ref="AE342">_xlfn.IFS(S342&lt;=Constantes!$G$2,"Muito Curta (evitável)",S342&lt;=Constantes!$H$2,"Curta Distância",S342&gt;Constantes!$H$2,"Longa Distância")</f>
        <v>Curta Distância</v>
      </c>
      <c r="AF342" s="114">
        <f>IFERROR(VLOOKUP(AE342,Constantes!$A$1:$E$5,MATCH(AD342,Constantes!$A$1:$E$1,0),0),"")</f>
        <v>0.18286935436241611</v>
      </c>
      <c r="AG342" s="115">
        <f t="shared" si="11"/>
        <v>515.16094839367611</v>
      </c>
    </row>
    <row r="343" spans="1:33" x14ac:dyDescent="0.3">
      <c r="A343">
        <f>COUNTIF($B$2:B343,B343)</f>
        <v>1</v>
      </c>
      <c r="B343">
        <v>19393248</v>
      </c>
      <c r="C343" t="s">
        <v>1472</v>
      </c>
      <c r="D343" t="s">
        <v>225</v>
      </c>
      <c r="E343" t="s">
        <v>138</v>
      </c>
      <c r="F343" t="s">
        <v>218</v>
      </c>
      <c r="G343" t="s">
        <v>199</v>
      </c>
      <c r="H343" t="s">
        <v>200</v>
      </c>
      <c r="I343" s="49">
        <v>45215</v>
      </c>
      <c r="J343" s="49">
        <v>45219</v>
      </c>
      <c r="K343" t="s">
        <v>1473</v>
      </c>
      <c r="L343" s="49">
        <v>45215</v>
      </c>
      <c r="M343" s="49">
        <v>45219</v>
      </c>
      <c r="N343" t="s">
        <v>107</v>
      </c>
      <c r="O343" t="s">
        <v>110</v>
      </c>
      <c r="P343">
        <f>VLOOKUP(N343,[1]ID_Cidades!$A$1:$E$5900,2,FALSE)</f>
        <v>295765</v>
      </c>
      <c r="Q343">
        <f>VLOOKUP(O343,[1]ID_Cidades!$A$1:$E$5900,2,FALSE)</f>
        <v>295763</v>
      </c>
      <c r="R343">
        <f t="shared" si="10"/>
        <v>87476343695</v>
      </c>
      <c r="S343" s="42">
        <f>VLOOKUP(R343,'[1]GCD base'!$A$1:$M$200,7,FALSE)</f>
        <v>1713.419991</v>
      </c>
      <c r="T343" t="s">
        <v>109</v>
      </c>
      <c r="U343" t="s">
        <v>205</v>
      </c>
      <c r="V343" t="s">
        <v>202</v>
      </c>
      <c r="W343" t="s">
        <v>210</v>
      </c>
      <c r="X343" t="s">
        <v>1474</v>
      </c>
      <c r="Y343">
        <v>2045.7</v>
      </c>
      <c r="Z343">
        <v>0</v>
      </c>
      <c r="AA343">
        <v>2684.19</v>
      </c>
      <c r="AB343">
        <v>0</v>
      </c>
      <c r="AC343" s="49">
        <v>45210</v>
      </c>
      <c r="AD343" s="116" t="s">
        <v>10</v>
      </c>
      <c r="AE343" s="113" t="str" cm="1">
        <f t="array" ref="AE343">_xlfn.IFS(S343&lt;=Constantes!$G$2,"Muito Curta (evitável)",S343&lt;=Constantes!$H$2,"Curta Distância",S343&gt;Constantes!$H$2,"Longa Distância")</f>
        <v>Curta Distância</v>
      </c>
      <c r="AF343" s="114">
        <f>IFERROR(VLOOKUP(AE343,Constantes!$A$1:$E$5,MATCH(AD343,Constantes!$A$1:$E$1,0),0),"")</f>
        <v>0.18286935436241611</v>
      </c>
      <c r="AG343" s="115">
        <f t="shared" si="11"/>
        <v>313.33200750582682</v>
      </c>
    </row>
    <row r="344" spans="1:33" x14ac:dyDescent="0.3">
      <c r="A344">
        <f>COUNTIF($B$2:B344,B344)</f>
        <v>2</v>
      </c>
      <c r="B344">
        <v>19393248</v>
      </c>
      <c r="C344" t="s">
        <v>1472</v>
      </c>
      <c r="D344" t="s">
        <v>225</v>
      </c>
      <c r="E344" t="s">
        <v>138</v>
      </c>
      <c r="F344" t="s">
        <v>218</v>
      </c>
      <c r="G344" t="s">
        <v>199</v>
      </c>
      <c r="H344" t="s">
        <v>200</v>
      </c>
      <c r="I344" s="49">
        <v>45215</v>
      </c>
      <c r="J344" s="49">
        <v>45219</v>
      </c>
      <c r="K344" t="s">
        <v>1473</v>
      </c>
      <c r="L344" s="49">
        <v>45219</v>
      </c>
      <c r="M344" s="49">
        <v>45219</v>
      </c>
      <c r="N344" t="s">
        <v>110</v>
      </c>
      <c r="O344" t="s">
        <v>107</v>
      </c>
      <c r="P344">
        <f>VLOOKUP(N344,[1]ID_Cidades!$A$1:$E$5900,2,FALSE)</f>
        <v>295763</v>
      </c>
      <c r="Q344">
        <f>VLOOKUP(O344,[1]ID_Cidades!$A$1:$E$5900,2,FALSE)</f>
        <v>295765</v>
      </c>
      <c r="R344">
        <f t="shared" si="10"/>
        <v>87476343695</v>
      </c>
      <c r="S344" s="42">
        <f>VLOOKUP(R344,'[1]GCD base'!$A$1:$M$200,7,FALSE)</f>
        <v>1713.419991</v>
      </c>
      <c r="T344" t="s">
        <v>109</v>
      </c>
      <c r="U344" t="s">
        <v>201</v>
      </c>
      <c r="V344" t="s">
        <v>202</v>
      </c>
      <c r="W344" t="s">
        <v>210</v>
      </c>
      <c r="X344" t="s">
        <v>1474</v>
      </c>
      <c r="Y344">
        <v>0</v>
      </c>
      <c r="Z344">
        <v>0</v>
      </c>
      <c r="AA344">
        <v>1845.01</v>
      </c>
      <c r="AB344">
        <v>0</v>
      </c>
      <c r="AC344" s="49">
        <v>45210</v>
      </c>
      <c r="AD344" s="116" t="s">
        <v>10</v>
      </c>
      <c r="AE344" s="113" t="str" cm="1">
        <f t="array" ref="AE344">_xlfn.IFS(S344&lt;=Constantes!$G$2,"Muito Curta (evitável)",S344&lt;=Constantes!$H$2,"Curta Distância",S344&gt;Constantes!$H$2,"Longa Distância")</f>
        <v>Curta Distância</v>
      </c>
      <c r="AF344" s="114">
        <f>IFERROR(VLOOKUP(AE344,Constantes!$A$1:$E$5,MATCH(AD344,Constantes!$A$1:$E$1,0),0),"")</f>
        <v>0.18286935436241611</v>
      </c>
      <c r="AG344" s="115">
        <f t="shared" si="11"/>
        <v>313.33200750582682</v>
      </c>
    </row>
    <row r="345" spans="1:33" x14ac:dyDescent="0.3">
      <c r="A345">
        <f>COUNTIF($B$2:B345,B345)</f>
        <v>1</v>
      </c>
      <c r="B345">
        <v>19394240</v>
      </c>
      <c r="C345" t="s">
        <v>1475</v>
      </c>
      <c r="D345" t="s">
        <v>212</v>
      </c>
      <c r="E345" t="s">
        <v>133</v>
      </c>
      <c r="F345" t="s">
        <v>198</v>
      </c>
      <c r="G345" t="s">
        <v>199</v>
      </c>
      <c r="H345" t="s">
        <v>200</v>
      </c>
      <c r="I345" s="49">
        <v>45215</v>
      </c>
      <c r="J345" s="49">
        <v>45219</v>
      </c>
      <c r="K345" t="s">
        <v>1473</v>
      </c>
      <c r="L345" s="49">
        <v>45215</v>
      </c>
      <c r="M345" s="49">
        <v>45219</v>
      </c>
      <c r="N345" t="s">
        <v>107</v>
      </c>
      <c r="O345" t="s">
        <v>110</v>
      </c>
      <c r="P345">
        <f>VLOOKUP(N345,[1]ID_Cidades!$A$1:$E$5900,2,FALSE)</f>
        <v>295765</v>
      </c>
      <c r="Q345">
        <f>VLOOKUP(O345,[1]ID_Cidades!$A$1:$E$5900,2,FALSE)</f>
        <v>295763</v>
      </c>
      <c r="R345">
        <f t="shared" si="10"/>
        <v>87476343695</v>
      </c>
      <c r="S345" s="42">
        <f>VLOOKUP(R345,'[1]GCD base'!$A$1:$M$200,7,FALSE)</f>
        <v>1713.419991</v>
      </c>
      <c r="T345" t="s">
        <v>109</v>
      </c>
      <c r="U345" t="s">
        <v>205</v>
      </c>
      <c r="V345" t="s">
        <v>202</v>
      </c>
      <c r="W345" t="s">
        <v>210</v>
      </c>
      <c r="X345" t="s">
        <v>1474</v>
      </c>
      <c r="Y345">
        <v>1896.15</v>
      </c>
      <c r="Z345">
        <v>0</v>
      </c>
      <c r="AA345">
        <v>2840.09</v>
      </c>
      <c r="AB345">
        <v>0</v>
      </c>
      <c r="AC345" s="49">
        <v>45210</v>
      </c>
      <c r="AD345" s="116" t="s">
        <v>10</v>
      </c>
      <c r="AE345" s="113" t="str" cm="1">
        <f t="array" ref="AE345">_xlfn.IFS(S345&lt;=Constantes!$G$2,"Muito Curta (evitável)",S345&lt;=Constantes!$H$2,"Curta Distância",S345&gt;Constantes!$H$2,"Longa Distância")</f>
        <v>Curta Distância</v>
      </c>
      <c r="AF345" s="114">
        <f>IFERROR(VLOOKUP(AE345,Constantes!$A$1:$E$5,MATCH(AD345,Constantes!$A$1:$E$1,0),0),"")</f>
        <v>0.18286935436241611</v>
      </c>
      <c r="AG345" s="115">
        <f t="shared" si="11"/>
        <v>313.33200750582682</v>
      </c>
    </row>
    <row r="346" spans="1:33" x14ac:dyDescent="0.3">
      <c r="A346">
        <f>COUNTIF($B$2:B346,B346)</f>
        <v>2</v>
      </c>
      <c r="B346">
        <v>19394240</v>
      </c>
      <c r="C346" t="s">
        <v>1475</v>
      </c>
      <c r="D346" t="s">
        <v>212</v>
      </c>
      <c r="E346" t="s">
        <v>133</v>
      </c>
      <c r="F346" t="s">
        <v>198</v>
      </c>
      <c r="G346" t="s">
        <v>199</v>
      </c>
      <c r="H346" t="s">
        <v>200</v>
      </c>
      <c r="I346" s="49">
        <v>45215</v>
      </c>
      <c r="J346" s="49">
        <v>45219</v>
      </c>
      <c r="K346" t="s">
        <v>1473</v>
      </c>
      <c r="L346" s="49">
        <v>45219</v>
      </c>
      <c r="M346" s="49">
        <v>45219</v>
      </c>
      <c r="N346" t="s">
        <v>110</v>
      </c>
      <c r="O346" t="s">
        <v>107</v>
      </c>
      <c r="P346">
        <f>VLOOKUP(N346,[1]ID_Cidades!$A$1:$E$5900,2,FALSE)</f>
        <v>295763</v>
      </c>
      <c r="Q346">
        <f>VLOOKUP(O346,[1]ID_Cidades!$A$1:$E$5900,2,FALSE)</f>
        <v>295765</v>
      </c>
      <c r="R346">
        <f t="shared" si="10"/>
        <v>87476343695</v>
      </c>
      <c r="S346" s="42">
        <f>VLOOKUP(R346,'[1]GCD base'!$A$1:$M$200,7,FALSE)</f>
        <v>1713.419991</v>
      </c>
      <c r="T346" t="s">
        <v>109</v>
      </c>
      <c r="U346" t="s">
        <v>201</v>
      </c>
      <c r="V346" t="s">
        <v>202</v>
      </c>
      <c r="W346" t="s">
        <v>210</v>
      </c>
      <c r="X346" t="s">
        <v>1474</v>
      </c>
      <c r="Y346">
        <v>0</v>
      </c>
      <c r="Z346">
        <v>0</v>
      </c>
      <c r="AA346">
        <v>1845.01</v>
      </c>
      <c r="AB346">
        <v>0</v>
      </c>
      <c r="AC346" s="49">
        <v>45210</v>
      </c>
      <c r="AD346" s="116" t="s">
        <v>10</v>
      </c>
      <c r="AE346" s="113" t="str" cm="1">
        <f t="array" ref="AE346">_xlfn.IFS(S346&lt;=Constantes!$G$2,"Muito Curta (evitável)",S346&lt;=Constantes!$H$2,"Curta Distância",S346&gt;Constantes!$H$2,"Longa Distância")</f>
        <v>Curta Distância</v>
      </c>
      <c r="AF346" s="114">
        <f>IFERROR(VLOOKUP(AE346,Constantes!$A$1:$E$5,MATCH(AD346,Constantes!$A$1:$E$1,0),0),"")</f>
        <v>0.18286935436241611</v>
      </c>
      <c r="AG346" s="115">
        <f t="shared" si="11"/>
        <v>313.33200750582682</v>
      </c>
    </row>
    <row r="347" spans="1:33" x14ac:dyDescent="0.3">
      <c r="A347">
        <f>COUNTIF($B$2:B347,B347)</f>
        <v>1</v>
      </c>
      <c r="B347">
        <v>19394313</v>
      </c>
      <c r="C347" t="s">
        <v>1476</v>
      </c>
      <c r="D347" t="s">
        <v>1477</v>
      </c>
      <c r="E347" t="s">
        <v>1478</v>
      </c>
      <c r="F347" t="s">
        <v>198</v>
      </c>
      <c r="G347" t="s">
        <v>221</v>
      </c>
      <c r="H347" t="s">
        <v>200</v>
      </c>
      <c r="I347" s="49">
        <v>45215</v>
      </c>
      <c r="J347" s="49">
        <v>45219</v>
      </c>
      <c r="K347" t="s">
        <v>1473</v>
      </c>
      <c r="L347" s="49">
        <v>45215</v>
      </c>
      <c r="M347" s="49">
        <v>45219</v>
      </c>
      <c r="N347" t="s">
        <v>107</v>
      </c>
      <c r="O347" t="s">
        <v>110</v>
      </c>
      <c r="P347">
        <f>VLOOKUP(N347,[1]ID_Cidades!$A$1:$E$5900,2,FALSE)</f>
        <v>295765</v>
      </c>
      <c r="Q347">
        <f>VLOOKUP(O347,[1]ID_Cidades!$A$1:$E$5900,2,FALSE)</f>
        <v>295763</v>
      </c>
      <c r="R347">
        <f t="shared" si="10"/>
        <v>87476343695</v>
      </c>
      <c r="S347" s="42">
        <f>VLOOKUP(R347,'[1]GCD base'!$A$1:$M$200,7,FALSE)</f>
        <v>1713.419991</v>
      </c>
      <c r="T347" t="s">
        <v>109</v>
      </c>
      <c r="U347" t="s">
        <v>205</v>
      </c>
      <c r="V347" t="s">
        <v>202</v>
      </c>
      <c r="W347" t="s">
        <v>210</v>
      </c>
      <c r="X347" t="s">
        <v>1474</v>
      </c>
      <c r="Y347">
        <v>1660.58</v>
      </c>
      <c r="Z347">
        <v>0</v>
      </c>
      <c r="AA347">
        <v>2840.09</v>
      </c>
      <c r="AB347">
        <v>0</v>
      </c>
      <c r="AC347" s="49">
        <v>45210</v>
      </c>
      <c r="AD347" s="116" t="s">
        <v>10</v>
      </c>
      <c r="AE347" s="113" t="str" cm="1">
        <f t="array" ref="AE347">_xlfn.IFS(S347&lt;=Constantes!$G$2,"Muito Curta (evitável)",S347&lt;=Constantes!$H$2,"Curta Distância",S347&gt;Constantes!$H$2,"Longa Distância")</f>
        <v>Curta Distância</v>
      </c>
      <c r="AF347" s="114">
        <f>IFERROR(VLOOKUP(AE347,Constantes!$A$1:$E$5,MATCH(AD347,Constantes!$A$1:$E$1,0),0),"")</f>
        <v>0.18286935436241611</v>
      </c>
      <c r="AG347" s="115">
        <f t="shared" si="11"/>
        <v>313.33200750582682</v>
      </c>
    </row>
    <row r="348" spans="1:33" x14ac:dyDescent="0.3">
      <c r="A348">
        <f>COUNTIF($B$2:B348,B348)</f>
        <v>2</v>
      </c>
      <c r="B348">
        <v>19394313</v>
      </c>
      <c r="C348" t="s">
        <v>1476</v>
      </c>
      <c r="D348" t="s">
        <v>1477</v>
      </c>
      <c r="E348" t="s">
        <v>1478</v>
      </c>
      <c r="F348" t="s">
        <v>198</v>
      </c>
      <c r="G348" t="s">
        <v>221</v>
      </c>
      <c r="H348" t="s">
        <v>200</v>
      </c>
      <c r="I348" s="49">
        <v>45215</v>
      </c>
      <c r="J348" s="49">
        <v>45219</v>
      </c>
      <c r="K348" t="s">
        <v>1473</v>
      </c>
      <c r="L348" s="49">
        <v>45219</v>
      </c>
      <c r="M348" s="49">
        <v>45219</v>
      </c>
      <c r="N348" t="s">
        <v>110</v>
      </c>
      <c r="O348" t="s">
        <v>107</v>
      </c>
      <c r="P348">
        <f>VLOOKUP(N348,[1]ID_Cidades!$A$1:$E$5900,2,FALSE)</f>
        <v>295763</v>
      </c>
      <c r="Q348">
        <f>VLOOKUP(O348,[1]ID_Cidades!$A$1:$E$5900,2,FALSE)</f>
        <v>295765</v>
      </c>
      <c r="R348">
        <f t="shared" si="10"/>
        <v>87476343695</v>
      </c>
      <c r="S348" s="42">
        <f>VLOOKUP(R348,'[1]GCD base'!$A$1:$M$200,7,FALSE)</f>
        <v>1713.419991</v>
      </c>
      <c r="T348" t="s">
        <v>109</v>
      </c>
      <c r="U348" t="s">
        <v>201</v>
      </c>
      <c r="V348" t="s">
        <v>202</v>
      </c>
      <c r="W348" t="s">
        <v>210</v>
      </c>
      <c r="X348" t="s">
        <v>1474</v>
      </c>
      <c r="Y348">
        <v>0</v>
      </c>
      <c r="Z348">
        <v>0</v>
      </c>
      <c r="AA348">
        <v>2017.71</v>
      </c>
      <c r="AB348">
        <v>0</v>
      </c>
      <c r="AC348" s="49">
        <v>45210</v>
      </c>
      <c r="AD348" s="116" t="s">
        <v>10</v>
      </c>
      <c r="AE348" s="113" t="str" cm="1">
        <f t="array" ref="AE348">_xlfn.IFS(S348&lt;=Constantes!$G$2,"Muito Curta (evitável)",S348&lt;=Constantes!$H$2,"Curta Distância",S348&gt;Constantes!$H$2,"Longa Distância")</f>
        <v>Curta Distância</v>
      </c>
      <c r="AF348" s="114">
        <f>IFERROR(VLOOKUP(AE348,Constantes!$A$1:$E$5,MATCH(AD348,Constantes!$A$1:$E$1,0),0),"")</f>
        <v>0.18286935436241611</v>
      </c>
      <c r="AG348" s="115">
        <f t="shared" si="11"/>
        <v>313.33200750582682</v>
      </c>
    </row>
    <row r="349" spans="1:33" x14ac:dyDescent="0.3">
      <c r="A349">
        <f>COUNTIF($B$2:B349,B349)</f>
        <v>1</v>
      </c>
      <c r="B349">
        <v>19394708</v>
      </c>
      <c r="C349" t="s">
        <v>1479</v>
      </c>
      <c r="D349" t="s">
        <v>1480</v>
      </c>
      <c r="E349" t="s">
        <v>1481</v>
      </c>
      <c r="F349" t="s">
        <v>198</v>
      </c>
      <c r="G349" t="s">
        <v>215</v>
      </c>
      <c r="H349" t="s">
        <v>200</v>
      </c>
      <c r="I349" s="49">
        <v>45215</v>
      </c>
      <c r="J349" s="49">
        <v>45219</v>
      </c>
      <c r="K349" t="s">
        <v>1473</v>
      </c>
      <c r="L349" s="49">
        <v>45215</v>
      </c>
      <c r="M349" s="49">
        <v>45219</v>
      </c>
      <c r="N349" t="s">
        <v>107</v>
      </c>
      <c r="O349" t="s">
        <v>110</v>
      </c>
      <c r="P349">
        <f>VLOOKUP(N349,[1]ID_Cidades!$A$1:$E$5900,2,FALSE)</f>
        <v>295765</v>
      </c>
      <c r="Q349">
        <f>VLOOKUP(O349,[1]ID_Cidades!$A$1:$E$5900,2,FALSE)</f>
        <v>295763</v>
      </c>
      <c r="R349">
        <f t="shared" si="10"/>
        <v>87476343695</v>
      </c>
      <c r="S349" s="42">
        <f>VLOOKUP(R349,'[1]GCD base'!$A$1:$M$200,7,FALSE)</f>
        <v>1713.419991</v>
      </c>
      <c r="T349" t="s">
        <v>109</v>
      </c>
      <c r="U349" t="s">
        <v>205</v>
      </c>
      <c r="V349" t="s">
        <v>202</v>
      </c>
      <c r="W349" t="s">
        <v>210</v>
      </c>
      <c r="X349" t="s">
        <v>1474</v>
      </c>
      <c r="Y349">
        <v>1896.15</v>
      </c>
      <c r="Z349">
        <v>0</v>
      </c>
      <c r="AA349">
        <v>2017.71</v>
      </c>
      <c r="AB349">
        <v>0</v>
      </c>
      <c r="AC349" s="49">
        <v>45210</v>
      </c>
      <c r="AD349" s="116" t="s">
        <v>10</v>
      </c>
      <c r="AE349" s="113" t="str" cm="1">
        <f t="array" ref="AE349">_xlfn.IFS(S349&lt;=Constantes!$G$2,"Muito Curta (evitável)",S349&lt;=Constantes!$H$2,"Curta Distância",S349&gt;Constantes!$H$2,"Longa Distância")</f>
        <v>Curta Distância</v>
      </c>
      <c r="AF349" s="114">
        <f>IFERROR(VLOOKUP(AE349,Constantes!$A$1:$E$5,MATCH(AD349,Constantes!$A$1:$E$1,0),0),"")</f>
        <v>0.18286935436241611</v>
      </c>
      <c r="AG349" s="115">
        <f t="shared" si="11"/>
        <v>313.33200750582682</v>
      </c>
    </row>
    <row r="350" spans="1:33" x14ac:dyDescent="0.3">
      <c r="A350">
        <f>COUNTIF($B$2:B350,B350)</f>
        <v>2</v>
      </c>
      <c r="B350">
        <v>19394708</v>
      </c>
      <c r="C350" t="s">
        <v>1479</v>
      </c>
      <c r="D350" t="s">
        <v>1480</v>
      </c>
      <c r="E350" t="s">
        <v>1481</v>
      </c>
      <c r="F350" t="s">
        <v>198</v>
      </c>
      <c r="G350" t="s">
        <v>215</v>
      </c>
      <c r="H350" t="s">
        <v>200</v>
      </c>
      <c r="I350" s="49">
        <v>45215</v>
      </c>
      <c r="J350" s="49">
        <v>45219</v>
      </c>
      <c r="K350" t="s">
        <v>1473</v>
      </c>
      <c r="L350" s="49">
        <v>45219</v>
      </c>
      <c r="M350" s="49">
        <v>45219</v>
      </c>
      <c r="N350" t="s">
        <v>110</v>
      </c>
      <c r="O350" t="s">
        <v>107</v>
      </c>
      <c r="P350">
        <f>VLOOKUP(N350,[1]ID_Cidades!$A$1:$E$5900,2,FALSE)</f>
        <v>295763</v>
      </c>
      <c r="Q350">
        <f>VLOOKUP(O350,[1]ID_Cidades!$A$1:$E$5900,2,FALSE)</f>
        <v>295765</v>
      </c>
      <c r="R350">
        <f t="shared" si="10"/>
        <v>87476343695</v>
      </c>
      <c r="S350" s="42">
        <f>VLOOKUP(R350,'[1]GCD base'!$A$1:$M$200,7,FALSE)</f>
        <v>1713.419991</v>
      </c>
      <c r="T350" t="s">
        <v>109</v>
      </c>
      <c r="U350" t="s">
        <v>201</v>
      </c>
      <c r="V350" t="s">
        <v>202</v>
      </c>
      <c r="W350" t="s">
        <v>210</v>
      </c>
      <c r="X350" t="s">
        <v>1474</v>
      </c>
      <c r="Y350">
        <v>0</v>
      </c>
      <c r="Z350">
        <v>0</v>
      </c>
      <c r="AA350">
        <v>2840.09</v>
      </c>
      <c r="AB350">
        <v>0</v>
      </c>
      <c r="AC350" s="49">
        <v>45210</v>
      </c>
      <c r="AD350" s="116" t="s">
        <v>10</v>
      </c>
      <c r="AE350" s="113" t="str" cm="1">
        <f t="array" ref="AE350">_xlfn.IFS(S350&lt;=Constantes!$G$2,"Muito Curta (evitável)",S350&lt;=Constantes!$H$2,"Curta Distância",S350&gt;Constantes!$H$2,"Longa Distância")</f>
        <v>Curta Distância</v>
      </c>
      <c r="AF350" s="114">
        <f>IFERROR(VLOOKUP(AE350,Constantes!$A$1:$E$5,MATCH(AD350,Constantes!$A$1:$E$1,0),0),"")</f>
        <v>0.18286935436241611</v>
      </c>
      <c r="AG350" s="115">
        <f t="shared" si="11"/>
        <v>313.33200750582682</v>
      </c>
    </row>
    <row r="351" spans="1:33" x14ac:dyDescent="0.3">
      <c r="A351">
        <f>COUNTIF($B$2:B351,B351)</f>
        <v>1</v>
      </c>
      <c r="B351">
        <v>19394737</v>
      </c>
      <c r="C351" t="s">
        <v>1482</v>
      </c>
      <c r="D351" t="s">
        <v>1483</v>
      </c>
      <c r="E351" t="s">
        <v>1484</v>
      </c>
      <c r="F351" t="s">
        <v>198</v>
      </c>
      <c r="G351" t="s">
        <v>221</v>
      </c>
      <c r="H351" t="s">
        <v>200</v>
      </c>
      <c r="I351" s="49">
        <v>45215</v>
      </c>
      <c r="J351" s="49">
        <v>45219</v>
      </c>
      <c r="K351" t="s">
        <v>1473</v>
      </c>
      <c r="L351" s="49">
        <v>45219</v>
      </c>
      <c r="M351" s="49">
        <v>45219</v>
      </c>
      <c r="N351" t="s">
        <v>110</v>
      </c>
      <c r="O351" t="s">
        <v>107</v>
      </c>
      <c r="P351">
        <f>VLOOKUP(N351,[1]ID_Cidades!$A$1:$E$5900,2,FALSE)</f>
        <v>295763</v>
      </c>
      <c r="Q351">
        <f>VLOOKUP(O351,[1]ID_Cidades!$A$1:$E$5900,2,FALSE)</f>
        <v>295765</v>
      </c>
      <c r="R351">
        <f t="shared" si="10"/>
        <v>87476343695</v>
      </c>
      <c r="S351" s="42">
        <f>VLOOKUP(R351,'[1]GCD base'!$A$1:$M$200,7,FALSE)</f>
        <v>1713.419991</v>
      </c>
      <c r="T351" t="s">
        <v>109</v>
      </c>
      <c r="U351" t="s">
        <v>201</v>
      </c>
      <c r="V351" t="s">
        <v>202</v>
      </c>
      <c r="W351" t="s">
        <v>210</v>
      </c>
      <c r="X351" t="s">
        <v>1474</v>
      </c>
      <c r="Y351">
        <v>1660.58</v>
      </c>
      <c r="Z351">
        <v>0</v>
      </c>
      <c r="AA351">
        <v>2017.71</v>
      </c>
      <c r="AB351">
        <v>0</v>
      </c>
      <c r="AC351" s="49">
        <v>45210</v>
      </c>
      <c r="AD351" s="116" t="s">
        <v>10</v>
      </c>
      <c r="AE351" s="113" t="str" cm="1">
        <f t="array" ref="AE351">_xlfn.IFS(S351&lt;=Constantes!$G$2,"Muito Curta (evitável)",S351&lt;=Constantes!$H$2,"Curta Distância",S351&gt;Constantes!$H$2,"Longa Distância")</f>
        <v>Curta Distância</v>
      </c>
      <c r="AF351" s="114">
        <f>IFERROR(VLOOKUP(AE351,Constantes!$A$1:$E$5,MATCH(AD351,Constantes!$A$1:$E$1,0),0),"")</f>
        <v>0.18286935436241611</v>
      </c>
      <c r="AG351" s="115">
        <f t="shared" si="11"/>
        <v>313.33200750582682</v>
      </c>
    </row>
    <row r="352" spans="1:33" x14ac:dyDescent="0.3">
      <c r="A352">
        <f>COUNTIF($B$2:B352,B352)</f>
        <v>2</v>
      </c>
      <c r="B352">
        <v>19394737</v>
      </c>
      <c r="C352" t="s">
        <v>1482</v>
      </c>
      <c r="D352" t="s">
        <v>1483</v>
      </c>
      <c r="E352" t="s">
        <v>1484</v>
      </c>
      <c r="F352" t="s">
        <v>198</v>
      </c>
      <c r="G352" t="s">
        <v>221</v>
      </c>
      <c r="H352" t="s">
        <v>200</v>
      </c>
      <c r="I352" s="49">
        <v>45215</v>
      </c>
      <c r="J352" s="49">
        <v>45219</v>
      </c>
      <c r="K352" t="s">
        <v>1473</v>
      </c>
      <c r="L352" s="49">
        <v>45215</v>
      </c>
      <c r="M352" s="49">
        <v>45219</v>
      </c>
      <c r="N352" t="s">
        <v>107</v>
      </c>
      <c r="O352" t="s">
        <v>110</v>
      </c>
      <c r="P352">
        <f>VLOOKUP(N352,[1]ID_Cidades!$A$1:$E$5900,2,FALSE)</f>
        <v>295765</v>
      </c>
      <c r="Q352">
        <f>VLOOKUP(O352,[1]ID_Cidades!$A$1:$E$5900,2,FALSE)</f>
        <v>295763</v>
      </c>
      <c r="R352">
        <f t="shared" si="10"/>
        <v>87476343695</v>
      </c>
      <c r="S352" s="42">
        <f>VLOOKUP(R352,'[1]GCD base'!$A$1:$M$200,7,FALSE)</f>
        <v>1713.419991</v>
      </c>
      <c r="T352" t="s">
        <v>109</v>
      </c>
      <c r="U352" t="s">
        <v>205</v>
      </c>
      <c r="V352" t="s">
        <v>202</v>
      </c>
      <c r="W352" t="s">
        <v>210</v>
      </c>
      <c r="X352" t="s">
        <v>1474</v>
      </c>
      <c r="Y352">
        <v>0</v>
      </c>
      <c r="Z352">
        <v>0</v>
      </c>
      <c r="AA352">
        <v>2840.09</v>
      </c>
      <c r="AB352">
        <v>0</v>
      </c>
      <c r="AC352" s="49">
        <v>45210</v>
      </c>
      <c r="AD352" s="116" t="s">
        <v>10</v>
      </c>
      <c r="AE352" s="113" t="str" cm="1">
        <f t="array" ref="AE352">_xlfn.IFS(S352&lt;=Constantes!$G$2,"Muito Curta (evitável)",S352&lt;=Constantes!$H$2,"Curta Distância",S352&gt;Constantes!$H$2,"Longa Distância")</f>
        <v>Curta Distância</v>
      </c>
      <c r="AF352" s="114">
        <f>IFERROR(VLOOKUP(AE352,Constantes!$A$1:$E$5,MATCH(AD352,Constantes!$A$1:$E$1,0),0),"")</f>
        <v>0.18286935436241611</v>
      </c>
      <c r="AG352" s="115">
        <f t="shared" si="11"/>
        <v>313.33200750582682</v>
      </c>
    </row>
    <row r="353" spans="1:33" x14ac:dyDescent="0.3">
      <c r="A353">
        <f>COUNTIF($B$2:B353,B353)</f>
        <v>1</v>
      </c>
      <c r="B353">
        <v>19394895</v>
      </c>
      <c r="C353" t="s">
        <v>1490</v>
      </c>
      <c r="D353" t="s">
        <v>1491</v>
      </c>
      <c r="E353" t="s">
        <v>1492</v>
      </c>
      <c r="F353" t="s">
        <v>198</v>
      </c>
      <c r="G353" t="s">
        <v>215</v>
      </c>
      <c r="H353" t="s">
        <v>200</v>
      </c>
      <c r="I353" s="49">
        <v>45215</v>
      </c>
      <c r="J353" s="49">
        <v>45219</v>
      </c>
      <c r="K353" t="s">
        <v>1473</v>
      </c>
      <c r="L353" s="49">
        <v>45219</v>
      </c>
      <c r="M353" s="49">
        <v>45219</v>
      </c>
      <c r="N353" t="s">
        <v>110</v>
      </c>
      <c r="O353" t="s">
        <v>107</v>
      </c>
      <c r="P353">
        <f>VLOOKUP(N353,[1]ID_Cidades!$A$1:$E$5900,2,FALSE)</f>
        <v>295763</v>
      </c>
      <c r="Q353">
        <f>VLOOKUP(O353,[1]ID_Cidades!$A$1:$E$5900,2,FALSE)</f>
        <v>295765</v>
      </c>
      <c r="R353">
        <f t="shared" si="10"/>
        <v>87476343695</v>
      </c>
      <c r="S353" s="42">
        <f>VLOOKUP(R353,'[1]GCD base'!$A$1:$M$200,7,FALSE)</f>
        <v>1713.419991</v>
      </c>
      <c r="T353" t="s">
        <v>109</v>
      </c>
      <c r="U353" t="s">
        <v>201</v>
      </c>
      <c r="V353" t="s">
        <v>202</v>
      </c>
      <c r="W353" t="s">
        <v>210</v>
      </c>
      <c r="X353" t="s">
        <v>1474</v>
      </c>
      <c r="Y353">
        <v>1751.25</v>
      </c>
      <c r="Z353">
        <v>0</v>
      </c>
      <c r="AA353">
        <v>2055.41</v>
      </c>
      <c r="AB353">
        <v>0</v>
      </c>
      <c r="AC353" s="49">
        <v>45210</v>
      </c>
      <c r="AD353" s="116" t="s">
        <v>10</v>
      </c>
      <c r="AE353" s="113" t="str" cm="1">
        <f t="array" ref="AE353">_xlfn.IFS(S353&lt;=Constantes!$G$2,"Muito Curta (evitável)",S353&lt;=Constantes!$H$2,"Curta Distância",S353&gt;Constantes!$H$2,"Longa Distância")</f>
        <v>Curta Distância</v>
      </c>
      <c r="AF353" s="114">
        <f>IFERROR(VLOOKUP(AE353,Constantes!$A$1:$E$5,MATCH(AD353,Constantes!$A$1:$E$1,0),0),"")</f>
        <v>0.18286935436241611</v>
      </c>
      <c r="AG353" s="115">
        <f t="shared" si="11"/>
        <v>313.33200750582682</v>
      </c>
    </row>
    <row r="354" spans="1:33" x14ac:dyDescent="0.3">
      <c r="A354">
        <f>COUNTIF($B$2:B354,B354)</f>
        <v>2</v>
      </c>
      <c r="B354">
        <v>19394895</v>
      </c>
      <c r="C354" t="s">
        <v>1490</v>
      </c>
      <c r="D354" t="s">
        <v>1491</v>
      </c>
      <c r="E354" t="s">
        <v>1492</v>
      </c>
      <c r="F354" t="s">
        <v>198</v>
      </c>
      <c r="G354" t="s">
        <v>215</v>
      </c>
      <c r="H354" t="s">
        <v>200</v>
      </c>
      <c r="I354" s="49">
        <v>45215</v>
      </c>
      <c r="J354" s="49">
        <v>45219</v>
      </c>
      <c r="K354" t="s">
        <v>1473</v>
      </c>
      <c r="L354" s="49">
        <v>45215</v>
      </c>
      <c r="M354" s="49">
        <v>45219</v>
      </c>
      <c r="N354" t="s">
        <v>107</v>
      </c>
      <c r="O354" t="s">
        <v>110</v>
      </c>
      <c r="P354">
        <f>VLOOKUP(N354,[1]ID_Cidades!$A$1:$E$5900,2,FALSE)</f>
        <v>295765</v>
      </c>
      <c r="Q354">
        <f>VLOOKUP(O354,[1]ID_Cidades!$A$1:$E$5900,2,FALSE)</f>
        <v>295763</v>
      </c>
      <c r="R354">
        <f t="shared" si="10"/>
        <v>87476343695</v>
      </c>
      <c r="S354" s="42">
        <f>VLOOKUP(R354,'[1]GCD base'!$A$1:$M$200,7,FALSE)</f>
        <v>1713.419991</v>
      </c>
      <c r="T354" t="s">
        <v>109</v>
      </c>
      <c r="U354" t="s">
        <v>205</v>
      </c>
      <c r="V354" t="s">
        <v>202</v>
      </c>
      <c r="W354" t="s">
        <v>210</v>
      </c>
      <c r="X354" t="s">
        <v>1474</v>
      </c>
      <c r="Y354">
        <v>0</v>
      </c>
      <c r="Z354">
        <v>0</v>
      </c>
      <c r="AA354">
        <v>2811.99</v>
      </c>
      <c r="AB354">
        <v>0</v>
      </c>
      <c r="AC354" s="49">
        <v>45210</v>
      </c>
      <c r="AD354" s="116" t="s">
        <v>10</v>
      </c>
      <c r="AE354" s="113" t="str" cm="1">
        <f t="array" ref="AE354">_xlfn.IFS(S354&lt;=Constantes!$G$2,"Muito Curta (evitável)",S354&lt;=Constantes!$H$2,"Curta Distância",S354&gt;Constantes!$H$2,"Longa Distância")</f>
        <v>Curta Distância</v>
      </c>
      <c r="AF354" s="114">
        <f>IFERROR(VLOOKUP(AE354,Constantes!$A$1:$E$5,MATCH(AD354,Constantes!$A$1:$E$1,0),0),"")</f>
        <v>0.18286935436241611</v>
      </c>
      <c r="AG354" s="115">
        <f t="shared" si="11"/>
        <v>313.33200750582682</v>
      </c>
    </row>
    <row r="355" spans="1:33" x14ac:dyDescent="0.3">
      <c r="A355">
        <f>COUNTIF($B$2:B355,B355)</f>
        <v>1</v>
      </c>
      <c r="B355">
        <v>19231762</v>
      </c>
      <c r="C355" t="s">
        <v>767</v>
      </c>
      <c r="D355" t="s">
        <v>768</v>
      </c>
      <c r="E355" t="s">
        <v>769</v>
      </c>
      <c r="F355" t="s">
        <v>198</v>
      </c>
      <c r="G355" t="s">
        <v>207</v>
      </c>
      <c r="H355" t="s">
        <v>204</v>
      </c>
      <c r="I355" s="49">
        <v>45216</v>
      </c>
      <c r="J355" s="49">
        <v>45219</v>
      </c>
      <c r="K355" t="s">
        <v>770</v>
      </c>
      <c r="L355" s="49">
        <v>45216</v>
      </c>
      <c r="M355" s="49">
        <v>45219</v>
      </c>
      <c r="N355" t="s">
        <v>107</v>
      </c>
      <c r="O355" t="s">
        <v>117</v>
      </c>
      <c r="P355">
        <f>VLOOKUP(N355,[1]ID_Cidades!$A$1:$E$5900,2,FALSE)</f>
        <v>295765</v>
      </c>
      <c r="Q355">
        <f>VLOOKUP(O355,[1]ID_Cidades!$A$1:$E$5900,2,FALSE)</f>
        <v>295779</v>
      </c>
      <c r="R355">
        <f t="shared" si="10"/>
        <v>87481075935</v>
      </c>
      <c r="S355" s="42">
        <f>VLOOKUP(R355,'[1]GCD base'!$A$1:$M$200,7,FALSE)</f>
        <v>2189.9742419999998</v>
      </c>
      <c r="T355" t="s">
        <v>109</v>
      </c>
      <c r="U355" t="s">
        <v>205</v>
      </c>
      <c r="V355" t="s">
        <v>202</v>
      </c>
      <c r="W355" t="s">
        <v>203</v>
      </c>
      <c r="X355" t="s">
        <v>204</v>
      </c>
      <c r="Y355">
        <v>1309.3499999999999</v>
      </c>
      <c r="Z355">
        <v>0</v>
      </c>
      <c r="AA355">
        <v>1477.63</v>
      </c>
      <c r="AB355">
        <v>0</v>
      </c>
      <c r="AC355" s="49">
        <v>45170</v>
      </c>
      <c r="AD355" s="116" t="s">
        <v>10</v>
      </c>
      <c r="AE355" s="113" t="str" cm="1">
        <f t="array" ref="AE355">_xlfn.IFS(S355&lt;=Constantes!$G$2,"Muito Curta (evitável)",S355&lt;=Constantes!$H$2,"Curta Distância",S355&gt;Constantes!$H$2,"Longa Distância")</f>
        <v>Curta Distância</v>
      </c>
      <c r="AF355" s="114">
        <f>IFERROR(VLOOKUP(AE355,Constantes!$A$1:$E$5,MATCH(AD355,Constantes!$A$1:$E$1,0),0),"")</f>
        <v>0.18286935436241611</v>
      </c>
      <c r="AG355" s="115">
        <f t="shared" si="11"/>
        <v>400.47917570486158</v>
      </c>
    </row>
    <row r="356" spans="1:33" x14ac:dyDescent="0.3">
      <c r="A356">
        <f>COUNTIF($B$2:B356,B356)</f>
        <v>2</v>
      </c>
      <c r="B356">
        <v>19231762</v>
      </c>
      <c r="C356" t="s">
        <v>767</v>
      </c>
      <c r="D356" t="s">
        <v>768</v>
      </c>
      <c r="E356" t="s">
        <v>769</v>
      </c>
      <c r="F356" t="s">
        <v>198</v>
      </c>
      <c r="G356" t="s">
        <v>207</v>
      </c>
      <c r="H356" t="s">
        <v>204</v>
      </c>
      <c r="I356" s="49">
        <v>45216</v>
      </c>
      <c r="J356" s="49">
        <v>45219</v>
      </c>
      <c r="K356" t="s">
        <v>770</v>
      </c>
      <c r="L356" s="49">
        <v>45219</v>
      </c>
      <c r="M356" s="49">
        <v>45219</v>
      </c>
      <c r="N356" t="s">
        <v>117</v>
      </c>
      <c r="O356" t="s">
        <v>107</v>
      </c>
      <c r="P356">
        <f>VLOOKUP(N356,[1]ID_Cidades!$A$1:$E$5900,2,FALSE)</f>
        <v>295779</v>
      </c>
      <c r="Q356">
        <f>VLOOKUP(O356,[1]ID_Cidades!$A$1:$E$5900,2,FALSE)</f>
        <v>295765</v>
      </c>
      <c r="R356">
        <f t="shared" si="10"/>
        <v>87481075935</v>
      </c>
      <c r="S356" s="42">
        <f>VLOOKUP(R356,'[1]GCD base'!$A$1:$M$200,7,FALSE)</f>
        <v>2189.9742419999998</v>
      </c>
      <c r="T356" t="s">
        <v>109</v>
      </c>
      <c r="U356" t="s">
        <v>201</v>
      </c>
      <c r="V356" t="s">
        <v>202</v>
      </c>
      <c r="W356" t="s">
        <v>203</v>
      </c>
      <c r="X356" t="s">
        <v>204</v>
      </c>
      <c r="Y356">
        <v>0</v>
      </c>
      <c r="Z356">
        <v>0</v>
      </c>
      <c r="AA356">
        <v>1195.0899999999999</v>
      </c>
      <c r="AB356">
        <v>0</v>
      </c>
      <c r="AC356" s="49">
        <v>45170</v>
      </c>
      <c r="AD356" s="116" t="s">
        <v>10</v>
      </c>
      <c r="AE356" s="113" t="str" cm="1">
        <f t="array" ref="AE356">_xlfn.IFS(S356&lt;=Constantes!$G$2,"Muito Curta (evitável)",S356&lt;=Constantes!$H$2,"Curta Distância",S356&gt;Constantes!$H$2,"Longa Distância")</f>
        <v>Curta Distância</v>
      </c>
      <c r="AF356" s="114">
        <f>IFERROR(VLOOKUP(AE356,Constantes!$A$1:$E$5,MATCH(AD356,Constantes!$A$1:$E$1,0),0),"")</f>
        <v>0.18286935436241611</v>
      </c>
      <c r="AG356" s="115">
        <f t="shared" si="11"/>
        <v>400.47917570486158</v>
      </c>
    </row>
    <row r="357" spans="1:33" x14ac:dyDescent="0.3">
      <c r="A357">
        <f>COUNTIF($B$2:B357,B357)</f>
        <v>1</v>
      </c>
      <c r="B357">
        <v>19321680</v>
      </c>
      <c r="C357" t="s">
        <v>1203</v>
      </c>
      <c r="D357" t="s">
        <v>218</v>
      </c>
      <c r="E357" t="s">
        <v>1204</v>
      </c>
      <c r="F357" t="s">
        <v>218</v>
      </c>
      <c r="G357" t="s">
        <v>207</v>
      </c>
      <c r="H357" t="s">
        <v>204</v>
      </c>
      <c r="I357" s="49">
        <v>45216</v>
      </c>
      <c r="J357" s="49">
        <v>45220</v>
      </c>
      <c r="K357" t="s">
        <v>1205</v>
      </c>
      <c r="L357" s="49">
        <v>45220</v>
      </c>
      <c r="M357" s="49">
        <v>45220</v>
      </c>
      <c r="N357" t="s">
        <v>107</v>
      </c>
      <c r="O357" t="s">
        <v>127</v>
      </c>
      <c r="P357">
        <f>VLOOKUP(N357,[1]ID_Cidades!$A$1:$E$5900,2,FALSE)</f>
        <v>295765</v>
      </c>
      <c r="Q357">
        <f>VLOOKUP(O357,[1]ID_Cidades!$A$1:$E$5900,2,FALSE)</f>
        <v>301205</v>
      </c>
      <c r="R357">
        <f t="shared" si="10"/>
        <v>89085896825</v>
      </c>
      <c r="S357" s="42">
        <f>VLOOKUP(R357,'[1]GCD base'!$A$1:$M$200,7,FALSE)</f>
        <v>2588.8989320000001</v>
      </c>
      <c r="T357" t="s">
        <v>109</v>
      </c>
      <c r="U357" t="s">
        <v>201</v>
      </c>
      <c r="V357" t="s">
        <v>202</v>
      </c>
      <c r="W357" t="s">
        <v>210</v>
      </c>
      <c r="X357" t="s">
        <v>1206</v>
      </c>
      <c r="Y357">
        <v>1489.17</v>
      </c>
      <c r="Z357">
        <v>0</v>
      </c>
      <c r="AA357">
        <v>1014.93</v>
      </c>
      <c r="AB357">
        <v>0</v>
      </c>
      <c r="AC357" s="49">
        <v>45210</v>
      </c>
      <c r="AD357" s="116" t="s">
        <v>10</v>
      </c>
      <c r="AE357" s="113" t="str" cm="1">
        <f t="array" ref="AE357">_xlfn.IFS(S357&lt;=Constantes!$G$2,"Muito Curta (evitável)",S357&lt;=Constantes!$H$2,"Curta Distância",S357&gt;Constantes!$H$2,"Longa Distância")</f>
        <v>Curta Distância</v>
      </c>
      <c r="AF357" s="114">
        <f>IFERROR(VLOOKUP(AE357,Constantes!$A$1:$E$5,MATCH(AD357,Constantes!$A$1:$E$1,0),0),"")</f>
        <v>0.18286935436241611</v>
      </c>
      <c r="AG357" s="115">
        <f t="shared" si="11"/>
        <v>473.43027620438863</v>
      </c>
    </row>
    <row r="358" spans="1:33" x14ac:dyDescent="0.3">
      <c r="A358">
        <f>COUNTIF($B$2:B358,B358)</f>
        <v>2</v>
      </c>
      <c r="B358">
        <v>19321680</v>
      </c>
      <c r="C358" t="s">
        <v>1203</v>
      </c>
      <c r="D358" t="s">
        <v>218</v>
      </c>
      <c r="E358" t="s">
        <v>1204</v>
      </c>
      <c r="F358" t="s">
        <v>218</v>
      </c>
      <c r="G358" t="s">
        <v>207</v>
      </c>
      <c r="H358" t="s">
        <v>204</v>
      </c>
      <c r="I358" s="49">
        <v>45216</v>
      </c>
      <c r="J358" s="49">
        <v>45220</v>
      </c>
      <c r="K358" t="s">
        <v>1205</v>
      </c>
      <c r="L358" s="49">
        <v>45216</v>
      </c>
      <c r="M358" s="49">
        <v>45217</v>
      </c>
      <c r="N358" t="s">
        <v>127</v>
      </c>
      <c r="O358" t="s">
        <v>107</v>
      </c>
      <c r="P358">
        <f>VLOOKUP(N358,[1]ID_Cidades!$A$1:$E$5900,2,FALSE)</f>
        <v>301205</v>
      </c>
      <c r="Q358">
        <f>VLOOKUP(O358,[1]ID_Cidades!$A$1:$E$5900,2,FALSE)</f>
        <v>295765</v>
      </c>
      <c r="R358">
        <f t="shared" si="10"/>
        <v>89085896825</v>
      </c>
      <c r="S358" s="42">
        <f>VLOOKUP(R358,'[1]GCD base'!$A$1:$M$200,7,FALSE)</f>
        <v>2588.8989320000001</v>
      </c>
      <c r="T358" t="s">
        <v>109</v>
      </c>
      <c r="U358" t="s">
        <v>201</v>
      </c>
      <c r="V358" t="s">
        <v>202</v>
      </c>
      <c r="W358" t="s">
        <v>210</v>
      </c>
      <c r="X358" t="s">
        <v>1206</v>
      </c>
      <c r="Y358">
        <v>0</v>
      </c>
      <c r="Z358">
        <v>0</v>
      </c>
      <c r="AA358">
        <v>975.19</v>
      </c>
      <c r="AB358">
        <v>0</v>
      </c>
      <c r="AC358" s="49">
        <v>45210</v>
      </c>
      <c r="AD358" s="116" t="s">
        <v>10</v>
      </c>
      <c r="AE358" s="113" t="str" cm="1">
        <f t="array" ref="AE358">_xlfn.IFS(S358&lt;=Constantes!$G$2,"Muito Curta (evitável)",S358&lt;=Constantes!$H$2,"Curta Distância",S358&gt;Constantes!$H$2,"Longa Distância")</f>
        <v>Curta Distância</v>
      </c>
      <c r="AF358" s="114">
        <f>IFERROR(VLOOKUP(AE358,Constantes!$A$1:$E$5,MATCH(AD358,Constantes!$A$1:$E$1,0),0),"")</f>
        <v>0.18286935436241611</v>
      </c>
      <c r="AG358" s="115">
        <f t="shared" si="11"/>
        <v>473.43027620438863</v>
      </c>
    </row>
    <row r="359" spans="1:33" x14ac:dyDescent="0.3">
      <c r="A359">
        <f>COUNTIF($B$2:B359,B359)</f>
        <v>1</v>
      </c>
      <c r="B359">
        <v>19101393</v>
      </c>
      <c r="C359" t="s">
        <v>409</v>
      </c>
      <c r="D359" t="s">
        <v>410</v>
      </c>
      <c r="E359" t="s">
        <v>411</v>
      </c>
      <c r="F359" t="s">
        <v>198</v>
      </c>
      <c r="G359" t="s">
        <v>211</v>
      </c>
      <c r="H359" t="s">
        <v>211</v>
      </c>
      <c r="I359" s="49">
        <v>45217</v>
      </c>
      <c r="J359" s="49">
        <v>45221</v>
      </c>
      <c r="K359" t="s">
        <v>412</v>
      </c>
      <c r="L359" s="49">
        <v>45217</v>
      </c>
      <c r="M359" s="49">
        <v>45221</v>
      </c>
      <c r="N359" t="s">
        <v>107</v>
      </c>
      <c r="O359" t="s">
        <v>108</v>
      </c>
      <c r="P359">
        <f>VLOOKUP(N359,[1]ID_Cidades!$A$1:$E$5900,2,FALSE)</f>
        <v>295765</v>
      </c>
      <c r="Q359">
        <f>VLOOKUP(O359,[1]ID_Cidades!$A$1:$E$5900,2,FALSE)</f>
        <v>305719</v>
      </c>
      <c r="R359">
        <f t="shared" si="10"/>
        <v>90420980035</v>
      </c>
      <c r="S359" s="42">
        <f>VLOOKUP(R359,'[1]GCD base'!$A$1:$M$200,7,FALSE)</f>
        <v>2917.0455609999999</v>
      </c>
      <c r="T359" t="s">
        <v>109</v>
      </c>
      <c r="U359" t="s">
        <v>205</v>
      </c>
      <c r="V359" t="s">
        <v>202</v>
      </c>
      <c r="W359" t="s">
        <v>203</v>
      </c>
      <c r="X359" t="s">
        <v>204</v>
      </c>
      <c r="Y359">
        <v>1359.32</v>
      </c>
      <c r="Z359">
        <v>0</v>
      </c>
      <c r="AA359">
        <v>2202.09</v>
      </c>
      <c r="AB359">
        <v>0</v>
      </c>
      <c r="AC359" s="49">
        <v>45181</v>
      </c>
      <c r="AD359" s="116" t="s">
        <v>10</v>
      </c>
      <c r="AE359" s="113" t="str" cm="1">
        <f t="array" ref="AE359">_xlfn.IFS(S359&lt;=Constantes!$G$2,"Muito Curta (evitável)",S359&lt;=Constantes!$H$2,"Curta Distância",S359&gt;Constantes!$H$2,"Longa Distância")</f>
        <v>Curta Distância</v>
      </c>
      <c r="AF359" s="114">
        <f>IFERROR(VLOOKUP(AE359,Constantes!$A$1:$E$5,MATCH(AD359,Constantes!$A$1:$E$1,0),0),"")</f>
        <v>0.18286935436241611</v>
      </c>
      <c r="AG359" s="115">
        <f t="shared" si="11"/>
        <v>533.43823838582193</v>
      </c>
    </row>
    <row r="360" spans="1:33" x14ac:dyDescent="0.3">
      <c r="A360">
        <f>COUNTIF($B$2:B360,B360)</f>
        <v>1</v>
      </c>
      <c r="B360">
        <v>19124091</v>
      </c>
      <c r="C360" t="s">
        <v>476</v>
      </c>
      <c r="D360" t="s">
        <v>477</v>
      </c>
      <c r="E360" t="s">
        <v>478</v>
      </c>
      <c r="F360" t="s">
        <v>198</v>
      </c>
      <c r="G360" t="s">
        <v>233</v>
      </c>
      <c r="H360" t="s">
        <v>233</v>
      </c>
      <c r="I360" s="49">
        <v>45217</v>
      </c>
      <c r="J360" s="49">
        <v>45220</v>
      </c>
      <c r="K360" t="s">
        <v>479</v>
      </c>
      <c r="L360" s="49">
        <v>45217</v>
      </c>
      <c r="M360" s="49">
        <v>45217</v>
      </c>
      <c r="N360" t="s">
        <v>107</v>
      </c>
      <c r="O360" t="s">
        <v>110</v>
      </c>
      <c r="P360">
        <f>VLOOKUP(N360,[1]ID_Cidades!$A$1:$E$5900,2,FALSE)</f>
        <v>295765</v>
      </c>
      <c r="Q360">
        <f>VLOOKUP(O360,[1]ID_Cidades!$A$1:$E$5900,2,FALSE)</f>
        <v>295763</v>
      </c>
      <c r="R360">
        <f t="shared" si="10"/>
        <v>87476343695</v>
      </c>
      <c r="S360" s="42">
        <f>VLOOKUP(R360,'[1]GCD base'!$A$1:$M$200,7,FALSE)</f>
        <v>1713.419991</v>
      </c>
      <c r="T360" t="s">
        <v>109</v>
      </c>
      <c r="U360" t="s">
        <v>201</v>
      </c>
      <c r="V360" t="s">
        <v>202</v>
      </c>
      <c r="W360" t="s">
        <v>203</v>
      </c>
      <c r="X360" t="s">
        <v>204</v>
      </c>
      <c r="Y360">
        <v>1339.26</v>
      </c>
      <c r="Z360">
        <v>0</v>
      </c>
      <c r="AA360">
        <v>1280.9100000000001</v>
      </c>
      <c r="AB360">
        <v>0</v>
      </c>
      <c r="AC360" s="49">
        <v>45154</v>
      </c>
      <c r="AD360" s="116" t="s">
        <v>10</v>
      </c>
      <c r="AE360" s="113" t="str" cm="1">
        <f t="array" ref="AE360">_xlfn.IFS(S360&lt;=Constantes!$G$2,"Muito Curta (evitável)",S360&lt;=Constantes!$H$2,"Curta Distância",S360&gt;Constantes!$H$2,"Longa Distância")</f>
        <v>Curta Distância</v>
      </c>
      <c r="AF360" s="114">
        <f>IFERROR(VLOOKUP(AE360,Constantes!$A$1:$E$5,MATCH(AD360,Constantes!$A$1:$E$1,0),0),"")</f>
        <v>0.18286935436241611</v>
      </c>
      <c r="AG360" s="115">
        <f t="shared" si="11"/>
        <v>313.33200750582682</v>
      </c>
    </row>
    <row r="361" spans="1:33" x14ac:dyDescent="0.3">
      <c r="A361">
        <f>COUNTIF($B$2:B361,B361)</f>
        <v>2</v>
      </c>
      <c r="B361">
        <v>19124091</v>
      </c>
      <c r="C361" t="s">
        <v>476</v>
      </c>
      <c r="D361" t="s">
        <v>477</v>
      </c>
      <c r="E361" t="s">
        <v>478</v>
      </c>
      <c r="F361" t="s">
        <v>198</v>
      </c>
      <c r="G361" t="s">
        <v>233</v>
      </c>
      <c r="H361" t="s">
        <v>233</v>
      </c>
      <c r="I361" s="49">
        <v>45217</v>
      </c>
      <c r="J361" s="49">
        <v>45220</v>
      </c>
      <c r="K361" t="s">
        <v>479</v>
      </c>
      <c r="L361" s="49">
        <v>45219</v>
      </c>
      <c r="M361" s="49">
        <v>45220</v>
      </c>
      <c r="N361" t="s">
        <v>110</v>
      </c>
      <c r="O361" t="s">
        <v>107</v>
      </c>
      <c r="P361">
        <f>VLOOKUP(N361,[1]ID_Cidades!$A$1:$E$5900,2,FALSE)</f>
        <v>295763</v>
      </c>
      <c r="Q361">
        <f>VLOOKUP(O361,[1]ID_Cidades!$A$1:$E$5900,2,FALSE)</f>
        <v>295765</v>
      </c>
      <c r="R361">
        <f t="shared" si="10"/>
        <v>87476343695</v>
      </c>
      <c r="S361" s="42">
        <f>VLOOKUP(R361,'[1]GCD base'!$A$1:$M$200,7,FALSE)</f>
        <v>1713.419991</v>
      </c>
      <c r="T361" t="s">
        <v>109</v>
      </c>
      <c r="U361" t="s">
        <v>201</v>
      </c>
      <c r="V361" t="s">
        <v>202</v>
      </c>
      <c r="W361" t="s">
        <v>203</v>
      </c>
      <c r="X361" t="s">
        <v>204</v>
      </c>
      <c r="Y361">
        <v>0</v>
      </c>
      <c r="Z361">
        <v>0</v>
      </c>
      <c r="AA361">
        <v>529.29</v>
      </c>
      <c r="AB361">
        <v>0</v>
      </c>
      <c r="AC361" s="49">
        <v>45154</v>
      </c>
      <c r="AD361" s="116" t="s">
        <v>10</v>
      </c>
      <c r="AE361" s="113" t="str" cm="1">
        <f t="array" ref="AE361">_xlfn.IFS(S361&lt;=Constantes!$G$2,"Muito Curta (evitável)",S361&lt;=Constantes!$H$2,"Curta Distância",S361&gt;Constantes!$H$2,"Longa Distância")</f>
        <v>Curta Distância</v>
      </c>
      <c r="AF361" s="114">
        <f>IFERROR(VLOOKUP(AE361,Constantes!$A$1:$E$5,MATCH(AD361,Constantes!$A$1:$E$1,0),0),"")</f>
        <v>0.18286935436241611</v>
      </c>
      <c r="AG361" s="115">
        <f t="shared" si="11"/>
        <v>313.33200750582682</v>
      </c>
    </row>
    <row r="362" spans="1:33" x14ac:dyDescent="0.3">
      <c r="A362">
        <f>COUNTIF($B$2:B362,B362)</f>
        <v>1</v>
      </c>
      <c r="B362">
        <v>19185075</v>
      </c>
      <c r="C362" t="s">
        <v>626</v>
      </c>
      <c r="D362" t="s">
        <v>627</v>
      </c>
      <c r="E362" t="s">
        <v>628</v>
      </c>
      <c r="F362" t="s">
        <v>198</v>
      </c>
      <c r="G362" t="s">
        <v>233</v>
      </c>
      <c r="H362" t="s">
        <v>233</v>
      </c>
      <c r="I362" s="49">
        <v>45217</v>
      </c>
      <c r="J362" s="49">
        <v>45220</v>
      </c>
      <c r="K362" t="s">
        <v>629</v>
      </c>
      <c r="L362" s="49">
        <v>45217</v>
      </c>
      <c r="M362" s="49">
        <v>45219</v>
      </c>
      <c r="N362" t="s">
        <v>107</v>
      </c>
      <c r="O362" t="s">
        <v>110</v>
      </c>
      <c r="P362">
        <f>VLOOKUP(N362,[1]ID_Cidades!$A$1:$E$5900,2,FALSE)</f>
        <v>295765</v>
      </c>
      <c r="Q362">
        <f>VLOOKUP(O362,[1]ID_Cidades!$A$1:$E$5900,2,FALSE)</f>
        <v>295763</v>
      </c>
      <c r="R362">
        <f t="shared" si="10"/>
        <v>87476343695</v>
      </c>
      <c r="S362" s="42">
        <f>VLOOKUP(R362,'[1]GCD base'!$A$1:$M$200,7,FALSE)</f>
        <v>1713.419991</v>
      </c>
      <c r="T362" t="s">
        <v>109</v>
      </c>
      <c r="U362" t="s">
        <v>205</v>
      </c>
      <c r="V362" t="s">
        <v>202</v>
      </c>
      <c r="W362" t="s">
        <v>203</v>
      </c>
      <c r="X362" t="s">
        <v>204</v>
      </c>
      <c r="Y362">
        <v>1339.26</v>
      </c>
      <c r="Z362">
        <v>0</v>
      </c>
      <c r="AA362">
        <v>843.99</v>
      </c>
      <c r="AB362">
        <v>0</v>
      </c>
      <c r="AC362" s="49">
        <v>45156</v>
      </c>
      <c r="AD362" s="116" t="s">
        <v>10</v>
      </c>
      <c r="AE362" s="113" t="str" cm="1">
        <f t="array" ref="AE362">_xlfn.IFS(S362&lt;=Constantes!$G$2,"Muito Curta (evitável)",S362&lt;=Constantes!$H$2,"Curta Distância",S362&gt;Constantes!$H$2,"Longa Distância")</f>
        <v>Curta Distância</v>
      </c>
      <c r="AF362" s="114">
        <f>IFERROR(VLOOKUP(AE362,Constantes!$A$1:$E$5,MATCH(AD362,Constantes!$A$1:$E$1,0),0),"")</f>
        <v>0.18286935436241611</v>
      </c>
      <c r="AG362" s="115">
        <f t="shared" si="11"/>
        <v>313.33200750582682</v>
      </c>
    </row>
    <row r="363" spans="1:33" x14ac:dyDescent="0.3">
      <c r="A363">
        <f>COUNTIF($B$2:B363,B363)</f>
        <v>2</v>
      </c>
      <c r="B363">
        <v>19185075</v>
      </c>
      <c r="C363" t="s">
        <v>626</v>
      </c>
      <c r="D363" t="s">
        <v>627</v>
      </c>
      <c r="E363" t="s">
        <v>628</v>
      </c>
      <c r="F363" t="s">
        <v>198</v>
      </c>
      <c r="G363" t="s">
        <v>233</v>
      </c>
      <c r="H363" t="s">
        <v>233</v>
      </c>
      <c r="I363" s="49">
        <v>45217</v>
      </c>
      <c r="J363" s="49">
        <v>45220</v>
      </c>
      <c r="K363" t="s">
        <v>629</v>
      </c>
      <c r="L363" s="49">
        <v>45219</v>
      </c>
      <c r="M363" s="49">
        <v>45220</v>
      </c>
      <c r="N363" t="s">
        <v>110</v>
      </c>
      <c r="O363" t="s">
        <v>107</v>
      </c>
      <c r="P363">
        <f>VLOOKUP(N363,[1]ID_Cidades!$A$1:$E$5900,2,FALSE)</f>
        <v>295763</v>
      </c>
      <c r="Q363">
        <f>VLOOKUP(O363,[1]ID_Cidades!$A$1:$E$5900,2,FALSE)</f>
        <v>295765</v>
      </c>
      <c r="R363">
        <f t="shared" si="10"/>
        <v>87476343695</v>
      </c>
      <c r="S363" s="42">
        <f>VLOOKUP(R363,'[1]GCD base'!$A$1:$M$200,7,FALSE)</f>
        <v>1713.419991</v>
      </c>
      <c r="T363" t="s">
        <v>109</v>
      </c>
      <c r="U363" t="s">
        <v>201</v>
      </c>
      <c r="V363" t="s">
        <v>202</v>
      </c>
      <c r="W363" t="s">
        <v>203</v>
      </c>
      <c r="X363" t="s">
        <v>204</v>
      </c>
      <c r="Y363">
        <v>0</v>
      </c>
      <c r="Z363">
        <v>0</v>
      </c>
      <c r="AA363">
        <v>1278.1099999999999</v>
      </c>
      <c r="AB363">
        <v>0</v>
      </c>
      <c r="AC363" s="49">
        <v>45156</v>
      </c>
      <c r="AD363" s="116" t="s">
        <v>10</v>
      </c>
      <c r="AE363" s="113" t="str" cm="1">
        <f t="array" ref="AE363">_xlfn.IFS(S363&lt;=Constantes!$G$2,"Muito Curta (evitável)",S363&lt;=Constantes!$H$2,"Curta Distância",S363&gt;Constantes!$H$2,"Longa Distância")</f>
        <v>Curta Distância</v>
      </c>
      <c r="AF363" s="114">
        <f>IFERROR(VLOOKUP(AE363,Constantes!$A$1:$E$5,MATCH(AD363,Constantes!$A$1:$E$1,0),0),"")</f>
        <v>0.18286935436241611</v>
      </c>
      <c r="AG363" s="115">
        <f t="shared" si="11"/>
        <v>313.33200750582682</v>
      </c>
    </row>
    <row r="364" spans="1:33" x14ac:dyDescent="0.3">
      <c r="A364">
        <f>COUNTIF($B$2:B364,B364)</f>
        <v>1</v>
      </c>
      <c r="B364">
        <v>19236125</v>
      </c>
      <c r="C364" t="s">
        <v>782</v>
      </c>
      <c r="D364" t="s">
        <v>783</v>
      </c>
      <c r="E364" t="s">
        <v>784</v>
      </c>
      <c r="F364" t="s">
        <v>198</v>
      </c>
      <c r="G364" t="s">
        <v>233</v>
      </c>
      <c r="H364" t="s">
        <v>233</v>
      </c>
      <c r="I364" s="49">
        <v>45217</v>
      </c>
      <c r="J364" s="49">
        <v>45220</v>
      </c>
      <c r="K364" t="s">
        <v>785</v>
      </c>
      <c r="L364" s="49">
        <v>45217</v>
      </c>
      <c r="M364" s="49">
        <v>45220</v>
      </c>
      <c r="N364" t="s">
        <v>107</v>
      </c>
      <c r="O364" t="s">
        <v>110</v>
      </c>
      <c r="P364">
        <f>VLOOKUP(N364,[1]ID_Cidades!$A$1:$E$5900,2,FALSE)</f>
        <v>295765</v>
      </c>
      <c r="Q364">
        <f>VLOOKUP(O364,[1]ID_Cidades!$A$1:$E$5900,2,FALSE)</f>
        <v>295763</v>
      </c>
      <c r="R364">
        <f t="shared" si="10"/>
        <v>87476343695</v>
      </c>
      <c r="S364" s="42">
        <f>VLOOKUP(R364,'[1]GCD base'!$A$1:$M$200,7,FALSE)</f>
        <v>1713.419991</v>
      </c>
      <c r="T364" t="s">
        <v>109</v>
      </c>
      <c r="U364" t="s">
        <v>205</v>
      </c>
      <c r="V364" t="s">
        <v>202</v>
      </c>
      <c r="W364" t="s">
        <v>203</v>
      </c>
      <c r="X364" t="s">
        <v>204</v>
      </c>
      <c r="Y364">
        <v>1339.26</v>
      </c>
      <c r="Z364">
        <v>0</v>
      </c>
      <c r="AA364">
        <v>1106.81</v>
      </c>
      <c r="AB364">
        <v>0</v>
      </c>
      <c r="AC364" s="49">
        <v>45168</v>
      </c>
      <c r="AD364" s="116" t="s">
        <v>10</v>
      </c>
      <c r="AE364" s="113" t="str" cm="1">
        <f t="array" ref="AE364">_xlfn.IFS(S364&lt;=Constantes!$G$2,"Muito Curta (evitável)",S364&lt;=Constantes!$H$2,"Curta Distância",S364&gt;Constantes!$H$2,"Longa Distância")</f>
        <v>Curta Distância</v>
      </c>
      <c r="AF364" s="114">
        <f>IFERROR(VLOOKUP(AE364,Constantes!$A$1:$E$5,MATCH(AD364,Constantes!$A$1:$E$1,0),0),"")</f>
        <v>0.18286935436241611</v>
      </c>
      <c r="AG364" s="115">
        <f t="shared" si="11"/>
        <v>313.33200750582682</v>
      </c>
    </row>
    <row r="365" spans="1:33" x14ac:dyDescent="0.3">
      <c r="A365">
        <f>COUNTIF($B$2:B365,B365)</f>
        <v>2</v>
      </c>
      <c r="B365">
        <v>19236125</v>
      </c>
      <c r="C365" t="s">
        <v>782</v>
      </c>
      <c r="D365" t="s">
        <v>783</v>
      </c>
      <c r="E365" t="s">
        <v>784</v>
      </c>
      <c r="F365" t="s">
        <v>198</v>
      </c>
      <c r="G365" t="s">
        <v>233</v>
      </c>
      <c r="H365" t="s">
        <v>233</v>
      </c>
      <c r="I365" s="49">
        <v>45217</v>
      </c>
      <c r="J365" s="49">
        <v>45220</v>
      </c>
      <c r="K365" t="s">
        <v>785</v>
      </c>
      <c r="L365" s="49">
        <v>45220</v>
      </c>
      <c r="M365" s="49">
        <v>45220</v>
      </c>
      <c r="N365" t="s">
        <v>110</v>
      </c>
      <c r="O365" t="s">
        <v>107</v>
      </c>
      <c r="P365">
        <f>VLOOKUP(N365,[1]ID_Cidades!$A$1:$E$5900,2,FALSE)</f>
        <v>295763</v>
      </c>
      <c r="Q365">
        <f>VLOOKUP(O365,[1]ID_Cidades!$A$1:$E$5900,2,FALSE)</f>
        <v>295765</v>
      </c>
      <c r="R365">
        <f t="shared" si="10"/>
        <v>87476343695</v>
      </c>
      <c r="S365" s="42">
        <f>VLOOKUP(R365,'[1]GCD base'!$A$1:$M$200,7,FALSE)</f>
        <v>1713.419991</v>
      </c>
      <c r="T365" t="s">
        <v>109</v>
      </c>
      <c r="U365" t="s">
        <v>201</v>
      </c>
      <c r="V365" t="s">
        <v>202</v>
      </c>
      <c r="W365" t="s">
        <v>203</v>
      </c>
      <c r="X365" t="s">
        <v>204</v>
      </c>
      <c r="Y365">
        <v>0</v>
      </c>
      <c r="Z365">
        <v>0</v>
      </c>
      <c r="AA365">
        <v>983.69</v>
      </c>
      <c r="AB365">
        <v>0</v>
      </c>
      <c r="AC365" s="49">
        <v>45168</v>
      </c>
      <c r="AD365" s="116" t="s">
        <v>10</v>
      </c>
      <c r="AE365" s="113" t="str" cm="1">
        <f t="array" ref="AE365">_xlfn.IFS(S365&lt;=Constantes!$G$2,"Muito Curta (evitável)",S365&lt;=Constantes!$H$2,"Curta Distância",S365&gt;Constantes!$H$2,"Longa Distância")</f>
        <v>Curta Distância</v>
      </c>
      <c r="AF365" s="114">
        <f>IFERROR(VLOOKUP(AE365,Constantes!$A$1:$E$5,MATCH(AD365,Constantes!$A$1:$E$1,0),0),"")</f>
        <v>0.18286935436241611</v>
      </c>
      <c r="AG365" s="115">
        <f t="shared" si="11"/>
        <v>313.33200750582682</v>
      </c>
    </row>
    <row r="366" spans="1:33" x14ac:dyDescent="0.3">
      <c r="A366">
        <f>COUNTIF($B$2:B366,B366)</f>
        <v>1</v>
      </c>
      <c r="B366">
        <v>19288360</v>
      </c>
      <c r="C366" t="s">
        <v>1022</v>
      </c>
      <c r="D366" t="s">
        <v>1023</v>
      </c>
      <c r="E366" t="s">
        <v>1024</v>
      </c>
      <c r="F366" t="s">
        <v>198</v>
      </c>
      <c r="G366" t="s">
        <v>207</v>
      </c>
      <c r="H366" t="s">
        <v>204</v>
      </c>
      <c r="I366" s="49">
        <v>45218</v>
      </c>
      <c r="J366" s="49">
        <v>45222</v>
      </c>
      <c r="K366" t="s">
        <v>1025</v>
      </c>
      <c r="L366" s="49">
        <v>45218</v>
      </c>
      <c r="M366" s="49">
        <v>45221</v>
      </c>
      <c r="N366" t="s">
        <v>107</v>
      </c>
      <c r="O366" t="s">
        <v>1026</v>
      </c>
      <c r="P366">
        <f>VLOOKUP(N366,[1]ID_Cidades!$A$1:$E$5900,2,FALSE)</f>
        <v>295765</v>
      </c>
      <c r="Q366">
        <f>VLOOKUP(O366,[1]ID_Cidades!$A$1:$E$5900,2,FALSE)</f>
        <v>305292</v>
      </c>
      <c r="R366">
        <f t="shared" si="10"/>
        <v>90294688380</v>
      </c>
      <c r="S366" s="42">
        <f>VLOOKUP(R366,'[1]GCD base'!$A$1:$M$200,7,FALSE)</f>
        <v>2904.5870490000002</v>
      </c>
      <c r="T366" t="s">
        <v>109</v>
      </c>
      <c r="U366" t="s">
        <v>205</v>
      </c>
      <c r="V366" t="s">
        <v>202</v>
      </c>
      <c r="W366" t="s">
        <v>203</v>
      </c>
      <c r="X366" t="s">
        <v>204</v>
      </c>
      <c r="Y366">
        <v>0</v>
      </c>
      <c r="Z366">
        <v>0</v>
      </c>
      <c r="AA366">
        <v>1127.69</v>
      </c>
      <c r="AB366">
        <v>0</v>
      </c>
      <c r="AC366" s="49">
        <v>45195</v>
      </c>
      <c r="AD366" s="116" t="s">
        <v>10</v>
      </c>
      <c r="AE366" s="113" t="str" cm="1">
        <f t="array" ref="AE366">_xlfn.IFS(S366&lt;=Constantes!$G$2,"Muito Curta (evitável)",S366&lt;=Constantes!$H$2,"Curta Distância",S366&gt;Constantes!$H$2,"Longa Distância")</f>
        <v>Curta Distância</v>
      </c>
      <c r="AF366" s="114">
        <f>IFERROR(VLOOKUP(AE366,Constantes!$A$1:$E$5,MATCH(AD366,Constantes!$A$1:$E$1,0),0),"")</f>
        <v>0.18286935436241611</v>
      </c>
      <c r="AG366" s="115">
        <f t="shared" si="11"/>
        <v>531.15995834006549</v>
      </c>
    </row>
    <row r="367" spans="1:33" x14ac:dyDescent="0.3">
      <c r="A367">
        <f>COUNTIF($B$2:B367,B367)</f>
        <v>2</v>
      </c>
      <c r="B367">
        <v>19288360</v>
      </c>
      <c r="C367" t="s">
        <v>1022</v>
      </c>
      <c r="D367" t="s">
        <v>1023</v>
      </c>
      <c r="E367" t="s">
        <v>1024</v>
      </c>
      <c r="F367" t="s">
        <v>198</v>
      </c>
      <c r="G367" t="s">
        <v>207</v>
      </c>
      <c r="H367" t="s">
        <v>204</v>
      </c>
      <c r="I367" s="49">
        <v>45218</v>
      </c>
      <c r="J367" s="49">
        <v>45222</v>
      </c>
      <c r="K367" t="s">
        <v>1025</v>
      </c>
      <c r="L367" s="49">
        <v>45221</v>
      </c>
      <c r="M367" s="49">
        <v>45222</v>
      </c>
      <c r="N367" t="s">
        <v>1026</v>
      </c>
      <c r="O367" t="s">
        <v>107</v>
      </c>
      <c r="P367">
        <f>VLOOKUP(N367,[1]ID_Cidades!$A$1:$E$5900,2,FALSE)</f>
        <v>305292</v>
      </c>
      <c r="Q367">
        <f>VLOOKUP(O367,[1]ID_Cidades!$A$1:$E$5900,2,FALSE)</f>
        <v>295765</v>
      </c>
      <c r="R367">
        <f t="shared" si="10"/>
        <v>90294688380</v>
      </c>
      <c r="S367" s="42">
        <f>VLOOKUP(R367,'[1]GCD base'!$A$1:$M$200,7,FALSE)</f>
        <v>2904.5870490000002</v>
      </c>
      <c r="T367" t="s">
        <v>109</v>
      </c>
      <c r="U367" t="s">
        <v>201</v>
      </c>
      <c r="V367" t="s">
        <v>202</v>
      </c>
      <c r="W367" t="s">
        <v>203</v>
      </c>
      <c r="X367" t="s">
        <v>204</v>
      </c>
      <c r="Y367">
        <v>0</v>
      </c>
      <c r="Z367">
        <v>0</v>
      </c>
      <c r="AA367">
        <v>1115.55</v>
      </c>
      <c r="AB367">
        <v>0</v>
      </c>
      <c r="AC367" s="49">
        <v>45195</v>
      </c>
      <c r="AD367" s="116" t="s">
        <v>10</v>
      </c>
      <c r="AE367" s="113" t="str" cm="1">
        <f t="array" ref="AE367">_xlfn.IFS(S367&lt;=Constantes!$G$2,"Muito Curta (evitável)",S367&lt;=Constantes!$H$2,"Curta Distância",S367&gt;Constantes!$H$2,"Longa Distância")</f>
        <v>Curta Distância</v>
      </c>
      <c r="AF367" s="114">
        <f>IFERROR(VLOOKUP(AE367,Constantes!$A$1:$E$5,MATCH(AD367,Constantes!$A$1:$E$1,0),0),"")</f>
        <v>0.18286935436241611</v>
      </c>
      <c r="AG367" s="115">
        <f t="shared" si="11"/>
        <v>531.15995834006549</v>
      </c>
    </row>
    <row r="368" spans="1:33" x14ac:dyDescent="0.3">
      <c r="A368">
        <f>COUNTIF($B$2:B368,B368)</f>
        <v>1</v>
      </c>
      <c r="B368">
        <v>19313222</v>
      </c>
      <c r="C368" t="s">
        <v>1138</v>
      </c>
      <c r="D368" t="s">
        <v>218</v>
      </c>
      <c r="E368" t="s">
        <v>1139</v>
      </c>
      <c r="F368" t="s">
        <v>218</v>
      </c>
      <c r="G368" t="s">
        <v>207</v>
      </c>
      <c r="H368" t="s">
        <v>204</v>
      </c>
      <c r="I368" s="49">
        <v>45218</v>
      </c>
      <c r="J368" s="49">
        <v>45222</v>
      </c>
      <c r="K368" t="s">
        <v>1140</v>
      </c>
      <c r="L368" s="49">
        <v>45221</v>
      </c>
      <c r="M368" s="49">
        <v>45222</v>
      </c>
      <c r="N368" t="s">
        <v>1026</v>
      </c>
      <c r="O368" t="s">
        <v>107</v>
      </c>
      <c r="P368">
        <f>VLOOKUP(N368,[1]ID_Cidades!$A$1:$E$5900,2,FALSE)</f>
        <v>305292</v>
      </c>
      <c r="Q368">
        <f>VLOOKUP(O368,[1]ID_Cidades!$A$1:$E$5900,2,FALSE)</f>
        <v>295765</v>
      </c>
      <c r="R368">
        <f t="shared" si="10"/>
        <v>90294688380</v>
      </c>
      <c r="S368" s="42">
        <f>VLOOKUP(R368,'[1]GCD base'!$A$1:$M$200,7,FALSE)</f>
        <v>2904.5870490000002</v>
      </c>
      <c r="T368" t="s">
        <v>109</v>
      </c>
      <c r="U368" t="s">
        <v>201</v>
      </c>
      <c r="V368" t="s">
        <v>202</v>
      </c>
      <c r="W368" t="s">
        <v>203</v>
      </c>
      <c r="X368" t="s">
        <v>204</v>
      </c>
      <c r="Y368">
        <v>0</v>
      </c>
      <c r="Z368">
        <v>0</v>
      </c>
      <c r="AA368">
        <v>2284.9499999999998</v>
      </c>
      <c r="AB368">
        <v>0</v>
      </c>
      <c r="AC368" s="49">
        <v>45191</v>
      </c>
      <c r="AD368" s="116" t="s">
        <v>10</v>
      </c>
      <c r="AE368" s="113" t="str" cm="1">
        <f t="array" ref="AE368">_xlfn.IFS(S368&lt;=Constantes!$G$2,"Muito Curta (evitável)",S368&lt;=Constantes!$H$2,"Curta Distância",S368&gt;Constantes!$H$2,"Longa Distância")</f>
        <v>Curta Distância</v>
      </c>
      <c r="AF368" s="114">
        <f>IFERROR(VLOOKUP(AE368,Constantes!$A$1:$E$5,MATCH(AD368,Constantes!$A$1:$E$1,0),0),"")</f>
        <v>0.18286935436241611</v>
      </c>
      <c r="AG368" s="115">
        <f t="shared" si="11"/>
        <v>531.15995834006549</v>
      </c>
    </row>
    <row r="369" spans="1:33" x14ac:dyDescent="0.3">
      <c r="A369">
        <f>COUNTIF($B$2:B369,B369)</f>
        <v>2</v>
      </c>
      <c r="B369">
        <v>19313222</v>
      </c>
      <c r="C369" t="s">
        <v>1138</v>
      </c>
      <c r="D369" t="s">
        <v>218</v>
      </c>
      <c r="E369" t="s">
        <v>1139</v>
      </c>
      <c r="F369" t="s">
        <v>218</v>
      </c>
      <c r="G369" t="s">
        <v>207</v>
      </c>
      <c r="H369" t="s">
        <v>204</v>
      </c>
      <c r="I369" s="49">
        <v>45218</v>
      </c>
      <c r="J369" s="49">
        <v>45222</v>
      </c>
      <c r="K369" t="s">
        <v>1140</v>
      </c>
      <c r="L369" s="49">
        <v>45218</v>
      </c>
      <c r="M369" s="49">
        <v>45221</v>
      </c>
      <c r="N369" t="s">
        <v>107</v>
      </c>
      <c r="O369" t="s">
        <v>1026</v>
      </c>
      <c r="P369">
        <f>VLOOKUP(N369,[1]ID_Cidades!$A$1:$E$5900,2,FALSE)</f>
        <v>295765</v>
      </c>
      <c r="Q369">
        <f>VLOOKUP(O369,[1]ID_Cidades!$A$1:$E$5900,2,FALSE)</f>
        <v>305292</v>
      </c>
      <c r="R369">
        <f t="shared" si="10"/>
        <v>90294688380</v>
      </c>
      <c r="S369" s="42">
        <f>VLOOKUP(R369,'[1]GCD base'!$A$1:$M$200,7,FALSE)</f>
        <v>2904.5870490000002</v>
      </c>
      <c r="T369" t="s">
        <v>109</v>
      </c>
      <c r="U369" t="s">
        <v>205</v>
      </c>
      <c r="V369" t="s">
        <v>202</v>
      </c>
      <c r="W369" t="s">
        <v>203</v>
      </c>
      <c r="X369" t="s">
        <v>204</v>
      </c>
      <c r="Y369">
        <v>0</v>
      </c>
      <c r="Z369">
        <v>0</v>
      </c>
      <c r="AA369">
        <v>1723.99</v>
      </c>
      <c r="AB369">
        <v>0</v>
      </c>
      <c r="AC369" s="49">
        <v>45191</v>
      </c>
      <c r="AD369" s="116" t="s">
        <v>10</v>
      </c>
      <c r="AE369" s="113" t="str" cm="1">
        <f t="array" ref="AE369">_xlfn.IFS(S369&lt;=Constantes!$G$2,"Muito Curta (evitável)",S369&lt;=Constantes!$H$2,"Curta Distância",S369&gt;Constantes!$H$2,"Longa Distância")</f>
        <v>Curta Distância</v>
      </c>
      <c r="AF369" s="114">
        <f>IFERROR(VLOOKUP(AE369,Constantes!$A$1:$E$5,MATCH(AD369,Constantes!$A$1:$E$1,0),0),"")</f>
        <v>0.18286935436241611</v>
      </c>
      <c r="AG369" s="115">
        <f t="shared" si="11"/>
        <v>531.15995834006549</v>
      </c>
    </row>
    <row r="370" spans="1:33" x14ac:dyDescent="0.3">
      <c r="A370">
        <f>COUNTIF($B$2:B370,B370)</f>
        <v>1</v>
      </c>
      <c r="B370">
        <v>19314122</v>
      </c>
      <c r="C370" t="s">
        <v>1148</v>
      </c>
      <c r="D370" t="s">
        <v>1149</v>
      </c>
      <c r="E370" t="s">
        <v>1150</v>
      </c>
      <c r="F370" t="s">
        <v>218</v>
      </c>
      <c r="G370" t="s">
        <v>207</v>
      </c>
      <c r="H370" t="s">
        <v>204</v>
      </c>
      <c r="I370" s="49">
        <v>45218</v>
      </c>
      <c r="J370" s="49">
        <v>45219</v>
      </c>
      <c r="K370" t="s">
        <v>1151</v>
      </c>
      <c r="L370" s="49">
        <v>45218</v>
      </c>
      <c r="M370" s="49">
        <v>45218</v>
      </c>
      <c r="N370" t="s">
        <v>117</v>
      </c>
      <c r="O370" t="s">
        <v>107</v>
      </c>
      <c r="P370">
        <f>VLOOKUP(N370,[1]ID_Cidades!$A$1:$E$5900,2,FALSE)</f>
        <v>295779</v>
      </c>
      <c r="Q370">
        <f>VLOOKUP(O370,[1]ID_Cidades!$A$1:$E$5900,2,FALSE)</f>
        <v>295765</v>
      </c>
      <c r="R370">
        <f t="shared" si="10"/>
        <v>87481075935</v>
      </c>
      <c r="S370" s="42">
        <f>VLOOKUP(R370,'[1]GCD base'!$A$1:$M$200,7,FALSE)</f>
        <v>2189.9742419999998</v>
      </c>
      <c r="T370" t="s">
        <v>109</v>
      </c>
      <c r="U370" t="s">
        <v>201</v>
      </c>
      <c r="V370" t="s">
        <v>202</v>
      </c>
      <c r="W370" t="s">
        <v>203</v>
      </c>
      <c r="X370" t="s">
        <v>204</v>
      </c>
      <c r="Y370">
        <v>546.35</v>
      </c>
      <c r="Z370">
        <v>0</v>
      </c>
      <c r="AA370">
        <v>1421.89</v>
      </c>
      <c r="AB370">
        <v>0</v>
      </c>
      <c r="AC370" s="49">
        <v>45202</v>
      </c>
      <c r="AD370" s="116" t="s">
        <v>10</v>
      </c>
      <c r="AE370" s="113" t="str" cm="1">
        <f t="array" ref="AE370">_xlfn.IFS(S370&lt;=Constantes!$G$2,"Muito Curta (evitável)",S370&lt;=Constantes!$H$2,"Curta Distância",S370&gt;Constantes!$H$2,"Longa Distância")</f>
        <v>Curta Distância</v>
      </c>
      <c r="AF370" s="114">
        <f>IFERROR(VLOOKUP(AE370,Constantes!$A$1:$E$5,MATCH(AD370,Constantes!$A$1:$E$1,0),0),"")</f>
        <v>0.18286935436241611</v>
      </c>
      <c r="AG370" s="115">
        <f t="shared" si="11"/>
        <v>400.47917570486158</v>
      </c>
    </row>
    <row r="371" spans="1:33" x14ac:dyDescent="0.3">
      <c r="A371">
        <f>COUNTIF($B$2:B371,B371)</f>
        <v>2</v>
      </c>
      <c r="B371">
        <v>19314122</v>
      </c>
      <c r="C371" t="s">
        <v>1148</v>
      </c>
      <c r="D371" t="s">
        <v>1149</v>
      </c>
      <c r="E371" t="s">
        <v>1150</v>
      </c>
      <c r="F371" t="s">
        <v>218</v>
      </c>
      <c r="G371" t="s">
        <v>207</v>
      </c>
      <c r="H371" t="s">
        <v>204</v>
      </c>
      <c r="I371" s="49">
        <v>45218</v>
      </c>
      <c r="J371" s="49">
        <v>45219</v>
      </c>
      <c r="K371" t="s">
        <v>1151</v>
      </c>
      <c r="L371" s="49">
        <v>45219</v>
      </c>
      <c r="M371" s="49">
        <v>45219</v>
      </c>
      <c r="N371" t="s">
        <v>107</v>
      </c>
      <c r="O371" t="s">
        <v>117</v>
      </c>
      <c r="P371">
        <f>VLOOKUP(N371,[1]ID_Cidades!$A$1:$E$5900,2,FALSE)</f>
        <v>295765</v>
      </c>
      <c r="Q371">
        <f>VLOOKUP(O371,[1]ID_Cidades!$A$1:$E$5900,2,FALSE)</f>
        <v>295779</v>
      </c>
      <c r="R371">
        <f t="shared" si="10"/>
        <v>87481075935</v>
      </c>
      <c r="S371" s="42">
        <f>VLOOKUP(R371,'[1]GCD base'!$A$1:$M$200,7,FALSE)</f>
        <v>2189.9742419999998</v>
      </c>
      <c r="T371" t="s">
        <v>109</v>
      </c>
      <c r="U371" t="s">
        <v>201</v>
      </c>
      <c r="V371" t="s">
        <v>202</v>
      </c>
      <c r="W371" t="s">
        <v>203</v>
      </c>
      <c r="X371" t="s">
        <v>204</v>
      </c>
      <c r="Y371">
        <v>0</v>
      </c>
      <c r="Z371">
        <v>0</v>
      </c>
      <c r="AA371">
        <v>1407.45</v>
      </c>
      <c r="AB371">
        <v>0</v>
      </c>
      <c r="AC371" s="49">
        <v>45202</v>
      </c>
      <c r="AD371" s="116" t="s">
        <v>10</v>
      </c>
      <c r="AE371" s="113" t="str" cm="1">
        <f t="array" ref="AE371">_xlfn.IFS(S371&lt;=Constantes!$G$2,"Muito Curta (evitável)",S371&lt;=Constantes!$H$2,"Curta Distância",S371&gt;Constantes!$H$2,"Longa Distância")</f>
        <v>Curta Distância</v>
      </c>
      <c r="AF371" s="114">
        <f>IFERROR(VLOOKUP(AE371,Constantes!$A$1:$E$5,MATCH(AD371,Constantes!$A$1:$E$1,0),0),"")</f>
        <v>0.18286935436241611</v>
      </c>
      <c r="AG371" s="115">
        <f t="shared" si="11"/>
        <v>400.47917570486158</v>
      </c>
    </row>
    <row r="372" spans="1:33" x14ac:dyDescent="0.3">
      <c r="A372">
        <f>COUNTIF($B$2:B372,B372)</f>
        <v>1</v>
      </c>
      <c r="B372">
        <v>19314332</v>
      </c>
      <c r="C372" t="s">
        <v>1152</v>
      </c>
      <c r="D372" t="s">
        <v>218</v>
      </c>
      <c r="E372" t="s">
        <v>1153</v>
      </c>
      <c r="F372" t="s">
        <v>218</v>
      </c>
      <c r="G372" t="s">
        <v>207</v>
      </c>
      <c r="H372" t="s">
        <v>204</v>
      </c>
      <c r="I372" s="49">
        <v>45218</v>
      </c>
      <c r="J372" s="49">
        <v>45222</v>
      </c>
      <c r="K372" t="s">
        <v>1140</v>
      </c>
      <c r="L372" s="49">
        <v>45221</v>
      </c>
      <c r="M372" s="49">
        <v>45222</v>
      </c>
      <c r="N372" t="s">
        <v>1026</v>
      </c>
      <c r="O372" t="s">
        <v>107</v>
      </c>
      <c r="P372">
        <f>VLOOKUP(N372,[1]ID_Cidades!$A$1:$E$5900,2,FALSE)</f>
        <v>305292</v>
      </c>
      <c r="Q372">
        <f>VLOOKUP(O372,[1]ID_Cidades!$A$1:$E$5900,2,FALSE)</f>
        <v>295765</v>
      </c>
      <c r="R372">
        <f t="shared" si="10"/>
        <v>90294688380</v>
      </c>
      <c r="S372" s="42">
        <f>VLOOKUP(R372,'[1]GCD base'!$A$1:$M$200,7,FALSE)</f>
        <v>2904.5870490000002</v>
      </c>
      <c r="T372" t="s">
        <v>109</v>
      </c>
      <c r="U372" t="s">
        <v>201</v>
      </c>
      <c r="V372" t="s">
        <v>202</v>
      </c>
      <c r="W372" t="s">
        <v>203</v>
      </c>
      <c r="X372" t="s">
        <v>204</v>
      </c>
      <c r="Y372">
        <v>0</v>
      </c>
      <c r="Z372">
        <v>0</v>
      </c>
      <c r="AA372">
        <v>2284.9499999999998</v>
      </c>
      <c r="AB372">
        <v>0</v>
      </c>
      <c r="AC372" s="49">
        <v>45191</v>
      </c>
      <c r="AD372" s="116" t="s">
        <v>10</v>
      </c>
      <c r="AE372" s="113" t="str" cm="1">
        <f t="array" ref="AE372">_xlfn.IFS(S372&lt;=Constantes!$G$2,"Muito Curta (evitável)",S372&lt;=Constantes!$H$2,"Curta Distância",S372&gt;Constantes!$H$2,"Longa Distância")</f>
        <v>Curta Distância</v>
      </c>
      <c r="AF372" s="114">
        <f>IFERROR(VLOOKUP(AE372,Constantes!$A$1:$E$5,MATCH(AD372,Constantes!$A$1:$E$1,0),0),"")</f>
        <v>0.18286935436241611</v>
      </c>
      <c r="AG372" s="115">
        <f t="shared" si="11"/>
        <v>531.15995834006549</v>
      </c>
    </row>
    <row r="373" spans="1:33" x14ac:dyDescent="0.3">
      <c r="A373">
        <f>COUNTIF($B$2:B373,B373)</f>
        <v>2</v>
      </c>
      <c r="B373">
        <v>19314332</v>
      </c>
      <c r="C373" t="s">
        <v>1152</v>
      </c>
      <c r="D373" t="s">
        <v>218</v>
      </c>
      <c r="E373" t="s">
        <v>1153</v>
      </c>
      <c r="F373" t="s">
        <v>218</v>
      </c>
      <c r="G373" t="s">
        <v>207</v>
      </c>
      <c r="H373" t="s">
        <v>204</v>
      </c>
      <c r="I373" s="49">
        <v>45218</v>
      </c>
      <c r="J373" s="49">
        <v>45222</v>
      </c>
      <c r="K373" t="s">
        <v>1140</v>
      </c>
      <c r="L373" s="49">
        <v>45218</v>
      </c>
      <c r="M373" s="49">
        <v>45221</v>
      </c>
      <c r="N373" t="s">
        <v>107</v>
      </c>
      <c r="O373" t="s">
        <v>1026</v>
      </c>
      <c r="P373">
        <f>VLOOKUP(N373,[1]ID_Cidades!$A$1:$E$5900,2,FALSE)</f>
        <v>295765</v>
      </c>
      <c r="Q373">
        <f>VLOOKUP(O373,[1]ID_Cidades!$A$1:$E$5900,2,FALSE)</f>
        <v>305292</v>
      </c>
      <c r="R373">
        <f t="shared" si="10"/>
        <v>90294688380</v>
      </c>
      <c r="S373" s="42">
        <f>VLOOKUP(R373,'[1]GCD base'!$A$1:$M$200,7,FALSE)</f>
        <v>2904.5870490000002</v>
      </c>
      <c r="T373" t="s">
        <v>109</v>
      </c>
      <c r="U373" t="s">
        <v>205</v>
      </c>
      <c r="V373" t="s">
        <v>202</v>
      </c>
      <c r="W373" t="s">
        <v>203</v>
      </c>
      <c r="X373" t="s">
        <v>204</v>
      </c>
      <c r="Y373">
        <v>0</v>
      </c>
      <c r="Z373">
        <v>0</v>
      </c>
      <c r="AA373">
        <v>1723.99</v>
      </c>
      <c r="AB373">
        <v>0</v>
      </c>
      <c r="AC373" s="49">
        <v>45191</v>
      </c>
      <c r="AD373" s="116" t="s">
        <v>10</v>
      </c>
      <c r="AE373" s="113" t="str" cm="1">
        <f t="array" ref="AE373">_xlfn.IFS(S373&lt;=Constantes!$G$2,"Muito Curta (evitável)",S373&lt;=Constantes!$H$2,"Curta Distância",S373&gt;Constantes!$H$2,"Longa Distância")</f>
        <v>Curta Distância</v>
      </c>
      <c r="AF373" s="114">
        <f>IFERROR(VLOOKUP(AE373,Constantes!$A$1:$E$5,MATCH(AD373,Constantes!$A$1:$E$1,0),0),"")</f>
        <v>0.18286935436241611</v>
      </c>
      <c r="AG373" s="115">
        <f t="shared" si="11"/>
        <v>531.15995834006549</v>
      </c>
    </row>
    <row r="374" spans="1:33" x14ac:dyDescent="0.3">
      <c r="A374">
        <f>COUNTIF($B$2:B374,B374)</f>
        <v>1</v>
      </c>
      <c r="B374">
        <v>19314417</v>
      </c>
      <c r="C374" t="s">
        <v>1154</v>
      </c>
      <c r="D374" t="s">
        <v>218</v>
      </c>
      <c r="E374" t="s">
        <v>1155</v>
      </c>
      <c r="F374" t="s">
        <v>218</v>
      </c>
      <c r="G374" t="s">
        <v>207</v>
      </c>
      <c r="H374" t="s">
        <v>204</v>
      </c>
      <c r="I374" s="49">
        <v>45218</v>
      </c>
      <c r="J374" s="49">
        <v>45222</v>
      </c>
      <c r="K374" t="s">
        <v>1140</v>
      </c>
      <c r="L374" s="49">
        <v>45218</v>
      </c>
      <c r="M374" s="49">
        <v>45222</v>
      </c>
      <c r="N374" t="s">
        <v>107</v>
      </c>
      <c r="O374" t="s">
        <v>1026</v>
      </c>
      <c r="P374">
        <f>VLOOKUP(N374,[1]ID_Cidades!$A$1:$E$5900,2,FALSE)</f>
        <v>295765</v>
      </c>
      <c r="Q374">
        <f>VLOOKUP(O374,[1]ID_Cidades!$A$1:$E$5900,2,FALSE)</f>
        <v>305292</v>
      </c>
      <c r="R374">
        <f t="shared" si="10"/>
        <v>90294688380</v>
      </c>
      <c r="S374" s="42">
        <f>VLOOKUP(R374,'[1]GCD base'!$A$1:$M$200,7,FALSE)</f>
        <v>2904.5870490000002</v>
      </c>
      <c r="T374" t="s">
        <v>109</v>
      </c>
      <c r="U374" t="s">
        <v>205</v>
      </c>
      <c r="V374" t="s">
        <v>202</v>
      </c>
      <c r="W374" t="s">
        <v>203</v>
      </c>
      <c r="X374" t="s">
        <v>204</v>
      </c>
      <c r="Y374">
        <v>0</v>
      </c>
      <c r="Z374">
        <v>0</v>
      </c>
      <c r="AA374">
        <v>2284.9499999999998</v>
      </c>
      <c r="AB374">
        <v>0</v>
      </c>
      <c r="AC374" s="49">
        <v>45190</v>
      </c>
      <c r="AD374" s="116" t="s">
        <v>10</v>
      </c>
      <c r="AE374" s="113" t="str" cm="1">
        <f t="array" ref="AE374">_xlfn.IFS(S374&lt;=Constantes!$G$2,"Muito Curta (evitável)",S374&lt;=Constantes!$H$2,"Curta Distância",S374&gt;Constantes!$H$2,"Longa Distância")</f>
        <v>Curta Distância</v>
      </c>
      <c r="AF374" s="114">
        <f>IFERROR(VLOOKUP(AE374,Constantes!$A$1:$E$5,MATCH(AD374,Constantes!$A$1:$E$1,0),0),"")</f>
        <v>0.18286935436241611</v>
      </c>
      <c r="AG374" s="115">
        <f t="shared" si="11"/>
        <v>531.15995834006549</v>
      </c>
    </row>
    <row r="375" spans="1:33" x14ac:dyDescent="0.3">
      <c r="A375">
        <f>COUNTIF($B$2:B375,B375)</f>
        <v>2</v>
      </c>
      <c r="B375">
        <v>19314417</v>
      </c>
      <c r="C375" t="s">
        <v>1154</v>
      </c>
      <c r="D375" t="s">
        <v>218</v>
      </c>
      <c r="E375" t="s">
        <v>1155</v>
      </c>
      <c r="F375" t="s">
        <v>218</v>
      </c>
      <c r="G375" t="s">
        <v>207</v>
      </c>
      <c r="H375" t="s">
        <v>204</v>
      </c>
      <c r="I375" s="49">
        <v>45218</v>
      </c>
      <c r="J375" s="49">
        <v>45222</v>
      </c>
      <c r="K375" t="s">
        <v>1140</v>
      </c>
      <c r="L375" s="49">
        <v>45222</v>
      </c>
      <c r="M375" s="49">
        <v>45222</v>
      </c>
      <c r="N375" t="s">
        <v>1026</v>
      </c>
      <c r="O375" t="s">
        <v>107</v>
      </c>
      <c r="P375">
        <f>VLOOKUP(N375,[1]ID_Cidades!$A$1:$E$5900,2,FALSE)</f>
        <v>305292</v>
      </c>
      <c r="Q375">
        <f>VLOOKUP(O375,[1]ID_Cidades!$A$1:$E$5900,2,FALSE)</f>
        <v>295765</v>
      </c>
      <c r="R375">
        <f t="shared" si="10"/>
        <v>90294688380</v>
      </c>
      <c r="S375" s="42">
        <f>VLOOKUP(R375,'[1]GCD base'!$A$1:$M$200,7,FALSE)</f>
        <v>2904.5870490000002</v>
      </c>
      <c r="T375" t="s">
        <v>109</v>
      </c>
      <c r="U375" t="s">
        <v>201</v>
      </c>
      <c r="V375" t="s">
        <v>202</v>
      </c>
      <c r="W375" t="s">
        <v>203</v>
      </c>
      <c r="X375" t="s">
        <v>204</v>
      </c>
      <c r="Y375">
        <v>0</v>
      </c>
      <c r="Z375">
        <v>0</v>
      </c>
      <c r="AA375">
        <v>1723.99</v>
      </c>
      <c r="AB375">
        <v>0</v>
      </c>
      <c r="AC375" s="49">
        <v>45190</v>
      </c>
      <c r="AD375" s="116" t="s">
        <v>10</v>
      </c>
      <c r="AE375" s="113" t="str" cm="1">
        <f t="array" ref="AE375">_xlfn.IFS(S375&lt;=Constantes!$G$2,"Muito Curta (evitável)",S375&lt;=Constantes!$H$2,"Curta Distância",S375&gt;Constantes!$H$2,"Longa Distância")</f>
        <v>Curta Distância</v>
      </c>
      <c r="AF375" s="114">
        <f>IFERROR(VLOOKUP(AE375,Constantes!$A$1:$E$5,MATCH(AD375,Constantes!$A$1:$E$1,0),0),"")</f>
        <v>0.18286935436241611</v>
      </c>
      <c r="AG375" s="115">
        <f t="shared" si="11"/>
        <v>531.15995834006549</v>
      </c>
    </row>
    <row r="376" spans="1:33" x14ac:dyDescent="0.3">
      <c r="A376">
        <f>COUNTIF($B$2:B376,B376)</f>
        <v>1</v>
      </c>
      <c r="B376">
        <v>19359809</v>
      </c>
      <c r="C376" t="s">
        <v>1349</v>
      </c>
      <c r="D376" t="s">
        <v>1350</v>
      </c>
      <c r="E376" t="s">
        <v>1351</v>
      </c>
      <c r="F376" t="s">
        <v>198</v>
      </c>
      <c r="G376" t="s">
        <v>207</v>
      </c>
      <c r="H376" t="s">
        <v>204</v>
      </c>
      <c r="I376" s="49">
        <v>45218</v>
      </c>
      <c r="J376" s="49">
        <v>45221</v>
      </c>
      <c r="K376" t="s">
        <v>1352</v>
      </c>
      <c r="L376" s="49">
        <v>45221</v>
      </c>
      <c r="M376" s="49">
        <v>45221</v>
      </c>
      <c r="N376" t="s">
        <v>115</v>
      </c>
      <c r="O376" t="s">
        <v>107</v>
      </c>
      <c r="P376">
        <f>VLOOKUP(N376,[1]ID_Cidades!$A$1:$E$5900,2,FALSE)</f>
        <v>295770</v>
      </c>
      <c r="Q376">
        <f>VLOOKUP(O376,[1]ID_Cidades!$A$1:$E$5900,2,FALSE)</f>
        <v>295765</v>
      </c>
      <c r="R376">
        <f t="shared" si="10"/>
        <v>87478414050</v>
      </c>
      <c r="S376" s="42">
        <f>VLOOKUP(R376,'[1]GCD base'!$A$1:$M$200,7,FALSE)</f>
        <v>741.11941309999997</v>
      </c>
      <c r="T376" t="s">
        <v>109</v>
      </c>
      <c r="U376" t="s">
        <v>201</v>
      </c>
      <c r="V376" t="s">
        <v>202</v>
      </c>
      <c r="W376" t="s">
        <v>210</v>
      </c>
      <c r="X376" t="s">
        <v>1353</v>
      </c>
      <c r="Y376">
        <v>0</v>
      </c>
      <c r="Z376">
        <v>0</v>
      </c>
      <c r="AA376">
        <v>1112.99</v>
      </c>
      <c r="AB376">
        <v>0</v>
      </c>
      <c r="AC376" s="49">
        <v>45205</v>
      </c>
      <c r="AD376" s="116" t="s">
        <v>10</v>
      </c>
      <c r="AE376" s="113" t="str" cm="1">
        <f t="array" ref="AE376">_xlfn.IFS(S376&lt;=Constantes!$G$2,"Muito Curta (evitável)",S376&lt;=Constantes!$H$2,"Curta Distância",S376&gt;Constantes!$H$2,"Longa Distância")</f>
        <v>Curta Distância</v>
      </c>
      <c r="AF376" s="114">
        <f>IFERROR(VLOOKUP(AE376,Constantes!$A$1:$E$5,MATCH(AD376,Constantes!$A$1:$E$1,0),0),"")</f>
        <v>0.18286935436241611</v>
      </c>
      <c r="AG376" s="115">
        <f t="shared" si="11"/>
        <v>135.52802857904976</v>
      </c>
    </row>
    <row r="377" spans="1:33" x14ac:dyDescent="0.3">
      <c r="A377">
        <f>COUNTIF($B$2:B377,B377)</f>
        <v>2</v>
      </c>
      <c r="B377">
        <v>19359809</v>
      </c>
      <c r="C377" t="s">
        <v>1349</v>
      </c>
      <c r="D377" t="s">
        <v>1350</v>
      </c>
      <c r="E377" t="s">
        <v>1351</v>
      </c>
      <c r="F377" t="s">
        <v>198</v>
      </c>
      <c r="G377" t="s">
        <v>207</v>
      </c>
      <c r="H377" t="s">
        <v>204</v>
      </c>
      <c r="I377" s="49">
        <v>45218</v>
      </c>
      <c r="J377" s="49">
        <v>45221</v>
      </c>
      <c r="K377" t="s">
        <v>1352</v>
      </c>
      <c r="L377" s="49">
        <v>45218</v>
      </c>
      <c r="M377" s="49">
        <v>45219</v>
      </c>
      <c r="N377" t="s">
        <v>107</v>
      </c>
      <c r="O377" t="s">
        <v>115</v>
      </c>
      <c r="P377">
        <f>VLOOKUP(N377,[1]ID_Cidades!$A$1:$E$5900,2,FALSE)</f>
        <v>295765</v>
      </c>
      <c r="Q377">
        <f>VLOOKUP(O377,[1]ID_Cidades!$A$1:$E$5900,2,FALSE)</f>
        <v>295770</v>
      </c>
      <c r="R377">
        <f t="shared" si="10"/>
        <v>87478414050</v>
      </c>
      <c r="S377" s="42">
        <f>VLOOKUP(R377,'[1]GCD base'!$A$1:$M$200,7,FALSE)</f>
        <v>741.11941309999997</v>
      </c>
      <c r="T377" t="s">
        <v>109</v>
      </c>
      <c r="U377" t="s">
        <v>201</v>
      </c>
      <c r="V377" t="s">
        <v>202</v>
      </c>
      <c r="W377" t="s">
        <v>210</v>
      </c>
      <c r="X377" t="s">
        <v>1353</v>
      </c>
      <c r="Y377">
        <v>0</v>
      </c>
      <c r="Z377">
        <v>0</v>
      </c>
      <c r="AA377">
        <v>1390.99</v>
      </c>
      <c r="AB377">
        <v>0</v>
      </c>
      <c r="AC377" s="49">
        <v>45205</v>
      </c>
      <c r="AD377" s="116" t="s">
        <v>10</v>
      </c>
      <c r="AE377" s="113" t="str" cm="1">
        <f t="array" ref="AE377">_xlfn.IFS(S377&lt;=Constantes!$G$2,"Muito Curta (evitável)",S377&lt;=Constantes!$H$2,"Curta Distância",S377&gt;Constantes!$H$2,"Longa Distância")</f>
        <v>Curta Distância</v>
      </c>
      <c r="AF377" s="114">
        <f>IFERROR(VLOOKUP(AE377,Constantes!$A$1:$E$5,MATCH(AD377,Constantes!$A$1:$E$1,0),0),"")</f>
        <v>0.18286935436241611</v>
      </c>
      <c r="AG377" s="115">
        <f t="shared" si="11"/>
        <v>135.52802857904976</v>
      </c>
    </row>
    <row r="378" spans="1:33" x14ac:dyDescent="0.3">
      <c r="A378">
        <f>COUNTIF($B$2:B378,B378)</f>
        <v>1</v>
      </c>
      <c r="B378">
        <v>19166671</v>
      </c>
      <c r="C378" t="s">
        <v>590</v>
      </c>
      <c r="D378" t="s">
        <v>591</v>
      </c>
      <c r="E378" t="s">
        <v>592</v>
      </c>
      <c r="F378" t="s">
        <v>198</v>
      </c>
      <c r="G378" t="s">
        <v>207</v>
      </c>
      <c r="H378" t="s">
        <v>204</v>
      </c>
      <c r="I378" s="49">
        <v>45219</v>
      </c>
      <c r="J378" s="49">
        <v>45227</v>
      </c>
      <c r="K378" t="s">
        <v>593</v>
      </c>
      <c r="L378" s="49">
        <v>45227</v>
      </c>
      <c r="M378" s="49">
        <v>45227</v>
      </c>
      <c r="N378" t="s">
        <v>117</v>
      </c>
      <c r="O378" t="s">
        <v>107</v>
      </c>
      <c r="P378">
        <f>VLOOKUP(N378,[1]ID_Cidades!$A$1:$E$5900,2,FALSE)</f>
        <v>295779</v>
      </c>
      <c r="Q378">
        <f>VLOOKUP(O378,[1]ID_Cidades!$A$1:$E$5900,2,FALSE)</f>
        <v>295765</v>
      </c>
      <c r="R378">
        <f t="shared" si="10"/>
        <v>87481075935</v>
      </c>
      <c r="S378" s="42">
        <f>VLOOKUP(R378,'[1]GCD base'!$A$1:$M$200,7,FALSE)</f>
        <v>2189.9742419999998</v>
      </c>
      <c r="T378" t="s">
        <v>109</v>
      </c>
      <c r="U378" t="s">
        <v>201</v>
      </c>
      <c r="V378" t="s">
        <v>202</v>
      </c>
      <c r="W378" t="s">
        <v>203</v>
      </c>
      <c r="X378" t="s">
        <v>204</v>
      </c>
      <c r="Y378">
        <v>1329.41</v>
      </c>
      <c r="Z378">
        <v>0</v>
      </c>
      <c r="AA378">
        <v>756.39</v>
      </c>
      <c r="AB378">
        <v>0</v>
      </c>
      <c r="AC378" s="49">
        <v>45148</v>
      </c>
      <c r="AD378" s="116" t="s">
        <v>10</v>
      </c>
      <c r="AE378" s="113" t="str" cm="1">
        <f t="array" ref="AE378">_xlfn.IFS(S378&lt;=Constantes!$G$2,"Muito Curta (evitável)",S378&lt;=Constantes!$H$2,"Curta Distância",S378&gt;Constantes!$H$2,"Longa Distância")</f>
        <v>Curta Distância</v>
      </c>
      <c r="AF378" s="114">
        <f>IFERROR(VLOOKUP(AE378,Constantes!$A$1:$E$5,MATCH(AD378,Constantes!$A$1:$E$1,0),0),"")</f>
        <v>0.18286935436241611</v>
      </c>
      <c r="AG378" s="115">
        <f t="shared" si="11"/>
        <v>400.47917570486158</v>
      </c>
    </row>
    <row r="379" spans="1:33" x14ac:dyDescent="0.3">
      <c r="A379">
        <f>COUNTIF($B$2:B379,B379)</f>
        <v>2</v>
      </c>
      <c r="B379">
        <v>19166671</v>
      </c>
      <c r="C379" t="s">
        <v>590</v>
      </c>
      <c r="D379" t="s">
        <v>591</v>
      </c>
      <c r="E379" t="s">
        <v>592</v>
      </c>
      <c r="F379" t="s">
        <v>198</v>
      </c>
      <c r="G379" t="s">
        <v>207</v>
      </c>
      <c r="H379" t="s">
        <v>204</v>
      </c>
      <c r="I379" s="49">
        <v>45219</v>
      </c>
      <c r="J379" s="49">
        <v>45227</v>
      </c>
      <c r="K379" t="s">
        <v>593</v>
      </c>
      <c r="L379" s="49">
        <v>45219</v>
      </c>
      <c r="M379" s="49">
        <v>45222</v>
      </c>
      <c r="N379" t="s">
        <v>107</v>
      </c>
      <c r="O379" t="s">
        <v>117</v>
      </c>
      <c r="P379">
        <f>VLOOKUP(N379,[1]ID_Cidades!$A$1:$E$5900,2,FALSE)</f>
        <v>295765</v>
      </c>
      <c r="Q379">
        <f>VLOOKUP(O379,[1]ID_Cidades!$A$1:$E$5900,2,FALSE)</f>
        <v>295779</v>
      </c>
      <c r="R379">
        <f t="shared" si="10"/>
        <v>87481075935</v>
      </c>
      <c r="S379" s="42">
        <f>VLOOKUP(R379,'[1]GCD base'!$A$1:$M$200,7,FALSE)</f>
        <v>2189.9742419999998</v>
      </c>
      <c r="T379" t="s">
        <v>109</v>
      </c>
      <c r="U379" t="s">
        <v>201</v>
      </c>
      <c r="V379" t="s">
        <v>202</v>
      </c>
      <c r="W379" t="s">
        <v>203</v>
      </c>
      <c r="X379" t="s">
        <v>204</v>
      </c>
      <c r="Y379">
        <v>0</v>
      </c>
      <c r="Z379">
        <v>0</v>
      </c>
      <c r="AA379">
        <v>942.75</v>
      </c>
      <c r="AB379">
        <v>0</v>
      </c>
      <c r="AC379" s="49">
        <v>45148</v>
      </c>
      <c r="AD379" s="116" t="s">
        <v>10</v>
      </c>
      <c r="AE379" s="113" t="str" cm="1">
        <f t="array" ref="AE379">_xlfn.IFS(S379&lt;=Constantes!$G$2,"Muito Curta (evitável)",S379&lt;=Constantes!$H$2,"Curta Distância",S379&gt;Constantes!$H$2,"Longa Distância")</f>
        <v>Curta Distância</v>
      </c>
      <c r="AF379" s="114">
        <f>IFERROR(VLOOKUP(AE379,Constantes!$A$1:$E$5,MATCH(AD379,Constantes!$A$1:$E$1,0),0),"")</f>
        <v>0.18286935436241611</v>
      </c>
      <c r="AG379" s="115">
        <f t="shared" si="11"/>
        <v>400.47917570486158</v>
      </c>
    </row>
    <row r="380" spans="1:33" x14ac:dyDescent="0.3">
      <c r="A380">
        <f>COUNTIF($B$2:B380,B380)</f>
        <v>1</v>
      </c>
      <c r="B380">
        <v>19346753</v>
      </c>
      <c r="C380" t="s">
        <v>1313</v>
      </c>
      <c r="D380" t="s">
        <v>1314</v>
      </c>
      <c r="E380" t="s">
        <v>1315</v>
      </c>
      <c r="F380" t="s">
        <v>198</v>
      </c>
      <c r="G380" t="s">
        <v>207</v>
      </c>
      <c r="H380" t="s">
        <v>204</v>
      </c>
      <c r="I380" s="49">
        <v>45219</v>
      </c>
      <c r="J380" s="49">
        <v>45222</v>
      </c>
      <c r="K380" t="s">
        <v>1316</v>
      </c>
      <c r="L380" s="49">
        <v>45222</v>
      </c>
      <c r="M380" s="49">
        <v>45222</v>
      </c>
      <c r="N380" t="s">
        <v>120</v>
      </c>
      <c r="O380" t="s">
        <v>107</v>
      </c>
      <c r="P380">
        <f>VLOOKUP(N380,[1]ID_Cidades!$A$1:$E$5900,2,FALSE)</f>
        <v>295783</v>
      </c>
      <c r="Q380">
        <f>VLOOKUP(O380,[1]ID_Cidades!$A$1:$E$5900,2,FALSE)</f>
        <v>295765</v>
      </c>
      <c r="R380">
        <f t="shared" si="10"/>
        <v>87482258995</v>
      </c>
      <c r="S380" s="42">
        <f>VLOOKUP(R380,'[1]GCD base'!$A$1:$M$200,7,FALSE)</f>
        <v>2817.0983059999999</v>
      </c>
      <c r="T380" t="s">
        <v>109</v>
      </c>
      <c r="U380" t="s">
        <v>201</v>
      </c>
      <c r="V380" t="s">
        <v>202</v>
      </c>
      <c r="W380" t="s">
        <v>203</v>
      </c>
      <c r="X380" t="s">
        <v>204</v>
      </c>
      <c r="Y380">
        <v>1339.17</v>
      </c>
      <c r="Z380">
        <v>0</v>
      </c>
      <c r="AA380">
        <v>1736.42</v>
      </c>
      <c r="AB380">
        <v>0</v>
      </c>
      <c r="AC380" s="49">
        <v>45198</v>
      </c>
      <c r="AD380" s="116" t="s">
        <v>10</v>
      </c>
      <c r="AE380" s="113" t="str" cm="1">
        <f t="array" ref="AE380">_xlfn.IFS(S380&lt;=Constantes!$G$2,"Muito Curta (evitável)",S380&lt;=Constantes!$H$2,"Curta Distância",S380&gt;Constantes!$H$2,"Longa Distância")</f>
        <v>Curta Distância</v>
      </c>
      <c r="AF380" s="114">
        <f>IFERROR(VLOOKUP(AE380,Constantes!$A$1:$E$5,MATCH(AD380,Constantes!$A$1:$E$1,0),0),"")</f>
        <v>0.18286935436241611</v>
      </c>
      <c r="AG380" s="115">
        <f t="shared" si="11"/>
        <v>515.16094839367611</v>
      </c>
    </row>
    <row r="381" spans="1:33" x14ac:dyDescent="0.3">
      <c r="A381">
        <f>COUNTIF($B$2:B381,B381)</f>
        <v>2</v>
      </c>
      <c r="B381">
        <v>19346753</v>
      </c>
      <c r="C381" t="s">
        <v>1313</v>
      </c>
      <c r="D381" t="s">
        <v>1314</v>
      </c>
      <c r="E381" t="s">
        <v>1315</v>
      </c>
      <c r="F381" t="s">
        <v>198</v>
      </c>
      <c r="G381" t="s">
        <v>207</v>
      </c>
      <c r="H381" t="s">
        <v>204</v>
      </c>
      <c r="I381" s="49">
        <v>45219</v>
      </c>
      <c r="J381" s="49">
        <v>45222</v>
      </c>
      <c r="K381" t="s">
        <v>1316</v>
      </c>
      <c r="L381" s="49">
        <v>45219</v>
      </c>
      <c r="M381" s="49">
        <v>45222</v>
      </c>
      <c r="N381" t="s">
        <v>107</v>
      </c>
      <c r="O381" t="s">
        <v>120</v>
      </c>
      <c r="P381">
        <f>VLOOKUP(N381,[1]ID_Cidades!$A$1:$E$5900,2,FALSE)</f>
        <v>295765</v>
      </c>
      <c r="Q381">
        <f>VLOOKUP(O381,[1]ID_Cidades!$A$1:$E$5900,2,FALSE)</f>
        <v>295783</v>
      </c>
      <c r="R381">
        <f t="shared" si="10"/>
        <v>87482258995</v>
      </c>
      <c r="S381" s="42">
        <f>VLOOKUP(R381,'[1]GCD base'!$A$1:$M$200,7,FALSE)</f>
        <v>2817.0983059999999</v>
      </c>
      <c r="T381" t="s">
        <v>109</v>
      </c>
      <c r="U381" t="s">
        <v>205</v>
      </c>
      <c r="V381" t="s">
        <v>202</v>
      </c>
      <c r="W381" t="s">
        <v>203</v>
      </c>
      <c r="X381" t="s">
        <v>204</v>
      </c>
      <c r="Y381">
        <v>0</v>
      </c>
      <c r="Z381">
        <v>0</v>
      </c>
      <c r="AA381">
        <v>1735.39</v>
      </c>
      <c r="AB381">
        <v>0</v>
      </c>
      <c r="AC381" s="49">
        <v>45198</v>
      </c>
      <c r="AD381" s="116" t="s">
        <v>10</v>
      </c>
      <c r="AE381" s="113" t="str" cm="1">
        <f t="array" ref="AE381">_xlfn.IFS(S381&lt;=Constantes!$G$2,"Muito Curta (evitável)",S381&lt;=Constantes!$H$2,"Curta Distância",S381&gt;Constantes!$H$2,"Longa Distância")</f>
        <v>Curta Distância</v>
      </c>
      <c r="AF381" s="114">
        <f>IFERROR(VLOOKUP(AE381,Constantes!$A$1:$E$5,MATCH(AD381,Constantes!$A$1:$E$1,0),0),"")</f>
        <v>0.18286935436241611</v>
      </c>
      <c r="AG381" s="115">
        <f t="shared" si="11"/>
        <v>515.16094839367611</v>
      </c>
    </row>
    <row r="382" spans="1:33" x14ac:dyDescent="0.3">
      <c r="A382">
        <f>COUNTIF($B$2:B382,B382)</f>
        <v>1</v>
      </c>
      <c r="B382">
        <v>19236386</v>
      </c>
      <c r="C382" t="s">
        <v>786</v>
      </c>
      <c r="D382" t="s">
        <v>787</v>
      </c>
      <c r="E382" t="s">
        <v>788</v>
      </c>
      <c r="F382" t="s">
        <v>198</v>
      </c>
      <c r="G382" t="s">
        <v>207</v>
      </c>
      <c r="H382" t="s">
        <v>204</v>
      </c>
      <c r="I382" s="49">
        <v>45220</v>
      </c>
      <c r="J382" s="49">
        <v>45227</v>
      </c>
      <c r="K382" t="s">
        <v>789</v>
      </c>
      <c r="L382" s="49">
        <v>45227</v>
      </c>
      <c r="M382" s="49">
        <v>45227</v>
      </c>
      <c r="N382" t="s">
        <v>120</v>
      </c>
      <c r="O382" t="s">
        <v>107</v>
      </c>
      <c r="P382">
        <f>VLOOKUP(N382,[1]ID_Cidades!$A$1:$E$5900,2,FALSE)</f>
        <v>295783</v>
      </c>
      <c r="Q382">
        <f>VLOOKUP(O382,[1]ID_Cidades!$A$1:$E$5900,2,FALSE)</f>
        <v>295765</v>
      </c>
      <c r="R382">
        <f t="shared" si="10"/>
        <v>87482258995</v>
      </c>
      <c r="S382" s="42">
        <f>VLOOKUP(R382,'[1]GCD base'!$A$1:$M$200,7,FALSE)</f>
        <v>2817.0983059999999</v>
      </c>
      <c r="T382" t="s">
        <v>109</v>
      </c>
      <c r="U382" t="s">
        <v>201</v>
      </c>
      <c r="V382" t="s">
        <v>202</v>
      </c>
      <c r="W382" t="s">
        <v>203</v>
      </c>
      <c r="X382" t="s">
        <v>204</v>
      </c>
      <c r="Y382">
        <v>2804</v>
      </c>
      <c r="Z382">
        <v>0</v>
      </c>
      <c r="AA382">
        <v>1848.12</v>
      </c>
      <c r="AB382">
        <v>0</v>
      </c>
      <c r="AC382" s="49">
        <v>45194</v>
      </c>
      <c r="AD382" s="116" t="s">
        <v>10</v>
      </c>
      <c r="AE382" s="113" t="str" cm="1">
        <f t="array" ref="AE382">_xlfn.IFS(S382&lt;=Constantes!$G$2,"Muito Curta (evitável)",S382&lt;=Constantes!$H$2,"Curta Distância",S382&gt;Constantes!$H$2,"Longa Distância")</f>
        <v>Curta Distância</v>
      </c>
      <c r="AF382" s="114">
        <f>IFERROR(VLOOKUP(AE382,Constantes!$A$1:$E$5,MATCH(AD382,Constantes!$A$1:$E$1,0),0),"")</f>
        <v>0.18286935436241611</v>
      </c>
      <c r="AG382" s="115">
        <f t="shared" si="11"/>
        <v>515.16094839367611</v>
      </c>
    </row>
    <row r="383" spans="1:33" x14ac:dyDescent="0.3">
      <c r="A383">
        <f>COUNTIF($B$2:B383,B383)</f>
        <v>2</v>
      </c>
      <c r="B383">
        <v>19236386</v>
      </c>
      <c r="C383" t="s">
        <v>786</v>
      </c>
      <c r="D383" t="s">
        <v>787</v>
      </c>
      <c r="E383" t="s">
        <v>788</v>
      </c>
      <c r="F383" t="s">
        <v>198</v>
      </c>
      <c r="G383" t="s">
        <v>207</v>
      </c>
      <c r="H383" t="s">
        <v>204</v>
      </c>
      <c r="I383" s="49">
        <v>45220</v>
      </c>
      <c r="J383" s="49">
        <v>45227</v>
      </c>
      <c r="K383" t="s">
        <v>789</v>
      </c>
      <c r="L383" s="49">
        <v>45220</v>
      </c>
      <c r="M383" s="49">
        <v>45227</v>
      </c>
      <c r="N383" t="s">
        <v>107</v>
      </c>
      <c r="O383" t="s">
        <v>120</v>
      </c>
      <c r="P383">
        <f>VLOOKUP(N383,[1]ID_Cidades!$A$1:$E$5900,2,FALSE)</f>
        <v>295765</v>
      </c>
      <c r="Q383">
        <f>VLOOKUP(O383,[1]ID_Cidades!$A$1:$E$5900,2,FALSE)</f>
        <v>295783</v>
      </c>
      <c r="R383">
        <f t="shared" si="10"/>
        <v>87482258995</v>
      </c>
      <c r="S383" s="42">
        <f>VLOOKUP(R383,'[1]GCD base'!$A$1:$M$200,7,FALSE)</f>
        <v>2817.0983059999999</v>
      </c>
      <c r="T383" t="s">
        <v>109</v>
      </c>
      <c r="U383" t="s">
        <v>205</v>
      </c>
      <c r="V383" t="s">
        <v>202</v>
      </c>
      <c r="W383" t="s">
        <v>203</v>
      </c>
      <c r="X383" t="s">
        <v>204</v>
      </c>
      <c r="Y383">
        <v>0</v>
      </c>
      <c r="Z383">
        <v>0</v>
      </c>
      <c r="AA383">
        <v>1780.29</v>
      </c>
      <c r="AB383">
        <v>0</v>
      </c>
      <c r="AC383" s="49">
        <v>45194</v>
      </c>
      <c r="AD383" s="116" t="s">
        <v>10</v>
      </c>
      <c r="AE383" s="113" t="str" cm="1">
        <f t="array" ref="AE383">_xlfn.IFS(S383&lt;=Constantes!$G$2,"Muito Curta (evitável)",S383&lt;=Constantes!$H$2,"Curta Distância",S383&gt;Constantes!$H$2,"Longa Distância")</f>
        <v>Curta Distância</v>
      </c>
      <c r="AF383" s="114">
        <f>IFERROR(VLOOKUP(AE383,Constantes!$A$1:$E$5,MATCH(AD383,Constantes!$A$1:$E$1,0),0),"")</f>
        <v>0.18286935436241611</v>
      </c>
      <c r="AG383" s="115">
        <f t="shared" si="11"/>
        <v>515.16094839367611</v>
      </c>
    </row>
    <row r="384" spans="1:33" x14ac:dyDescent="0.3">
      <c r="A384">
        <f>COUNTIF($B$2:B384,B384)</f>
        <v>1</v>
      </c>
      <c r="B384">
        <v>19237284</v>
      </c>
      <c r="C384" t="s">
        <v>794</v>
      </c>
      <c r="D384" t="s">
        <v>795</v>
      </c>
      <c r="E384" t="s">
        <v>796</v>
      </c>
      <c r="F384" t="s">
        <v>198</v>
      </c>
      <c r="G384" t="s">
        <v>211</v>
      </c>
      <c r="H384" t="s">
        <v>211</v>
      </c>
      <c r="I384" s="49">
        <v>45220</v>
      </c>
      <c r="J384" s="49">
        <v>45227</v>
      </c>
      <c r="K384" t="s">
        <v>797</v>
      </c>
      <c r="L384" s="49">
        <v>45220</v>
      </c>
      <c r="M384" s="49">
        <v>45227</v>
      </c>
      <c r="N384" t="s">
        <v>107</v>
      </c>
      <c r="O384" t="s">
        <v>120</v>
      </c>
      <c r="P384">
        <f>VLOOKUP(N384,[1]ID_Cidades!$A$1:$E$5900,2,FALSE)</f>
        <v>295765</v>
      </c>
      <c r="Q384">
        <f>VLOOKUP(O384,[1]ID_Cidades!$A$1:$E$5900,2,FALSE)</f>
        <v>295783</v>
      </c>
      <c r="R384">
        <f t="shared" si="10"/>
        <v>87482258995</v>
      </c>
      <c r="S384" s="42">
        <f>VLOOKUP(R384,'[1]GCD base'!$A$1:$M$200,7,FALSE)</f>
        <v>2817.0983059999999</v>
      </c>
      <c r="T384" t="s">
        <v>109</v>
      </c>
      <c r="U384" t="s">
        <v>205</v>
      </c>
      <c r="V384" t="s">
        <v>202</v>
      </c>
      <c r="W384" t="s">
        <v>203</v>
      </c>
      <c r="X384" t="s">
        <v>204</v>
      </c>
      <c r="Y384">
        <v>2804</v>
      </c>
      <c r="Z384">
        <v>0</v>
      </c>
      <c r="AA384">
        <v>1787.72</v>
      </c>
      <c r="AB384">
        <v>0</v>
      </c>
      <c r="AC384" s="49">
        <v>45194</v>
      </c>
      <c r="AD384" s="116" t="s">
        <v>10</v>
      </c>
      <c r="AE384" s="113" t="str" cm="1">
        <f t="array" ref="AE384">_xlfn.IFS(S384&lt;=Constantes!$G$2,"Muito Curta (evitável)",S384&lt;=Constantes!$H$2,"Curta Distância",S384&gt;Constantes!$H$2,"Longa Distância")</f>
        <v>Curta Distância</v>
      </c>
      <c r="AF384" s="114">
        <f>IFERROR(VLOOKUP(AE384,Constantes!$A$1:$E$5,MATCH(AD384,Constantes!$A$1:$E$1,0),0),"")</f>
        <v>0.18286935436241611</v>
      </c>
      <c r="AG384" s="115">
        <f t="shared" si="11"/>
        <v>515.16094839367611</v>
      </c>
    </row>
    <row r="385" spans="1:33" x14ac:dyDescent="0.3">
      <c r="A385">
        <f>COUNTIF($B$2:B385,B385)</f>
        <v>2</v>
      </c>
      <c r="B385">
        <v>19237284</v>
      </c>
      <c r="C385" t="s">
        <v>794</v>
      </c>
      <c r="D385" t="s">
        <v>795</v>
      </c>
      <c r="E385" t="s">
        <v>796</v>
      </c>
      <c r="F385" t="s">
        <v>198</v>
      </c>
      <c r="G385" t="s">
        <v>211</v>
      </c>
      <c r="H385" t="s">
        <v>211</v>
      </c>
      <c r="I385" s="49">
        <v>45220</v>
      </c>
      <c r="J385" s="49">
        <v>45227</v>
      </c>
      <c r="K385" t="s">
        <v>797</v>
      </c>
      <c r="L385" s="49">
        <v>45227</v>
      </c>
      <c r="M385" s="49">
        <v>45227</v>
      </c>
      <c r="N385" t="s">
        <v>120</v>
      </c>
      <c r="O385" t="s">
        <v>107</v>
      </c>
      <c r="P385">
        <f>VLOOKUP(N385,[1]ID_Cidades!$A$1:$E$5900,2,FALSE)</f>
        <v>295783</v>
      </c>
      <c r="Q385">
        <f>VLOOKUP(O385,[1]ID_Cidades!$A$1:$E$5900,2,FALSE)</f>
        <v>295765</v>
      </c>
      <c r="R385">
        <f t="shared" si="10"/>
        <v>87482258995</v>
      </c>
      <c r="S385" s="42">
        <f>VLOOKUP(R385,'[1]GCD base'!$A$1:$M$200,7,FALSE)</f>
        <v>2817.0983059999999</v>
      </c>
      <c r="T385" t="s">
        <v>109</v>
      </c>
      <c r="U385" t="s">
        <v>201</v>
      </c>
      <c r="V385" t="s">
        <v>202</v>
      </c>
      <c r="W385" t="s">
        <v>203</v>
      </c>
      <c r="X385" t="s">
        <v>204</v>
      </c>
      <c r="Y385">
        <v>0</v>
      </c>
      <c r="Z385">
        <v>0</v>
      </c>
      <c r="AA385">
        <v>1710.69</v>
      </c>
      <c r="AB385">
        <v>0</v>
      </c>
      <c r="AC385" s="49">
        <v>45194</v>
      </c>
      <c r="AD385" s="116" t="s">
        <v>10</v>
      </c>
      <c r="AE385" s="113" t="str" cm="1">
        <f t="array" ref="AE385">_xlfn.IFS(S385&lt;=Constantes!$G$2,"Muito Curta (evitável)",S385&lt;=Constantes!$H$2,"Curta Distância",S385&gt;Constantes!$H$2,"Longa Distância")</f>
        <v>Curta Distância</v>
      </c>
      <c r="AF385" s="114">
        <f>IFERROR(VLOOKUP(AE385,Constantes!$A$1:$E$5,MATCH(AD385,Constantes!$A$1:$E$1,0),0),"")</f>
        <v>0.18286935436241611</v>
      </c>
      <c r="AG385" s="115">
        <f t="shared" si="11"/>
        <v>515.16094839367611</v>
      </c>
    </row>
    <row r="386" spans="1:33" x14ac:dyDescent="0.3">
      <c r="A386">
        <f>COUNTIF($B$2:B386,B386)</f>
        <v>1</v>
      </c>
      <c r="B386">
        <v>19105898</v>
      </c>
      <c r="C386" t="s">
        <v>434</v>
      </c>
      <c r="D386" t="s">
        <v>435</v>
      </c>
      <c r="E386" t="s">
        <v>436</v>
      </c>
      <c r="F386" t="s">
        <v>198</v>
      </c>
      <c r="G386" t="s">
        <v>233</v>
      </c>
      <c r="H386" t="s">
        <v>233</v>
      </c>
      <c r="I386" s="49">
        <v>45221</v>
      </c>
      <c r="J386" s="49">
        <v>45224</v>
      </c>
      <c r="K386" t="s">
        <v>437</v>
      </c>
      <c r="L386" s="49">
        <v>45221</v>
      </c>
      <c r="M386" s="49">
        <v>45224</v>
      </c>
      <c r="N386" t="s">
        <v>107</v>
      </c>
      <c r="O386" t="s">
        <v>110</v>
      </c>
      <c r="P386">
        <f>VLOOKUP(N386,[1]ID_Cidades!$A$1:$E$5900,2,FALSE)</f>
        <v>295765</v>
      </c>
      <c r="Q386">
        <f>VLOOKUP(O386,[1]ID_Cidades!$A$1:$E$5900,2,FALSE)</f>
        <v>295763</v>
      </c>
      <c r="R386">
        <f t="shared" ref="R386:R449" si="12">P386*Q386</f>
        <v>87476343695</v>
      </c>
      <c r="S386" s="42">
        <f>VLOOKUP(R386,'[1]GCD base'!$A$1:$M$200,7,FALSE)</f>
        <v>1713.419991</v>
      </c>
      <c r="T386" t="s">
        <v>109</v>
      </c>
      <c r="U386" t="s">
        <v>205</v>
      </c>
      <c r="V386" t="s">
        <v>202</v>
      </c>
      <c r="W386" t="s">
        <v>203</v>
      </c>
      <c r="X386" t="s">
        <v>204</v>
      </c>
      <c r="Y386">
        <v>1339.26</v>
      </c>
      <c r="Z386">
        <v>0</v>
      </c>
      <c r="AA386">
        <v>1204.31</v>
      </c>
      <c r="AB386">
        <v>0</v>
      </c>
      <c r="AC386" s="49">
        <v>45155</v>
      </c>
      <c r="AD386" s="116" t="s">
        <v>10</v>
      </c>
      <c r="AE386" s="113" t="str" cm="1">
        <f t="array" ref="AE386">_xlfn.IFS(S386&lt;=Constantes!$G$2,"Muito Curta (evitável)",S386&lt;=Constantes!$H$2,"Curta Distância",S386&gt;Constantes!$H$2,"Longa Distância")</f>
        <v>Curta Distância</v>
      </c>
      <c r="AF386" s="114">
        <f>IFERROR(VLOOKUP(AE386,Constantes!$A$1:$E$5,MATCH(AD386,Constantes!$A$1:$E$1,0),0),"")</f>
        <v>0.18286935436241611</v>
      </c>
      <c r="AG386" s="115">
        <f t="shared" si="11"/>
        <v>313.33200750582682</v>
      </c>
    </row>
    <row r="387" spans="1:33" x14ac:dyDescent="0.3">
      <c r="A387">
        <f>COUNTIF($B$2:B387,B387)</f>
        <v>2</v>
      </c>
      <c r="B387">
        <v>19105898</v>
      </c>
      <c r="C387" t="s">
        <v>434</v>
      </c>
      <c r="D387" t="s">
        <v>435</v>
      </c>
      <c r="E387" t="s">
        <v>436</v>
      </c>
      <c r="F387" t="s">
        <v>198</v>
      </c>
      <c r="G387" t="s">
        <v>233</v>
      </c>
      <c r="H387" t="s">
        <v>233</v>
      </c>
      <c r="I387" s="49">
        <v>45221</v>
      </c>
      <c r="J387" s="49">
        <v>45224</v>
      </c>
      <c r="K387" t="s">
        <v>437</v>
      </c>
      <c r="L387" s="49">
        <v>45224</v>
      </c>
      <c r="M387" s="49">
        <v>45224</v>
      </c>
      <c r="N387" t="s">
        <v>110</v>
      </c>
      <c r="O387" t="s">
        <v>107</v>
      </c>
      <c r="P387">
        <f>VLOOKUP(N387,[1]ID_Cidades!$A$1:$E$5900,2,FALSE)</f>
        <v>295763</v>
      </c>
      <c r="Q387">
        <f>VLOOKUP(O387,[1]ID_Cidades!$A$1:$E$5900,2,FALSE)</f>
        <v>295765</v>
      </c>
      <c r="R387">
        <f t="shared" si="12"/>
        <v>87476343695</v>
      </c>
      <c r="S387" s="42">
        <f>VLOOKUP(R387,'[1]GCD base'!$A$1:$M$200,7,FALSE)</f>
        <v>1713.419991</v>
      </c>
      <c r="T387" t="s">
        <v>109</v>
      </c>
      <c r="U387" t="s">
        <v>201</v>
      </c>
      <c r="V387" t="s">
        <v>202</v>
      </c>
      <c r="W387" t="s">
        <v>203</v>
      </c>
      <c r="X387" t="s">
        <v>204</v>
      </c>
      <c r="Y387">
        <v>0</v>
      </c>
      <c r="Z387">
        <v>0</v>
      </c>
      <c r="AA387">
        <v>1293.69</v>
      </c>
      <c r="AB387">
        <v>0</v>
      </c>
      <c r="AC387" s="49">
        <v>45155</v>
      </c>
      <c r="AD387" s="116" t="s">
        <v>10</v>
      </c>
      <c r="AE387" s="113" t="str" cm="1">
        <f t="array" ref="AE387">_xlfn.IFS(S387&lt;=Constantes!$G$2,"Muito Curta (evitável)",S387&lt;=Constantes!$H$2,"Curta Distância",S387&gt;Constantes!$H$2,"Longa Distância")</f>
        <v>Curta Distância</v>
      </c>
      <c r="AF387" s="114">
        <f>IFERROR(VLOOKUP(AE387,Constantes!$A$1:$E$5,MATCH(AD387,Constantes!$A$1:$E$1,0),0),"")</f>
        <v>0.18286935436241611</v>
      </c>
      <c r="AG387" s="115">
        <f t="shared" ref="AG387:AG450" si="13">AF387*S387</f>
        <v>313.33200750582682</v>
      </c>
    </row>
    <row r="388" spans="1:33" x14ac:dyDescent="0.3">
      <c r="A388">
        <f>COUNTIF($B$2:B388,B388)</f>
        <v>1</v>
      </c>
      <c r="B388">
        <v>19159155</v>
      </c>
      <c r="C388" t="s">
        <v>534</v>
      </c>
      <c r="D388" t="s">
        <v>218</v>
      </c>
      <c r="E388" t="s">
        <v>535</v>
      </c>
      <c r="F388" t="s">
        <v>198</v>
      </c>
      <c r="G388" t="s">
        <v>207</v>
      </c>
      <c r="H388" t="s">
        <v>204</v>
      </c>
      <c r="I388" s="49">
        <v>45221</v>
      </c>
      <c r="J388" s="49">
        <v>45224</v>
      </c>
      <c r="K388" t="s">
        <v>536</v>
      </c>
      <c r="L388" s="49">
        <v>45224</v>
      </c>
      <c r="M388" s="49">
        <v>45224</v>
      </c>
      <c r="N388" t="s">
        <v>110</v>
      </c>
      <c r="O388" t="s">
        <v>107</v>
      </c>
      <c r="P388">
        <f>VLOOKUP(N388,[1]ID_Cidades!$A$1:$E$5900,2,FALSE)</f>
        <v>295763</v>
      </c>
      <c r="Q388">
        <f>VLOOKUP(O388,[1]ID_Cidades!$A$1:$E$5900,2,FALSE)</f>
        <v>295765</v>
      </c>
      <c r="R388">
        <f t="shared" si="12"/>
        <v>87476343695</v>
      </c>
      <c r="S388" s="42">
        <f>VLOOKUP(R388,'[1]GCD base'!$A$1:$M$200,7,FALSE)</f>
        <v>1713.419991</v>
      </c>
      <c r="T388" t="s">
        <v>109</v>
      </c>
      <c r="U388" t="s">
        <v>201</v>
      </c>
      <c r="V388" t="s">
        <v>202</v>
      </c>
      <c r="W388" t="s">
        <v>203</v>
      </c>
      <c r="X388" t="s">
        <v>204</v>
      </c>
      <c r="Y388">
        <v>1339.26</v>
      </c>
      <c r="Z388">
        <v>0</v>
      </c>
      <c r="AA388">
        <v>1268.5</v>
      </c>
      <c r="AB388">
        <v>0</v>
      </c>
      <c r="AC388" s="49">
        <v>45145</v>
      </c>
      <c r="AD388" s="116" t="s">
        <v>10</v>
      </c>
      <c r="AE388" s="113" t="str" cm="1">
        <f t="array" ref="AE388">_xlfn.IFS(S388&lt;=Constantes!$G$2,"Muito Curta (evitável)",S388&lt;=Constantes!$H$2,"Curta Distância",S388&gt;Constantes!$H$2,"Longa Distância")</f>
        <v>Curta Distância</v>
      </c>
      <c r="AF388" s="114">
        <f>IFERROR(VLOOKUP(AE388,Constantes!$A$1:$E$5,MATCH(AD388,Constantes!$A$1:$E$1,0),0),"")</f>
        <v>0.18286935436241611</v>
      </c>
      <c r="AG388" s="115">
        <f t="shared" si="13"/>
        <v>313.33200750582682</v>
      </c>
    </row>
    <row r="389" spans="1:33" x14ac:dyDescent="0.3">
      <c r="A389">
        <f>COUNTIF($B$2:B389,B389)</f>
        <v>2</v>
      </c>
      <c r="B389">
        <v>19159155</v>
      </c>
      <c r="C389" t="s">
        <v>534</v>
      </c>
      <c r="D389" t="s">
        <v>218</v>
      </c>
      <c r="E389" t="s">
        <v>535</v>
      </c>
      <c r="F389" t="s">
        <v>198</v>
      </c>
      <c r="G389" t="s">
        <v>207</v>
      </c>
      <c r="H389" t="s">
        <v>204</v>
      </c>
      <c r="I389" s="49">
        <v>45221</v>
      </c>
      <c r="J389" s="49">
        <v>45224</v>
      </c>
      <c r="K389" t="s">
        <v>536</v>
      </c>
      <c r="L389" s="49">
        <v>45221</v>
      </c>
      <c r="M389" s="49">
        <v>45224</v>
      </c>
      <c r="N389" t="s">
        <v>107</v>
      </c>
      <c r="O389" t="s">
        <v>110</v>
      </c>
      <c r="P389">
        <f>VLOOKUP(N389,[1]ID_Cidades!$A$1:$E$5900,2,FALSE)</f>
        <v>295765</v>
      </c>
      <c r="Q389">
        <f>VLOOKUP(O389,[1]ID_Cidades!$A$1:$E$5900,2,FALSE)</f>
        <v>295763</v>
      </c>
      <c r="R389">
        <f t="shared" si="12"/>
        <v>87476343695</v>
      </c>
      <c r="S389" s="42">
        <f>VLOOKUP(R389,'[1]GCD base'!$A$1:$M$200,7,FALSE)</f>
        <v>1713.419991</v>
      </c>
      <c r="T389" t="s">
        <v>109</v>
      </c>
      <c r="U389" t="s">
        <v>205</v>
      </c>
      <c r="V389" t="s">
        <v>202</v>
      </c>
      <c r="W389" t="s">
        <v>203</v>
      </c>
      <c r="X389" t="s">
        <v>204</v>
      </c>
      <c r="Y389">
        <v>0</v>
      </c>
      <c r="Z389">
        <v>0</v>
      </c>
      <c r="AA389">
        <v>0</v>
      </c>
      <c r="AB389">
        <v>0</v>
      </c>
      <c r="AC389">
        <v>0</v>
      </c>
      <c r="AD389" s="116" t="s">
        <v>10</v>
      </c>
      <c r="AE389" s="113" t="str" cm="1">
        <f t="array" ref="AE389">_xlfn.IFS(S389&lt;=Constantes!$G$2,"Muito Curta (evitável)",S389&lt;=Constantes!$H$2,"Curta Distância",S389&gt;Constantes!$H$2,"Longa Distância")</f>
        <v>Curta Distância</v>
      </c>
      <c r="AF389" s="114">
        <f>IFERROR(VLOOKUP(AE389,Constantes!$A$1:$E$5,MATCH(AD389,Constantes!$A$1:$E$1,0),0),"")</f>
        <v>0.18286935436241611</v>
      </c>
      <c r="AG389" s="115">
        <f t="shared" si="13"/>
        <v>313.33200750582682</v>
      </c>
    </row>
    <row r="390" spans="1:33" x14ac:dyDescent="0.3">
      <c r="A390">
        <f>COUNTIF($B$2:B390,B390)</f>
        <v>1</v>
      </c>
      <c r="B390">
        <v>19224616</v>
      </c>
      <c r="C390" t="s">
        <v>749</v>
      </c>
      <c r="D390" t="s">
        <v>750</v>
      </c>
      <c r="E390" t="s">
        <v>751</v>
      </c>
      <c r="F390" t="s">
        <v>752</v>
      </c>
      <c r="G390" t="s">
        <v>207</v>
      </c>
      <c r="H390" t="s">
        <v>204</v>
      </c>
      <c r="I390" s="49">
        <v>45221</v>
      </c>
      <c r="J390" s="49">
        <v>45228</v>
      </c>
      <c r="K390" t="s">
        <v>753</v>
      </c>
      <c r="L390" s="49">
        <v>45227</v>
      </c>
      <c r="M390" s="49">
        <v>45228</v>
      </c>
      <c r="N390" t="s">
        <v>754</v>
      </c>
      <c r="O390" t="s">
        <v>107</v>
      </c>
      <c r="P390">
        <f>VLOOKUP(N390,[1]ID_Cidades!$A$1:$E$5900,2,FALSE)</f>
        <v>305574</v>
      </c>
      <c r="Q390">
        <f>VLOOKUP(O390,[1]ID_Cidades!$A$1:$E$5900,2,FALSE)</f>
        <v>295765</v>
      </c>
      <c r="R390">
        <f t="shared" si="12"/>
        <v>90378094110</v>
      </c>
      <c r="S390" s="42">
        <f>VLOOKUP(R390,'[1]GCD base'!$A$1:$M$200,7,FALSE)</f>
        <v>2984.7648640000002</v>
      </c>
      <c r="T390" t="s">
        <v>109</v>
      </c>
      <c r="U390" t="s">
        <v>201</v>
      </c>
      <c r="V390" t="s">
        <v>202</v>
      </c>
      <c r="W390" t="s">
        <v>203</v>
      </c>
      <c r="X390" t="s">
        <v>204</v>
      </c>
      <c r="Y390">
        <v>2202.1999999999998</v>
      </c>
      <c r="Z390">
        <v>0</v>
      </c>
      <c r="AA390">
        <v>1627.59</v>
      </c>
      <c r="AB390">
        <v>0</v>
      </c>
      <c r="AC390" s="49">
        <v>45173</v>
      </c>
      <c r="AD390" s="116" t="s">
        <v>10</v>
      </c>
      <c r="AE390" s="113" t="str" cm="1">
        <f t="array" ref="AE390">_xlfn.IFS(S390&lt;=Constantes!$G$2,"Muito Curta (evitável)",S390&lt;=Constantes!$H$2,"Curta Distância",S390&gt;Constantes!$H$2,"Longa Distância")</f>
        <v>Curta Distância</v>
      </c>
      <c r="AF390" s="114">
        <f>IFERROR(VLOOKUP(AE390,Constantes!$A$1:$E$5,MATCH(AD390,Constantes!$A$1:$E$1,0),0),"")</f>
        <v>0.18286935436241611</v>
      </c>
      <c r="AG390" s="115">
        <f t="shared" si="13"/>
        <v>545.82202360330473</v>
      </c>
    </row>
    <row r="391" spans="1:33" x14ac:dyDescent="0.3">
      <c r="A391">
        <f>COUNTIF($B$2:B391,B391)</f>
        <v>2</v>
      </c>
      <c r="B391">
        <v>19224616</v>
      </c>
      <c r="C391" t="s">
        <v>749</v>
      </c>
      <c r="D391" t="s">
        <v>750</v>
      </c>
      <c r="E391" t="s">
        <v>751</v>
      </c>
      <c r="F391" t="s">
        <v>752</v>
      </c>
      <c r="G391" t="s">
        <v>207</v>
      </c>
      <c r="H391" t="s">
        <v>204</v>
      </c>
      <c r="I391" s="49">
        <v>45221</v>
      </c>
      <c r="J391" s="49">
        <v>45228</v>
      </c>
      <c r="K391" t="s">
        <v>753</v>
      </c>
      <c r="L391" s="49">
        <v>45221</v>
      </c>
      <c r="M391" s="49">
        <v>45221</v>
      </c>
      <c r="N391" t="s">
        <v>107</v>
      </c>
      <c r="O391" t="s">
        <v>754</v>
      </c>
      <c r="P391">
        <f>VLOOKUP(N391,[1]ID_Cidades!$A$1:$E$5900,2,FALSE)</f>
        <v>295765</v>
      </c>
      <c r="Q391">
        <f>VLOOKUP(O391,[1]ID_Cidades!$A$1:$E$5900,2,FALSE)</f>
        <v>305574</v>
      </c>
      <c r="R391">
        <f t="shared" si="12"/>
        <v>90378094110</v>
      </c>
      <c r="S391" s="42">
        <f>VLOOKUP(R391,'[1]GCD base'!$A$1:$M$200,7,FALSE)</f>
        <v>2984.7648640000002</v>
      </c>
      <c r="T391" t="s">
        <v>109</v>
      </c>
      <c r="U391" t="s">
        <v>201</v>
      </c>
      <c r="V391" t="s">
        <v>202</v>
      </c>
      <c r="W391" t="s">
        <v>203</v>
      </c>
      <c r="X391" t="s">
        <v>204</v>
      </c>
      <c r="Y391">
        <v>0</v>
      </c>
      <c r="Z391">
        <v>0</v>
      </c>
      <c r="AA391">
        <v>1142.33</v>
      </c>
      <c r="AB391">
        <v>0</v>
      </c>
      <c r="AC391" s="49">
        <v>45173</v>
      </c>
      <c r="AD391" s="116" t="s">
        <v>10</v>
      </c>
      <c r="AE391" s="113" t="str" cm="1">
        <f t="array" ref="AE391">_xlfn.IFS(S391&lt;=Constantes!$G$2,"Muito Curta (evitável)",S391&lt;=Constantes!$H$2,"Curta Distância",S391&gt;Constantes!$H$2,"Longa Distância")</f>
        <v>Curta Distância</v>
      </c>
      <c r="AF391" s="114">
        <f>IFERROR(VLOOKUP(AE391,Constantes!$A$1:$E$5,MATCH(AD391,Constantes!$A$1:$E$1,0),0),"")</f>
        <v>0.18286935436241611</v>
      </c>
      <c r="AG391" s="115">
        <f t="shared" si="13"/>
        <v>545.82202360330473</v>
      </c>
    </row>
    <row r="392" spans="1:33" x14ac:dyDescent="0.3">
      <c r="A392">
        <f>COUNTIF($B$2:B392,B392)</f>
        <v>1</v>
      </c>
      <c r="B392">
        <v>19231868</v>
      </c>
      <c r="C392" t="s">
        <v>775</v>
      </c>
      <c r="D392" t="s">
        <v>776</v>
      </c>
      <c r="E392" t="s">
        <v>777</v>
      </c>
      <c r="F392" t="s">
        <v>587</v>
      </c>
      <c r="G392" t="s">
        <v>215</v>
      </c>
      <c r="H392" t="s">
        <v>200</v>
      </c>
      <c r="I392" s="49">
        <v>45221</v>
      </c>
      <c r="J392" s="49">
        <v>45228</v>
      </c>
      <c r="K392" t="s">
        <v>778</v>
      </c>
      <c r="L392" s="49">
        <v>45221</v>
      </c>
      <c r="M392" s="49">
        <v>45222</v>
      </c>
      <c r="N392" t="s">
        <v>107</v>
      </c>
      <c r="O392" t="s">
        <v>754</v>
      </c>
      <c r="P392">
        <f>VLOOKUP(N392,[1]ID_Cidades!$A$1:$E$5900,2,FALSE)</f>
        <v>295765</v>
      </c>
      <c r="Q392">
        <f>VLOOKUP(O392,[1]ID_Cidades!$A$1:$E$5900,2,FALSE)</f>
        <v>305574</v>
      </c>
      <c r="R392">
        <f t="shared" si="12"/>
        <v>90378094110</v>
      </c>
      <c r="S392" s="42">
        <f>VLOOKUP(R392,'[1]GCD base'!$A$1:$M$200,7,FALSE)</f>
        <v>2984.7648640000002</v>
      </c>
      <c r="T392" t="s">
        <v>109</v>
      </c>
      <c r="U392" t="s">
        <v>201</v>
      </c>
      <c r="V392" t="s">
        <v>202</v>
      </c>
      <c r="W392" t="s">
        <v>203</v>
      </c>
      <c r="X392" t="s">
        <v>204</v>
      </c>
      <c r="Y392">
        <v>2512.1799999999998</v>
      </c>
      <c r="Z392">
        <v>0</v>
      </c>
      <c r="AA392">
        <v>1235.19</v>
      </c>
      <c r="AB392">
        <v>0</v>
      </c>
      <c r="AC392" s="49">
        <v>45169</v>
      </c>
      <c r="AD392" s="116" t="s">
        <v>10</v>
      </c>
      <c r="AE392" s="113" t="str" cm="1">
        <f t="array" ref="AE392">_xlfn.IFS(S392&lt;=Constantes!$G$2,"Muito Curta (evitável)",S392&lt;=Constantes!$H$2,"Curta Distância",S392&gt;Constantes!$H$2,"Longa Distância")</f>
        <v>Curta Distância</v>
      </c>
      <c r="AF392" s="114">
        <f>IFERROR(VLOOKUP(AE392,Constantes!$A$1:$E$5,MATCH(AD392,Constantes!$A$1:$E$1,0),0),"")</f>
        <v>0.18286935436241611</v>
      </c>
      <c r="AG392" s="115">
        <f t="shared" si="13"/>
        <v>545.82202360330473</v>
      </c>
    </row>
    <row r="393" spans="1:33" x14ac:dyDescent="0.3">
      <c r="A393">
        <f>COUNTIF($B$2:B393,B393)</f>
        <v>2</v>
      </c>
      <c r="B393">
        <v>19231868</v>
      </c>
      <c r="C393" t="s">
        <v>775</v>
      </c>
      <c r="D393" t="s">
        <v>776</v>
      </c>
      <c r="E393" t="s">
        <v>777</v>
      </c>
      <c r="F393" t="s">
        <v>587</v>
      </c>
      <c r="G393" t="s">
        <v>215</v>
      </c>
      <c r="H393" t="s">
        <v>200</v>
      </c>
      <c r="I393" s="49">
        <v>45221</v>
      </c>
      <c r="J393" s="49">
        <v>45228</v>
      </c>
      <c r="K393" t="s">
        <v>778</v>
      </c>
      <c r="L393" s="49">
        <v>45227</v>
      </c>
      <c r="M393" s="49">
        <v>45228</v>
      </c>
      <c r="N393" t="s">
        <v>754</v>
      </c>
      <c r="O393" t="s">
        <v>107</v>
      </c>
      <c r="P393">
        <f>VLOOKUP(N393,[1]ID_Cidades!$A$1:$E$5900,2,FALSE)</f>
        <v>305574</v>
      </c>
      <c r="Q393">
        <f>VLOOKUP(O393,[1]ID_Cidades!$A$1:$E$5900,2,FALSE)</f>
        <v>295765</v>
      </c>
      <c r="R393">
        <f t="shared" si="12"/>
        <v>90378094110</v>
      </c>
      <c r="S393" s="42">
        <f>VLOOKUP(R393,'[1]GCD base'!$A$1:$M$200,7,FALSE)</f>
        <v>2984.7648640000002</v>
      </c>
      <c r="T393" t="s">
        <v>109</v>
      </c>
      <c r="U393" t="s">
        <v>201</v>
      </c>
      <c r="V393" t="s">
        <v>202</v>
      </c>
      <c r="W393" t="s">
        <v>203</v>
      </c>
      <c r="X393" t="s">
        <v>204</v>
      </c>
      <c r="Y393">
        <v>0</v>
      </c>
      <c r="Z393">
        <v>0</v>
      </c>
      <c r="AA393">
        <v>932.53</v>
      </c>
      <c r="AB393">
        <v>0</v>
      </c>
      <c r="AC393" s="49">
        <v>45169</v>
      </c>
      <c r="AD393" s="116" t="s">
        <v>10</v>
      </c>
      <c r="AE393" s="113" t="str" cm="1">
        <f t="array" ref="AE393">_xlfn.IFS(S393&lt;=Constantes!$G$2,"Muito Curta (evitável)",S393&lt;=Constantes!$H$2,"Curta Distância",S393&gt;Constantes!$H$2,"Longa Distância")</f>
        <v>Curta Distância</v>
      </c>
      <c r="AF393" s="114">
        <f>IFERROR(VLOOKUP(AE393,Constantes!$A$1:$E$5,MATCH(AD393,Constantes!$A$1:$E$1,0),0),"")</f>
        <v>0.18286935436241611</v>
      </c>
      <c r="AG393" s="115">
        <f t="shared" si="13"/>
        <v>545.82202360330473</v>
      </c>
    </row>
    <row r="394" spans="1:33" x14ac:dyDescent="0.3">
      <c r="A394">
        <f>COUNTIF($B$2:B394,B394)</f>
        <v>1</v>
      </c>
      <c r="B394">
        <v>19232693</v>
      </c>
      <c r="C394" t="s">
        <v>779</v>
      </c>
      <c r="D394" t="s">
        <v>780</v>
      </c>
      <c r="E394" t="s">
        <v>781</v>
      </c>
      <c r="F394" t="s">
        <v>234</v>
      </c>
      <c r="G394" t="s">
        <v>221</v>
      </c>
      <c r="H394" t="s">
        <v>200</v>
      </c>
      <c r="I394" s="49">
        <v>45221</v>
      </c>
      <c r="J394" s="49">
        <v>45228</v>
      </c>
      <c r="K394" t="s">
        <v>778</v>
      </c>
      <c r="L394" s="49">
        <v>45227</v>
      </c>
      <c r="M394" s="49">
        <v>45228</v>
      </c>
      <c r="N394" t="s">
        <v>754</v>
      </c>
      <c r="O394" t="s">
        <v>107</v>
      </c>
      <c r="P394">
        <f>VLOOKUP(N394,[1]ID_Cidades!$A$1:$E$5900,2,FALSE)</f>
        <v>305574</v>
      </c>
      <c r="Q394">
        <f>VLOOKUP(O394,[1]ID_Cidades!$A$1:$E$5900,2,FALSE)</f>
        <v>295765</v>
      </c>
      <c r="R394">
        <f t="shared" si="12"/>
        <v>90378094110</v>
      </c>
      <c r="S394" s="42">
        <f>VLOOKUP(R394,'[1]GCD base'!$A$1:$M$200,7,FALSE)</f>
        <v>2984.7648640000002</v>
      </c>
      <c r="T394" t="s">
        <v>109</v>
      </c>
      <c r="U394" t="s">
        <v>201</v>
      </c>
      <c r="V394" t="s">
        <v>202</v>
      </c>
      <c r="W394" t="s">
        <v>203</v>
      </c>
      <c r="X394" t="s">
        <v>204</v>
      </c>
      <c r="Y394">
        <v>2202.1999999999998</v>
      </c>
      <c r="Z394">
        <v>0</v>
      </c>
      <c r="AA394">
        <v>932.53</v>
      </c>
      <c r="AB394">
        <v>0</v>
      </c>
      <c r="AC394" s="49">
        <v>45169</v>
      </c>
      <c r="AD394" s="116" t="s">
        <v>10</v>
      </c>
      <c r="AE394" s="113" t="str" cm="1">
        <f t="array" ref="AE394">_xlfn.IFS(S394&lt;=Constantes!$G$2,"Muito Curta (evitável)",S394&lt;=Constantes!$H$2,"Curta Distância",S394&gt;Constantes!$H$2,"Longa Distância")</f>
        <v>Curta Distância</v>
      </c>
      <c r="AF394" s="114">
        <f>IFERROR(VLOOKUP(AE394,Constantes!$A$1:$E$5,MATCH(AD394,Constantes!$A$1:$E$1,0),0),"")</f>
        <v>0.18286935436241611</v>
      </c>
      <c r="AG394" s="115">
        <f t="shared" si="13"/>
        <v>545.82202360330473</v>
      </c>
    </row>
    <row r="395" spans="1:33" x14ac:dyDescent="0.3">
      <c r="A395">
        <f>COUNTIF($B$2:B395,B395)</f>
        <v>2</v>
      </c>
      <c r="B395">
        <v>19232693</v>
      </c>
      <c r="C395" t="s">
        <v>779</v>
      </c>
      <c r="D395" t="s">
        <v>780</v>
      </c>
      <c r="E395" t="s">
        <v>781</v>
      </c>
      <c r="F395" t="s">
        <v>234</v>
      </c>
      <c r="G395" t="s">
        <v>221</v>
      </c>
      <c r="H395" t="s">
        <v>200</v>
      </c>
      <c r="I395" s="49">
        <v>45221</v>
      </c>
      <c r="J395" s="49">
        <v>45228</v>
      </c>
      <c r="K395" t="s">
        <v>778</v>
      </c>
      <c r="L395" s="49">
        <v>45221</v>
      </c>
      <c r="M395" s="49">
        <v>45222</v>
      </c>
      <c r="N395" t="s">
        <v>107</v>
      </c>
      <c r="O395" t="s">
        <v>754</v>
      </c>
      <c r="P395">
        <f>VLOOKUP(N395,[1]ID_Cidades!$A$1:$E$5900,2,FALSE)</f>
        <v>295765</v>
      </c>
      <c r="Q395">
        <f>VLOOKUP(O395,[1]ID_Cidades!$A$1:$E$5900,2,FALSE)</f>
        <v>305574</v>
      </c>
      <c r="R395">
        <f t="shared" si="12"/>
        <v>90378094110</v>
      </c>
      <c r="S395" s="42">
        <f>VLOOKUP(R395,'[1]GCD base'!$A$1:$M$200,7,FALSE)</f>
        <v>2984.7648640000002</v>
      </c>
      <c r="T395" t="s">
        <v>109</v>
      </c>
      <c r="U395" t="s">
        <v>201</v>
      </c>
      <c r="V395" t="s">
        <v>202</v>
      </c>
      <c r="W395" t="s">
        <v>203</v>
      </c>
      <c r="X395" t="s">
        <v>204</v>
      </c>
      <c r="Y395">
        <v>0</v>
      </c>
      <c r="Z395">
        <v>0</v>
      </c>
      <c r="AA395">
        <v>1235.19</v>
      </c>
      <c r="AB395">
        <v>0</v>
      </c>
      <c r="AC395" s="49">
        <v>45169</v>
      </c>
      <c r="AD395" s="116" t="s">
        <v>10</v>
      </c>
      <c r="AE395" s="113" t="str" cm="1">
        <f t="array" ref="AE395">_xlfn.IFS(S395&lt;=Constantes!$G$2,"Muito Curta (evitável)",S395&lt;=Constantes!$H$2,"Curta Distância",S395&gt;Constantes!$H$2,"Longa Distância")</f>
        <v>Curta Distância</v>
      </c>
      <c r="AF395" s="114">
        <f>IFERROR(VLOOKUP(AE395,Constantes!$A$1:$E$5,MATCH(AD395,Constantes!$A$1:$E$1,0),0),"")</f>
        <v>0.18286935436241611</v>
      </c>
      <c r="AG395" s="115">
        <f t="shared" si="13"/>
        <v>545.82202360330473</v>
      </c>
    </row>
    <row r="396" spans="1:33" x14ac:dyDescent="0.3">
      <c r="A396">
        <f>COUNTIF($B$2:B396,B396)</f>
        <v>1</v>
      </c>
      <c r="B396">
        <v>19292173</v>
      </c>
      <c r="C396" t="s">
        <v>1043</v>
      </c>
      <c r="D396" t="s">
        <v>1044</v>
      </c>
      <c r="E396" t="s">
        <v>1045</v>
      </c>
      <c r="F396" t="s">
        <v>198</v>
      </c>
      <c r="G396" t="s">
        <v>233</v>
      </c>
      <c r="H396" t="s">
        <v>233</v>
      </c>
      <c r="I396" s="49">
        <v>45221</v>
      </c>
      <c r="J396" s="49">
        <v>45224</v>
      </c>
      <c r="K396" t="s">
        <v>1046</v>
      </c>
      <c r="L396" s="49">
        <v>45224</v>
      </c>
      <c r="M396" s="49">
        <v>45224</v>
      </c>
      <c r="N396" t="s">
        <v>110</v>
      </c>
      <c r="O396" t="s">
        <v>107</v>
      </c>
      <c r="P396">
        <f>VLOOKUP(N396,[1]ID_Cidades!$A$1:$E$5900,2,FALSE)</f>
        <v>295763</v>
      </c>
      <c r="Q396">
        <f>VLOOKUP(O396,[1]ID_Cidades!$A$1:$E$5900,2,FALSE)</f>
        <v>295765</v>
      </c>
      <c r="R396">
        <f t="shared" si="12"/>
        <v>87476343695</v>
      </c>
      <c r="S396" s="42">
        <f>VLOOKUP(R396,'[1]GCD base'!$A$1:$M$200,7,FALSE)</f>
        <v>1713.419991</v>
      </c>
      <c r="T396" t="s">
        <v>109</v>
      </c>
      <c r="U396" t="s">
        <v>201</v>
      </c>
      <c r="V396" t="s">
        <v>202</v>
      </c>
      <c r="W396" t="s">
        <v>203</v>
      </c>
      <c r="X396" t="s">
        <v>204</v>
      </c>
      <c r="Y396">
        <v>1339.26</v>
      </c>
      <c r="Z396">
        <v>0</v>
      </c>
      <c r="AA396">
        <v>786.81</v>
      </c>
      <c r="AB396">
        <v>0</v>
      </c>
      <c r="AC396" s="49">
        <v>45191</v>
      </c>
      <c r="AD396" s="116" t="s">
        <v>10</v>
      </c>
      <c r="AE396" s="113" t="str" cm="1">
        <f t="array" ref="AE396">_xlfn.IFS(S396&lt;=Constantes!$G$2,"Muito Curta (evitável)",S396&lt;=Constantes!$H$2,"Curta Distância",S396&gt;Constantes!$H$2,"Longa Distância")</f>
        <v>Curta Distância</v>
      </c>
      <c r="AF396" s="114">
        <f>IFERROR(VLOOKUP(AE396,Constantes!$A$1:$E$5,MATCH(AD396,Constantes!$A$1:$E$1,0),0),"")</f>
        <v>0.18286935436241611</v>
      </c>
      <c r="AG396" s="115">
        <f t="shared" si="13"/>
        <v>313.33200750582682</v>
      </c>
    </row>
    <row r="397" spans="1:33" x14ac:dyDescent="0.3">
      <c r="A397">
        <f>COUNTIF($B$2:B397,B397)</f>
        <v>2</v>
      </c>
      <c r="B397">
        <v>19292173</v>
      </c>
      <c r="C397" t="s">
        <v>1043</v>
      </c>
      <c r="D397" t="s">
        <v>1044</v>
      </c>
      <c r="E397" t="s">
        <v>1045</v>
      </c>
      <c r="F397" t="s">
        <v>198</v>
      </c>
      <c r="G397" t="s">
        <v>233</v>
      </c>
      <c r="H397" t="s">
        <v>233</v>
      </c>
      <c r="I397" s="49">
        <v>45221</v>
      </c>
      <c r="J397" s="49">
        <v>45224</v>
      </c>
      <c r="K397" t="s">
        <v>1046</v>
      </c>
      <c r="L397" s="49">
        <v>45221</v>
      </c>
      <c r="M397" s="49">
        <v>45224</v>
      </c>
      <c r="N397" t="s">
        <v>107</v>
      </c>
      <c r="O397" t="s">
        <v>110</v>
      </c>
      <c r="P397">
        <f>VLOOKUP(N397,[1]ID_Cidades!$A$1:$E$5900,2,FALSE)</f>
        <v>295765</v>
      </c>
      <c r="Q397">
        <f>VLOOKUP(O397,[1]ID_Cidades!$A$1:$E$5900,2,FALSE)</f>
        <v>295763</v>
      </c>
      <c r="R397">
        <f t="shared" si="12"/>
        <v>87476343695</v>
      </c>
      <c r="S397" s="42">
        <f>VLOOKUP(R397,'[1]GCD base'!$A$1:$M$200,7,FALSE)</f>
        <v>1713.419991</v>
      </c>
      <c r="T397" t="s">
        <v>109</v>
      </c>
      <c r="U397" t="s">
        <v>205</v>
      </c>
      <c r="V397" t="s">
        <v>202</v>
      </c>
      <c r="W397" t="s">
        <v>203</v>
      </c>
      <c r="X397" t="s">
        <v>204</v>
      </c>
      <c r="Y397">
        <v>0</v>
      </c>
      <c r="Z397">
        <v>0</v>
      </c>
      <c r="AA397">
        <v>919.29</v>
      </c>
      <c r="AB397">
        <v>0</v>
      </c>
      <c r="AC397" s="49">
        <v>45191</v>
      </c>
      <c r="AD397" s="116" t="s">
        <v>10</v>
      </c>
      <c r="AE397" s="113" t="str" cm="1">
        <f t="array" ref="AE397">_xlfn.IFS(S397&lt;=Constantes!$G$2,"Muito Curta (evitável)",S397&lt;=Constantes!$H$2,"Curta Distância",S397&gt;Constantes!$H$2,"Longa Distância")</f>
        <v>Curta Distância</v>
      </c>
      <c r="AF397" s="114">
        <f>IFERROR(VLOOKUP(AE397,Constantes!$A$1:$E$5,MATCH(AD397,Constantes!$A$1:$E$1,0),0),"")</f>
        <v>0.18286935436241611</v>
      </c>
      <c r="AG397" s="115">
        <f t="shared" si="13"/>
        <v>313.33200750582682</v>
      </c>
    </row>
    <row r="398" spans="1:33" x14ac:dyDescent="0.3">
      <c r="A398">
        <f>COUNTIF($B$2:B398,B398)</f>
        <v>1</v>
      </c>
      <c r="B398">
        <v>19301303</v>
      </c>
      <c r="C398" t="s">
        <v>1084</v>
      </c>
      <c r="D398" t="s">
        <v>502</v>
      </c>
      <c r="E398" t="s">
        <v>503</v>
      </c>
      <c r="F398" t="s">
        <v>198</v>
      </c>
      <c r="G398" t="s">
        <v>207</v>
      </c>
      <c r="H398" t="s">
        <v>204</v>
      </c>
      <c r="I398" s="49">
        <v>45221</v>
      </c>
      <c r="J398" s="49">
        <v>45227</v>
      </c>
      <c r="K398" t="s">
        <v>1085</v>
      </c>
      <c r="L398" s="49">
        <v>45226</v>
      </c>
      <c r="M398" s="49">
        <v>45227</v>
      </c>
      <c r="N398" t="s">
        <v>127</v>
      </c>
      <c r="O398" t="s">
        <v>107</v>
      </c>
      <c r="P398">
        <f>VLOOKUP(N398,[1]ID_Cidades!$A$1:$E$5900,2,FALSE)</f>
        <v>301205</v>
      </c>
      <c r="Q398">
        <f>VLOOKUP(O398,[1]ID_Cidades!$A$1:$E$5900,2,FALSE)</f>
        <v>295765</v>
      </c>
      <c r="R398">
        <f t="shared" si="12"/>
        <v>89085896825</v>
      </c>
      <c r="S398" s="42">
        <f>VLOOKUP(R398,'[1]GCD base'!$A$1:$M$200,7,FALSE)</f>
        <v>2588.8989320000001</v>
      </c>
      <c r="T398" t="s">
        <v>109</v>
      </c>
      <c r="U398" t="s">
        <v>201</v>
      </c>
      <c r="V398" t="s">
        <v>202</v>
      </c>
      <c r="W398" t="s">
        <v>203</v>
      </c>
      <c r="X398" t="s">
        <v>204</v>
      </c>
      <c r="Y398">
        <v>2162.08</v>
      </c>
      <c r="Z398">
        <v>0</v>
      </c>
      <c r="AA398">
        <v>1046.0899999999999</v>
      </c>
      <c r="AB398">
        <v>0</v>
      </c>
      <c r="AC398" s="49">
        <v>45203</v>
      </c>
      <c r="AD398" s="116" t="s">
        <v>10</v>
      </c>
      <c r="AE398" s="113" t="str" cm="1">
        <f t="array" ref="AE398">_xlfn.IFS(S398&lt;=Constantes!$G$2,"Muito Curta (evitável)",S398&lt;=Constantes!$H$2,"Curta Distância",S398&gt;Constantes!$H$2,"Longa Distância")</f>
        <v>Curta Distância</v>
      </c>
      <c r="AF398" s="114">
        <f>IFERROR(VLOOKUP(AE398,Constantes!$A$1:$E$5,MATCH(AD398,Constantes!$A$1:$E$1,0),0),"")</f>
        <v>0.18286935436241611</v>
      </c>
      <c r="AG398" s="115">
        <f t="shared" si="13"/>
        <v>473.43027620438863</v>
      </c>
    </row>
    <row r="399" spans="1:33" x14ac:dyDescent="0.3">
      <c r="A399">
        <f>COUNTIF($B$2:B399,B399)</f>
        <v>2</v>
      </c>
      <c r="B399">
        <v>19301303</v>
      </c>
      <c r="C399" t="s">
        <v>1084</v>
      </c>
      <c r="D399" t="s">
        <v>502</v>
      </c>
      <c r="E399" t="s">
        <v>503</v>
      </c>
      <c r="F399" t="s">
        <v>198</v>
      </c>
      <c r="G399" t="s">
        <v>207</v>
      </c>
      <c r="H399" t="s">
        <v>204</v>
      </c>
      <c r="I399" s="49">
        <v>45221</v>
      </c>
      <c r="J399" s="49">
        <v>45227</v>
      </c>
      <c r="K399" t="s">
        <v>1085</v>
      </c>
      <c r="L399" s="49">
        <v>45221</v>
      </c>
      <c r="M399" s="49">
        <v>45226</v>
      </c>
      <c r="N399" t="s">
        <v>107</v>
      </c>
      <c r="O399" t="s">
        <v>127</v>
      </c>
      <c r="P399">
        <f>VLOOKUP(N399,[1]ID_Cidades!$A$1:$E$5900,2,FALSE)</f>
        <v>295765</v>
      </c>
      <c r="Q399">
        <f>VLOOKUP(O399,[1]ID_Cidades!$A$1:$E$5900,2,FALSE)</f>
        <v>301205</v>
      </c>
      <c r="R399">
        <f t="shared" si="12"/>
        <v>89085896825</v>
      </c>
      <c r="S399" s="42">
        <f>VLOOKUP(R399,'[1]GCD base'!$A$1:$M$200,7,FALSE)</f>
        <v>2588.8989320000001</v>
      </c>
      <c r="T399" t="s">
        <v>109</v>
      </c>
      <c r="U399" t="s">
        <v>205</v>
      </c>
      <c r="V399" t="s">
        <v>202</v>
      </c>
      <c r="W399" t="s">
        <v>203</v>
      </c>
      <c r="X399" t="s">
        <v>204</v>
      </c>
      <c r="Y399">
        <v>0</v>
      </c>
      <c r="Z399">
        <v>0</v>
      </c>
      <c r="AA399">
        <v>1121.03</v>
      </c>
      <c r="AB399">
        <v>0</v>
      </c>
      <c r="AC399" s="49">
        <v>45203</v>
      </c>
      <c r="AD399" s="116" t="s">
        <v>10</v>
      </c>
      <c r="AE399" s="113" t="str" cm="1">
        <f t="array" ref="AE399">_xlfn.IFS(S399&lt;=Constantes!$G$2,"Muito Curta (evitável)",S399&lt;=Constantes!$H$2,"Curta Distância",S399&gt;Constantes!$H$2,"Longa Distância")</f>
        <v>Curta Distância</v>
      </c>
      <c r="AF399" s="114">
        <f>IFERROR(VLOOKUP(AE399,Constantes!$A$1:$E$5,MATCH(AD399,Constantes!$A$1:$E$1,0),0),"")</f>
        <v>0.18286935436241611</v>
      </c>
      <c r="AG399" s="115">
        <f t="shared" si="13"/>
        <v>473.43027620438863</v>
      </c>
    </row>
    <row r="400" spans="1:33" x14ac:dyDescent="0.3">
      <c r="A400">
        <f>COUNTIF($B$2:B400,B400)</f>
        <v>1</v>
      </c>
      <c r="B400">
        <v>19316534</v>
      </c>
      <c r="C400" t="s">
        <v>1180</v>
      </c>
      <c r="D400" t="s">
        <v>218</v>
      </c>
      <c r="E400" t="s">
        <v>1181</v>
      </c>
      <c r="F400" t="s">
        <v>441</v>
      </c>
      <c r="G400" t="s">
        <v>207</v>
      </c>
      <c r="H400" t="s">
        <v>204</v>
      </c>
      <c r="I400" s="49">
        <v>45221</v>
      </c>
      <c r="J400" s="49">
        <v>45227</v>
      </c>
      <c r="K400" t="s">
        <v>1182</v>
      </c>
      <c r="L400" s="49">
        <v>45227</v>
      </c>
      <c r="M400" s="49">
        <v>45227</v>
      </c>
      <c r="N400" t="s">
        <v>130</v>
      </c>
      <c r="O400" t="s">
        <v>107</v>
      </c>
      <c r="P400">
        <f>VLOOKUP(N400,[1]ID_Cidades!$A$1:$E$5900,2,FALSE)</f>
        <v>303669</v>
      </c>
      <c r="Q400">
        <f>VLOOKUP(O400,[1]ID_Cidades!$A$1:$E$5900,2,FALSE)</f>
        <v>295765</v>
      </c>
      <c r="R400">
        <f t="shared" si="12"/>
        <v>89814661785</v>
      </c>
      <c r="S400" s="42">
        <f>VLOOKUP(R400,'[1]GCD base'!$A$1:$M$200,7,FALSE)</f>
        <v>2079.6042189999998</v>
      </c>
      <c r="T400" t="s">
        <v>109</v>
      </c>
      <c r="U400" t="s">
        <v>201</v>
      </c>
      <c r="V400" t="s">
        <v>202</v>
      </c>
      <c r="W400" t="s">
        <v>203</v>
      </c>
      <c r="X400" t="s">
        <v>204</v>
      </c>
      <c r="Y400">
        <v>0</v>
      </c>
      <c r="Z400">
        <v>0</v>
      </c>
      <c r="AA400">
        <v>2161.9899999999998</v>
      </c>
      <c r="AB400">
        <v>0</v>
      </c>
      <c r="AC400" s="49">
        <v>45201</v>
      </c>
      <c r="AD400" s="116" t="s">
        <v>10</v>
      </c>
      <c r="AE400" s="113" t="str" cm="1">
        <f t="array" ref="AE400">_xlfn.IFS(S400&lt;=Constantes!$G$2,"Muito Curta (evitável)",S400&lt;=Constantes!$H$2,"Curta Distância",S400&gt;Constantes!$H$2,"Longa Distância")</f>
        <v>Curta Distância</v>
      </c>
      <c r="AF400" s="114">
        <f>IFERROR(VLOOKUP(AE400,Constantes!$A$1:$E$5,MATCH(AD400,Constantes!$A$1:$E$1,0),0),"")</f>
        <v>0.18286935436241611</v>
      </c>
      <c r="AG400" s="115">
        <f t="shared" si="13"/>
        <v>380.29588085788657</v>
      </c>
    </row>
    <row r="401" spans="1:33" x14ac:dyDescent="0.3">
      <c r="A401">
        <f>COUNTIF($B$2:B401,B401)</f>
        <v>2</v>
      </c>
      <c r="B401">
        <v>19316534</v>
      </c>
      <c r="C401" t="s">
        <v>1180</v>
      </c>
      <c r="D401" t="s">
        <v>218</v>
      </c>
      <c r="E401" t="s">
        <v>1181</v>
      </c>
      <c r="F401" t="s">
        <v>441</v>
      </c>
      <c r="G401" t="s">
        <v>207</v>
      </c>
      <c r="H401" t="s">
        <v>204</v>
      </c>
      <c r="I401" s="49">
        <v>45221</v>
      </c>
      <c r="J401" s="49">
        <v>45227</v>
      </c>
      <c r="K401" t="s">
        <v>1182</v>
      </c>
      <c r="L401" s="49">
        <v>45221</v>
      </c>
      <c r="M401" s="49">
        <v>45227</v>
      </c>
      <c r="N401" t="s">
        <v>107</v>
      </c>
      <c r="O401" t="s">
        <v>130</v>
      </c>
      <c r="P401">
        <f>VLOOKUP(N401,[1]ID_Cidades!$A$1:$E$5900,2,FALSE)</f>
        <v>295765</v>
      </c>
      <c r="Q401">
        <f>VLOOKUP(O401,[1]ID_Cidades!$A$1:$E$5900,2,FALSE)</f>
        <v>303669</v>
      </c>
      <c r="R401">
        <f t="shared" si="12"/>
        <v>89814661785</v>
      </c>
      <c r="S401" s="42">
        <f>VLOOKUP(R401,'[1]GCD base'!$A$1:$M$200,7,FALSE)</f>
        <v>2079.6042189999998</v>
      </c>
      <c r="T401" t="s">
        <v>109</v>
      </c>
      <c r="U401" t="s">
        <v>205</v>
      </c>
      <c r="V401" t="s">
        <v>202</v>
      </c>
      <c r="W401" t="s">
        <v>203</v>
      </c>
      <c r="X401" t="s">
        <v>204</v>
      </c>
      <c r="Y401">
        <v>0</v>
      </c>
      <c r="Z401">
        <v>0</v>
      </c>
      <c r="AA401">
        <v>1582.77</v>
      </c>
      <c r="AB401">
        <v>0</v>
      </c>
      <c r="AC401" s="49">
        <v>45201</v>
      </c>
      <c r="AD401" s="116" t="s">
        <v>10</v>
      </c>
      <c r="AE401" s="113" t="str" cm="1">
        <f t="array" ref="AE401">_xlfn.IFS(S401&lt;=Constantes!$G$2,"Muito Curta (evitável)",S401&lt;=Constantes!$H$2,"Curta Distância",S401&gt;Constantes!$H$2,"Longa Distância")</f>
        <v>Curta Distância</v>
      </c>
      <c r="AF401" s="114">
        <f>IFERROR(VLOOKUP(AE401,Constantes!$A$1:$E$5,MATCH(AD401,Constantes!$A$1:$E$1,0),0),"")</f>
        <v>0.18286935436241611</v>
      </c>
      <c r="AG401" s="115">
        <f t="shared" si="13"/>
        <v>380.29588085788657</v>
      </c>
    </row>
    <row r="402" spans="1:33" x14ac:dyDescent="0.3">
      <c r="A402">
        <f>COUNTIF($B$2:B402,B402)</f>
        <v>1</v>
      </c>
      <c r="B402">
        <v>19355134</v>
      </c>
      <c r="C402" t="s">
        <v>1327</v>
      </c>
      <c r="D402" t="s">
        <v>1328</v>
      </c>
      <c r="E402" t="s">
        <v>1329</v>
      </c>
      <c r="F402" t="s">
        <v>198</v>
      </c>
      <c r="G402" t="s">
        <v>233</v>
      </c>
      <c r="H402" t="s">
        <v>233</v>
      </c>
      <c r="I402" s="49">
        <v>45221</v>
      </c>
      <c r="J402" s="49">
        <v>45228</v>
      </c>
      <c r="K402" t="s">
        <v>1330</v>
      </c>
      <c r="L402" s="49">
        <v>45221</v>
      </c>
      <c r="M402" s="49">
        <v>45223</v>
      </c>
      <c r="N402" t="s">
        <v>107</v>
      </c>
      <c r="O402" t="s">
        <v>110</v>
      </c>
      <c r="P402">
        <f>VLOOKUP(N402,[1]ID_Cidades!$A$1:$E$5900,2,FALSE)</f>
        <v>295765</v>
      </c>
      <c r="Q402">
        <f>VLOOKUP(O402,[1]ID_Cidades!$A$1:$E$5900,2,FALSE)</f>
        <v>295763</v>
      </c>
      <c r="R402">
        <f t="shared" si="12"/>
        <v>87476343695</v>
      </c>
      <c r="S402" s="42">
        <f>VLOOKUP(R402,'[1]GCD base'!$A$1:$M$200,7,FALSE)</f>
        <v>1713.419991</v>
      </c>
      <c r="T402" t="s">
        <v>109</v>
      </c>
      <c r="U402" t="s">
        <v>205</v>
      </c>
      <c r="V402" t="s">
        <v>202</v>
      </c>
      <c r="W402" t="s">
        <v>203</v>
      </c>
      <c r="X402" t="s">
        <v>204</v>
      </c>
      <c r="Y402">
        <v>2497.8000000000002</v>
      </c>
      <c r="Z402">
        <v>0</v>
      </c>
      <c r="AA402">
        <v>1078.5</v>
      </c>
      <c r="AB402">
        <v>0</v>
      </c>
      <c r="AC402" s="49">
        <v>45203</v>
      </c>
      <c r="AD402" s="116" t="s">
        <v>10</v>
      </c>
      <c r="AE402" s="113" t="str" cm="1">
        <f t="array" ref="AE402">_xlfn.IFS(S402&lt;=Constantes!$G$2,"Muito Curta (evitável)",S402&lt;=Constantes!$H$2,"Curta Distância",S402&gt;Constantes!$H$2,"Longa Distância")</f>
        <v>Curta Distância</v>
      </c>
      <c r="AF402" s="114">
        <f>IFERROR(VLOOKUP(AE402,Constantes!$A$1:$E$5,MATCH(AD402,Constantes!$A$1:$E$1,0),0),"")</f>
        <v>0.18286935436241611</v>
      </c>
      <c r="AG402" s="115">
        <f t="shared" si="13"/>
        <v>313.33200750582682</v>
      </c>
    </row>
    <row r="403" spans="1:33" x14ac:dyDescent="0.3">
      <c r="A403">
        <f>COUNTIF($B$2:B403,B403)</f>
        <v>2</v>
      </c>
      <c r="B403">
        <v>19355134</v>
      </c>
      <c r="C403" t="s">
        <v>1327</v>
      </c>
      <c r="D403" t="s">
        <v>1328</v>
      </c>
      <c r="E403" t="s">
        <v>1329</v>
      </c>
      <c r="F403" t="s">
        <v>198</v>
      </c>
      <c r="G403" t="s">
        <v>233</v>
      </c>
      <c r="H403" t="s">
        <v>233</v>
      </c>
      <c r="I403" s="49">
        <v>45221</v>
      </c>
      <c r="J403" s="49">
        <v>45228</v>
      </c>
      <c r="K403" t="s">
        <v>1330</v>
      </c>
      <c r="L403" s="49">
        <v>45223</v>
      </c>
      <c r="M403" s="49">
        <v>45224</v>
      </c>
      <c r="N403" t="s">
        <v>110</v>
      </c>
      <c r="O403" t="s">
        <v>114</v>
      </c>
      <c r="P403">
        <f>VLOOKUP(N403,[1]ID_Cidades!$A$1:$E$5900,2,FALSE)</f>
        <v>295763</v>
      </c>
      <c r="Q403">
        <f>VLOOKUP(O403,[1]ID_Cidades!$A$1:$E$5900,2,FALSE)</f>
        <v>295777</v>
      </c>
      <c r="R403">
        <f t="shared" si="12"/>
        <v>87479892851</v>
      </c>
      <c r="S403" s="42">
        <f>VLOOKUP(R403,'[1]GCD base'!$A$1:$M$200,7,FALSE)</f>
        <v>609.86279950000005</v>
      </c>
      <c r="T403" t="s">
        <v>109</v>
      </c>
      <c r="U403" t="s">
        <v>201</v>
      </c>
      <c r="V403" t="s">
        <v>202</v>
      </c>
      <c r="W403" t="s">
        <v>203</v>
      </c>
      <c r="X403" t="s">
        <v>204</v>
      </c>
      <c r="Y403">
        <v>0</v>
      </c>
      <c r="Z403">
        <v>0</v>
      </c>
      <c r="AA403">
        <v>1469.79</v>
      </c>
      <c r="AB403">
        <v>0</v>
      </c>
      <c r="AC403" s="49">
        <v>45203</v>
      </c>
      <c r="AD403" s="116" t="s">
        <v>10</v>
      </c>
      <c r="AE403" s="113" t="str" cm="1">
        <f t="array" ref="AE403">_xlfn.IFS(S403&lt;=Constantes!$G$2,"Muito Curta (evitável)",S403&lt;=Constantes!$H$2,"Curta Distância",S403&gt;Constantes!$H$2,"Longa Distância")</f>
        <v>Curta Distância</v>
      </c>
      <c r="AF403" s="114">
        <f>IFERROR(VLOOKUP(AE403,Constantes!$A$1:$E$5,MATCH(AD403,Constantes!$A$1:$E$1,0),0),"")</f>
        <v>0.18286935436241611</v>
      </c>
      <c r="AG403" s="115">
        <f t="shared" si="13"/>
        <v>111.52521639422064</v>
      </c>
    </row>
    <row r="404" spans="1:33" x14ac:dyDescent="0.3">
      <c r="A404">
        <f>COUNTIF($B$2:B404,B404)</f>
        <v>3</v>
      </c>
      <c r="B404">
        <v>19355134</v>
      </c>
      <c r="C404" t="s">
        <v>1327</v>
      </c>
      <c r="D404" t="s">
        <v>1328</v>
      </c>
      <c r="E404" t="s">
        <v>1329</v>
      </c>
      <c r="F404" t="s">
        <v>198</v>
      </c>
      <c r="G404" t="s">
        <v>233</v>
      </c>
      <c r="H404" t="s">
        <v>233</v>
      </c>
      <c r="I404" s="49">
        <v>45221</v>
      </c>
      <c r="J404" s="49">
        <v>45228</v>
      </c>
      <c r="K404" t="s">
        <v>1330</v>
      </c>
      <c r="L404" s="49">
        <v>45227</v>
      </c>
      <c r="M404" s="49">
        <v>45228</v>
      </c>
      <c r="N404" t="s">
        <v>114</v>
      </c>
      <c r="O404" t="s">
        <v>107</v>
      </c>
      <c r="P404">
        <f>VLOOKUP(N404,[1]ID_Cidades!$A$1:$E$5900,2,FALSE)</f>
        <v>295777</v>
      </c>
      <c r="Q404">
        <f>VLOOKUP(O404,[1]ID_Cidades!$A$1:$E$5900,2,FALSE)</f>
        <v>295765</v>
      </c>
      <c r="R404">
        <f t="shared" si="12"/>
        <v>87480484405</v>
      </c>
      <c r="S404" s="42">
        <f>VLOOKUP(R404,'[1]GCD base'!$A$1:$M$200,7,FALSE)</f>
        <v>1714.8365369999999</v>
      </c>
      <c r="T404" t="s">
        <v>109</v>
      </c>
      <c r="U404" t="s">
        <v>201</v>
      </c>
      <c r="V404" t="s">
        <v>202</v>
      </c>
      <c r="W404" t="s">
        <v>203</v>
      </c>
      <c r="X404" t="s">
        <v>204</v>
      </c>
      <c r="Y404">
        <v>0</v>
      </c>
      <c r="Z404">
        <v>0</v>
      </c>
      <c r="AA404">
        <v>1167.9100000000001</v>
      </c>
      <c r="AB404">
        <v>0</v>
      </c>
      <c r="AC404" s="49">
        <v>45203</v>
      </c>
      <c r="AD404" s="116" t="s">
        <v>10</v>
      </c>
      <c r="AE404" s="113" t="str" cm="1">
        <f t="array" ref="AE404">_xlfn.IFS(S404&lt;=Constantes!$G$2,"Muito Curta (evitável)",S404&lt;=Constantes!$H$2,"Curta Distância",S404&gt;Constantes!$H$2,"Longa Distância")</f>
        <v>Curta Distância</v>
      </c>
      <c r="AF404" s="114">
        <f>IFERROR(VLOOKUP(AE404,Constantes!$A$1:$E$5,MATCH(AD404,Constantes!$A$1:$E$1,0),0),"")</f>
        <v>0.18286935436241611</v>
      </c>
      <c r="AG404" s="115">
        <f t="shared" si="13"/>
        <v>313.59105035827145</v>
      </c>
    </row>
    <row r="405" spans="1:33" x14ac:dyDescent="0.3">
      <c r="A405">
        <f>COUNTIF($B$2:B405,B405)</f>
        <v>1</v>
      </c>
      <c r="B405">
        <v>19368089</v>
      </c>
      <c r="C405" t="s">
        <v>1362</v>
      </c>
      <c r="D405" t="s">
        <v>1363</v>
      </c>
      <c r="E405" t="s">
        <v>1364</v>
      </c>
      <c r="F405" t="s">
        <v>218</v>
      </c>
      <c r="G405" t="s">
        <v>207</v>
      </c>
      <c r="H405" t="s">
        <v>204</v>
      </c>
      <c r="I405" s="49">
        <v>45221</v>
      </c>
      <c r="J405" s="49">
        <v>45227</v>
      </c>
      <c r="K405" t="s">
        <v>1365</v>
      </c>
      <c r="L405" s="49">
        <v>45221</v>
      </c>
      <c r="M405" s="49">
        <v>45227</v>
      </c>
      <c r="N405" t="s">
        <v>107</v>
      </c>
      <c r="O405" t="s">
        <v>120</v>
      </c>
      <c r="P405">
        <f>VLOOKUP(N405,[1]ID_Cidades!$A$1:$E$5900,2,FALSE)</f>
        <v>295765</v>
      </c>
      <c r="Q405">
        <f>VLOOKUP(O405,[1]ID_Cidades!$A$1:$E$5900,2,FALSE)</f>
        <v>295783</v>
      </c>
      <c r="R405">
        <f t="shared" si="12"/>
        <v>87482258995</v>
      </c>
      <c r="S405" s="42">
        <f>VLOOKUP(R405,'[1]GCD base'!$A$1:$M$200,7,FALSE)</f>
        <v>2817.0983059999999</v>
      </c>
      <c r="T405" t="s">
        <v>109</v>
      </c>
      <c r="U405" t="s">
        <v>205</v>
      </c>
      <c r="V405" t="s">
        <v>202</v>
      </c>
      <c r="W405" t="s">
        <v>210</v>
      </c>
      <c r="X405" t="s">
        <v>1366</v>
      </c>
      <c r="Y405">
        <v>2572.41</v>
      </c>
      <c r="Z405">
        <v>0</v>
      </c>
      <c r="AA405">
        <v>2619.12</v>
      </c>
      <c r="AB405">
        <v>0</v>
      </c>
      <c r="AC405" s="49">
        <v>45218</v>
      </c>
      <c r="AD405" s="116" t="s">
        <v>10</v>
      </c>
      <c r="AE405" s="113" t="str" cm="1">
        <f t="array" ref="AE405">_xlfn.IFS(S405&lt;=Constantes!$G$2,"Muito Curta (evitável)",S405&lt;=Constantes!$H$2,"Curta Distância",S405&gt;Constantes!$H$2,"Longa Distância")</f>
        <v>Curta Distância</v>
      </c>
      <c r="AF405" s="114">
        <f>IFERROR(VLOOKUP(AE405,Constantes!$A$1:$E$5,MATCH(AD405,Constantes!$A$1:$E$1,0),0),"")</f>
        <v>0.18286935436241611</v>
      </c>
      <c r="AG405" s="115">
        <f t="shared" si="13"/>
        <v>515.16094839367611</v>
      </c>
    </row>
    <row r="406" spans="1:33" x14ac:dyDescent="0.3">
      <c r="A406">
        <f>COUNTIF($B$2:B406,B406)</f>
        <v>2</v>
      </c>
      <c r="B406">
        <v>19368089</v>
      </c>
      <c r="C406" t="s">
        <v>1362</v>
      </c>
      <c r="D406" t="s">
        <v>1363</v>
      </c>
      <c r="E406" t="s">
        <v>1364</v>
      </c>
      <c r="F406" t="s">
        <v>218</v>
      </c>
      <c r="G406" t="s">
        <v>207</v>
      </c>
      <c r="H406" t="s">
        <v>204</v>
      </c>
      <c r="I406" s="49">
        <v>45221</v>
      </c>
      <c r="J406" s="49">
        <v>45227</v>
      </c>
      <c r="K406" t="s">
        <v>1365</v>
      </c>
      <c r="L406" s="49">
        <v>45227</v>
      </c>
      <c r="M406" s="49">
        <v>45227</v>
      </c>
      <c r="N406" t="s">
        <v>120</v>
      </c>
      <c r="O406" t="s">
        <v>107</v>
      </c>
      <c r="P406">
        <f>VLOOKUP(N406,[1]ID_Cidades!$A$1:$E$5900,2,FALSE)</f>
        <v>295783</v>
      </c>
      <c r="Q406">
        <f>VLOOKUP(O406,[1]ID_Cidades!$A$1:$E$5900,2,FALSE)</f>
        <v>295765</v>
      </c>
      <c r="R406">
        <f t="shared" si="12"/>
        <v>87482258995</v>
      </c>
      <c r="S406" s="42">
        <f>VLOOKUP(R406,'[1]GCD base'!$A$1:$M$200,7,FALSE)</f>
        <v>2817.0983059999999</v>
      </c>
      <c r="T406" t="s">
        <v>109</v>
      </c>
      <c r="U406" t="s">
        <v>201</v>
      </c>
      <c r="V406" t="s">
        <v>202</v>
      </c>
      <c r="W406" t="s">
        <v>210</v>
      </c>
      <c r="X406" t="s">
        <v>1366</v>
      </c>
      <c r="Y406">
        <v>0</v>
      </c>
      <c r="Z406">
        <v>0</v>
      </c>
      <c r="AA406">
        <v>2618.09</v>
      </c>
      <c r="AB406">
        <v>0</v>
      </c>
      <c r="AC406" s="49">
        <v>45218</v>
      </c>
      <c r="AD406" s="116" t="s">
        <v>10</v>
      </c>
      <c r="AE406" s="113" t="str" cm="1">
        <f t="array" ref="AE406">_xlfn.IFS(S406&lt;=Constantes!$G$2,"Muito Curta (evitável)",S406&lt;=Constantes!$H$2,"Curta Distância",S406&gt;Constantes!$H$2,"Longa Distância")</f>
        <v>Curta Distância</v>
      </c>
      <c r="AF406" s="114">
        <f>IFERROR(VLOOKUP(AE406,Constantes!$A$1:$E$5,MATCH(AD406,Constantes!$A$1:$E$1,0),0),"")</f>
        <v>0.18286935436241611</v>
      </c>
      <c r="AG406" s="115">
        <f t="shared" si="13"/>
        <v>515.16094839367611</v>
      </c>
    </row>
    <row r="407" spans="1:33" x14ac:dyDescent="0.3">
      <c r="A407">
        <f>COUNTIF($B$2:B407,B407)</f>
        <v>1</v>
      </c>
      <c r="B407">
        <v>19411089</v>
      </c>
      <c r="C407" t="s">
        <v>1520</v>
      </c>
      <c r="D407" t="s">
        <v>1521</v>
      </c>
      <c r="E407" t="s">
        <v>1522</v>
      </c>
      <c r="F407" t="s">
        <v>198</v>
      </c>
      <c r="G407" t="s">
        <v>207</v>
      </c>
      <c r="H407" t="s">
        <v>204</v>
      </c>
      <c r="I407" s="49">
        <v>45221</v>
      </c>
      <c r="J407" s="49">
        <v>45224</v>
      </c>
      <c r="K407" t="s">
        <v>1523</v>
      </c>
      <c r="L407" s="49">
        <v>45224</v>
      </c>
      <c r="M407" s="49">
        <v>45224</v>
      </c>
      <c r="N407" t="s">
        <v>110</v>
      </c>
      <c r="O407" t="s">
        <v>107</v>
      </c>
      <c r="P407">
        <f>VLOOKUP(N407,[1]ID_Cidades!$A$1:$E$5900,2,FALSE)</f>
        <v>295763</v>
      </c>
      <c r="Q407">
        <f>VLOOKUP(O407,[1]ID_Cidades!$A$1:$E$5900,2,FALSE)</f>
        <v>295765</v>
      </c>
      <c r="R407">
        <f t="shared" si="12"/>
        <v>87476343695</v>
      </c>
      <c r="S407" s="42">
        <f>VLOOKUP(R407,'[1]GCD base'!$A$1:$M$200,7,FALSE)</f>
        <v>1713.419991</v>
      </c>
      <c r="T407" t="s">
        <v>109</v>
      </c>
      <c r="U407" t="s">
        <v>201</v>
      </c>
      <c r="V407" t="s">
        <v>202</v>
      </c>
      <c r="W407" t="s">
        <v>210</v>
      </c>
      <c r="X407" t="s">
        <v>1524</v>
      </c>
      <c r="Y407">
        <v>1339.26</v>
      </c>
      <c r="Z407">
        <v>0</v>
      </c>
      <c r="AA407">
        <v>1737.64</v>
      </c>
      <c r="AB407">
        <v>0</v>
      </c>
      <c r="AC407" s="49">
        <v>45218</v>
      </c>
      <c r="AD407" s="116" t="s">
        <v>10</v>
      </c>
      <c r="AE407" s="113" t="str" cm="1">
        <f t="array" ref="AE407">_xlfn.IFS(S407&lt;=Constantes!$G$2,"Muito Curta (evitável)",S407&lt;=Constantes!$H$2,"Curta Distância",S407&gt;Constantes!$H$2,"Longa Distância")</f>
        <v>Curta Distância</v>
      </c>
      <c r="AF407" s="114">
        <f>IFERROR(VLOOKUP(AE407,Constantes!$A$1:$E$5,MATCH(AD407,Constantes!$A$1:$E$1,0),0),"")</f>
        <v>0.18286935436241611</v>
      </c>
      <c r="AG407" s="115">
        <f t="shared" si="13"/>
        <v>313.33200750582682</v>
      </c>
    </row>
    <row r="408" spans="1:33" x14ac:dyDescent="0.3">
      <c r="A408">
        <f>COUNTIF($B$2:B408,B408)</f>
        <v>2</v>
      </c>
      <c r="B408">
        <v>19411089</v>
      </c>
      <c r="C408" t="s">
        <v>1520</v>
      </c>
      <c r="D408" t="s">
        <v>1521</v>
      </c>
      <c r="E408" t="s">
        <v>1522</v>
      </c>
      <c r="F408" t="s">
        <v>198</v>
      </c>
      <c r="G408" t="s">
        <v>207</v>
      </c>
      <c r="H408" t="s">
        <v>204</v>
      </c>
      <c r="I408" s="49">
        <v>45221</v>
      </c>
      <c r="J408" s="49">
        <v>45224</v>
      </c>
      <c r="K408" t="s">
        <v>1523</v>
      </c>
      <c r="L408" s="49">
        <v>45221</v>
      </c>
      <c r="M408" s="49">
        <v>45224</v>
      </c>
      <c r="N408" t="s">
        <v>112</v>
      </c>
      <c r="O408" t="s">
        <v>110</v>
      </c>
      <c r="P408">
        <f>VLOOKUP(N408,[1]ID_Cidades!$A$1:$E$5900,2,FALSE)</f>
        <v>295766</v>
      </c>
      <c r="Q408">
        <f>VLOOKUP(O408,[1]ID_Cidades!$A$1:$E$5900,2,FALSE)</f>
        <v>295763</v>
      </c>
      <c r="R408">
        <f t="shared" si="12"/>
        <v>87476639458</v>
      </c>
      <c r="S408" s="42">
        <f>VLOOKUP(R408,'[1]GCD base'!$A$1:$M$200,7,FALSE)</f>
        <v>1654.211456</v>
      </c>
      <c r="T408" t="s">
        <v>109</v>
      </c>
      <c r="U408" t="s">
        <v>205</v>
      </c>
      <c r="V408" t="s">
        <v>202</v>
      </c>
      <c r="W408" t="s">
        <v>210</v>
      </c>
      <c r="X408" t="s">
        <v>1524</v>
      </c>
      <c r="Y408">
        <v>0</v>
      </c>
      <c r="Z408">
        <v>0</v>
      </c>
      <c r="AA408">
        <v>2153.41</v>
      </c>
      <c r="AB408">
        <v>0</v>
      </c>
      <c r="AC408" s="49">
        <v>45218</v>
      </c>
      <c r="AD408" s="116" t="s">
        <v>10</v>
      </c>
      <c r="AE408" s="113" t="str" cm="1">
        <f t="array" ref="AE408">_xlfn.IFS(S408&lt;=Constantes!$G$2,"Muito Curta (evitável)",S408&lt;=Constantes!$H$2,"Curta Distância",S408&gt;Constantes!$H$2,"Longa Distância")</f>
        <v>Curta Distância</v>
      </c>
      <c r="AF408" s="114">
        <f>IFERROR(VLOOKUP(AE408,Constantes!$A$1:$E$5,MATCH(AD408,Constantes!$A$1:$E$1,0),0),"")</f>
        <v>0.18286935436241611</v>
      </c>
      <c r="AG408" s="115">
        <f t="shared" si="13"/>
        <v>302.50458093763228</v>
      </c>
    </row>
    <row r="409" spans="1:33" x14ac:dyDescent="0.3">
      <c r="A409">
        <f>COUNTIF($B$2:B409,B409)</f>
        <v>1</v>
      </c>
      <c r="B409">
        <v>19185588</v>
      </c>
      <c r="C409" t="s">
        <v>636</v>
      </c>
      <c r="D409" t="s">
        <v>218</v>
      </c>
      <c r="E409" t="s">
        <v>637</v>
      </c>
      <c r="F409" t="s">
        <v>218</v>
      </c>
      <c r="G409" t="s">
        <v>207</v>
      </c>
      <c r="H409" t="s">
        <v>204</v>
      </c>
      <c r="I409" s="49">
        <v>45222</v>
      </c>
      <c r="J409" s="49">
        <v>45226</v>
      </c>
      <c r="K409" t="s">
        <v>638</v>
      </c>
      <c r="L409" s="49">
        <v>45226</v>
      </c>
      <c r="M409" s="49">
        <v>45226</v>
      </c>
      <c r="N409" t="s">
        <v>116</v>
      </c>
      <c r="O409" t="s">
        <v>107</v>
      </c>
      <c r="P409">
        <f>VLOOKUP(N409,[1]ID_Cidades!$A$1:$E$5900,2,FALSE)</f>
        <v>295778</v>
      </c>
      <c r="Q409">
        <f>VLOOKUP(O409,[1]ID_Cidades!$A$1:$E$5900,2,FALSE)</f>
        <v>295765</v>
      </c>
      <c r="R409">
        <f t="shared" si="12"/>
        <v>87480780170</v>
      </c>
      <c r="S409" s="42">
        <f>VLOOKUP(R409,'[1]GCD base'!$A$1:$M$200,7,FALSE)</f>
        <v>1961.5007860000001</v>
      </c>
      <c r="T409" t="s">
        <v>109</v>
      </c>
      <c r="U409" t="s">
        <v>201</v>
      </c>
      <c r="V409" t="s">
        <v>202</v>
      </c>
      <c r="W409" t="s">
        <v>203</v>
      </c>
      <c r="X409" t="s">
        <v>204</v>
      </c>
      <c r="Y409">
        <v>0</v>
      </c>
      <c r="Z409">
        <v>0</v>
      </c>
      <c r="AA409">
        <v>709.99</v>
      </c>
      <c r="AB409">
        <v>0</v>
      </c>
      <c r="AC409" s="49">
        <v>45154</v>
      </c>
      <c r="AD409" s="116" t="s">
        <v>10</v>
      </c>
      <c r="AE409" s="113" t="str" cm="1">
        <f t="array" ref="AE409">_xlfn.IFS(S409&lt;=Constantes!$G$2,"Muito Curta (evitável)",S409&lt;=Constantes!$H$2,"Curta Distância",S409&gt;Constantes!$H$2,"Longa Distância")</f>
        <v>Curta Distância</v>
      </c>
      <c r="AF409" s="114">
        <f>IFERROR(VLOOKUP(AE409,Constantes!$A$1:$E$5,MATCH(AD409,Constantes!$A$1:$E$1,0),0),"")</f>
        <v>0.18286935436241611</v>
      </c>
      <c r="AG409" s="115">
        <f t="shared" si="13"/>
        <v>358.69838231719172</v>
      </c>
    </row>
    <row r="410" spans="1:33" x14ac:dyDescent="0.3">
      <c r="A410">
        <f>COUNTIF($B$2:B410,B410)</f>
        <v>2</v>
      </c>
      <c r="B410">
        <v>19185588</v>
      </c>
      <c r="C410" t="s">
        <v>636</v>
      </c>
      <c r="D410" t="s">
        <v>218</v>
      </c>
      <c r="E410" t="s">
        <v>637</v>
      </c>
      <c r="F410" t="s">
        <v>218</v>
      </c>
      <c r="G410" t="s">
        <v>207</v>
      </c>
      <c r="H410" t="s">
        <v>204</v>
      </c>
      <c r="I410" s="49">
        <v>45222</v>
      </c>
      <c r="J410" s="49">
        <v>45226</v>
      </c>
      <c r="K410" t="s">
        <v>638</v>
      </c>
      <c r="L410" s="49">
        <v>45222</v>
      </c>
      <c r="M410" s="49">
        <v>45226</v>
      </c>
      <c r="N410" t="s">
        <v>107</v>
      </c>
      <c r="O410" t="s">
        <v>116</v>
      </c>
      <c r="P410">
        <f>VLOOKUP(N410,[1]ID_Cidades!$A$1:$E$5900,2,FALSE)</f>
        <v>295765</v>
      </c>
      <c r="Q410">
        <f>VLOOKUP(O410,[1]ID_Cidades!$A$1:$E$5900,2,FALSE)</f>
        <v>295778</v>
      </c>
      <c r="R410">
        <f t="shared" si="12"/>
        <v>87480780170</v>
      </c>
      <c r="S410" s="42">
        <f>VLOOKUP(R410,'[1]GCD base'!$A$1:$M$200,7,FALSE)</f>
        <v>1961.5007860000001</v>
      </c>
      <c r="T410" t="s">
        <v>109</v>
      </c>
      <c r="U410" t="s">
        <v>205</v>
      </c>
      <c r="V410" t="s">
        <v>202</v>
      </c>
      <c r="W410" t="s">
        <v>203</v>
      </c>
      <c r="X410" t="s">
        <v>204</v>
      </c>
      <c r="Y410">
        <v>0</v>
      </c>
      <c r="Z410">
        <v>0</v>
      </c>
      <c r="AA410">
        <v>706.7</v>
      </c>
      <c r="AB410">
        <v>0</v>
      </c>
      <c r="AC410" s="49">
        <v>45154</v>
      </c>
      <c r="AD410" s="116" t="s">
        <v>10</v>
      </c>
      <c r="AE410" s="113" t="str" cm="1">
        <f t="array" ref="AE410">_xlfn.IFS(S410&lt;=Constantes!$G$2,"Muito Curta (evitável)",S410&lt;=Constantes!$H$2,"Curta Distância",S410&gt;Constantes!$H$2,"Longa Distância")</f>
        <v>Curta Distância</v>
      </c>
      <c r="AF410" s="114">
        <f>IFERROR(VLOOKUP(AE410,Constantes!$A$1:$E$5,MATCH(AD410,Constantes!$A$1:$E$1,0),0),"")</f>
        <v>0.18286935436241611</v>
      </c>
      <c r="AG410" s="115">
        <f t="shared" si="13"/>
        <v>358.69838231719172</v>
      </c>
    </row>
    <row r="411" spans="1:33" x14ac:dyDescent="0.3">
      <c r="A411">
        <f>COUNTIF($B$2:B411,B411)</f>
        <v>1</v>
      </c>
      <c r="B411">
        <v>19194811</v>
      </c>
      <c r="C411" t="s">
        <v>669</v>
      </c>
      <c r="D411" t="s">
        <v>218</v>
      </c>
      <c r="E411" t="s">
        <v>670</v>
      </c>
      <c r="F411" t="s">
        <v>218</v>
      </c>
      <c r="G411" t="s">
        <v>207</v>
      </c>
      <c r="H411" t="s">
        <v>204</v>
      </c>
      <c r="I411" s="49">
        <v>45222</v>
      </c>
      <c r="J411" s="49">
        <v>45226</v>
      </c>
      <c r="K411" t="s">
        <v>671</v>
      </c>
      <c r="L411" s="49">
        <v>45222</v>
      </c>
      <c r="M411" s="49">
        <v>45226</v>
      </c>
      <c r="N411" t="s">
        <v>107</v>
      </c>
      <c r="O411" t="s">
        <v>116</v>
      </c>
      <c r="P411">
        <f>VLOOKUP(N411,[1]ID_Cidades!$A$1:$E$5900,2,FALSE)</f>
        <v>295765</v>
      </c>
      <c r="Q411">
        <f>VLOOKUP(O411,[1]ID_Cidades!$A$1:$E$5900,2,FALSE)</f>
        <v>295778</v>
      </c>
      <c r="R411">
        <f t="shared" si="12"/>
        <v>87480780170</v>
      </c>
      <c r="S411" s="42">
        <f>VLOOKUP(R411,'[1]GCD base'!$A$1:$M$200,7,FALSE)</f>
        <v>1961.5007860000001</v>
      </c>
      <c r="T411" t="s">
        <v>109</v>
      </c>
      <c r="U411" t="s">
        <v>205</v>
      </c>
      <c r="V411" t="s">
        <v>202</v>
      </c>
      <c r="W411" t="s">
        <v>203</v>
      </c>
      <c r="X411" t="s">
        <v>204</v>
      </c>
      <c r="Y411">
        <v>0</v>
      </c>
      <c r="Z411">
        <v>0</v>
      </c>
      <c r="AA411">
        <v>806.69</v>
      </c>
      <c r="AB411">
        <v>45.09</v>
      </c>
      <c r="AC411" s="49">
        <v>45160</v>
      </c>
      <c r="AD411" s="116" t="s">
        <v>10</v>
      </c>
      <c r="AE411" s="113" t="str" cm="1">
        <f t="array" ref="AE411">_xlfn.IFS(S411&lt;=Constantes!$G$2,"Muito Curta (evitável)",S411&lt;=Constantes!$H$2,"Curta Distância",S411&gt;Constantes!$H$2,"Longa Distância")</f>
        <v>Curta Distância</v>
      </c>
      <c r="AF411" s="114">
        <f>IFERROR(VLOOKUP(AE411,Constantes!$A$1:$E$5,MATCH(AD411,Constantes!$A$1:$E$1,0),0),"")</f>
        <v>0.18286935436241611</v>
      </c>
      <c r="AG411" s="115">
        <f t="shared" si="13"/>
        <v>358.69838231719172</v>
      </c>
    </row>
    <row r="412" spans="1:33" x14ac:dyDescent="0.3">
      <c r="A412">
        <f>COUNTIF($B$2:B412,B412)</f>
        <v>2</v>
      </c>
      <c r="B412">
        <v>19194811</v>
      </c>
      <c r="C412" t="s">
        <v>669</v>
      </c>
      <c r="D412" t="s">
        <v>218</v>
      </c>
      <c r="E412" t="s">
        <v>670</v>
      </c>
      <c r="F412" t="s">
        <v>218</v>
      </c>
      <c r="G412" t="s">
        <v>207</v>
      </c>
      <c r="H412" t="s">
        <v>204</v>
      </c>
      <c r="I412" s="49">
        <v>45222</v>
      </c>
      <c r="J412" s="49">
        <v>45226</v>
      </c>
      <c r="K412" t="s">
        <v>671</v>
      </c>
      <c r="L412" s="49">
        <v>45226</v>
      </c>
      <c r="M412" s="49">
        <v>45226</v>
      </c>
      <c r="N412" t="s">
        <v>116</v>
      </c>
      <c r="O412" t="s">
        <v>107</v>
      </c>
      <c r="P412">
        <f>VLOOKUP(N412,[1]ID_Cidades!$A$1:$E$5900,2,FALSE)</f>
        <v>295778</v>
      </c>
      <c r="Q412">
        <f>VLOOKUP(O412,[1]ID_Cidades!$A$1:$E$5900,2,FALSE)</f>
        <v>295765</v>
      </c>
      <c r="R412">
        <f t="shared" si="12"/>
        <v>87480780170</v>
      </c>
      <c r="S412" s="42">
        <f>VLOOKUP(R412,'[1]GCD base'!$A$1:$M$200,7,FALSE)</f>
        <v>1961.5007860000001</v>
      </c>
      <c r="T412" t="s">
        <v>109</v>
      </c>
      <c r="U412" t="s">
        <v>201</v>
      </c>
      <c r="V412" t="s">
        <v>202</v>
      </c>
      <c r="W412" t="s">
        <v>203</v>
      </c>
      <c r="X412" t="s">
        <v>204</v>
      </c>
      <c r="Y412">
        <v>0</v>
      </c>
      <c r="Z412">
        <v>0</v>
      </c>
      <c r="AA412">
        <v>648.4</v>
      </c>
      <c r="AB412">
        <v>41.8</v>
      </c>
      <c r="AC412" s="49">
        <v>45160</v>
      </c>
      <c r="AD412" s="116" t="s">
        <v>10</v>
      </c>
      <c r="AE412" s="113" t="str" cm="1">
        <f t="array" ref="AE412">_xlfn.IFS(S412&lt;=Constantes!$G$2,"Muito Curta (evitável)",S412&lt;=Constantes!$H$2,"Curta Distância",S412&gt;Constantes!$H$2,"Longa Distância")</f>
        <v>Curta Distância</v>
      </c>
      <c r="AF412" s="114">
        <f>IFERROR(VLOOKUP(AE412,Constantes!$A$1:$E$5,MATCH(AD412,Constantes!$A$1:$E$1,0),0),"")</f>
        <v>0.18286935436241611</v>
      </c>
      <c r="AG412" s="115">
        <f t="shared" si="13"/>
        <v>358.69838231719172</v>
      </c>
    </row>
    <row r="413" spans="1:33" x14ac:dyDescent="0.3">
      <c r="A413">
        <f>COUNTIF($B$2:B413,B413)</f>
        <v>1</v>
      </c>
      <c r="B413">
        <v>19246644</v>
      </c>
      <c r="C413" t="s">
        <v>840</v>
      </c>
      <c r="D413" t="s">
        <v>841</v>
      </c>
      <c r="E413" t="s">
        <v>842</v>
      </c>
      <c r="F413" t="s">
        <v>198</v>
      </c>
      <c r="G413" t="s">
        <v>207</v>
      </c>
      <c r="H413" t="s">
        <v>204</v>
      </c>
      <c r="I413" s="49">
        <v>45222</v>
      </c>
      <c r="J413" s="49">
        <v>45226</v>
      </c>
      <c r="K413" t="s">
        <v>843</v>
      </c>
      <c r="L413" s="49">
        <v>45226</v>
      </c>
      <c r="M413" s="49">
        <v>45226</v>
      </c>
      <c r="N413" t="s">
        <v>116</v>
      </c>
      <c r="O413" t="s">
        <v>107</v>
      </c>
      <c r="P413">
        <f>VLOOKUP(N413,[1]ID_Cidades!$A$1:$E$5900,2,FALSE)</f>
        <v>295778</v>
      </c>
      <c r="Q413">
        <f>VLOOKUP(O413,[1]ID_Cidades!$A$1:$E$5900,2,FALSE)</f>
        <v>295765</v>
      </c>
      <c r="R413">
        <f t="shared" si="12"/>
        <v>87480780170</v>
      </c>
      <c r="S413" s="42">
        <f>VLOOKUP(R413,'[1]GCD base'!$A$1:$M$200,7,FALSE)</f>
        <v>1961.5007860000001</v>
      </c>
      <c r="T413" t="s">
        <v>109</v>
      </c>
      <c r="U413" t="s">
        <v>201</v>
      </c>
      <c r="V413" t="s">
        <v>202</v>
      </c>
      <c r="W413" t="s">
        <v>203</v>
      </c>
      <c r="X413" t="s">
        <v>204</v>
      </c>
      <c r="Y413">
        <v>1299.5</v>
      </c>
      <c r="Z413">
        <v>0</v>
      </c>
      <c r="AA413">
        <v>1501.19</v>
      </c>
      <c r="AB413">
        <v>0</v>
      </c>
      <c r="AC413" s="49">
        <v>45175</v>
      </c>
      <c r="AD413" s="116" t="s">
        <v>10</v>
      </c>
      <c r="AE413" s="113" t="str" cm="1">
        <f t="array" ref="AE413">_xlfn.IFS(S413&lt;=Constantes!$G$2,"Muito Curta (evitável)",S413&lt;=Constantes!$H$2,"Curta Distância",S413&gt;Constantes!$H$2,"Longa Distância")</f>
        <v>Curta Distância</v>
      </c>
      <c r="AF413" s="114">
        <f>IFERROR(VLOOKUP(AE413,Constantes!$A$1:$E$5,MATCH(AD413,Constantes!$A$1:$E$1,0),0),"")</f>
        <v>0.18286935436241611</v>
      </c>
      <c r="AG413" s="115">
        <f t="shared" si="13"/>
        <v>358.69838231719172</v>
      </c>
    </row>
    <row r="414" spans="1:33" x14ac:dyDescent="0.3">
      <c r="A414">
        <f>COUNTIF($B$2:B414,B414)</f>
        <v>2</v>
      </c>
      <c r="B414">
        <v>19246644</v>
      </c>
      <c r="C414" t="s">
        <v>840</v>
      </c>
      <c r="D414" t="s">
        <v>841</v>
      </c>
      <c r="E414" t="s">
        <v>842</v>
      </c>
      <c r="F414" t="s">
        <v>198</v>
      </c>
      <c r="G414" t="s">
        <v>207</v>
      </c>
      <c r="H414" t="s">
        <v>204</v>
      </c>
      <c r="I414" s="49">
        <v>45222</v>
      </c>
      <c r="J414" s="49">
        <v>45226</v>
      </c>
      <c r="K414" t="s">
        <v>843</v>
      </c>
      <c r="L414" s="49">
        <v>45222</v>
      </c>
      <c r="M414" s="49">
        <v>45222</v>
      </c>
      <c r="N414" t="s">
        <v>107</v>
      </c>
      <c r="O414" t="s">
        <v>116</v>
      </c>
      <c r="P414">
        <f>VLOOKUP(N414,[1]ID_Cidades!$A$1:$E$5900,2,FALSE)</f>
        <v>295765</v>
      </c>
      <c r="Q414">
        <f>VLOOKUP(O414,[1]ID_Cidades!$A$1:$E$5900,2,FALSE)</f>
        <v>295778</v>
      </c>
      <c r="R414">
        <f t="shared" si="12"/>
        <v>87480780170</v>
      </c>
      <c r="S414" s="42">
        <f>VLOOKUP(R414,'[1]GCD base'!$A$1:$M$200,7,FALSE)</f>
        <v>1961.5007860000001</v>
      </c>
      <c r="T414" t="s">
        <v>109</v>
      </c>
      <c r="U414" t="s">
        <v>201</v>
      </c>
      <c r="V414" t="s">
        <v>202</v>
      </c>
      <c r="W414" t="s">
        <v>203</v>
      </c>
      <c r="X414" t="s">
        <v>204</v>
      </c>
      <c r="Y414">
        <v>0</v>
      </c>
      <c r="Z414">
        <v>0</v>
      </c>
      <c r="AA414">
        <v>1011</v>
      </c>
      <c r="AB414">
        <v>0</v>
      </c>
      <c r="AC414" s="49">
        <v>45175</v>
      </c>
      <c r="AD414" s="116" t="s">
        <v>10</v>
      </c>
      <c r="AE414" s="113" t="str" cm="1">
        <f t="array" ref="AE414">_xlfn.IFS(S414&lt;=Constantes!$G$2,"Muito Curta (evitável)",S414&lt;=Constantes!$H$2,"Curta Distância",S414&gt;Constantes!$H$2,"Longa Distância")</f>
        <v>Curta Distância</v>
      </c>
      <c r="AF414" s="114">
        <f>IFERROR(VLOOKUP(AE414,Constantes!$A$1:$E$5,MATCH(AD414,Constantes!$A$1:$E$1,0),0),"")</f>
        <v>0.18286935436241611</v>
      </c>
      <c r="AG414" s="115">
        <f t="shared" si="13"/>
        <v>358.69838231719172</v>
      </c>
    </row>
    <row r="415" spans="1:33" x14ac:dyDescent="0.3">
      <c r="A415">
        <f>COUNTIF($B$2:B415,B415)</f>
        <v>1</v>
      </c>
      <c r="B415">
        <v>19256805</v>
      </c>
      <c r="C415" t="s">
        <v>898</v>
      </c>
      <c r="D415" t="s">
        <v>899</v>
      </c>
      <c r="E415" t="s">
        <v>900</v>
      </c>
      <c r="F415" t="s">
        <v>198</v>
      </c>
      <c r="G415" t="s">
        <v>233</v>
      </c>
      <c r="H415" t="s">
        <v>233</v>
      </c>
      <c r="I415" s="49">
        <v>45222</v>
      </c>
      <c r="J415" s="49">
        <v>45228</v>
      </c>
      <c r="K415" t="s">
        <v>901</v>
      </c>
      <c r="L415" s="49">
        <v>45228</v>
      </c>
      <c r="M415" s="49">
        <v>45228</v>
      </c>
      <c r="N415" t="s">
        <v>110</v>
      </c>
      <c r="O415" t="s">
        <v>107</v>
      </c>
      <c r="P415">
        <f>VLOOKUP(N415,[1]ID_Cidades!$A$1:$E$5900,2,FALSE)</f>
        <v>295763</v>
      </c>
      <c r="Q415">
        <f>VLOOKUP(O415,[1]ID_Cidades!$A$1:$E$5900,2,FALSE)</f>
        <v>295765</v>
      </c>
      <c r="R415">
        <f t="shared" si="12"/>
        <v>87476343695</v>
      </c>
      <c r="S415" s="42">
        <f>VLOOKUP(R415,'[1]GCD base'!$A$1:$M$200,7,FALSE)</f>
        <v>1713.419991</v>
      </c>
      <c r="T415" t="s">
        <v>109</v>
      </c>
      <c r="U415" t="s">
        <v>201</v>
      </c>
      <c r="V415" t="s">
        <v>202</v>
      </c>
      <c r="W415" t="s">
        <v>203</v>
      </c>
      <c r="X415" t="s">
        <v>204</v>
      </c>
      <c r="Y415">
        <v>2422.86</v>
      </c>
      <c r="Z415">
        <v>0</v>
      </c>
      <c r="AA415">
        <v>1357.89</v>
      </c>
      <c r="AB415">
        <v>0</v>
      </c>
      <c r="AC415" s="49">
        <v>45191</v>
      </c>
      <c r="AD415" s="116" t="s">
        <v>10</v>
      </c>
      <c r="AE415" s="113" t="str" cm="1">
        <f t="array" ref="AE415">_xlfn.IFS(S415&lt;=Constantes!$G$2,"Muito Curta (evitável)",S415&lt;=Constantes!$H$2,"Curta Distância",S415&gt;Constantes!$H$2,"Longa Distância")</f>
        <v>Curta Distância</v>
      </c>
      <c r="AF415" s="114">
        <f>IFERROR(VLOOKUP(AE415,Constantes!$A$1:$E$5,MATCH(AD415,Constantes!$A$1:$E$1,0),0),"")</f>
        <v>0.18286935436241611</v>
      </c>
      <c r="AG415" s="115">
        <f t="shared" si="13"/>
        <v>313.33200750582682</v>
      </c>
    </row>
    <row r="416" spans="1:33" x14ac:dyDescent="0.3">
      <c r="A416">
        <f>COUNTIF($B$2:B416,B416)</f>
        <v>2</v>
      </c>
      <c r="B416">
        <v>19256805</v>
      </c>
      <c r="C416" t="s">
        <v>898</v>
      </c>
      <c r="D416" t="s">
        <v>899</v>
      </c>
      <c r="E416" t="s">
        <v>900</v>
      </c>
      <c r="F416" t="s">
        <v>198</v>
      </c>
      <c r="G416" t="s">
        <v>233</v>
      </c>
      <c r="H416" t="s">
        <v>233</v>
      </c>
      <c r="I416" s="49">
        <v>45222</v>
      </c>
      <c r="J416" s="49">
        <v>45228</v>
      </c>
      <c r="K416" t="s">
        <v>901</v>
      </c>
      <c r="L416" s="49">
        <v>45222</v>
      </c>
      <c r="M416" s="49">
        <v>45228</v>
      </c>
      <c r="N416" t="s">
        <v>107</v>
      </c>
      <c r="O416" t="s">
        <v>110</v>
      </c>
      <c r="P416">
        <f>VLOOKUP(N416,[1]ID_Cidades!$A$1:$E$5900,2,FALSE)</f>
        <v>295765</v>
      </c>
      <c r="Q416">
        <f>VLOOKUP(O416,[1]ID_Cidades!$A$1:$E$5900,2,FALSE)</f>
        <v>295763</v>
      </c>
      <c r="R416">
        <f t="shared" si="12"/>
        <v>87476343695</v>
      </c>
      <c r="S416" s="42">
        <f>VLOOKUP(R416,'[1]GCD base'!$A$1:$M$200,7,FALSE)</f>
        <v>1713.419991</v>
      </c>
      <c r="T416" t="s">
        <v>109</v>
      </c>
      <c r="U416" t="s">
        <v>205</v>
      </c>
      <c r="V416" t="s">
        <v>202</v>
      </c>
      <c r="W416" t="s">
        <v>203</v>
      </c>
      <c r="X416" t="s">
        <v>204</v>
      </c>
      <c r="Y416">
        <v>0</v>
      </c>
      <c r="Z416">
        <v>0</v>
      </c>
      <c r="AA416">
        <v>742.31</v>
      </c>
      <c r="AB416">
        <v>0</v>
      </c>
      <c r="AC416" s="49">
        <v>45191</v>
      </c>
      <c r="AD416" s="116" t="s">
        <v>10</v>
      </c>
      <c r="AE416" s="113" t="str" cm="1">
        <f t="array" ref="AE416">_xlfn.IFS(S416&lt;=Constantes!$G$2,"Muito Curta (evitável)",S416&lt;=Constantes!$H$2,"Curta Distância",S416&gt;Constantes!$H$2,"Longa Distância")</f>
        <v>Curta Distância</v>
      </c>
      <c r="AF416" s="114">
        <f>IFERROR(VLOOKUP(AE416,Constantes!$A$1:$E$5,MATCH(AD416,Constantes!$A$1:$E$1,0),0),"")</f>
        <v>0.18286935436241611</v>
      </c>
      <c r="AG416" s="115">
        <f t="shared" si="13"/>
        <v>313.33200750582682</v>
      </c>
    </row>
    <row r="417" spans="1:33" x14ac:dyDescent="0.3">
      <c r="A417">
        <f>COUNTIF($B$2:B417,B417)</f>
        <v>1</v>
      </c>
      <c r="B417">
        <v>19167013</v>
      </c>
      <c r="C417" t="s">
        <v>594</v>
      </c>
      <c r="D417" t="s">
        <v>595</v>
      </c>
      <c r="E417" t="s">
        <v>596</v>
      </c>
      <c r="F417" t="s">
        <v>198</v>
      </c>
      <c r="G417" t="s">
        <v>207</v>
      </c>
      <c r="H417" t="s">
        <v>204</v>
      </c>
      <c r="I417" s="49">
        <v>45223</v>
      </c>
      <c r="J417" s="49">
        <v>45227</v>
      </c>
      <c r="K417" t="s">
        <v>597</v>
      </c>
      <c r="L417" s="49">
        <v>45227</v>
      </c>
      <c r="M417" s="49">
        <v>45227</v>
      </c>
      <c r="N417" t="s">
        <v>116</v>
      </c>
      <c r="O417" t="s">
        <v>107</v>
      </c>
      <c r="P417">
        <f>VLOOKUP(N417,[1]ID_Cidades!$A$1:$E$5900,2,FALSE)</f>
        <v>295778</v>
      </c>
      <c r="Q417">
        <f>VLOOKUP(O417,[1]ID_Cidades!$A$1:$E$5900,2,FALSE)</f>
        <v>295765</v>
      </c>
      <c r="R417">
        <f t="shared" si="12"/>
        <v>87480780170</v>
      </c>
      <c r="S417" s="42">
        <f>VLOOKUP(R417,'[1]GCD base'!$A$1:$M$200,7,FALSE)</f>
        <v>1961.5007860000001</v>
      </c>
      <c r="T417" t="s">
        <v>109</v>
      </c>
      <c r="U417" t="s">
        <v>201</v>
      </c>
      <c r="V417" t="s">
        <v>202</v>
      </c>
      <c r="W417" t="s">
        <v>203</v>
      </c>
      <c r="X417" t="s">
        <v>204</v>
      </c>
      <c r="Y417">
        <v>1690.49</v>
      </c>
      <c r="Z417">
        <v>0</v>
      </c>
      <c r="AA417">
        <v>921.09</v>
      </c>
      <c r="AB417">
        <v>0</v>
      </c>
      <c r="AC417" s="49">
        <v>45184</v>
      </c>
      <c r="AD417" s="116" t="s">
        <v>10</v>
      </c>
      <c r="AE417" s="113" t="str" cm="1">
        <f t="array" ref="AE417">_xlfn.IFS(S417&lt;=Constantes!$G$2,"Muito Curta (evitável)",S417&lt;=Constantes!$H$2,"Curta Distância",S417&gt;Constantes!$H$2,"Longa Distância")</f>
        <v>Curta Distância</v>
      </c>
      <c r="AF417" s="114">
        <f>IFERROR(VLOOKUP(AE417,Constantes!$A$1:$E$5,MATCH(AD417,Constantes!$A$1:$E$1,0),0),"")</f>
        <v>0.18286935436241611</v>
      </c>
      <c r="AG417" s="115">
        <f t="shared" si="13"/>
        <v>358.69838231719172</v>
      </c>
    </row>
    <row r="418" spans="1:33" x14ac:dyDescent="0.3">
      <c r="A418">
        <f>COUNTIF($B$2:B418,B418)</f>
        <v>2</v>
      </c>
      <c r="B418">
        <v>19167013</v>
      </c>
      <c r="C418" t="s">
        <v>594</v>
      </c>
      <c r="D418" t="s">
        <v>595</v>
      </c>
      <c r="E418" t="s">
        <v>596</v>
      </c>
      <c r="F418" t="s">
        <v>198</v>
      </c>
      <c r="G418" t="s">
        <v>207</v>
      </c>
      <c r="H418" t="s">
        <v>204</v>
      </c>
      <c r="I418" s="49">
        <v>45223</v>
      </c>
      <c r="J418" s="49">
        <v>45227</v>
      </c>
      <c r="K418" t="s">
        <v>597</v>
      </c>
      <c r="L418" s="49">
        <v>45223</v>
      </c>
      <c r="M418" s="49">
        <v>45224</v>
      </c>
      <c r="N418" t="s">
        <v>107</v>
      </c>
      <c r="O418" t="s">
        <v>116</v>
      </c>
      <c r="P418">
        <f>VLOOKUP(N418,[1]ID_Cidades!$A$1:$E$5900,2,FALSE)</f>
        <v>295765</v>
      </c>
      <c r="Q418">
        <f>VLOOKUP(O418,[1]ID_Cidades!$A$1:$E$5900,2,FALSE)</f>
        <v>295778</v>
      </c>
      <c r="R418">
        <f t="shared" si="12"/>
        <v>87480780170</v>
      </c>
      <c r="S418" s="42">
        <f>VLOOKUP(R418,'[1]GCD base'!$A$1:$M$200,7,FALSE)</f>
        <v>1961.5007860000001</v>
      </c>
      <c r="T418" t="s">
        <v>109</v>
      </c>
      <c r="U418" t="s">
        <v>205</v>
      </c>
      <c r="V418" t="s">
        <v>202</v>
      </c>
      <c r="W418" t="s">
        <v>203</v>
      </c>
      <c r="X418" t="s">
        <v>204</v>
      </c>
      <c r="Y418">
        <v>0</v>
      </c>
      <c r="Z418">
        <v>0</v>
      </c>
      <c r="AA418">
        <v>1011.8</v>
      </c>
      <c r="AB418">
        <v>0</v>
      </c>
      <c r="AC418" s="49">
        <v>45184</v>
      </c>
      <c r="AD418" s="116" t="s">
        <v>10</v>
      </c>
      <c r="AE418" s="113" t="str" cm="1">
        <f t="array" ref="AE418">_xlfn.IFS(S418&lt;=Constantes!$G$2,"Muito Curta (evitável)",S418&lt;=Constantes!$H$2,"Curta Distância",S418&gt;Constantes!$H$2,"Longa Distância")</f>
        <v>Curta Distância</v>
      </c>
      <c r="AF418" s="114">
        <f>IFERROR(VLOOKUP(AE418,Constantes!$A$1:$E$5,MATCH(AD418,Constantes!$A$1:$E$1,0),0),"")</f>
        <v>0.18286935436241611</v>
      </c>
      <c r="AG418" s="115">
        <f t="shared" si="13"/>
        <v>358.69838231719172</v>
      </c>
    </row>
    <row r="419" spans="1:33" x14ac:dyDescent="0.3">
      <c r="A419">
        <f>COUNTIF($B$2:B419,B419)</f>
        <v>1</v>
      </c>
      <c r="B419">
        <v>19243698</v>
      </c>
      <c r="C419" t="s">
        <v>814</v>
      </c>
      <c r="D419" t="s">
        <v>815</v>
      </c>
      <c r="E419" t="s">
        <v>816</v>
      </c>
      <c r="F419" t="s">
        <v>198</v>
      </c>
      <c r="G419" t="s">
        <v>207</v>
      </c>
      <c r="H419" t="s">
        <v>204</v>
      </c>
      <c r="I419" s="49">
        <v>45223</v>
      </c>
      <c r="J419" s="49">
        <v>45227</v>
      </c>
      <c r="K419" t="s">
        <v>817</v>
      </c>
      <c r="L419" s="49">
        <v>45227</v>
      </c>
      <c r="M419" s="49">
        <v>45227</v>
      </c>
      <c r="N419" t="s">
        <v>110</v>
      </c>
      <c r="O419" t="s">
        <v>107</v>
      </c>
      <c r="P419">
        <f>VLOOKUP(N419,[1]ID_Cidades!$A$1:$E$5900,2,FALSE)</f>
        <v>295763</v>
      </c>
      <c r="Q419">
        <f>VLOOKUP(O419,[1]ID_Cidades!$A$1:$E$5900,2,FALSE)</f>
        <v>295765</v>
      </c>
      <c r="R419">
        <f t="shared" si="12"/>
        <v>87476343695</v>
      </c>
      <c r="S419" s="42">
        <f>VLOOKUP(R419,'[1]GCD base'!$A$1:$M$200,7,FALSE)</f>
        <v>1713.419991</v>
      </c>
      <c r="T419" t="s">
        <v>109</v>
      </c>
      <c r="U419" t="s">
        <v>201</v>
      </c>
      <c r="V419" t="s">
        <v>202</v>
      </c>
      <c r="W419" t="s">
        <v>203</v>
      </c>
      <c r="X419" t="s">
        <v>204</v>
      </c>
      <c r="Y419">
        <v>1690.49</v>
      </c>
      <c r="Z419">
        <v>0</v>
      </c>
      <c r="AA419">
        <v>1372.09</v>
      </c>
      <c r="AB419">
        <v>0</v>
      </c>
      <c r="AC419" s="49">
        <v>45173</v>
      </c>
      <c r="AD419" s="116" t="s">
        <v>10</v>
      </c>
      <c r="AE419" s="113" t="str" cm="1">
        <f t="array" ref="AE419">_xlfn.IFS(S419&lt;=Constantes!$G$2,"Muito Curta (evitável)",S419&lt;=Constantes!$H$2,"Curta Distância",S419&gt;Constantes!$H$2,"Longa Distância")</f>
        <v>Curta Distância</v>
      </c>
      <c r="AF419" s="114">
        <f>IFERROR(VLOOKUP(AE419,Constantes!$A$1:$E$5,MATCH(AD419,Constantes!$A$1:$E$1,0),0),"")</f>
        <v>0.18286935436241611</v>
      </c>
      <c r="AG419" s="115">
        <f t="shared" si="13"/>
        <v>313.33200750582682</v>
      </c>
    </row>
    <row r="420" spans="1:33" x14ac:dyDescent="0.3">
      <c r="A420">
        <f>COUNTIF($B$2:B420,B420)</f>
        <v>2</v>
      </c>
      <c r="B420">
        <v>19243698</v>
      </c>
      <c r="C420" t="s">
        <v>814</v>
      </c>
      <c r="D420" t="s">
        <v>815</v>
      </c>
      <c r="E420" t="s">
        <v>816</v>
      </c>
      <c r="F420" t="s">
        <v>198</v>
      </c>
      <c r="G420" t="s">
        <v>207</v>
      </c>
      <c r="H420" t="s">
        <v>204</v>
      </c>
      <c r="I420" s="49">
        <v>45223</v>
      </c>
      <c r="J420" s="49">
        <v>45227</v>
      </c>
      <c r="K420" t="s">
        <v>817</v>
      </c>
      <c r="L420" s="49">
        <v>45223</v>
      </c>
      <c r="M420" s="49">
        <v>45227</v>
      </c>
      <c r="N420" t="s">
        <v>107</v>
      </c>
      <c r="O420" t="s">
        <v>110</v>
      </c>
      <c r="P420">
        <f>VLOOKUP(N420,[1]ID_Cidades!$A$1:$E$5900,2,FALSE)</f>
        <v>295765</v>
      </c>
      <c r="Q420">
        <f>VLOOKUP(O420,[1]ID_Cidades!$A$1:$E$5900,2,FALSE)</f>
        <v>295763</v>
      </c>
      <c r="R420">
        <f t="shared" si="12"/>
        <v>87476343695</v>
      </c>
      <c r="S420" s="42">
        <f>VLOOKUP(R420,'[1]GCD base'!$A$1:$M$200,7,FALSE)</f>
        <v>1713.419991</v>
      </c>
      <c r="T420" t="s">
        <v>109</v>
      </c>
      <c r="U420" t="s">
        <v>205</v>
      </c>
      <c r="V420" t="s">
        <v>202</v>
      </c>
      <c r="W420" t="s">
        <v>203</v>
      </c>
      <c r="X420" t="s">
        <v>204</v>
      </c>
      <c r="Y420">
        <v>0</v>
      </c>
      <c r="Z420">
        <v>0</v>
      </c>
      <c r="AA420">
        <v>1154.4100000000001</v>
      </c>
      <c r="AB420">
        <v>0</v>
      </c>
      <c r="AC420" s="49">
        <v>45173</v>
      </c>
      <c r="AD420" s="116" t="s">
        <v>10</v>
      </c>
      <c r="AE420" s="113" t="str" cm="1">
        <f t="array" ref="AE420">_xlfn.IFS(S420&lt;=Constantes!$G$2,"Muito Curta (evitável)",S420&lt;=Constantes!$H$2,"Curta Distância",S420&gt;Constantes!$H$2,"Longa Distância")</f>
        <v>Curta Distância</v>
      </c>
      <c r="AF420" s="114">
        <f>IFERROR(VLOOKUP(AE420,Constantes!$A$1:$E$5,MATCH(AD420,Constantes!$A$1:$E$1,0),0),"")</f>
        <v>0.18286935436241611</v>
      </c>
      <c r="AG420" s="115">
        <f t="shared" si="13"/>
        <v>313.33200750582682</v>
      </c>
    </row>
    <row r="421" spans="1:33" x14ac:dyDescent="0.3">
      <c r="A421">
        <f>COUNTIF($B$2:B421,B421)</f>
        <v>1</v>
      </c>
      <c r="B421">
        <v>19285853</v>
      </c>
      <c r="C421" t="s">
        <v>1003</v>
      </c>
      <c r="D421" t="s">
        <v>1004</v>
      </c>
      <c r="E421" t="s">
        <v>1005</v>
      </c>
      <c r="F421" t="s">
        <v>198</v>
      </c>
      <c r="G421" t="s">
        <v>207</v>
      </c>
      <c r="H421" t="s">
        <v>204</v>
      </c>
      <c r="I421" s="49">
        <v>45223</v>
      </c>
      <c r="J421" s="49">
        <v>45227</v>
      </c>
      <c r="K421" t="s">
        <v>1006</v>
      </c>
      <c r="L421" s="49">
        <v>45227</v>
      </c>
      <c r="M421" s="49">
        <v>45227</v>
      </c>
      <c r="N421" t="s">
        <v>126</v>
      </c>
      <c r="O421" t="s">
        <v>107</v>
      </c>
      <c r="P421">
        <f>VLOOKUP(N421,[1]ID_Cidades!$A$1:$E$5900,2,FALSE)</f>
        <v>303652</v>
      </c>
      <c r="Q421">
        <f>VLOOKUP(O421,[1]ID_Cidades!$A$1:$E$5900,2,FALSE)</f>
        <v>295765</v>
      </c>
      <c r="R421">
        <f t="shared" si="12"/>
        <v>89809633780</v>
      </c>
      <c r="S421" s="42">
        <f>VLOOKUP(R421,'[1]GCD base'!$A$1:$M$200,7,FALSE)</f>
        <v>2193.8649999999998</v>
      </c>
      <c r="T421" t="s">
        <v>109</v>
      </c>
      <c r="U421" t="s">
        <v>201</v>
      </c>
      <c r="V421" t="s">
        <v>202</v>
      </c>
      <c r="W421" t="s">
        <v>203</v>
      </c>
      <c r="X421" t="s">
        <v>204</v>
      </c>
      <c r="Y421">
        <v>1329.41</v>
      </c>
      <c r="Z421">
        <v>0</v>
      </c>
      <c r="AA421">
        <v>1312.69</v>
      </c>
      <c r="AB421">
        <v>0</v>
      </c>
      <c r="AC421" s="49">
        <v>45183</v>
      </c>
      <c r="AD421" s="116" t="s">
        <v>10</v>
      </c>
      <c r="AE421" s="113" t="str" cm="1">
        <f t="array" ref="AE421">_xlfn.IFS(S421&lt;=Constantes!$G$2,"Muito Curta (evitável)",S421&lt;=Constantes!$H$2,"Curta Distância",S421&gt;Constantes!$H$2,"Longa Distância")</f>
        <v>Curta Distância</v>
      </c>
      <c r="AF421" s="114">
        <f>IFERROR(VLOOKUP(AE421,Constantes!$A$1:$E$5,MATCH(AD421,Constantes!$A$1:$E$1,0),0),"")</f>
        <v>0.18286935436241611</v>
      </c>
      <c r="AG421" s="115">
        <f t="shared" si="13"/>
        <v>401.190676108302</v>
      </c>
    </row>
    <row r="422" spans="1:33" x14ac:dyDescent="0.3">
      <c r="A422">
        <f>COUNTIF($B$2:B422,B422)</f>
        <v>2</v>
      </c>
      <c r="B422">
        <v>19285853</v>
      </c>
      <c r="C422" t="s">
        <v>1003</v>
      </c>
      <c r="D422" t="s">
        <v>1004</v>
      </c>
      <c r="E422" t="s">
        <v>1005</v>
      </c>
      <c r="F422" t="s">
        <v>198</v>
      </c>
      <c r="G422" t="s">
        <v>207</v>
      </c>
      <c r="H422" t="s">
        <v>204</v>
      </c>
      <c r="I422" s="49">
        <v>45223</v>
      </c>
      <c r="J422" s="49">
        <v>45227</v>
      </c>
      <c r="K422" t="s">
        <v>1006</v>
      </c>
      <c r="L422" s="49">
        <v>45223</v>
      </c>
      <c r="M422" s="49">
        <v>45227</v>
      </c>
      <c r="N422" t="s">
        <v>107</v>
      </c>
      <c r="O422" t="s">
        <v>126</v>
      </c>
      <c r="P422">
        <f>VLOOKUP(N422,[1]ID_Cidades!$A$1:$E$5900,2,FALSE)</f>
        <v>295765</v>
      </c>
      <c r="Q422">
        <f>VLOOKUP(O422,[1]ID_Cidades!$A$1:$E$5900,2,FALSE)</f>
        <v>303652</v>
      </c>
      <c r="R422">
        <f t="shared" si="12"/>
        <v>89809633780</v>
      </c>
      <c r="S422" s="42">
        <f>VLOOKUP(R422,'[1]GCD base'!$A$1:$M$200,7,FALSE)</f>
        <v>2193.8649999999998</v>
      </c>
      <c r="T422" t="s">
        <v>109</v>
      </c>
      <c r="U422" t="s">
        <v>205</v>
      </c>
      <c r="V422" t="s">
        <v>202</v>
      </c>
      <c r="W422" t="s">
        <v>203</v>
      </c>
      <c r="X422" t="s">
        <v>204</v>
      </c>
      <c r="Y422">
        <v>0</v>
      </c>
      <c r="Z422">
        <v>0</v>
      </c>
      <c r="AA422">
        <v>733.35</v>
      </c>
      <c r="AB422">
        <v>0</v>
      </c>
      <c r="AC422" s="49">
        <v>45183</v>
      </c>
      <c r="AD422" s="116" t="s">
        <v>10</v>
      </c>
      <c r="AE422" s="113" t="str" cm="1">
        <f t="array" ref="AE422">_xlfn.IFS(S422&lt;=Constantes!$G$2,"Muito Curta (evitável)",S422&lt;=Constantes!$H$2,"Curta Distância",S422&gt;Constantes!$H$2,"Longa Distância")</f>
        <v>Curta Distância</v>
      </c>
      <c r="AF422" s="114">
        <f>IFERROR(VLOOKUP(AE422,Constantes!$A$1:$E$5,MATCH(AD422,Constantes!$A$1:$E$1,0),0),"")</f>
        <v>0.18286935436241611</v>
      </c>
      <c r="AG422" s="115">
        <f t="shared" si="13"/>
        <v>401.190676108302</v>
      </c>
    </row>
    <row r="423" spans="1:33" x14ac:dyDescent="0.3">
      <c r="A423">
        <f>COUNTIF($B$2:B423,B423)</f>
        <v>1</v>
      </c>
      <c r="B423">
        <v>19354127</v>
      </c>
      <c r="C423" t="s">
        <v>1323</v>
      </c>
      <c r="D423" t="s">
        <v>1324</v>
      </c>
      <c r="E423" t="s">
        <v>1325</v>
      </c>
      <c r="F423" t="s">
        <v>198</v>
      </c>
      <c r="G423" t="s">
        <v>233</v>
      </c>
      <c r="H423" t="s">
        <v>233</v>
      </c>
      <c r="I423" s="49">
        <v>45223</v>
      </c>
      <c r="J423" s="49">
        <v>45226</v>
      </c>
      <c r="K423" t="s">
        <v>1326</v>
      </c>
      <c r="L423" s="49">
        <v>45223</v>
      </c>
      <c r="M423" s="49">
        <v>45226</v>
      </c>
      <c r="N423" t="s">
        <v>107</v>
      </c>
      <c r="O423" t="s">
        <v>110</v>
      </c>
      <c r="P423">
        <f>VLOOKUP(N423,[1]ID_Cidades!$A$1:$E$5900,2,FALSE)</f>
        <v>295765</v>
      </c>
      <c r="Q423">
        <f>VLOOKUP(O423,[1]ID_Cidades!$A$1:$E$5900,2,FALSE)</f>
        <v>295763</v>
      </c>
      <c r="R423">
        <f t="shared" si="12"/>
        <v>87476343695</v>
      </c>
      <c r="S423" s="42">
        <f>VLOOKUP(R423,'[1]GCD base'!$A$1:$M$200,7,FALSE)</f>
        <v>1713.419991</v>
      </c>
      <c r="T423" t="s">
        <v>109</v>
      </c>
      <c r="U423" t="s">
        <v>205</v>
      </c>
      <c r="V423" t="s">
        <v>202</v>
      </c>
      <c r="W423" t="s">
        <v>203</v>
      </c>
      <c r="X423" t="s">
        <v>204</v>
      </c>
      <c r="Y423">
        <v>1309.3499999999999</v>
      </c>
      <c r="Z423">
        <v>0</v>
      </c>
      <c r="AA423">
        <v>1153.21</v>
      </c>
      <c r="AB423">
        <v>0</v>
      </c>
      <c r="AC423" s="49">
        <v>45205</v>
      </c>
      <c r="AD423" s="116" t="s">
        <v>10</v>
      </c>
      <c r="AE423" s="113" t="str" cm="1">
        <f t="array" ref="AE423">_xlfn.IFS(S423&lt;=Constantes!$G$2,"Muito Curta (evitável)",S423&lt;=Constantes!$H$2,"Curta Distância",S423&gt;Constantes!$H$2,"Longa Distância")</f>
        <v>Curta Distância</v>
      </c>
      <c r="AF423" s="114">
        <f>IFERROR(VLOOKUP(AE423,Constantes!$A$1:$E$5,MATCH(AD423,Constantes!$A$1:$E$1,0),0),"")</f>
        <v>0.18286935436241611</v>
      </c>
      <c r="AG423" s="115">
        <f t="shared" si="13"/>
        <v>313.33200750582682</v>
      </c>
    </row>
    <row r="424" spans="1:33" x14ac:dyDescent="0.3">
      <c r="A424">
        <f>COUNTIF($B$2:B424,B424)</f>
        <v>2</v>
      </c>
      <c r="B424">
        <v>19354127</v>
      </c>
      <c r="C424" t="s">
        <v>1323</v>
      </c>
      <c r="D424" t="s">
        <v>1324</v>
      </c>
      <c r="E424" t="s">
        <v>1325</v>
      </c>
      <c r="F424" t="s">
        <v>198</v>
      </c>
      <c r="G424" t="s">
        <v>233</v>
      </c>
      <c r="H424" t="s">
        <v>233</v>
      </c>
      <c r="I424" s="49">
        <v>45223</v>
      </c>
      <c r="J424" s="49">
        <v>45226</v>
      </c>
      <c r="K424" t="s">
        <v>1326</v>
      </c>
      <c r="L424" s="49">
        <v>45226</v>
      </c>
      <c r="M424" s="49">
        <v>45226</v>
      </c>
      <c r="N424" t="s">
        <v>110</v>
      </c>
      <c r="O424" t="s">
        <v>107</v>
      </c>
      <c r="P424">
        <f>VLOOKUP(N424,[1]ID_Cidades!$A$1:$E$5900,2,FALSE)</f>
        <v>295763</v>
      </c>
      <c r="Q424">
        <f>VLOOKUP(O424,[1]ID_Cidades!$A$1:$E$5900,2,FALSE)</f>
        <v>295765</v>
      </c>
      <c r="R424">
        <f t="shared" si="12"/>
        <v>87476343695</v>
      </c>
      <c r="S424" s="42">
        <f>VLOOKUP(R424,'[1]GCD base'!$A$1:$M$200,7,FALSE)</f>
        <v>1713.419991</v>
      </c>
      <c r="T424" t="s">
        <v>109</v>
      </c>
      <c r="U424" t="s">
        <v>201</v>
      </c>
      <c r="V424" t="s">
        <v>202</v>
      </c>
      <c r="W424" t="s">
        <v>203</v>
      </c>
      <c r="X424" t="s">
        <v>204</v>
      </c>
      <c r="Y424">
        <v>0</v>
      </c>
      <c r="Z424">
        <v>0</v>
      </c>
      <c r="AA424">
        <v>1329.89</v>
      </c>
      <c r="AB424">
        <v>0</v>
      </c>
      <c r="AC424" s="49">
        <v>45205</v>
      </c>
      <c r="AD424" s="116" t="s">
        <v>10</v>
      </c>
      <c r="AE424" s="113" t="str" cm="1">
        <f t="array" ref="AE424">_xlfn.IFS(S424&lt;=Constantes!$G$2,"Muito Curta (evitável)",S424&lt;=Constantes!$H$2,"Curta Distância",S424&gt;Constantes!$H$2,"Longa Distância")</f>
        <v>Curta Distância</v>
      </c>
      <c r="AF424" s="114">
        <f>IFERROR(VLOOKUP(AE424,Constantes!$A$1:$E$5,MATCH(AD424,Constantes!$A$1:$E$1,0),0),"")</f>
        <v>0.18286935436241611</v>
      </c>
      <c r="AG424" s="115">
        <f t="shared" si="13"/>
        <v>313.33200750582682</v>
      </c>
    </row>
    <row r="425" spans="1:33" x14ac:dyDescent="0.3">
      <c r="A425">
        <f>COUNTIF($B$2:B425,B425)</f>
        <v>1</v>
      </c>
      <c r="B425">
        <v>19377573</v>
      </c>
      <c r="C425" t="s">
        <v>1420</v>
      </c>
      <c r="D425" t="s">
        <v>218</v>
      </c>
      <c r="E425" t="s">
        <v>1421</v>
      </c>
      <c r="F425" t="s">
        <v>218</v>
      </c>
      <c r="G425" t="s">
        <v>207</v>
      </c>
      <c r="H425" t="s">
        <v>204</v>
      </c>
      <c r="I425" s="49">
        <v>45223</v>
      </c>
      <c r="J425" s="49">
        <v>45227</v>
      </c>
      <c r="K425" t="s">
        <v>1422</v>
      </c>
      <c r="L425" s="49">
        <v>45227</v>
      </c>
      <c r="M425" s="49">
        <v>45227</v>
      </c>
      <c r="N425" t="s">
        <v>110</v>
      </c>
      <c r="O425" t="s">
        <v>107</v>
      </c>
      <c r="P425">
        <f>VLOOKUP(N425,[1]ID_Cidades!$A$1:$E$5900,2,FALSE)</f>
        <v>295763</v>
      </c>
      <c r="Q425">
        <f>VLOOKUP(O425,[1]ID_Cidades!$A$1:$E$5900,2,FALSE)</f>
        <v>295765</v>
      </c>
      <c r="R425">
        <f t="shared" si="12"/>
        <v>87476343695</v>
      </c>
      <c r="S425" s="42">
        <f>VLOOKUP(R425,'[1]GCD base'!$A$1:$M$200,7,FALSE)</f>
        <v>1713.419991</v>
      </c>
      <c r="T425" t="s">
        <v>109</v>
      </c>
      <c r="U425" t="s">
        <v>201</v>
      </c>
      <c r="V425" t="s">
        <v>202</v>
      </c>
      <c r="W425" t="s">
        <v>203</v>
      </c>
      <c r="X425" t="s">
        <v>204</v>
      </c>
      <c r="Y425">
        <v>0</v>
      </c>
      <c r="Z425">
        <v>0</v>
      </c>
      <c r="AA425">
        <v>1004.11</v>
      </c>
      <c r="AB425">
        <v>0</v>
      </c>
      <c r="AC425" s="49">
        <v>45205</v>
      </c>
      <c r="AD425" s="116" t="s">
        <v>10</v>
      </c>
      <c r="AE425" s="113" t="str" cm="1">
        <f t="array" ref="AE425">_xlfn.IFS(S425&lt;=Constantes!$G$2,"Muito Curta (evitável)",S425&lt;=Constantes!$H$2,"Curta Distância",S425&gt;Constantes!$H$2,"Longa Distância")</f>
        <v>Curta Distância</v>
      </c>
      <c r="AF425" s="114">
        <f>IFERROR(VLOOKUP(AE425,Constantes!$A$1:$E$5,MATCH(AD425,Constantes!$A$1:$E$1,0),0),"")</f>
        <v>0.18286935436241611</v>
      </c>
      <c r="AG425" s="115">
        <f t="shared" si="13"/>
        <v>313.33200750582682</v>
      </c>
    </row>
    <row r="426" spans="1:33" x14ac:dyDescent="0.3">
      <c r="A426">
        <f>COUNTIF($B$2:B426,B426)</f>
        <v>2</v>
      </c>
      <c r="B426">
        <v>19377573</v>
      </c>
      <c r="C426" t="s">
        <v>1420</v>
      </c>
      <c r="D426" t="s">
        <v>218</v>
      </c>
      <c r="E426" t="s">
        <v>1421</v>
      </c>
      <c r="F426" t="s">
        <v>218</v>
      </c>
      <c r="G426" t="s">
        <v>207</v>
      </c>
      <c r="H426" t="s">
        <v>204</v>
      </c>
      <c r="I426" s="49">
        <v>45223</v>
      </c>
      <c r="J426" s="49">
        <v>45227</v>
      </c>
      <c r="K426" t="s">
        <v>1422</v>
      </c>
      <c r="L426" s="49">
        <v>45223</v>
      </c>
      <c r="M426" s="49">
        <v>45227</v>
      </c>
      <c r="N426" t="s">
        <v>107</v>
      </c>
      <c r="O426" t="s">
        <v>110</v>
      </c>
      <c r="P426">
        <f>VLOOKUP(N426,[1]ID_Cidades!$A$1:$E$5900,2,FALSE)</f>
        <v>295765</v>
      </c>
      <c r="Q426">
        <f>VLOOKUP(O426,[1]ID_Cidades!$A$1:$E$5900,2,FALSE)</f>
        <v>295763</v>
      </c>
      <c r="R426">
        <f t="shared" si="12"/>
        <v>87476343695</v>
      </c>
      <c r="S426" s="42">
        <f>VLOOKUP(R426,'[1]GCD base'!$A$1:$M$200,7,FALSE)</f>
        <v>1713.419991</v>
      </c>
      <c r="T426" t="s">
        <v>109</v>
      </c>
      <c r="U426" t="s">
        <v>205</v>
      </c>
      <c r="V426" t="s">
        <v>202</v>
      </c>
      <c r="W426" t="s">
        <v>203</v>
      </c>
      <c r="X426" t="s">
        <v>204</v>
      </c>
      <c r="Y426">
        <v>0</v>
      </c>
      <c r="Z426">
        <v>0</v>
      </c>
      <c r="AA426">
        <v>1329.89</v>
      </c>
      <c r="AB426">
        <v>0</v>
      </c>
      <c r="AC426" s="49">
        <v>45205</v>
      </c>
      <c r="AD426" s="116" t="s">
        <v>10</v>
      </c>
      <c r="AE426" s="113" t="str" cm="1">
        <f t="array" ref="AE426">_xlfn.IFS(S426&lt;=Constantes!$G$2,"Muito Curta (evitável)",S426&lt;=Constantes!$H$2,"Curta Distância",S426&gt;Constantes!$H$2,"Longa Distância")</f>
        <v>Curta Distância</v>
      </c>
      <c r="AF426" s="114">
        <f>IFERROR(VLOOKUP(AE426,Constantes!$A$1:$E$5,MATCH(AD426,Constantes!$A$1:$E$1,0),0),"")</f>
        <v>0.18286935436241611</v>
      </c>
      <c r="AG426" s="115">
        <f t="shared" si="13"/>
        <v>313.33200750582682</v>
      </c>
    </row>
    <row r="427" spans="1:33" x14ac:dyDescent="0.3">
      <c r="A427">
        <f>COUNTIF($B$2:B427,B427)</f>
        <v>1</v>
      </c>
      <c r="B427">
        <v>19067802</v>
      </c>
      <c r="C427" t="s">
        <v>330</v>
      </c>
      <c r="D427" t="s">
        <v>323</v>
      </c>
      <c r="E427" t="s">
        <v>324</v>
      </c>
      <c r="F427" t="s">
        <v>198</v>
      </c>
      <c r="G427" t="s">
        <v>233</v>
      </c>
      <c r="H427" t="s">
        <v>233</v>
      </c>
      <c r="I427" s="49">
        <v>45224</v>
      </c>
      <c r="J427" s="49">
        <v>45227</v>
      </c>
      <c r="K427" t="s">
        <v>331</v>
      </c>
      <c r="L427" s="49">
        <v>45226</v>
      </c>
      <c r="M427" s="49">
        <v>45227</v>
      </c>
      <c r="N427" t="s">
        <v>110</v>
      </c>
      <c r="O427" t="s">
        <v>107</v>
      </c>
      <c r="P427">
        <f>VLOOKUP(N427,[1]ID_Cidades!$A$1:$E$5900,2,FALSE)</f>
        <v>295763</v>
      </c>
      <c r="Q427">
        <f>VLOOKUP(O427,[1]ID_Cidades!$A$1:$E$5900,2,FALSE)</f>
        <v>295765</v>
      </c>
      <c r="R427">
        <f t="shared" si="12"/>
        <v>87476343695</v>
      </c>
      <c r="S427" s="42">
        <f>VLOOKUP(R427,'[1]GCD base'!$A$1:$M$200,7,FALSE)</f>
        <v>1713.419991</v>
      </c>
      <c r="T427" t="s">
        <v>109</v>
      </c>
      <c r="U427" t="s">
        <v>201</v>
      </c>
      <c r="V427" t="s">
        <v>202</v>
      </c>
      <c r="W427" t="s">
        <v>203</v>
      </c>
      <c r="X427" t="s">
        <v>204</v>
      </c>
      <c r="Y427">
        <v>1339.26</v>
      </c>
      <c r="Z427">
        <v>0</v>
      </c>
      <c r="AA427">
        <v>875.97</v>
      </c>
      <c r="AB427">
        <v>0</v>
      </c>
      <c r="AC427" s="49">
        <v>45114</v>
      </c>
      <c r="AD427" s="116" t="s">
        <v>10</v>
      </c>
      <c r="AE427" s="113" t="str" cm="1">
        <f t="array" ref="AE427">_xlfn.IFS(S427&lt;=Constantes!$G$2,"Muito Curta (evitável)",S427&lt;=Constantes!$H$2,"Curta Distância",S427&gt;Constantes!$H$2,"Longa Distância")</f>
        <v>Curta Distância</v>
      </c>
      <c r="AF427" s="114">
        <f>IFERROR(VLOOKUP(AE427,Constantes!$A$1:$E$5,MATCH(AD427,Constantes!$A$1:$E$1,0),0),"")</f>
        <v>0.18286935436241611</v>
      </c>
      <c r="AG427" s="115">
        <f t="shared" si="13"/>
        <v>313.33200750582682</v>
      </c>
    </row>
    <row r="428" spans="1:33" x14ac:dyDescent="0.3">
      <c r="A428">
        <f>COUNTIF($B$2:B428,B428)</f>
        <v>2</v>
      </c>
      <c r="B428">
        <v>19067802</v>
      </c>
      <c r="C428" t="s">
        <v>330</v>
      </c>
      <c r="D428" t="s">
        <v>323</v>
      </c>
      <c r="E428" t="s">
        <v>324</v>
      </c>
      <c r="F428" t="s">
        <v>198</v>
      </c>
      <c r="G428" t="s">
        <v>233</v>
      </c>
      <c r="H428" t="s">
        <v>233</v>
      </c>
      <c r="I428" s="49">
        <v>45224</v>
      </c>
      <c r="J428" s="49">
        <v>45227</v>
      </c>
      <c r="K428" t="s">
        <v>331</v>
      </c>
      <c r="L428" s="49">
        <v>45224</v>
      </c>
      <c r="M428" s="49">
        <v>45226</v>
      </c>
      <c r="N428" t="s">
        <v>107</v>
      </c>
      <c r="O428" t="s">
        <v>110</v>
      </c>
      <c r="P428">
        <f>VLOOKUP(N428,[1]ID_Cidades!$A$1:$E$5900,2,FALSE)</f>
        <v>295765</v>
      </c>
      <c r="Q428">
        <f>VLOOKUP(O428,[1]ID_Cidades!$A$1:$E$5900,2,FALSE)</f>
        <v>295763</v>
      </c>
      <c r="R428">
        <f t="shared" si="12"/>
        <v>87476343695</v>
      </c>
      <c r="S428" s="42">
        <f>VLOOKUP(R428,'[1]GCD base'!$A$1:$M$200,7,FALSE)</f>
        <v>1713.419991</v>
      </c>
      <c r="T428" t="s">
        <v>109</v>
      </c>
      <c r="U428" t="s">
        <v>205</v>
      </c>
      <c r="V428" t="s">
        <v>202</v>
      </c>
      <c r="W428" t="s">
        <v>203</v>
      </c>
      <c r="X428" t="s">
        <v>204</v>
      </c>
      <c r="Y428">
        <v>0</v>
      </c>
      <c r="Z428">
        <v>0</v>
      </c>
      <c r="AA428">
        <v>661.99</v>
      </c>
      <c r="AB428">
        <v>0</v>
      </c>
      <c r="AC428" s="49">
        <v>45114</v>
      </c>
      <c r="AD428" s="116" t="s">
        <v>10</v>
      </c>
      <c r="AE428" s="113" t="str" cm="1">
        <f t="array" ref="AE428">_xlfn.IFS(S428&lt;=Constantes!$G$2,"Muito Curta (evitável)",S428&lt;=Constantes!$H$2,"Curta Distância",S428&gt;Constantes!$H$2,"Longa Distância")</f>
        <v>Curta Distância</v>
      </c>
      <c r="AF428" s="114">
        <f>IFERROR(VLOOKUP(AE428,Constantes!$A$1:$E$5,MATCH(AD428,Constantes!$A$1:$E$1,0),0),"")</f>
        <v>0.18286935436241611</v>
      </c>
      <c r="AG428" s="115">
        <f t="shared" si="13"/>
        <v>313.33200750582682</v>
      </c>
    </row>
    <row r="429" spans="1:33" x14ac:dyDescent="0.3">
      <c r="A429">
        <f>COUNTIF($B$2:B429,B429)</f>
        <v>1</v>
      </c>
      <c r="B429">
        <v>19300853</v>
      </c>
      <c r="C429" t="s">
        <v>1080</v>
      </c>
      <c r="D429" t="s">
        <v>1081</v>
      </c>
      <c r="E429" t="s">
        <v>1082</v>
      </c>
      <c r="F429" t="s">
        <v>198</v>
      </c>
      <c r="G429" t="s">
        <v>233</v>
      </c>
      <c r="H429" t="s">
        <v>233</v>
      </c>
      <c r="I429" s="49">
        <v>45224</v>
      </c>
      <c r="J429" s="49">
        <v>45227</v>
      </c>
      <c r="K429" t="s">
        <v>1083</v>
      </c>
      <c r="L429" s="49">
        <v>45227</v>
      </c>
      <c r="M429" s="49">
        <v>45227</v>
      </c>
      <c r="N429" t="s">
        <v>110</v>
      </c>
      <c r="O429" t="s">
        <v>107</v>
      </c>
      <c r="P429">
        <f>VLOOKUP(N429,[1]ID_Cidades!$A$1:$E$5900,2,FALSE)</f>
        <v>295763</v>
      </c>
      <c r="Q429">
        <f>VLOOKUP(O429,[1]ID_Cidades!$A$1:$E$5900,2,FALSE)</f>
        <v>295765</v>
      </c>
      <c r="R429">
        <f t="shared" si="12"/>
        <v>87476343695</v>
      </c>
      <c r="S429" s="42">
        <f>VLOOKUP(R429,'[1]GCD base'!$A$1:$M$200,7,FALSE)</f>
        <v>1713.419991</v>
      </c>
      <c r="T429" t="s">
        <v>109</v>
      </c>
      <c r="U429" t="s">
        <v>201</v>
      </c>
      <c r="V429" t="s">
        <v>202</v>
      </c>
      <c r="W429" t="s">
        <v>203</v>
      </c>
      <c r="X429" t="s">
        <v>204</v>
      </c>
      <c r="Y429">
        <v>1339.26</v>
      </c>
      <c r="Z429">
        <v>0</v>
      </c>
      <c r="AA429">
        <v>1617.59</v>
      </c>
      <c r="AB429">
        <v>0</v>
      </c>
      <c r="AC429" s="49">
        <v>45195</v>
      </c>
      <c r="AD429" s="116" t="s">
        <v>10</v>
      </c>
      <c r="AE429" s="113" t="str" cm="1">
        <f t="array" ref="AE429">_xlfn.IFS(S429&lt;=Constantes!$G$2,"Muito Curta (evitável)",S429&lt;=Constantes!$H$2,"Curta Distância",S429&gt;Constantes!$H$2,"Longa Distância")</f>
        <v>Curta Distância</v>
      </c>
      <c r="AF429" s="114">
        <f>IFERROR(VLOOKUP(AE429,Constantes!$A$1:$E$5,MATCH(AD429,Constantes!$A$1:$E$1,0),0),"")</f>
        <v>0.18286935436241611</v>
      </c>
      <c r="AG429" s="115">
        <f t="shared" si="13"/>
        <v>313.33200750582682</v>
      </c>
    </row>
    <row r="430" spans="1:33" x14ac:dyDescent="0.3">
      <c r="A430">
        <f>COUNTIF($B$2:B430,B430)</f>
        <v>2</v>
      </c>
      <c r="B430">
        <v>19300853</v>
      </c>
      <c r="C430" t="s">
        <v>1080</v>
      </c>
      <c r="D430" t="s">
        <v>1081</v>
      </c>
      <c r="E430" t="s">
        <v>1082</v>
      </c>
      <c r="F430" t="s">
        <v>198</v>
      </c>
      <c r="G430" t="s">
        <v>233</v>
      </c>
      <c r="H430" t="s">
        <v>233</v>
      </c>
      <c r="I430" s="49">
        <v>45224</v>
      </c>
      <c r="J430" s="49">
        <v>45227</v>
      </c>
      <c r="K430" t="s">
        <v>1083</v>
      </c>
      <c r="L430" s="49">
        <v>45224</v>
      </c>
      <c r="M430" s="49">
        <v>45227</v>
      </c>
      <c r="N430" t="s">
        <v>107</v>
      </c>
      <c r="O430" t="s">
        <v>110</v>
      </c>
      <c r="P430">
        <f>VLOOKUP(N430,[1]ID_Cidades!$A$1:$E$5900,2,FALSE)</f>
        <v>295765</v>
      </c>
      <c r="Q430">
        <f>VLOOKUP(O430,[1]ID_Cidades!$A$1:$E$5900,2,FALSE)</f>
        <v>295763</v>
      </c>
      <c r="R430">
        <f t="shared" si="12"/>
        <v>87476343695</v>
      </c>
      <c r="S430" s="42">
        <f>VLOOKUP(R430,'[1]GCD base'!$A$1:$M$200,7,FALSE)</f>
        <v>1713.419991</v>
      </c>
      <c r="T430" t="s">
        <v>109</v>
      </c>
      <c r="U430" t="s">
        <v>205</v>
      </c>
      <c r="V430" t="s">
        <v>202</v>
      </c>
      <c r="W430" t="s">
        <v>203</v>
      </c>
      <c r="X430" t="s">
        <v>204</v>
      </c>
      <c r="Y430">
        <v>0</v>
      </c>
      <c r="Z430">
        <v>0</v>
      </c>
      <c r="AA430">
        <v>778.81</v>
      </c>
      <c r="AB430">
        <v>0</v>
      </c>
      <c r="AC430" s="49">
        <v>45195</v>
      </c>
      <c r="AD430" s="116" t="s">
        <v>10</v>
      </c>
      <c r="AE430" s="113" t="str" cm="1">
        <f t="array" ref="AE430">_xlfn.IFS(S430&lt;=Constantes!$G$2,"Muito Curta (evitável)",S430&lt;=Constantes!$H$2,"Curta Distância",S430&gt;Constantes!$H$2,"Longa Distância")</f>
        <v>Curta Distância</v>
      </c>
      <c r="AF430" s="114">
        <f>IFERROR(VLOOKUP(AE430,Constantes!$A$1:$E$5,MATCH(AD430,Constantes!$A$1:$E$1,0),0),"")</f>
        <v>0.18286935436241611</v>
      </c>
      <c r="AG430" s="115">
        <f t="shared" si="13"/>
        <v>313.33200750582682</v>
      </c>
    </row>
    <row r="431" spans="1:33" x14ac:dyDescent="0.3">
      <c r="A431">
        <f>COUNTIF($B$2:B431,B431)</f>
        <v>1</v>
      </c>
      <c r="B431">
        <v>19214722</v>
      </c>
      <c r="C431" t="s">
        <v>714</v>
      </c>
      <c r="D431" t="s">
        <v>715</v>
      </c>
      <c r="E431" t="s">
        <v>716</v>
      </c>
      <c r="F431" t="s">
        <v>198</v>
      </c>
      <c r="G431" t="s">
        <v>207</v>
      </c>
      <c r="H431" t="s">
        <v>204</v>
      </c>
      <c r="I431" s="49">
        <v>45225</v>
      </c>
      <c r="J431" s="49">
        <v>45233</v>
      </c>
      <c r="K431" t="s">
        <v>717</v>
      </c>
      <c r="L431" s="49">
        <v>45233</v>
      </c>
      <c r="M431" s="49">
        <v>45233</v>
      </c>
      <c r="N431" t="s">
        <v>122</v>
      </c>
      <c r="O431" t="s">
        <v>107</v>
      </c>
      <c r="P431">
        <f>VLOOKUP(N431,[1]ID_Cidades!$A$1:$E$5900,2,FALSE)</f>
        <v>295781</v>
      </c>
      <c r="Q431">
        <f>VLOOKUP(O431,[1]ID_Cidades!$A$1:$E$5900,2,FALSE)</f>
        <v>295765</v>
      </c>
      <c r="R431">
        <f t="shared" si="12"/>
        <v>87481667465</v>
      </c>
      <c r="S431" s="42">
        <f>VLOOKUP(R431,'[1]GCD base'!$A$1:$M$200,7,FALSE)</f>
        <v>2695.5823350000001</v>
      </c>
      <c r="T431" t="s">
        <v>109</v>
      </c>
      <c r="U431" t="s">
        <v>201</v>
      </c>
      <c r="V431" t="s">
        <v>202</v>
      </c>
      <c r="W431" t="s">
        <v>203</v>
      </c>
      <c r="X431" t="s">
        <v>204</v>
      </c>
      <c r="Y431">
        <v>2513.31</v>
      </c>
      <c r="Z431">
        <v>0</v>
      </c>
      <c r="AA431">
        <v>1567.7</v>
      </c>
      <c r="AB431">
        <v>0</v>
      </c>
      <c r="AC431" s="49">
        <v>45181</v>
      </c>
      <c r="AD431" s="116" t="s">
        <v>10</v>
      </c>
      <c r="AE431" s="113" t="str" cm="1">
        <f t="array" ref="AE431">_xlfn.IFS(S431&lt;=Constantes!$G$2,"Muito Curta (evitável)",S431&lt;=Constantes!$H$2,"Curta Distância",S431&gt;Constantes!$H$2,"Longa Distância")</f>
        <v>Curta Distância</v>
      </c>
      <c r="AF431" s="114">
        <f>IFERROR(VLOOKUP(AE431,Constantes!$A$1:$E$5,MATCH(AD431,Constantes!$A$1:$E$1,0),0),"")</f>
        <v>0.18286935436241611</v>
      </c>
      <c r="AG431" s="115">
        <f t="shared" si="13"/>
        <v>492.93940123218408</v>
      </c>
    </row>
    <row r="432" spans="1:33" x14ac:dyDescent="0.3">
      <c r="A432">
        <f>COUNTIF($B$2:B432,B432)</f>
        <v>2</v>
      </c>
      <c r="B432">
        <v>19214722</v>
      </c>
      <c r="C432" t="s">
        <v>714</v>
      </c>
      <c r="D432" t="s">
        <v>715</v>
      </c>
      <c r="E432" t="s">
        <v>716</v>
      </c>
      <c r="F432" t="s">
        <v>198</v>
      </c>
      <c r="G432" t="s">
        <v>207</v>
      </c>
      <c r="H432" t="s">
        <v>204</v>
      </c>
      <c r="I432" s="49">
        <v>45225</v>
      </c>
      <c r="J432" s="49">
        <v>45233</v>
      </c>
      <c r="K432" t="s">
        <v>717</v>
      </c>
      <c r="L432" s="49">
        <v>45225</v>
      </c>
      <c r="M432" s="49">
        <v>45226</v>
      </c>
      <c r="N432" t="s">
        <v>107</v>
      </c>
      <c r="O432" t="s">
        <v>119</v>
      </c>
      <c r="P432">
        <f>VLOOKUP(N432,[1]ID_Cidades!$A$1:$E$5900,2,FALSE)</f>
        <v>295765</v>
      </c>
      <c r="Q432">
        <f>VLOOKUP(O432,[1]ID_Cidades!$A$1:$E$5900,2,FALSE)</f>
        <v>295786</v>
      </c>
      <c r="R432">
        <f t="shared" si="12"/>
        <v>87483146290</v>
      </c>
      <c r="S432" s="42">
        <f>VLOOKUP(R432,'[1]GCD base'!$A$1:$M$200,7,FALSE)</f>
        <v>3054.7955320000001</v>
      </c>
      <c r="T432" t="s">
        <v>109</v>
      </c>
      <c r="U432" t="s">
        <v>205</v>
      </c>
      <c r="V432" t="s">
        <v>202</v>
      </c>
      <c r="W432" t="s">
        <v>203</v>
      </c>
      <c r="X432" t="s">
        <v>204</v>
      </c>
      <c r="Y432">
        <v>0</v>
      </c>
      <c r="Z432">
        <v>0</v>
      </c>
      <c r="AA432">
        <v>1800.29</v>
      </c>
      <c r="AB432">
        <v>0</v>
      </c>
      <c r="AC432" s="49">
        <v>45181</v>
      </c>
      <c r="AD432" s="116" t="s">
        <v>10</v>
      </c>
      <c r="AE432" s="113" t="str" cm="1">
        <f t="array" ref="AE432">_xlfn.IFS(S432&lt;=Constantes!$G$2,"Muito Curta (evitável)",S432&lt;=Constantes!$H$2,"Curta Distância",S432&gt;Constantes!$H$2,"Longa Distância")</f>
        <v>Curta Distância</v>
      </c>
      <c r="AF432" s="114">
        <f>IFERROR(VLOOKUP(AE432,Constantes!$A$1:$E$5,MATCH(AD432,Constantes!$A$1:$E$1,0),0),"")</f>
        <v>0.18286935436241611</v>
      </c>
      <c r="AG432" s="115">
        <f t="shared" si="13"/>
        <v>558.62848664603348</v>
      </c>
    </row>
    <row r="433" spans="1:33" x14ac:dyDescent="0.3">
      <c r="A433">
        <f>COUNTIF($B$2:B433,B433)</f>
        <v>1</v>
      </c>
      <c r="B433">
        <v>19275566</v>
      </c>
      <c r="C433" t="s">
        <v>945</v>
      </c>
      <c r="D433" t="s">
        <v>946</v>
      </c>
      <c r="E433" t="s">
        <v>947</v>
      </c>
      <c r="F433" t="s">
        <v>198</v>
      </c>
      <c r="G433" t="s">
        <v>207</v>
      </c>
      <c r="H433" t="s">
        <v>204</v>
      </c>
      <c r="I433" s="49">
        <v>45225</v>
      </c>
      <c r="J433" s="49">
        <v>45228</v>
      </c>
      <c r="K433" t="s">
        <v>948</v>
      </c>
      <c r="L433" s="49">
        <v>45228</v>
      </c>
      <c r="M433" s="49">
        <v>45228</v>
      </c>
      <c r="N433" t="s">
        <v>315</v>
      </c>
      <c r="O433" t="s">
        <v>112</v>
      </c>
      <c r="P433">
        <f>VLOOKUP(N433,[1]ID_Cidades!$A$1:$E$5900,2,FALSE)</f>
        <v>300439</v>
      </c>
      <c r="Q433">
        <f>VLOOKUP(O433,[1]ID_Cidades!$A$1:$E$5900,2,FALSE)</f>
        <v>295766</v>
      </c>
      <c r="R433">
        <f t="shared" si="12"/>
        <v>88859641274</v>
      </c>
      <c r="S433" s="42">
        <f>VLOOKUP(R433,'[1]GCD base'!$A$1:$M$200,7,FALSE)</f>
        <v>1678.548213</v>
      </c>
      <c r="T433" t="s">
        <v>109</v>
      </c>
      <c r="U433" t="s">
        <v>201</v>
      </c>
      <c r="V433" t="s">
        <v>202</v>
      </c>
      <c r="W433" t="s">
        <v>203</v>
      </c>
      <c r="X433" t="s">
        <v>204</v>
      </c>
      <c r="Y433">
        <v>1228.75</v>
      </c>
      <c r="Z433">
        <v>0</v>
      </c>
      <c r="AA433">
        <v>724.29</v>
      </c>
      <c r="AB433">
        <v>0</v>
      </c>
      <c r="AC433" s="49">
        <v>45190</v>
      </c>
      <c r="AD433" s="116" t="s">
        <v>10</v>
      </c>
      <c r="AE433" s="113" t="str" cm="1">
        <f t="array" ref="AE433">_xlfn.IFS(S433&lt;=Constantes!$G$2,"Muito Curta (evitável)",S433&lt;=Constantes!$H$2,"Curta Distância",S433&gt;Constantes!$H$2,"Longa Distância")</f>
        <v>Curta Distância</v>
      </c>
      <c r="AF433" s="114">
        <f>IFERROR(VLOOKUP(AE433,Constantes!$A$1:$E$5,MATCH(AD433,Constantes!$A$1:$E$1,0),0),"")</f>
        <v>0.18286935436241611</v>
      </c>
      <c r="AG433" s="115">
        <f t="shared" si="13"/>
        <v>306.95502797749731</v>
      </c>
    </row>
    <row r="434" spans="1:33" x14ac:dyDescent="0.3">
      <c r="A434">
        <f>COUNTIF($B$2:B434,B434)</f>
        <v>2</v>
      </c>
      <c r="B434">
        <v>19275566</v>
      </c>
      <c r="C434" t="s">
        <v>945</v>
      </c>
      <c r="D434" t="s">
        <v>946</v>
      </c>
      <c r="E434" t="s">
        <v>947</v>
      </c>
      <c r="F434" t="s">
        <v>198</v>
      </c>
      <c r="G434" t="s">
        <v>207</v>
      </c>
      <c r="H434" t="s">
        <v>204</v>
      </c>
      <c r="I434" s="49">
        <v>45225</v>
      </c>
      <c r="J434" s="49">
        <v>45228</v>
      </c>
      <c r="K434" t="s">
        <v>948</v>
      </c>
      <c r="L434" s="49">
        <v>45225</v>
      </c>
      <c r="M434" s="49">
        <v>45228</v>
      </c>
      <c r="N434" t="s">
        <v>112</v>
      </c>
      <c r="O434" t="s">
        <v>315</v>
      </c>
      <c r="P434">
        <f>VLOOKUP(N434,[1]ID_Cidades!$A$1:$E$5900,2,FALSE)</f>
        <v>295766</v>
      </c>
      <c r="Q434">
        <f>VLOOKUP(O434,[1]ID_Cidades!$A$1:$E$5900,2,FALSE)</f>
        <v>300439</v>
      </c>
      <c r="R434">
        <f t="shared" si="12"/>
        <v>88859641274</v>
      </c>
      <c r="S434" s="42">
        <f>VLOOKUP(R434,'[1]GCD base'!$A$1:$M$200,7,FALSE)</f>
        <v>1678.548213</v>
      </c>
      <c r="T434" t="s">
        <v>109</v>
      </c>
      <c r="U434" t="s">
        <v>205</v>
      </c>
      <c r="V434" t="s">
        <v>202</v>
      </c>
      <c r="W434" t="s">
        <v>203</v>
      </c>
      <c r="X434" t="s">
        <v>204</v>
      </c>
      <c r="Y434">
        <v>0</v>
      </c>
      <c r="Z434">
        <v>0</v>
      </c>
      <c r="AA434">
        <v>734.74</v>
      </c>
      <c r="AB434">
        <v>0</v>
      </c>
      <c r="AC434" s="49">
        <v>45190</v>
      </c>
      <c r="AD434" s="116" t="s">
        <v>10</v>
      </c>
      <c r="AE434" s="113" t="str" cm="1">
        <f t="array" ref="AE434">_xlfn.IFS(S434&lt;=Constantes!$G$2,"Muito Curta (evitável)",S434&lt;=Constantes!$H$2,"Curta Distância",S434&gt;Constantes!$H$2,"Longa Distância")</f>
        <v>Curta Distância</v>
      </c>
      <c r="AF434" s="114">
        <f>IFERROR(VLOOKUP(AE434,Constantes!$A$1:$E$5,MATCH(AD434,Constantes!$A$1:$E$1,0),0),"")</f>
        <v>0.18286935436241611</v>
      </c>
      <c r="AG434" s="115">
        <f t="shared" si="13"/>
        <v>306.95502797749731</v>
      </c>
    </row>
    <row r="435" spans="1:33" x14ac:dyDescent="0.3">
      <c r="A435">
        <f>COUNTIF($B$2:B435,B435)</f>
        <v>1</v>
      </c>
      <c r="B435">
        <v>19299833</v>
      </c>
      <c r="C435" t="s">
        <v>1074</v>
      </c>
      <c r="D435" t="s">
        <v>665</v>
      </c>
      <c r="E435" t="s">
        <v>666</v>
      </c>
      <c r="F435" t="s">
        <v>198</v>
      </c>
      <c r="G435" t="s">
        <v>207</v>
      </c>
      <c r="H435" t="s">
        <v>204</v>
      </c>
      <c r="I435" s="49">
        <v>45225</v>
      </c>
      <c r="J435" s="49">
        <v>45228</v>
      </c>
      <c r="K435" t="s">
        <v>1075</v>
      </c>
      <c r="L435" s="49">
        <v>45225</v>
      </c>
      <c r="M435" s="49">
        <v>45228</v>
      </c>
      <c r="N435" t="s">
        <v>107</v>
      </c>
      <c r="O435" t="s">
        <v>315</v>
      </c>
      <c r="P435">
        <f>VLOOKUP(N435,[1]ID_Cidades!$A$1:$E$5900,2,FALSE)</f>
        <v>295765</v>
      </c>
      <c r="Q435">
        <f>VLOOKUP(O435,[1]ID_Cidades!$A$1:$E$5900,2,FALSE)</f>
        <v>300439</v>
      </c>
      <c r="R435">
        <f t="shared" si="12"/>
        <v>88859340835</v>
      </c>
      <c r="S435" s="42">
        <f>VLOOKUP(R435,'[1]GCD base'!$A$1:$M$200,7,FALSE)</f>
        <v>1631.4561289999999</v>
      </c>
      <c r="T435" t="s">
        <v>109</v>
      </c>
      <c r="U435" t="s">
        <v>205</v>
      </c>
      <c r="V435" t="s">
        <v>202</v>
      </c>
      <c r="W435" t="s">
        <v>203</v>
      </c>
      <c r="X435" t="s">
        <v>204</v>
      </c>
      <c r="Y435">
        <v>1228.75</v>
      </c>
      <c r="Z435">
        <v>0</v>
      </c>
      <c r="AA435">
        <v>1236.5899999999999</v>
      </c>
      <c r="AB435">
        <v>0</v>
      </c>
      <c r="AC435" s="49">
        <v>45197</v>
      </c>
      <c r="AD435" s="116" t="s">
        <v>10</v>
      </c>
      <c r="AE435" s="113" t="str" cm="1">
        <f t="array" ref="AE435">_xlfn.IFS(S435&lt;=Constantes!$G$2,"Muito Curta (evitável)",S435&lt;=Constantes!$H$2,"Curta Distância",S435&gt;Constantes!$H$2,"Longa Distância")</f>
        <v>Curta Distância</v>
      </c>
      <c r="AF435" s="114">
        <f>IFERROR(VLOOKUP(AE435,Constantes!$A$1:$E$5,MATCH(AD435,Constantes!$A$1:$E$1,0),0),"")</f>
        <v>0.18286935436241611</v>
      </c>
      <c r="AG435" s="115">
        <f t="shared" si="13"/>
        <v>298.34332898083665</v>
      </c>
    </row>
    <row r="436" spans="1:33" x14ac:dyDescent="0.3">
      <c r="A436">
        <f>COUNTIF($B$2:B436,B436)</f>
        <v>2</v>
      </c>
      <c r="B436">
        <v>19299833</v>
      </c>
      <c r="C436" t="s">
        <v>1074</v>
      </c>
      <c r="D436" t="s">
        <v>665</v>
      </c>
      <c r="E436" t="s">
        <v>666</v>
      </c>
      <c r="F436" t="s">
        <v>198</v>
      </c>
      <c r="G436" t="s">
        <v>207</v>
      </c>
      <c r="H436" t="s">
        <v>204</v>
      </c>
      <c r="I436" s="49">
        <v>45225</v>
      </c>
      <c r="J436" s="49">
        <v>45228</v>
      </c>
      <c r="K436" t="s">
        <v>1075</v>
      </c>
      <c r="L436" s="49">
        <v>45228</v>
      </c>
      <c r="M436" s="49">
        <v>45228</v>
      </c>
      <c r="N436" t="s">
        <v>315</v>
      </c>
      <c r="O436" t="s">
        <v>107</v>
      </c>
      <c r="P436">
        <f>VLOOKUP(N436,[1]ID_Cidades!$A$1:$E$5900,2,FALSE)</f>
        <v>300439</v>
      </c>
      <c r="Q436">
        <f>VLOOKUP(O436,[1]ID_Cidades!$A$1:$E$5900,2,FALSE)</f>
        <v>295765</v>
      </c>
      <c r="R436">
        <f t="shared" si="12"/>
        <v>88859340835</v>
      </c>
      <c r="S436" s="42">
        <f>VLOOKUP(R436,'[1]GCD base'!$A$1:$M$200,7,FALSE)</f>
        <v>1631.4561289999999</v>
      </c>
      <c r="T436" t="s">
        <v>109</v>
      </c>
      <c r="U436" t="s">
        <v>201</v>
      </c>
      <c r="V436" t="s">
        <v>202</v>
      </c>
      <c r="W436" t="s">
        <v>203</v>
      </c>
      <c r="X436" t="s">
        <v>204</v>
      </c>
      <c r="Y436">
        <v>0</v>
      </c>
      <c r="Z436">
        <v>0</v>
      </c>
      <c r="AA436">
        <v>2522.39</v>
      </c>
      <c r="AB436">
        <v>0</v>
      </c>
      <c r="AC436" s="49">
        <v>45197</v>
      </c>
      <c r="AD436" s="116" t="s">
        <v>10</v>
      </c>
      <c r="AE436" s="113" t="str" cm="1">
        <f t="array" ref="AE436">_xlfn.IFS(S436&lt;=Constantes!$G$2,"Muito Curta (evitável)",S436&lt;=Constantes!$H$2,"Curta Distância",S436&gt;Constantes!$H$2,"Longa Distância")</f>
        <v>Curta Distância</v>
      </c>
      <c r="AF436" s="114">
        <f>IFERROR(VLOOKUP(AE436,Constantes!$A$1:$E$5,MATCH(AD436,Constantes!$A$1:$E$1,0),0),"")</f>
        <v>0.18286935436241611</v>
      </c>
      <c r="AG436" s="115">
        <f t="shared" si="13"/>
        <v>298.34332898083665</v>
      </c>
    </row>
    <row r="437" spans="1:33" x14ac:dyDescent="0.3">
      <c r="A437">
        <f>COUNTIF($B$2:B437,B437)</f>
        <v>1</v>
      </c>
      <c r="B437">
        <v>19300170</v>
      </c>
      <c r="C437" t="s">
        <v>1076</v>
      </c>
      <c r="D437" t="s">
        <v>1077</v>
      </c>
      <c r="E437" t="s">
        <v>1078</v>
      </c>
      <c r="F437" t="s">
        <v>198</v>
      </c>
      <c r="G437" t="s">
        <v>207</v>
      </c>
      <c r="H437" t="s">
        <v>204</v>
      </c>
      <c r="I437" s="49">
        <v>45225</v>
      </c>
      <c r="J437" s="49">
        <v>45228</v>
      </c>
      <c r="K437" t="s">
        <v>1079</v>
      </c>
      <c r="L437" s="49">
        <v>45228</v>
      </c>
      <c r="M437" s="49">
        <v>45228</v>
      </c>
      <c r="N437" t="s">
        <v>315</v>
      </c>
      <c r="O437" t="s">
        <v>112</v>
      </c>
      <c r="P437">
        <f>VLOOKUP(N437,[1]ID_Cidades!$A$1:$E$5900,2,FALSE)</f>
        <v>300439</v>
      </c>
      <c r="Q437">
        <f>VLOOKUP(O437,[1]ID_Cidades!$A$1:$E$5900,2,FALSE)</f>
        <v>295766</v>
      </c>
      <c r="R437">
        <f t="shared" si="12"/>
        <v>88859641274</v>
      </c>
      <c r="S437" s="42">
        <f>VLOOKUP(R437,'[1]GCD base'!$A$1:$M$200,7,FALSE)</f>
        <v>1678.548213</v>
      </c>
      <c r="T437" t="s">
        <v>109</v>
      </c>
      <c r="U437" t="s">
        <v>201</v>
      </c>
      <c r="V437" t="s">
        <v>202</v>
      </c>
      <c r="W437" t="s">
        <v>203</v>
      </c>
      <c r="X437" t="s">
        <v>204</v>
      </c>
      <c r="Y437">
        <v>1228.75</v>
      </c>
      <c r="Z437">
        <v>0</v>
      </c>
      <c r="AA437">
        <v>662.19</v>
      </c>
      <c r="AB437">
        <v>0</v>
      </c>
      <c r="AC437" s="49">
        <v>45187</v>
      </c>
      <c r="AD437" s="116" t="s">
        <v>10</v>
      </c>
      <c r="AE437" s="113" t="str" cm="1">
        <f t="array" ref="AE437">_xlfn.IFS(S437&lt;=Constantes!$G$2,"Muito Curta (evitável)",S437&lt;=Constantes!$H$2,"Curta Distância",S437&gt;Constantes!$H$2,"Longa Distância")</f>
        <v>Curta Distância</v>
      </c>
      <c r="AF437" s="114">
        <f>IFERROR(VLOOKUP(AE437,Constantes!$A$1:$E$5,MATCH(AD437,Constantes!$A$1:$E$1,0),0),"")</f>
        <v>0.18286935436241611</v>
      </c>
      <c r="AG437" s="115">
        <f t="shared" si="13"/>
        <v>306.95502797749731</v>
      </c>
    </row>
    <row r="438" spans="1:33" x14ac:dyDescent="0.3">
      <c r="A438">
        <f>COUNTIF($B$2:B438,B438)</f>
        <v>2</v>
      </c>
      <c r="B438">
        <v>19300170</v>
      </c>
      <c r="C438" t="s">
        <v>1076</v>
      </c>
      <c r="D438" t="s">
        <v>1077</v>
      </c>
      <c r="E438" t="s">
        <v>1078</v>
      </c>
      <c r="F438" t="s">
        <v>198</v>
      </c>
      <c r="G438" t="s">
        <v>207</v>
      </c>
      <c r="H438" t="s">
        <v>204</v>
      </c>
      <c r="I438" s="49">
        <v>45225</v>
      </c>
      <c r="J438" s="49">
        <v>45228</v>
      </c>
      <c r="K438" t="s">
        <v>1079</v>
      </c>
      <c r="L438" s="49">
        <v>45225</v>
      </c>
      <c r="M438" s="49">
        <v>45228</v>
      </c>
      <c r="N438" t="s">
        <v>112</v>
      </c>
      <c r="O438" t="s">
        <v>315</v>
      </c>
      <c r="P438">
        <f>VLOOKUP(N438,[1]ID_Cidades!$A$1:$E$5900,2,FALSE)</f>
        <v>295766</v>
      </c>
      <c r="Q438">
        <f>VLOOKUP(O438,[1]ID_Cidades!$A$1:$E$5900,2,FALSE)</f>
        <v>300439</v>
      </c>
      <c r="R438">
        <f t="shared" si="12"/>
        <v>88859641274</v>
      </c>
      <c r="S438" s="42">
        <f>VLOOKUP(R438,'[1]GCD base'!$A$1:$M$200,7,FALSE)</f>
        <v>1678.548213</v>
      </c>
      <c r="T438" t="s">
        <v>109</v>
      </c>
      <c r="U438" t="s">
        <v>205</v>
      </c>
      <c r="V438" t="s">
        <v>202</v>
      </c>
      <c r="W438" t="s">
        <v>203</v>
      </c>
      <c r="X438" t="s">
        <v>204</v>
      </c>
      <c r="Y438">
        <v>0</v>
      </c>
      <c r="Z438">
        <v>0</v>
      </c>
      <c r="AA438">
        <v>672.64</v>
      </c>
      <c r="AB438">
        <v>0</v>
      </c>
      <c r="AC438" s="49">
        <v>45187</v>
      </c>
      <c r="AD438" s="116" t="s">
        <v>10</v>
      </c>
      <c r="AE438" s="113" t="str" cm="1">
        <f t="array" ref="AE438">_xlfn.IFS(S438&lt;=Constantes!$G$2,"Muito Curta (evitável)",S438&lt;=Constantes!$H$2,"Curta Distância",S438&gt;Constantes!$H$2,"Longa Distância")</f>
        <v>Curta Distância</v>
      </c>
      <c r="AF438" s="114">
        <f>IFERROR(VLOOKUP(AE438,Constantes!$A$1:$E$5,MATCH(AD438,Constantes!$A$1:$E$1,0),0),"")</f>
        <v>0.18286935436241611</v>
      </c>
      <c r="AG438" s="115">
        <f t="shared" si="13"/>
        <v>306.95502797749731</v>
      </c>
    </row>
    <row r="439" spans="1:33" x14ac:dyDescent="0.3">
      <c r="A439">
        <f>COUNTIF($B$2:B439,B439)</f>
        <v>1</v>
      </c>
      <c r="B439">
        <v>19382512</v>
      </c>
      <c r="C439" t="s">
        <v>1436</v>
      </c>
      <c r="D439" t="s">
        <v>1437</v>
      </c>
      <c r="E439" t="s">
        <v>1438</v>
      </c>
      <c r="F439" t="s">
        <v>218</v>
      </c>
      <c r="G439" t="s">
        <v>207</v>
      </c>
      <c r="H439" t="s">
        <v>204</v>
      </c>
      <c r="I439" s="49">
        <v>45227</v>
      </c>
      <c r="J439" s="49">
        <v>45236</v>
      </c>
      <c r="K439" t="s">
        <v>1439</v>
      </c>
      <c r="L439" s="49">
        <v>45227</v>
      </c>
      <c r="M439" s="49">
        <v>45235</v>
      </c>
      <c r="N439" t="s">
        <v>107</v>
      </c>
      <c r="O439" t="s">
        <v>315</v>
      </c>
      <c r="P439">
        <f>VLOOKUP(N439,[1]ID_Cidades!$A$1:$E$5900,2,FALSE)</f>
        <v>295765</v>
      </c>
      <c r="Q439">
        <f>VLOOKUP(O439,[1]ID_Cidades!$A$1:$E$5900,2,FALSE)</f>
        <v>300439</v>
      </c>
      <c r="R439">
        <f t="shared" si="12"/>
        <v>88859340835</v>
      </c>
      <c r="S439" s="42">
        <f>VLOOKUP(R439,'[1]GCD base'!$A$1:$M$200,7,FALSE)</f>
        <v>1631.4561289999999</v>
      </c>
      <c r="T439" t="s">
        <v>109</v>
      </c>
      <c r="U439" t="s">
        <v>205</v>
      </c>
      <c r="V439" t="s">
        <v>202</v>
      </c>
      <c r="W439" t="s">
        <v>203</v>
      </c>
      <c r="X439" t="s">
        <v>204</v>
      </c>
      <c r="Y439">
        <v>0</v>
      </c>
      <c r="Z439">
        <v>0</v>
      </c>
      <c r="AA439">
        <v>1857.09</v>
      </c>
      <c r="AB439">
        <v>0</v>
      </c>
      <c r="AC439" s="49">
        <v>45209</v>
      </c>
      <c r="AD439" s="116" t="s">
        <v>10</v>
      </c>
      <c r="AE439" s="113" t="str" cm="1">
        <f t="array" ref="AE439">_xlfn.IFS(S439&lt;=Constantes!$G$2,"Muito Curta (evitável)",S439&lt;=Constantes!$H$2,"Curta Distância",S439&gt;Constantes!$H$2,"Longa Distância")</f>
        <v>Curta Distância</v>
      </c>
      <c r="AF439" s="114">
        <f>IFERROR(VLOOKUP(AE439,Constantes!$A$1:$E$5,MATCH(AD439,Constantes!$A$1:$E$1,0),0),"")</f>
        <v>0.18286935436241611</v>
      </c>
      <c r="AG439" s="115">
        <f t="shared" si="13"/>
        <v>298.34332898083665</v>
      </c>
    </row>
    <row r="440" spans="1:33" x14ac:dyDescent="0.3">
      <c r="A440">
        <f>COUNTIF($B$2:B440,B440)</f>
        <v>2</v>
      </c>
      <c r="B440">
        <v>19382512</v>
      </c>
      <c r="C440" t="s">
        <v>1436</v>
      </c>
      <c r="D440" t="s">
        <v>1437</v>
      </c>
      <c r="E440" t="s">
        <v>1438</v>
      </c>
      <c r="F440" t="s">
        <v>218</v>
      </c>
      <c r="G440" t="s">
        <v>207</v>
      </c>
      <c r="H440" t="s">
        <v>204</v>
      </c>
      <c r="I440" s="49">
        <v>45227</v>
      </c>
      <c r="J440" s="49">
        <v>45236</v>
      </c>
      <c r="K440" t="s">
        <v>1439</v>
      </c>
      <c r="L440" s="49">
        <v>45235</v>
      </c>
      <c r="M440" s="49">
        <v>45236</v>
      </c>
      <c r="N440" t="s">
        <v>315</v>
      </c>
      <c r="O440" t="s">
        <v>107</v>
      </c>
      <c r="P440">
        <f>VLOOKUP(N440,[1]ID_Cidades!$A$1:$E$5900,2,FALSE)</f>
        <v>300439</v>
      </c>
      <c r="Q440">
        <f>VLOOKUP(O440,[1]ID_Cidades!$A$1:$E$5900,2,FALSE)</f>
        <v>295765</v>
      </c>
      <c r="R440">
        <f t="shared" si="12"/>
        <v>88859340835</v>
      </c>
      <c r="S440" s="42">
        <f>VLOOKUP(R440,'[1]GCD base'!$A$1:$M$200,7,FALSE)</f>
        <v>1631.4561289999999</v>
      </c>
      <c r="T440" t="s">
        <v>109</v>
      </c>
      <c r="U440" t="s">
        <v>201</v>
      </c>
      <c r="V440" t="s">
        <v>202</v>
      </c>
      <c r="W440" t="s">
        <v>203</v>
      </c>
      <c r="X440" t="s">
        <v>204</v>
      </c>
      <c r="Y440">
        <v>0</v>
      </c>
      <c r="Z440">
        <v>0</v>
      </c>
      <c r="AA440">
        <v>1221.8900000000001</v>
      </c>
      <c r="AB440">
        <v>0</v>
      </c>
      <c r="AC440" s="49">
        <v>45209</v>
      </c>
      <c r="AD440" s="116" t="s">
        <v>10</v>
      </c>
      <c r="AE440" s="113" t="str" cm="1">
        <f t="array" ref="AE440">_xlfn.IFS(S440&lt;=Constantes!$G$2,"Muito Curta (evitável)",S440&lt;=Constantes!$H$2,"Curta Distância",S440&gt;Constantes!$H$2,"Longa Distância")</f>
        <v>Curta Distância</v>
      </c>
      <c r="AF440" s="114">
        <f>IFERROR(VLOOKUP(AE440,Constantes!$A$1:$E$5,MATCH(AD440,Constantes!$A$1:$E$1,0),0),"")</f>
        <v>0.18286935436241611</v>
      </c>
      <c r="AG440" s="115">
        <f t="shared" si="13"/>
        <v>298.34332898083665</v>
      </c>
    </row>
    <row r="441" spans="1:33" x14ac:dyDescent="0.3">
      <c r="A441">
        <f>COUNTIF($B$2:B441,B441)</f>
        <v>1</v>
      </c>
      <c r="B441">
        <v>19382645</v>
      </c>
      <c r="C441" t="s">
        <v>1440</v>
      </c>
      <c r="D441" t="s">
        <v>218</v>
      </c>
      <c r="E441" t="s">
        <v>1441</v>
      </c>
      <c r="F441" t="s">
        <v>218</v>
      </c>
      <c r="G441" t="s">
        <v>207</v>
      </c>
      <c r="H441" t="s">
        <v>204</v>
      </c>
      <c r="I441" s="49">
        <v>45227</v>
      </c>
      <c r="J441" s="49">
        <v>45236</v>
      </c>
      <c r="K441" t="s">
        <v>1442</v>
      </c>
      <c r="L441" s="49">
        <v>45235</v>
      </c>
      <c r="M441" s="49">
        <v>45236</v>
      </c>
      <c r="N441" t="s">
        <v>315</v>
      </c>
      <c r="O441" t="s">
        <v>107</v>
      </c>
      <c r="P441">
        <f>VLOOKUP(N441,[1]ID_Cidades!$A$1:$E$5900,2,FALSE)</f>
        <v>300439</v>
      </c>
      <c r="Q441">
        <f>VLOOKUP(O441,[1]ID_Cidades!$A$1:$E$5900,2,FALSE)</f>
        <v>295765</v>
      </c>
      <c r="R441">
        <f t="shared" si="12"/>
        <v>88859340835</v>
      </c>
      <c r="S441" s="42">
        <f>VLOOKUP(R441,'[1]GCD base'!$A$1:$M$200,7,FALSE)</f>
        <v>1631.4561289999999</v>
      </c>
      <c r="T441" t="s">
        <v>109</v>
      </c>
      <c r="U441" t="s">
        <v>201</v>
      </c>
      <c r="V441" t="s">
        <v>202</v>
      </c>
      <c r="W441" t="s">
        <v>203</v>
      </c>
      <c r="X441" t="s">
        <v>204</v>
      </c>
      <c r="Y441">
        <v>0</v>
      </c>
      <c r="Z441">
        <v>0</v>
      </c>
      <c r="AA441">
        <v>1221.8900000000001</v>
      </c>
      <c r="AB441">
        <v>0</v>
      </c>
      <c r="AC441" s="49">
        <v>45209</v>
      </c>
      <c r="AD441" s="116" t="s">
        <v>10</v>
      </c>
      <c r="AE441" s="113" t="str" cm="1">
        <f t="array" ref="AE441">_xlfn.IFS(S441&lt;=Constantes!$G$2,"Muito Curta (evitável)",S441&lt;=Constantes!$H$2,"Curta Distância",S441&gt;Constantes!$H$2,"Longa Distância")</f>
        <v>Curta Distância</v>
      </c>
      <c r="AF441" s="114">
        <f>IFERROR(VLOOKUP(AE441,Constantes!$A$1:$E$5,MATCH(AD441,Constantes!$A$1:$E$1,0),0),"")</f>
        <v>0.18286935436241611</v>
      </c>
      <c r="AG441" s="115">
        <f t="shared" si="13"/>
        <v>298.34332898083665</v>
      </c>
    </row>
    <row r="442" spans="1:33" x14ac:dyDescent="0.3">
      <c r="A442">
        <f>COUNTIF($B$2:B442,B442)</f>
        <v>2</v>
      </c>
      <c r="B442">
        <v>19382645</v>
      </c>
      <c r="C442" t="s">
        <v>1440</v>
      </c>
      <c r="D442" t="s">
        <v>218</v>
      </c>
      <c r="E442" t="s">
        <v>1441</v>
      </c>
      <c r="F442" t="s">
        <v>218</v>
      </c>
      <c r="G442" t="s">
        <v>207</v>
      </c>
      <c r="H442" t="s">
        <v>204</v>
      </c>
      <c r="I442" s="49">
        <v>45227</v>
      </c>
      <c r="J442" s="49">
        <v>45236</v>
      </c>
      <c r="K442" t="s">
        <v>1442</v>
      </c>
      <c r="L442" s="49">
        <v>45227</v>
      </c>
      <c r="M442" s="49">
        <v>45235</v>
      </c>
      <c r="N442" t="s">
        <v>107</v>
      </c>
      <c r="O442" t="s">
        <v>315</v>
      </c>
      <c r="P442">
        <f>VLOOKUP(N442,[1]ID_Cidades!$A$1:$E$5900,2,FALSE)</f>
        <v>295765</v>
      </c>
      <c r="Q442">
        <f>VLOOKUP(O442,[1]ID_Cidades!$A$1:$E$5900,2,FALSE)</f>
        <v>300439</v>
      </c>
      <c r="R442">
        <f t="shared" si="12"/>
        <v>88859340835</v>
      </c>
      <c r="S442" s="42">
        <f>VLOOKUP(R442,'[1]GCD base'!$A$1:$M$200,7,FALSE)</f>
        <v>1631.4561289999999</v>
      </c>
      <c r="T442" t="s">
        <v>109</v>
      </c>
      <c r="U442" t="s">
        <v>205</v>
      </c>
      <c r="V442" t="s">
        <v>202</v>
      </c>
      <c r="W442" t="s">
        <v>203</v>
      </c>
      <c r="X442" t="s">
        <v>204</v>
      </c>
      <c r="Y442">
        <v>0</v>
      </c>
      <c r="Z442">
        <v>0</v>
      </c>
      <c r="AA442">
        <v>1857.09</v>
      </c>
      <c r="AB442">
        <v>0</v>
      </c>
      <c r="AC442" s="49">
        <v>45209</v>
      </c>
      <c r="AD442" s="116" t="s">
        <v>10</v>
      </c>
      <c r="AE442" s="113" t="str" cm="1">
        <f t="array" ref="AE442">_xlfn.IFS(S442&lt;=Constantes!$G$2,"Muito Curta (evitável)",S442&lt;=Constantes!$H$2,"Curta Distância",S442&gt;Constantes!$H$2,"Longa Distância")</f>
        <v>Curta Distância</v>
      </c>
      <c r="AF442" s="114">
        <f>IFERROR(VLOOKUP(AE442,Constantes!$A$1:$E$5,MATCH(AD442,Constantes!$A$1:$E$1,0),0),"")</f>
        <v>0.18286935436241611</v>
      </c>
      <c r="AG442" s="115">
        <f t="shared" si="13"/>
        <v>298.34332898083665</v>
      </c>
    </row>
    <row r="443" spans="1:33" x14ac:dyDescent="0.3">
      <c r="A443">
        <f>COUNTIF($B$2:B443,B443)</f>
        <v>1</v>
      </c>
      <c r="B443">
        <v>19382694</v>
      </c>
      <c r="C443" t="s">
        <v>1443</v>
      </c>
      <c r="D443" t="s">
        <v>1444</v>
      </c>
      <c r="E443" t="s">
        <v>1445</v>
      </c>
      <c r="F443" t="s">
        <v>218</v>
      </c>
      <c r="G443" t="s">
        <v>207</v>
      </c>
      <c r="H443" t="s">
        <v>204</v>
      </c>
      <c r="I443" s="49">
        <v>45227</v>
      </c>
      <c r="J443" s="49">
        <v>45236</v>
      </c>
      <c r="K443" t="s">
        <v>1442</v>
      </c>
      <c r="L443" s="49">
        <v>45227</v>
      </c>
      <c r="M443" s="49">
        <v>45235</v>
      </c>
      <c r="N443" t="s">
        <v>107</v>
      </c>
      <c r="O443" t="s">
        <v>315</v>
      </c>
      <c r="P443">
        <f>VLOOKUP(N443,[1]ID_Cidades!$A$1:$E$5900,2,FALSE)</f>
        <v>295765</v>
      </c>
      <c r="Q443">
        <f>VLOOKUP(O443,[1]ID_Cidades!$A$1:$E$5900,2,FALSE)</f>
        <v>300439</v>
      </c>
      <c r="R443">
        <f t="shared" si="12"/>
        <v>88859340835</v>
      </c>
      <c r="S443" s="42">
        <f>VLOOKUP(R443,'[1]GCD base'!$A$1:$M$200,7,FALSE)</f>
        <v>1631.4561289999999</v>
      </c>
      <c r="T443" t="s">
        <v>109</v>
      </c>
      <c r="U443" t="s">
        <v>205</v>
      </c>
      <c r="V443" t="s">
        <v>202</v>
      </c>
      <c r="W443" t="s">
        <v>203</v>
      </c>
      <c r="X443" t="s">
        <v>204</v>
      </c>
      <c r="Y443">
        <v>0</v>
      </c>
      <c r="Z443">
        <v>0</v>
      </c>
      <c r="AA443">
        <v>1221.8900000000001</v>
      </c>
      <c r="AB443">
        <v>0</v>
      </c>
      <c r="AC443" s="49">
        <v>45209</v>
      </c>
      <c r="AD443" s="116" t="s">
        <v>10</v>
      </c>
      <c r="AE443" s="113" t="str" cm="1">
        <f t="array" ref="AE443">_xlfn.IFS(S443&lt;=Constantes!$G$2,"Muito Curta (evitável)",S443&lt;=Constantes!$H$2,"Curta Distância",S443&gt;Constantes!$H$2,"Longa Distância")</f>
        <v>Curta Distância</v>
      </c>
      <c r="AF443" s="114">
        <f>IFERROR(VLOOKUP(AE443,Constantes!$A$1:$E$5,MATCH(AD443,Constantes!$A$1:$E$1,0),0),"")</f>
        <v>0.18286935436241611</v>
      </c>
      <c r="AG443" s="115">
        <f t="shared" si="13"/>
        <v>298.34332898083665</v>
      </c>
    </row>
    <row r="444" spans="1:33" x14ac:dyDescent="0.3">
      <c r="A444">
        <f>COUNTIF($B$2:B444,B444)</f>
        <v>2</v>
      </c>
      <c r="B444">
        <v>19382694</v>
      </c>
      <c r="C444" t="s">
        <v>1443</v>
      </c>
      <c r="D444" t="s">
        <v>1444</v>
      </c>
      <c r="E444" t="s">
        <v>1445</v>
      </c>
      <c r="F444" t="s">
        <v>218</v>
      </c>
      <c r="G444" t="s">
        <v>207</v>
      </c>
      <c r="H444" t="s">
        <v>204</v>
      </c>
      <c r="I444" s="49">
        <v>45227</v>
      </c>
      <c r="J444" s="49">
        <v>45236</v>
      </c>
      <c r="K444" t="s">
        <v>1442</v>
      </c>
      <c r="L444" s="49">
        <v>45235</v>
      </c>
      <c r="M444" s="49">
        <v>45236</v>
      </c>
      <c r="N444" t="s">
        <v>315</v>
      </c>
      <c r="O444" t="s">
        <v>107</v>
      </c>
      <c r="P444">
        <f>VLOOKUP(N444,[1]ID_Cidades!$A$1:$E$5900,2,FALSE)</f>
        <v>300439</v>
      </c>
      <c r="Q444">
        <f>VLOOKUP(O444,[1]ID_Cidades!$A$1:$E$5900,2,FALSE)</f>
        <v>295765</v>
      </c>
      <c r="R444">
        <f t="shared" si="12"/>
        <v>88859340835</v>
      </c>
      <c r="S444" s="42">
        <f>VLOOKUP(R444,'[1]GCD base'!$A$1:$M$200,7,FALSE)</f>
        <v>1631.4561289999999</v>
      </c>
      <c r="T444" t="s">
        <v>109</v>
      </c>
      <c r="U444" t="s">
        <v>201</v>
      </c>
      <c r="V444" t="s">
        <v>202</v>
      </c>
      <c r="W444" t="s">
        <v>203</v>
      </c>
      <c r="X444" t="s">
        <v>204</v>
      </c>
      <c r="Y444">
        <v>0</v>
      </c>
      <c r="Z444">
        <v>0</v>
      </c>
      <c r="AA444">
        <v>1857.09</v>
      </c>
      <c r="AB444">
        <v>0</v>
      </c>
      <c r="AC444" s="49">
        <v>45209</v>
      </c>
      <c r="AD444" s="116" t="s">
        <v>10</v>
      </c>
      <c r="AE444" s="113" t="str" cm="1">
        <f t="array" ref="AE444">_xlfn.IFS(S444&lt;=Constantes!$G$2,"Muito Curta (evitável)",S444&lt;=Constantes!$H$2,"Curta Distância",S444&gt;Constantes!$H$2,"Longa Distância")</f>
        <v>Curta Distância</v>
      </c>
      <c r="AF444" s="114">
        <f>IFERROR(VLOOKUP(AE444,Constantes!$A$1:$E$5,MATCH(AD444,Constantes!$A$1:$E$1,0),0),"")</f>
        <v>0.18286935436241611</v>
      </c>
      <c r="AG444" s="115">
        <f t="shared" si="13"/>
        <v>298.34332898083665</v>
      </c>
    </row>
    <row r="445" spans="1:33" x14ac:dyDescent="0.3">
      <c r="A445">
        <f>COUNTIF($B$2:B445,B445)</f>
        <v>1</v>
      </c>
      <c r="B445">
        <v>19052928</v>
      </c>
      <c r="C445" t="s">
        <v>309</v>
      </c>
      <c r="D445" t="s">
        <v>255</v>
      </c>
      <c r="E445" t="s">
        <v>256</v>
      </c>
      <c r="F445" t="s">
        <v>198</v>
      </c>
      <c r="G445" t="s">
        <v>233</v>
      </c>
      <c r="H445" t="s">
        <v>233</v>
      </c>
      <c r="I445" s="49">
        <v>45228</v>
      </c>
      <c r="J445" s="49">
        <v>45231</v>
      </c>
      <c r="K445" t="s">
        <v>310</v>
      </c>
      <c r="L445" s="49">
        <v>45228</v>
      </c>
      <c r="M445" s="49">
        <v>45231</v>
      </c>
      <c r="N445" t="s">
        <v>107</v>
      </c>
      <c r="O445" t="s">
        <v>110</v>
      </c>
      <c r="P445">
        <f>VLOOKUP(N445,[1]ID_Cidades!$A$1:$E$5900,2,FALSE)</f>
        <v>295765</v>
      </c>
      <c r="Q445">
        <f>VLOOKUP(O445,[1]ID_Cidades!$A$1:$E$5900,2,FALSE)</f>
        <v>295763</v>
      </c>
      <c r="R445">
        <f t="shared" si="12"/>
        <v>87476343695</v>
      </c>
      <c r="S445" s="42">
        <f>VLOOKUP(R445,'[1]GCD base'!$A$1:$M$200,7,FALSE)</f>
        <v>1713.419991</v>
      </c>
      <c r="T445" t="s">
        <v>109</v>
      </c>
      <c r="U445" t="s">
        <v>205</v>
      </c>
      <c r="V445" t="s">
        <v>202</v>
      </c>
      <c r="W445" t="s">
        <v>203</v>
      </c>
      <c r="X445" t="s">
        <v>204</v>
      </c>
      <c r="Y445">
        <v>1339.26</v>
      </c>
      <c r="Z445">
        <v>0</v>
      </c>
      <c r="AA445">
        <v>778.67</v>
      </c>
      <c r="AB445">
        <v>0</v>
      </c>
      <c r="AC445" s="49">
        <v>45118</v>
      </c>
      <c r="AD445" s="116" t="s">
        <v>10</v>
      </c>
      <c r="AE445" s="113" t="str" cm="1">
        <f t="array" ref="AE445">_xlfn.IFS(S445&lt;=Constantes!$G$2,"Muito Curta (evitável)",S445&lt;=Constantes!$H$2,"Curta Distância",S445&gt;Constantes!$H$2,"Longa Distância")</f>
        <v>Curta Distância</v>
      </c>
      <c r="AF445" s="114">
        <f>IFERROR(VLOOKUP(AE445,Constantes!$A$1:$E$5,MATCH(AD445,Constantes!$A$1:$E$1,0),0),"")</f>
        <v>0.18286935436241611</v>
      </c>
      <c r="AG445" s="115">
        <f t="shared" si="13"/>
        <v>313.33200750582682</v>
      </c>
    </row>
    <row r="446" spans="1:33" x14ac:dyDescent="0.3">
      <c r="A446">
        <f>COUNTIF($B$2:B446,B446)</f>
        <v>2</v>
      </c>
      <c r="B446">
        <v>19052928</v>
      </c>
      <c r="C446" t="s">
        <v>309</v>
      </c>
      <c r="D446" t="s">
        <v>255</v>
      </c>
      <c r="E446" t="s">
        <v>256</v>
      </c>
      <c r="F446" t="s">
        <v>198</v>
      </c>
      <c r="G446" t="s">
        <v>233</v>
      </c>
      <c r="H446" t="s">
        <v>233</v>
      </c>
      <c r="I446" s="49">
        <v>45228</v>
      </c>
      <c r="J446" s="49">
        <v>45231</v>
      </c>
      <c r="K446" t="s">
        <v>310</v>
      </c>
      <c r="L446" s="49">
        <v>45231</v>
      </c>
      <c r="M446" s="49">
        <v>45231</v>
      </c>
      <c r="N446" t="s">
        <v>110</v>
      </c>
      <c r="O446" t="s">
        <v>107</v>
      </c>
      <c r="P446">
        <f>VLOOKUP(N446,[1]ID_Cidades!$A$1:$E$5900,2,FALSE)</f>
        <v>295763</v>
      </c>
      <c r="Q446">
        <f>VLOOKUP(O446,[1]ID_Cidades!$A$1:$E$5900,2,FALSE)</f>
        <v>295765</v>
      </c>
      <c r="R446">
        <f t="shared" si="12"/>
        <v>87476343695</v>
      </c>
      <c r="S446" s="42">
        <f>VLOOKUP(R446,'[1]GCD base'!$A$1:$M$200,7,FALSE)</f>
        <v>1713.419991</v>
      </c>
      <c r="T446" t="s">
        <v>109</v>
      </c>
      <c r="U446" t="s">
        <v>201</v>
      </c>
      <c r="V446" t="s">
        <v>202</v>
      </c>
      <c r="W446" t="s">
        <v>203</v>
      </c>
      <c r="X446" t="s">
        <v>204</v>
      </c>
      <c r="Y446">
        <v>0</v>
      </c>
      <c r="Z446">
        <v>0</v>
      </c>
      <c r="AA446">
        <v>1162.99</v>
      </c>
      <c r="AB446">
        <v>0</v>
      </c>
      <c r="AC446" s="49">
        <v>45118</v>
      </c>
      <c r="AD446" s="116" t="s">
        <v>10</v>
      </c>
      <c r="AE446" s="113" t="str" cm="1">
        <f t="array" ref="AE446">_xlfn.IFS(S446&lt;=Constantes!$G$2,"Muito Curta (evitável)",S446&lt;=Constantes!$H$2,"Curta Distância",S446&gt;Constantes!$H$2,"Longa Distância")</f>
        <v>Curta Distância</v>
      </c>
      <c r="AF446" s="114">
        <f>IFERROR(VLOOKUP(AE446,Constantes!$A$1:$E$5,MATCH(AD446,Constantes!$A$1:$E$1,0),0),"")</f>
        <v>0.18286935436241611</v>
      </c>
      <c r="AG446" s="115">
        <f t="shared" si="13"/>
        <v>313.33200750582682</v>
      </c>
    </row>
    <row r="447" spans="1:33" x14ac:dyDescent="0.3">
      <c r="A447">
        <f>COUNTIF($B$2:B447,B447)</f>
        <v>1</v>
      </c>
      <c r="B447">
        <v>19147264</v>
      </c>
      <c r="C447" t="s">
        <v>523</v>
      </c>
      <c r="D447" t="s">
        <v>524</v>
      </c>
      <c r="E447" t="s">
        <v>525</v>
      </c>
      <c r="F447" t="s">
        <v>198</v>
      </c>
      <c r="G447" t="s">
        <v>233</v>
      </c>
      <c r="H447" t="s">
        <v>233</v>
      </c>
      <c r="I447" s="49">
        <v>45228</v>
      </c>
      <c r="J447" s="49">
        <v>45231</v>
      </c>
      <c r="K447" t="s">
        <v>526</v>
      </c>
      <c r="L447" s="49">
        <v>45231</v>
      </c>
      <c r="M447" s="49">
        <v>45231</v>
      </c>
      <c r="N447" t="s">
        <v>110</v>
      </c>
      <c r="O447" t="s">
        <v>107</v>
      </c>
      <c r="P447">
        <f>VLOOKUP(N447,[1]ID_Cidades!$A$1:$E$5900,2,FALSE)</f>
        <v>295763</v>
      </c>
      <c r="Q447">
        <f>VLOOKUP(O447,[1]ID_Cidades!$A$1:$E$5900,2,FALSE)</f>
        <v>295765</v>
      </c>
      <c r="R447">
        <f t="shared" si="12"/>
        <v>87476343695</v>
      </c>
      <c r="S447" s="42">
        <f>VLOOKUP(R447,'[1]GCD base'!$A$1:$M$200,7,FALSE)</f>
        <v>1713.419991</v>
      </c>
      <c r="T447" t="s">
        <v>109</v>
      </c>
      <c r="U447" t="s">
        <v>201</v>
      </c>
      <c r="V447" t="s">
        <v>202</v>
      </c>
      <c r="W447" t="s">
        <v>203</v>
      </c>
      <c r="X447" t="s">
        <v>204</v>
      </c>
      <c r="Y447">
        <v>1273.32</v>
      </c>
      <c r="Z447">
        <v>0</v>
      </c>
      <c r="AA447">
        <v>741.49</v>
      </c>
      <c r="AB447">
        <v>0</v>
      </c>
      <c r="AC447" s="49">
        <v>45141</v>
      </c>
      <c r="AD447" s="116" t="s">
        <v>10</v>
      </c>
      <c r="AE447" s="113" t="str" cm="1">
        <f t="array" ref="AE447">_xlfn.IFS(S447&lt;=Constantes!$G$2,"Muito Curta (evitável)",S447&lt;=Constantes!$H$2,"Curta Distância",S447&gt;Constantes!$H$2,"Longa Distância")</f>
        <v>Curta Distância</v>
      </c>
      <c r="AF447" s="114">
        <f>IFERROR(VLOOKUP(AE447,Constantes!$A$1:$E$5,MATCH(AD447,Constantes!$A$1:$E$1,0),0),"")</f>
        <v>0.18286935436241611</v>
      </c>
      <c r="AG447" s="115">
        <f t="shared" si="13"/>
        <v>313.33200750582682</v>
      </c>
    </row>
    <row r="448" spans="1:33" x14ac:dyDescent="0.3">
      <c r="A448">
        <f>COUNTIF($B$2:B448,B448)</f>
        <v>2</v>
      </c>
      <c r="B448">
        <v>19147264</v>
      </c>
      <c r="C448" t="s">
        <v>523</v>
      </c>
      <c r="D448" t="s">
        <v>524</v>
      </c>
      <c r="E448" t="s">
        <v>525</v>
      </c>
      <c r="F448" t="s">
        <v>198</v>
      </c>
      <c r="G448" t="s">
        <v>233</v>
      </c>
      <c r="H448" t="s">
        <v>233</v>
      </c>
      <c r="I448" s="49">
        <v>45228</v>
      </c>
      <c r="J448" s="49">
        <v>45231</v>
      </c>
      <c r="K448" t="s">
        <v>526</v>
      </c>
      <c r="L448" s="49">
        <v>45228</v>
      </c>
      <c r="M448" s="49">
        <v>45231</v>
      </c>
      <c r="N448" t="s">
        <v>107</v>
      </c>
      <c r="O448" t="s">
        <v>110</v>
      </c>
      <c r="P448">
        <f>VLOOKUP(N448,[1]ID_Cidades!$A$1:$E$5900,2,FALSE)</f>
        <v>295765</v>
      </c>
      <c r="Q448">
        <f>VLOOKUP(O448,[1]ID_Cidades!$A$1:$E$5900,2,FALSE)</f>
        <v>295763</v>
      </c>
      <c r="R448">
        <f t="shared" si="12"/>
        <v>87476343695</v>
      </c>
      <c r="S448" s="42">
        <f>VLOOKUP(R448,'[1]GCD base'!$A$1:$M$200,7,FALSE)</f>
        <v>1713.419991</v>
      </c>
      <c r="T448" t="s">
        <v>109</v>
      </c>
      <c r="U448" t="s">
        <v>205</v>
      </c>
      <c r="V448" t="s">
        <v>202</v>
      </c>
      <c r="W448" t="s">
        <v>203</v>
      </c>
      <c r="X448" t="s">
        <v>204</v>
      </c>
      <c r="Y448">
        <v>0</v>
      </c>
      <c r="Z448">
        <v>0</v>
      </c>
      <c r="AA448">
        <v>1114.51</v>
      </c>
      <c r="AB448">
        <v>0</v>
      </c>
      <c r="AC448" s="49">
        <v>45141</v>
      </c>
      <c r="AD448" s="116" t="s">
        <v>10</v>
      </c>
      <c r="AE448" s="113" t="str" cm="1">
        <f t="array" ref="AE448">_xlfn.IFS(S448&lt;=Constantes!$G$2,"Muito Curta (evitável)",S448&lt;=Constantes!$H$2,"Curta Distância",S448&gt;Constantes!$H$2,"Longa Distância")</f>
        <v>Curta Distância</v>
      </c>
      <c r="AF448" s="114">
        <f>IFERROR(VLOOKUP(AE448,Constantes!$A$1:$E$5,MATCH(AD448,Constantes!$A$1:$E$1,0),0),"")</f>
        <v>0.18286935436241611</v>
      </c>
      <c r="AG448" s="115">
        <f t="shared" si="13"/>
        <v>313.33200750582682</v>
      </c>
    </row>
    <row r="449" spans="1:33" x14ac:dyDescent="0.3">
      <c r="A449">
        <f>COUNTIF($B$2:B449,B449)</f>
        <v>1</v>
      </c>
      <c r="B449">
        <v>19260865</v>
      </c>
      <c r="C449" t="s">
        <v>905</v>
      </c>
      <c r="D449" t="s">
        <v>373</v>
      </c>
      <c r="E449" t="s">
        <v>374</v>
      </c>
      <c r="F449" t="s">
        <v>198</v>
      </c>
      <c r="G449" t="s">
        <v>207</v>
      </c>
      <c r="H449" t="s">
        <v>204</v>
      </c>
      <c r="I449" s="49">
        <v>45228</v>
      </c>
      <c r="J449" s="49">
        <v>45230</v>
      </c>
      <c r="K449" t="s">
        <v>906</v>
      </c>
      <c r="L449" s="49">
        <v>45230</v>
      </c>
      <c r="M449" s="49">
        <v>45230</v>
      </c>
      <c r="N449" t="s">
        <v>110</v>
      </c>
      <c r="O449" t="s">
        <v>107</v>
      </c>
      <c r="P449">
        <f>VLOOKUP(N449,[1]ID_Cidades!$A$1:$E$5900,2,FALSE)</f>
        <v>295763</v>
      </c>
      <c r="Q449">
        <f>VLOOKUP(O449,[1]ID_Cidades!$A$1:$E$5900,2,FALSE)</f>
        <v>295765</v>
      </c>
      <c r="R449">
        <f t="shared" si="12"/>
        <v>87476343695</v>
      </c>
      <c r="S449" s="42">
        <f>VLOOKUP(R449,'[1]GCD base'!$A$1:$M$200,7,FALSE)</f>
        <v>1713.419991</v>
      </c>
      <c r="T449" t="s">
        <v>109</v>
      </c>
      <c r="U449" t="s">
        <v>201</v>
      </c>
      <c r="V449" t="s">
        <v>202</v>
      </c>
      <c r="W449" t="s">
        <v>203</v>
      </c>
      <c r="X449" t="s">
        <v>204</v>
      </c>
      <c r="Y449">
        <v>988.03</v>
      </c>
      <c r="Z449">
        <v>0</v>
      </c>
      <c r="AA449">
        <v>1489.69</v>
      </c>
      <c r="AB449">
        <v>0</v>
      </c>
      <c r="AC449" s="49">
        <v>45187</v>
      </c>
      <c r="AD449" s="116" t="s">
        <v>10</v>
      </c>
      <c r="AE449" s="113" t="str" cm="1">
        <f t="array" ref="AE449">_xlfn.IFS(S449&lt;=Constantes!$G$2,"Muito Curta (evitável)",S449&lt;=Constantes!$H$2,"Curta Distância",S449&gt;Constantes!$H$2,"Longa Distância")</f>
        <v>Curta Distância</v>
      </c>
      <c r="AF449" s="114">
        <f>IFERROR(VLOOKUP(AE449,Constantes!$A$1:$E$5,MATCH(AD449,Constantes!$A$1:$E$1,0),0),"")</f>
        <v>0.18286935436241611</v>
      </c>
      <c r="AG449" s="115">
        <f t="shared" si="13"/>
        <v>313.33200750582682</v>
      </c>
    </row>
    <row r="450" spans="1:33" x14ac:dyDescent="0.3">
      <c r="A450">
        <f>COUNTIF($B$2:B450,B450)</f>
        <v>2</v>
      </c>
      <c r="B450">
        <v>19260865</v>
      </c>
      <c r="C450" t="s">
        <v>905</v>
      </c>
      <c r="D450" t="s">
        <v>373</v>
      </c>
      <c r="E450" t="s">
        <v>374</v>
      </c>
      <c r="F450" t="s">
        <v>198</v>
      </c>
      <c r="G450" t="s">
        <v>207</v>
      </c>
      <c r="H450" t="s">
        <v>204</v>
      </c>
      <c r="I450" s="49">
        <v>45228</v>
      </c>
      <c r="J450" s="49">
        <v>45230</v>
      </c>
      <c r="K450" t="s">
        <v>906</v>
      </c>
      <c r="L450" s="49">
        <v>45228</v>
      </c>
      <c r="M450" s="49">
        <v>45230</v>
      </c>
      <c r="N450" t="s">
        <v>107</v>
      </c>
      <c r="O450" t="s">
        <v>110</v>
      </c>
      <c r="P450">
        <f>VLOOKUP(N450,[1]ID_Cidades!$A$1:$E$5900,2,FALSE)</f>
        <v>295765</v>
      </c>
      <c r="Q450">
        <f>VLOOKUP(O450,[1]ID_Cidades!$A$1:$E$5900,2,FALSE)</f>
        <v>295763</v>
      </c>
      <c r="R450">
        <f t="shared" ref="R450:R513" si="14">P450*Q450</f>
        <v>87476343695</v>
      </c>
      <c r="S450" s="42">
        <f>VLOOKUP(R450,'[1]GCD base'!$A$1:$M$200,7,FALSE)</f>
        <v>1713.419991</v>
      </c>
      <c r="T450" t="s">
        <v>109</v>
      </c>
      <c r="U450" t="s">
        <v>205</v>
      </c>
      <c r="V450" t="s">
        <v>202</v>
      </c>
      <c r="W450" t="s">
        <v>203</v>
      </c>
      <c r="X450" t="s">
        <v>204</v>
      </c>
      <c r="Y450">
        <v>0</v>
      </c>
      <c r="Z450">
        <v>0</v>
      </c>
      <c r="AA450">
        <v>631.91</v>
      </c>
      <c r="AB450">
        <v>0</v>
      </c>
      <c r="AC450" s="49">
        <v>45187</v>
      </c>
      <c r="AD450" s="116" t="s">
        <v>10</v>
      </c>
      <c r="AE450" s="113" t="str" cm="1">
        <f t="array" ref="AE450">_xlfn.IFS(S450&lt;=Constantes!$G$2,"Muito Curta (evitável)",S450&lt;=Constantes!$H$2,"Curta Distância",S450&gt;Constantes!$H$2,"Longa Distância")</f>
        <v>Curta Distância</v>
      </c>
      <c r="AF450" s="114">
        <f>IFERROR(VLOOKUP(AE450,Constantes!$A$1:$E$5,MATCH(AD450,Constantes!$A$1:$E$1,0),0),"")</f>
        <v>0.18286935436241611</v>
      </c>
      <c r="AG450" s="115">
        <f t="shared" si="13"/>
        <v>313.33200750582682</v>
      </c>
    </row>
    <row r="451" spans="1:33" x14ac:dyDescent="0.3">
      <c r="A451">
        <f>COUNTIF($B$2:B451,B451)</f>
        <v>1</v>
      </c>
      <c r="B451">
        <v>19265849</v>
      </c>
      <c r="C451" t="s">
        <v>919</v>
      </c>
      <c r="D451" t="s">
        <v>339</v>
      </c>
      <c r="E451" t="s">
        <v>340</v>
      </c>
      <c r="F451" t="s">
        <v>198</v>
      </c>
      <c r="G451" t="s">
        <v>207</v>
      </c>
      <c r="H451" t="s">
        <v>204</v>
      </c>
      <c r="I451" s="49">
        <v>45228</v>
      </c>
      <c r="J451" s="49">
        <v>45230</v>
      </c>
      <c r="K451" t="s">
        <v>920</v>
      </c>
      <c r="L451" s="49">
        <v>45230</v>
      </c>
      <c r="M451" s="49">
        <v>45230</v>
      </c>
      <c r="N451" t="s">
        <v>110</v>
      </c>
      <c r="O451" t="s">
        <v>107</v>
      </c>
      <c r="P451">
        <f>VLOOKUP(N451,[1]ID_Cidades!$A$1:$E$5900,2,FALSE)</f>
        <v>295763</v>
      </c>
      <c r="Q451">
        <f>VLOOKUP(O451,[1]ID_Cidades!$A$1:$E$5900,2,FALSE)</f>
        <v>295765</v>
      </c>
      <c r="R451">
        <f t="shared" si="14"/>
        <v>87476343695</v>
      </c>
      <c r="S451" s="42">
        <f>VLOOKUP(R451,'[1]GCD base'!$A$1:$M$200,7,FALSE)</f>
        <v>1713.419991</v>
      </c>
      <c r="T451" t="s">
        <v>109</v>
      </c>
      <c r="U451" t="s">
        <v>201</v>
      </c>
      <c r="V451" t="s">
        <v>202</v>
      </c>
      <c r="W451" t="s">
        <v>203</v>
      </c>
      <c r="X451" t="s">
        <v>204</v>
      </c>
      <c r="Y451">
        <v>988.03</v>
      </c>
      <c r="Z451">
        <v>0</v>
      </c>
      <c r="AA451">
        <v>965.19</v>
      </c>
      <c r="AB451">
        <v>0</v>
      </c>
      <c r="AC451" s="49">
        <v>45182</v>
      </c>
      <c r="AD451" s="116" t="s">
        <v>10</v>
      </c>
      <c r="AE451" s="113" t="str" cm="1">
        <f t="array" ref="AE451">_xlfn.IFS(S451&lt;=Constantes!$G$2,"Muito Curta (evitável)",S451&lt;=Constantes!$H$2,"Curta Distância",S451&gt;Constantes!$H$2,"Longa Distância")</f>
        <v>Curta Distância</v>
      </c>
      <c r="AF451" s="114">
        <f>IFERROR(VLOOKUP(AE451,Constantes!$A$1:$E$5,MATCH(AD451,Constantes!$A$1:$E$1,0),0),"")</f>
        <v>0.18286935436241611</v>
      </c>
      <c r="AG451" s="115">
        <f t="shared" ref="AG451:AG514" si="15">AF451*S451</f>
        <v>313.33200750582682</v>
      </c>
    </row>
    <row r="452" spans="1:33" x14ac:dyDescent="0.3">
      <c r="A452">
        <f>COUNTIF($B$2:B452,B452)</f>
        <v>2</v>
      </c>
      <c r="B452">
        <v>19265849</v>
      </c>
      <c r="C452" t="s">
        <v>919</v>
      </c>
      <c r="D452" t="s">
        <v>339</v>
      </c>
      <c r="E452" t="s">
        <v>340</v>
      </c>
      <c r="F452" t="s">
        <v>198</v>
      </c>
      <c r="G452" t="s">
        <v>207</v>
      </c>
      <c r="H452" t="s">
        <v>204</v>
      </c>
      <c r="I452" s="49">
        <v>45228</v>
      </c>
      <c r="J452" s="49">
        <v>45230</v>
      </c>
      <c r="K452" t="s">
        <v>920</v>
      </c>
      <c r="L452" s="49">
        <v>45228</v>
      </c>
      <c r="M452" s="49">
        <v>45230</v>
      </c>
      <c r="N452" t="s">
        <v>107</v>
      </c>
      <c r="O452" t="s">
        <v>110</v>
      </c>
      <c r="P452">
        <f>VLOOKUP(N452,[1]ID_Cidades!$A$1:$E$5900,2,FALSE)</f>
        <v>295765</v>
      </c>
      <c r="Q452">
        <f>VLOOKUP(O452,[1]ID_Cidades!$A$1:$E$5900,2,FALSE)</f>
        <v>295763</v>
      </c>
      <c r="R452">
        <f t="shared" si="14"/>
        <v>87476343695</v>
      </c>
      <c r="S452" s="42">
        <f>VLOOKUP(R452,'[1]GCD base'!$A$1:$M$200,7,FALSE)</f>
        <v>1713.419991</v>
      </c>
      <c r="T452" t="s">
        <v>109</v>
      </c>
      <c r="U452" t="s">
        <v>205</v>
      </c>
      <c r="V452" t="s">
        <v>202</v>
      </c>
      <c r="W452" t="s">
        <v>203</v>
      </c>
      <c r="X452" t="s">
        <v>204</v>
      </c>
      <c r="Y452">
        <v>0</v>
      </c>
      <c r="Z452">
        <v>0</v>
      </c>
      <c r="AA452">
        <v>631.91</v>
      </c>
      <c r="AB452">
        <v>0</v>
      </c>
      <c r="AC452" s="49">
        <v>45182</v>
      </c>
      <c r="AD452" s="116" t="s">
        <v>10</v>
      </c>
      <c r="AE452" s="113" t="str" cm="1">
        <f t="array" ref="AE452">_xlfn.IFS(S452&lt;=Constantes!$G$2,"Muito Curta (evitável)",S452&lt;=Constantes!$H$2,"Curta Distância",S452&gt;Constantes!$H$2,"Longa Distância")</f>
        <v>Curta Distância</v>
      </c>
      <c r="AF452" s="114">
        <f>IFERROR(VLOOKUP(AE452,Constantes!$A$1:$E$5,MATCH(AD452,Constantes!$A$1:$E$1,0),0),"")</f>
        <v>0.18286935436241611</v>
      </c>
      <c r="AG452" s="115">
        <f t="shared" si="15"/>
        <v>313.33200750582682</v>
      </c>
    </row>
    <row r="453" spans="1:33" x14ac:dyDescent="0.3">
      <c r="A453">
        <f>COUNTIF($B$2:B453,B453)</f>
        <v>1</v>
      </c>
      <c r="B453">
        <v>19290976</v>
      </c>
      <c r="C453" t="s">
        <v>1031</v>
      </c>
      <c r="D453" t="s">
        <v>811</v>
      </c>
      <c r="E453" t="s">
        <v>812</v>
      </c>
      <c r="F453" t="s">
        <v>198</v>
      </c>
      <c r="G453" t="s">
        <v>207</v>
      </c>
      <c r="H453" t="s">
        <v>204</v>
      </c>
      <c r="I453" s="49">
        <v>45228</v>
      </c>
      <c r="J453" s="49">
        <v>45232</v>
      </c>
      <c r="K453" t="s">
        <v>1032</v>
      </c>
      <c r="L453" s="49">
        <v>45232</v>
      </c>
      <c r="M453" s="49">
        <v>45232</v>
      </c>
      <c r="N453" t="s">
        <v>117</v>
      </c>
      <c r="O453" t="s">
        <v>107</v>
      </c>
      <c r="P453">
        <f>VLOOKUP(N453,[1]ID_Cidades!$A$1:$E$5900,2,FALSE)</f>
        <v>295779</v>
      </c>
      <c r="Q453">
        <f>VLOOKUP(O453,[1]ID_Cidades!$A$1:$E$5900,2,FALSE)</f>
        <v>295765</v>
      </c>
      <c r="R453">
        <f t="shared" si="14"/>
        <v>87481075935</v>
      </c>
      <c r="S453" s="42">
        <f>VLOOKUP(R453,'[1]GCD base'!$A$1:$M$200,7,FALSE)</f>
        <v>2189.9742419999998</v>
      </c>
      <c r="T453" t="s">
        <v>109</v>
      </c>
      <c r="U453" t="s">
        <v>201</v>
      </c>
      <c r="V453" t="s">
        <v>202</v>
      </c>
      <c r="W453" t="s">
        <v>203</v>
      </c>
      <c r="X453" t="s">
        <v>204</v>
      </c>
      <c r="Y453">
        <v>1720.4</v>
      </c>
      <c r="Z453">
        <v>0</v>
      </c>
      <c r="AA453">
        <v>867.89</v>
      </c>
      <c r="AB453">
        <v>0</v>
      </c>
      <c r="AC453" s="49">
        <v>45184</v>
      </c>
      <c r="AD453" s="116" t="s">
        <v>10</v>
      </c>
      <c r="AE453" s="113" t="str" cm="1">
        <f t="array" ref="AE453">_xlfn.IFS(S453&lt;=Constantes!$G$2,"Muito Curta (evitável)",S453&lt;=Constantes!$H$2,"Curta Distância",S453&gt;Constantes!$H$2,"Longa Distância")</f>
        <v>Curta Distância</v>
      </c>
      <c r="AF453" s="114">
        <f>IFERROR(VLOOKUP(AE453,Constantes!$A$1:$E$5,MATCH(AD453,Constantes!$A$1:$E$1,0),0),"")</f>
        <v>0.18286935436241611</v>
      </c>
      <c r="AG453" s="115">
        <f t="shared" si="15"/>
        <v>400.47917570486158</v>
      </c>
    </row>
    <row r="454" spans="1:33" x14ac:dyDescent="0.3">
      <c r="A454">
        <f>COUNTIF($B$2:B454,B454)</f>
        <v>2</v>
      </c>
      <c r="B454">
        <v>19290976</v>
      </c>
      <c r="C454" t="s">
        <v>1031</v>
      </c>
      <c r="D454" t="s">
        <v>811</v>
      </c>
      <c r="E454" t="s">
        <v>812</v>
      </c>
      <c r="F454" t="s">
        <v>198</v>
      </c>
      <c r="G454" t="s">
        <v>207</v>
      </c>
      <c r="H454" t="s">
        <v>204</v>
      </c>
      <c r="I454" s="49">
        <v>45228</v>
      </c>
      <c r="J454" s="49">
        <v>45232</v>
      </c>
      <c r="K454" t="s">
        <v>1032</v>
      </c>
      <c r="L454" s="49">
        <v>45228</v>
      </c>
      <c r="M454" s="49">
        <v>45232</v>
      </c>
      <c r="N454" t="s">
        <v>107</v>
      </c>
      <c r="O454" t="s">
        <v>117</v>
      </c>
      <c r="P454">
        <f>VLOOKUP(N454,[1]ID_Cidades!$A$1:$E$5900,2,FALSE)</f>
        <v>295765</v>
      </c>
      <c r="Q454">
        <f>VLOOKUP(O454,[1]ID_Cidades!$A$1:$E$5900,2,FALSE)</f>
        <v>295779</v>
      </c>
      <c r="R454">
        <f t="shared" si="14"/>
        <v>87481075935</v>
      </c>
      <c r="S454" s="42">
        <f>VLOOKUP(R454,'[1]GCD base'!$A$1:$M$200,7,FALSE)</f>
        <v>2189.9742419999998</v>
      </c>
      <c r="T454" t="s">
        <v>109</v>
      </c>
      <c r="U454" t="s">
        <v>205</v>
      </c>
      <c r="V454" t="s">
        <v>202</v>
      </c>
      <c r="W454" t="s">
        <v>203</v>
      </c>
      <c r="X454" t="s">
        <v>204</v>
      </c>
      <c r="Y454">
        <v>0</v>
      </c>
      <c r="Z454">
        <v>0</v>
      </c>
      <c r="AA454">
        <v>1274.45</v>
      </c>
      <c r="AB454">
        <v>0</v>
      </c>
      <c r="AC454" s="49">
        <v>45184</v>
      </c>
      <c r="AD454" s="116" t="s">
        <v>10</v>
      </c>
      <c r="AE454" s="113" t="str" cm="1">
        <f t="array" ref="AE454">_xlfn.IFS(S454&lt;=Constantes!$G$2,"Muito Curta (evitável)",S454&lt;=Constantes!$H$2,"Curta Distância",S454&gt;Constantes!$H$2,"Longa Distância")</f>
        <v>Curta Distância</v>
      </c>
      <c r="AF454" s="114">
        <f>IFERROR(VLOOKUP(AE454,Constantes!$A$1:$E$5,MATCH(AD454,Constantes!$A$1:$E$1,0),0),"")</f>
        <v>0.18286935436241611</v>
      </c>
      <c r="AG454" s="115">
        <f t="shared" si="15"/>
        <v>400.47917570486158</v>
      </c>
    </row>
    <row r="455" spans="1:33" x14ac:dyDescent="0.3">
      <c r="A455">
        <f>COUNTIF($B$2:B455,B455)</f>
        <v>1</v>
      </c>
      <c r="B455">
        <v>19293715</v>
      </c>
      <c r="C455" t="s">
        <v>1047</v>
      </c>
      <c r="D455" t="s">
        <v>1048</v>
      </c>
      <c r="E455" t="s">
        <v>1049</v>
      </c>
      <c r="F455" t="s">
        <v>198</v>
      </c>
      <c r="G455" t="s">
        <v>221</v>
      </c>
      <c r="H455" t="s">
        <v>200</v>
      </c>
      <c r="I455" s="49">
        <v>45228</v>
      </c>
      <c r="J455" s="49">
        <v>45232</v>
      </c>
      <c r="K455" t="s">
        <v>1050</v>
      </c>
      <c r="L455" s="49">
        <v>45228</v>
      </c>
      <c r="M455" s="49">
        <v>45232</v>
      </c>
      <c r="N455" t="s">
        <v>107</v>
      </c>
      <c r="O455" t="s">
        <v>1051</v>
      </c>
      <c r="P455">
        <f>VLOOKUP(N455,[1]ID_Cidades!$A$1:$E$5900,2,FALSE)</f>
        <v>295765</v>
      </c>
      <c r="Q455">
        <f>VLOOKUP(O455,[1]ID_Cidades!$A$1:$E$5900,2,FALSE)</f>
        <v>304010</v>
      </c>
      <c r="R455">
        <f t="shared" si="14"/>
        <v>89915517650</v>
      </c>
      <c r="S455" s="42">
        <f>VLOOKUP(R455,'[1]GCD base'!$A$1:$M$200,7,FALSE)</f>
        <v>2579.8349079999998</v>
      </c>
      <c r="T455" t="s">
        <v>109</v>
      </c>
      <c r="U455" t="s">
        <v>205</v>
      </c>
      <c r="V455" t="s">
        <v>202</v>
      </c>
      <c r="W455" t="s">
        <v>203</v>
      </c>
      <c r="X455" t="s">
        <v>204</v>
      </c>
      <c r="Y455">
        <v>1359.32</v>
      </c>
      <c r="Z455">
        <v>0</v>
      </c>
      <c r="AA455">
        <v>2043.29</v>
      </c>
      <c r="AB455">
        <v>0</v>
      </c>
      <c r="AC455" s="49">
        <v>45187</v>
      </c>
      <c r="AD455" s="116" t="s">
        <v>10</v>
      </c>
      <c r="AE455" s="113" t="str" cm="1">
        <f t="array" ref="AE455">_xlfn.IFS(S455&lt;=Constantes!$G$2,"Muito Curta (evitável)",S455&lt;=Constantes!$H$2,"Curta Distância",S455&gt;Constantes!$H$2,"Longa Distância")</f>
        <v>Curta Distância</v>
      </c>
      <c r="AF455" s="114">
        <f>IFERROR(VLOOKUP(AE455,Constantes!$A$1:$E$5,MATCH(AD455,Constantes!$A$1:$E$1,0),0),"")</f>
        <v>0.18286935436241611</v>
      </c>
      <c r="AG455" s="115">
        <f t="shared" si="15"/>
        <v>471.77274398758311</v>
      </c>
    </row>
    <row r="456" spans="1:33" x14ac:dyDescent="0.3">
      <c r="A456">
        <f>COUNTIF($B$2:B456,B456)</f>
        <v>2</v>
      </c>
      <c r="B456">
        <v>19293715</v>
      </c>
      <c r="C456" t="s">
        <v>1047</v>
      </c>
      <c r="D456" t="s">
        <v>1048</v>
      </c>
      <c r="E456" t="s">
        <v>1049</v>
      </c>
      <c r="F456" t="s">
        <v>198</v>
      </c>
      <c r="G456" t="s">
        <v>221</v>
      </c>
      <c r="H456" t="s">
        <v>200</v>
      </c>
      <c r="I456" s="49">
        <v>45228</v>
      </c>
      <c r="J456" s="49">
        <v>45232</v>
      </c>
      <c r="K456" t="s">
        <v>1050</v>
      </c>
      <c r="L456" s="49">
        <v>45232</v>
      </c>
      <c r="M456" s="49">
        <v>45232</v>
      </c>
      <c r="N456" t="s">
        <v>1051</v>
      </c>
      <c r="O456" t="s">
        <v>107</v>
      </c>
      <c r="P456">
        <f>VLOOKUP(N456,[1]ID_Cidades!$A$1:$E$5900,2,FALSE)</f>
        <v>304010</v>
      </c>
      <c r="Q456">
        <f>VLOOKUP(O456,[1]ID_Cidades!$A$1:$E$5900,2,FALSE)</f>
        <v>295765</v>
      </c>
      <c r="R456">
        <f t="shared" si="14"/>
        <v>89915517650</v>
      </c>
      <c r="S456" s="42">
        <f>VLOOKUP(R456,'[1]GCD base'!$A$1:$M$200,7,FALSE)</f>
        <v>2579.8349079999998</v>
      </c>
      <c r="T456" t="s">
        <v>109</v>
      </c>
      <c r="U456" t="s">
        <v>201</v>
      </c>
      <c r="V456" t="s">
        <v>202</v>
      </c>
      <c r="W456" t="s">
        <v>203</v>
      </c>
      <c r="X456" t="s">
        <v>204</v>
      </c>
      <c r="Y456">
        <v>0</v>
      </c>
      <c r="Z456">
        <v>0</v>
      </c>
      <c r="AA456">
        <v>2040.96</v>
      </c>
      <c r="AB456">
        <v>0</v>
      </c>
      <c r="AC456" s="49">
        <v>45187</v>
      </c>
      <c r="AD456" s="116" t="s">
        <v>10</v>
      </c>
      <c r="AE456" s="113" t="str" cm="1">
        <f t="array" ref="AE456">_xlfn.IFS(S456&lt;=Constantes!$G$2,"Muito Curta (evitável)",S456&lt;=Constantes!$H$2,"Curta Distância",S456&gt;Constantes!$H$2,"Longa Distância")</f>
        <v>Curta Distância</v>
      </c>
      <c r="AF456" s="114">
        <f>IFERROR(VLOOKUP(AE456,Constantes!$A$1:$E$5,MATCH(AD456,Constantes!$A$1:$E$1,0),0),"")</f>
        <v>0.18286935436241611</v>
      </c>
      <c r="AG456" s="115">
        <f t="shared" si="15"/>
        <v>471.77274398758311</v>
      </c>
    </row>
    <row r="457" spans="1:33" x14ac:dyDescent="0.3">
      <c r="A457">
        <f>COUNTIF($B$2:B457,B457)</f>
        <v>1</v>
      </c>
      <c r="B457">
        <v>19304242</v>
      </c>
      <c r="C457" t="s">
        <v>1086</v>
      </c>
      <c r="D457" t="s">
        <v>1087</v>
      </c>
      <c r="E457" t="s">
        <v>1088</v>
      </c>
      <c r="F457" t="s">
        <v>198</v>
      </c>
      <c r="G457" t="s">
        <v>207</v>
      </c>
      <c r="H457" t="s">
        <v>204</v>
      </c>
      <c r="I457" s="49">
        <v>45228</v>
      </c>
      <c r="J457" s="49">
        <v>45242</v>
      </c>
      <c r="K457" t="s">
        <v>1089</v>
      </c>
      <c r="L457" s="49">
        <v>45242</v>
      </c>
      <c r="M457" s="49">
        <v>45242</v>
      </c>
      <c r="N457" t="s">
        <v>1090</v>
      </c>
      <c r="O457" t="s">
        <v>107</v>
      </c>
      <c r="P457">
        <f>VLOOKUP(N457,[1]ID_Cidades!$A$1:$E$5900,2,FALSE)</f>
        <v>304292</v>
      </c>
      <c r="Q457">
        <f>VLOOKUP(O457,[1]ID_Cidades!$A$1:$E$5900,2,FALSE)</f>
        <v>295765</v>
      </c>
      <c r="R457">
        <f t="shared" si="14"/>
        <v>89998923380</v>
      </c>
      <c r="S457" s="42">
        <f>VLOOKUP(R457,'[1]GCD base'!$A$1:$M$200,7,FALSE)</f>
        <v>2982.7917000000002</v>
      </c>
      <c r="T457" t="s">
        <v>109</v>
      </c>
      <c r="U457" t="s">
        <v>201</v>
      </c>
      <c r="V457" t="s">
        <v>202</v>
      </c>
      <c r="W457" t="s">
        <v>203</v>
      </c>
      <c r="X457" t="s">
        <v>204</v>
      </c>
      <c r="Y457">
        <v>0</v>
      </c>
      <c r="Z457">
        <v>0</v>
      </c>
      <c r="AA457">
        <v>2319.9899999999998</v>
      </c>
      <c r="AB457">
        <v>0</v>
      </c>
      <c r="AC457" s="49">
        <v>45202</v>
      </c>
      <c r="AD457" s="116" t="s">
        <v>10</v>
      </c>
      <c r="AE457" s="113" t="str" cm="1">
        <f t="array" ref="AE457">_xlfn.IFS(S457&lt;=Constantes!$G$2,"Muito Curta (evitável)",S457&lt;=Constantes!$H$2,"Curta Distância",S457&gt;Constantes!$H$2,"Longa Distância")</f>
        <v>Curta Distância</v>
      </c>
      <c r="AF457" s="114">
        <f>IFERROR(VLOOKUP(AE457,Constantes!$A$1:$E$5,MATCH(AD457,Constantes!$A$1:$E$1,0),0),"")</f>
        <v>0.18286935436241611</v>
      </c>
      <c r="AG457" s="115">
        <f t="shared" si="15"/>
        <v>545.46119237657365</v>
      </c>
    </row>
    <row r="458" spans="1:33" x14ac:dyDescent="0.3">
      <c r="A458">
        <f>COUNTIF($B$2:B458,B458)</f>
        <v>2</v>
      </c>
      <c r="B458">
        <v>19304242</v>
      </c>
      <c r="C458" t="s">
        <v>1086</v>
      </c>
      <c r="D458" t="s">
        <v>1087</v>
      </c>
      <c r="E458" t="s">
        <v>1088</v>
      </c>
      <c r="F458" t="s">
        <v>198</v>
      </c>
      <c r="G458" t="s">
        <v>207</v>
      </c>
      <c r="H458" t="s">
        <v>204</v>
      </c>
      <c r="I458" s="49">
        <v>45228</v>
      </c>
      <c r="J458" s="49">
        <v>45242</v>
      </c>
      <c r="K458" t="s">
        <v>1089</v>
      </c>
      <c r="L458" s="49">
        <v>45228</v>
      </c>
      <c r="M458" s="49">
        <v>45242</v>
      </c>
      <c r="N458" t="s">
        <v>107</v>
      </c>
      <c r="O458" t="s">
        <v>1090</v>
      </c>
      <c r="P458">
        <f>VLOOKUP(N458,[1]ID_Cidades!$A$1:$E$5900,2,FALSE)</f>
        <v>295765</v>
      </c>
      <c r="Q458">
        <f>VLOOKUP(O458,[1]ID_Cidades!$A$1:$E$5900,2,FALSE)</f>
        <v>304292</v>
      </c>
      <c r="R458">
        <f t="shared" si="14"/>
        <v>89998923380</v>
      </c>
      <c r="S458" s="42">
        <f>VLOOKUP(R458,'[1]GCD base'!$A$1:$M$200,7,FALSE)</f>
        <v>2982.7917000000002</v>
      </c>
      <c r="T458" t="s">
        <v>109</v>
      </c>
      <c r="U458" t="s">
        <v>205</v>
      </c>
      <c r="V458" t="s">
        <v>202</v>
      </c>
      <c r="W458" t="s">
        <v>203</v>
      </c>
      <c r="X458" t="s">
        <v>204</v>
      </c>
      <c r="Y458">
        <v>0</v>
      </c>
      <c r="Z458">
        <v>0</v>
      </c>
      <c r="AA458">
        <v>0</v>
      </c>
      <c r="AB458">
        <v>0</v>
      </c>
      <c r="AC458">
        <v>0</v>
      </c>
      <c r="AD458" s="116" t="s">
        <v>10</v>
      </c>
      <c r="AE458" s="113" t="str" cm="1">
        <f t="array" ref="AE458">_xlfn.IFS(S458&lt;=Constantes!$G$2,"Muito Curta (evitável)",S458&lt;=Constantes!$H$2,"Curta Distância",S458&gt;Constantes!$H$2,"Longa Distância")</f>
        <v>Curta Distância</v>
      </c>
      <c r="AF458" s="114">
        <f>IFERROR(VLOOKUP(AE458,Constantes!$A$1:$E$5,MATCH(AD458,Constantes!$A$1:$E$1,0),0),"")</f>
        <v>0.18286935436241611</v>
      </c>
      <c r="AG458" s="115">
        <f t="shared" si="15"/>
        <v>545.46119237657365</v>
      </c>
    </row>
    <row r="459" spans="1:33" x14ac:dyDescent="0.3">
      <c r="A459">
        <f>COUNTIF($B$2:B459,B459)</f>
        <v>1</v>
      </c>
      <c r="B459">
        <v>19358601</v>
      </c>
      <c r="C459" t="s">
        <v>1346</v>
      </c>
      <c r="D459" t="s">
        <v>971</v>
      </c>
      <c r="E459" t="s">
        <v>972</v>
      </c>
      <c r="F459" t="s">
        <v>198</v>
      </c>
      <c r="G459" t="s">
        <v>233</v>
      </c>
      <c r="H459" t="s">
        <v>233</v>
      </c>
      <c r="I459" s="49">
        <v>45228</v>
      </c>
      <c r="J459" s="49">
        <v>45231</v>
      </c>
      <c r="K459" t="s">
        <v>1347</v>
      </c>
      <c r="L459" s="49">
        <v>45231</v>
      </c>
      <c r="M459" s="49">
        <v>45231</v>
      </c>
      <c r="N459" t="s">
        <v>110</v>
      </c>
      <c r="O459" t="s">
        <v>107</v>
      </c>
      <c r="P459">
        <f>VLOOKUP(N459,[1]ID_Cidades!$A$1:$E$5900,2,FALSE)</f>
        <v>295763</v>
      </c>
      <c r="Q459">
        <f>VLOOKUP(O459,[1]ID_Cidades!$A$1:$E$5900,2,FALSE)</f>
        <v>295765</v>
      </c>
      <c r="R459">
        <f t="shared" si="14"/>
        <v>87476343695</v>
      </c>
      <c r="S459" s="42">
        <f>VLOOKUP(R459,'[1]GCD base'!$A$1:$M$200,7,FALSE)</f>
        <v>1713.419991</v>
      </c>
      <c r="T459" t="s">
        <v>109</v>
      </c>
      <c r="U459" t="s">
        <v>201</v>
      </c>
      <c r="V459" t="s">
        <v>202</v>
      </c>
      <c r="W459" t="s">
        <v>210</v>
      </c>
      <c r="X459" t="s">
        <v>1348</v>
      </c>
      <c r="Y459">
        <v>1339.26</v>
      </c>
      <c r="Z459">
        <v>0</v>
      </c>
      <c r="AA459">
        <v>1596.99</v>
      </c>
      <c r="AB459">
        <v>0</v>
      </c>
      <c r="AC459" s="49">
        <v>45210</v>
      </c>
      <c r="AD459" s="116" t="s">
        <v>10</v>
      </c>
      <c r="AE459" s="113" t="str" cm="1">
        <f t="array" ref="AE459">_xlfn.IFS(S459&lt;=Constantes!$G$2,"Muito Curta (evitável)",S459&lt;=Constantes!$H$2,"Curta Distância",S459&gt;Constantes!$H$2,"Longa Distância")</f>
        <v>Curta Distância</v>
      </c>
      <c r="AF459" s="114">
        <f>IFERROR(VLOOKUP(AE459,Constantes!$A$1:$E$5,MATCH(AD459,Constantes!$A$1:$E$1,0),0),"")</f>
        <v>0.18286935436241611</v>
      </c>
      <c r="AG459" s="115">
        <f t="shared" si="15"/>
        <v>313.33200750582682</v>
      </c>
    </row>
    <row r="460" spans="1:33" x14ac:dyDescent="0.3">
      <c r="A460">
        <f>COUNTIF($B$2:B460,B460)</f>
        <v>2</v>
      </c>
      <c r="B460">
        <v>19358601</v>
      </c>
      <c r="C460" t="s">
        <v>1346</v>
      </c>
      <c r="D460" t="s">
        <v>971</v>
      </c>
      <c r="E460" t="s">
        <v>972</v>
      </c>
      <c r="F460" t="s">
        <v>198</v>
      </c>
      <c r="G460" t="s">
        <v>233</v>
      </c>
      <c r="H460" t="s">
        <v>233</v>
      </c>
      <c r="I460" s="49">
        <v>45228</v>
      </c>
      <c r="J460" s="49">
        <v>45231</v>
      </c>
      <c r="K460" t="s">
        <v>1347</v>
      </c>
      <c r="L460" s="49">
        <v>45228</v>
      </c>
      <c r="M460" s="49">
        <v>45231</v>
      </c>
      <c r="N460" t="s">
        <v>107</v>
      </c>
      <c r="O460" t="s">
        <v>110</v>
      </c>
      <c r="P460">
        <f>VLOOKUP(N460,[1]ID_Cidades!$A$1:$E$5900,2,FALSE)</f>
        <v>295765</v>
      </c>
      <c r="Q460">
        <f>VLOOKUP(O460,[1]ID_Cidades!$A$1:$E$5900,2,FALSE)</f>
        <v>295763</v>
      </c>
      <c r="R460">
        <f t="shared" si="14"/>
        <v>87476343695</v>
      </c>
      <c r="S460" s="42">
        <f>VLOOKUP(R460,'[1]GCD base'!$A$1:$M$200,7,FALSE)</f>
        <v>1713.419991</v>
      </c>
      <c r="T460" t="s">
        <v>109</v>
      </c>
      <c r="U460" t="s">
        <v>205</v>
      </c>
      <c r="V460" t="s">
        <v>202</v>
      </c>
      <c r="W460" t="s">
        <v>210</v>
      </c>
      <c r="X460" t="s">
        <v>1348</v>
      </c>
      <c r="Y460">
        <v>0</v>
      </c>
      <c r="Z460">
        <v>0</v>
      </c>
      <c r="AA460">
        <v>1232.71</v>
      </c>
      <c r="AB460">
        <v>0</v>
      </c>
      <c r="AC460" s="49">
        <v>45210</v>
      </c>
      <c r="AD460" s="116" t="s">
        <v>10</v>
      </c>
      <c r="AE460" s="113" t="str" cm="1">
        <f t="array" ref="AE460">_xlfn.IFS(S460&lt;=Constantes!$G$2,"Muito Curta (evitável)",S460&lt;=Constantes!$H$2,"Curta Distância",S460&gt;Constantes!$H$2,"Longa Distância")</f>
        <v>Curta Distância</v>
      </c>
      <c r="AF460" s="114">
        <f>IFERROR(VLOOKUP(AE460,Constantes!$A$1:$E$5,MATCH(AD460,Constantes!$A$1:$E$1,0),0),"")</f>
        <v>0.18286935436241611</v>
      </c>
      <c r="AG460" s="115">
        <f t="shared" si="15"/>
        <v>313.33200750582682</v>
      </c>
    </row>
    <row r="461" spans="1:33" x14ac:dyDescent="0.3">
      <c r="A461">
        <f>COUNTIF($B$2:B461,B461)</f>
        <v>1</v>
      </c>
      <c r="B461">
        <v>19364058</v>
      </c>
      <c r="C461" t="s">
        <v>1354</v>
      </c>
      <c r="D461" t="s">
        <v>1355</v>
      </c>
      <c r="E461" t="s">
        <v>1356</v>
      </c>
      <c r="F461" t="s">
        <v>198</v>
      </c>
      <c r="G461" t="s">
        <v>215</v>
      </c>
      <c r="H461" t="s">
        <v>200</v>
      </c>
      <c r="I461" s="49">
        <v>45228</v>
      </c>
      <c r="J461" s="49">
        <v>45232</v>
      </c>
      <c r="K461" t="s">
        <v>1357</v>
      </c>
      <c r="L461" s="49">
        <v>45228</v>
      </c>
      <c r="M461" s="49">
        <v>45232</v>
      </c>
      <c r="N461" t="s">
        <v>107</v>
      </c>
      <c r="O461" t="s">
        <v>118</v>
      </c>
      <c r="P461">
        <f>VLOOKUP(N461,[1]ID_Cidades!$A$1:$E$5900,2,FALSE)</f>
        <v>295765</v>
      </c>
      <c r="Q461">
        <f>VLOOKUP(O461,[1]ID_Cidades!$A$1:$E$5900,2,FALSE)</f>
        <v>295780</v>
      </c>
      <c r="R461">
        <f t="shared" si="14"/>
        <v>87481371700</v>
      </c>
      <c r="S461" s="42">
        <f>VLOOKUP(R461,'[1]GCD base'!$A$1:$M$200,7,FALSE)</f>
        <v>2541.6476309999998</v>
      </c>
      <c r="T461" t="s">
        <v>109</v>
      </c>
      <c r="U461" t="s">
        <v>205</v>
      </c>
      <c r="V461" t="s">
        <v>202</v>
      </c>
      <c r="W461" t="s">
        <v>203</v>
      </c>
      <c r="X461" t="s">
        <v>204</v>
      </c>
      <c r="Y461">
        <v>1750.64</v>
      </c>
      <c r="Z461">
        <v>0</v>
      </c>
      <c r="AA461">
        <v>1196.99</v>
      </c>
      <c r="AB461">
        <v>0</v>
      </c>
      <c r="AC461" s="49">
        <v>45204</v>
      </c>
      <c r="AD461" s="116" t="s">
        <v>10</v>
      </c>
      <c r="AE461" s="113" t="str" cm="1">
        <f t="array" ref="AE461">_xlfn.IFS(S461&lt;=Constantes!$G$2,"Muito Curta (evitável)",S461&lt;=Constantes!$H$2,"Curta Distância",S461&gt;Constantes!$H$2,"Longa Distância")</f>
        <v>Curta Distância</v>
      </c>
      <c r="AF461" s="114">
        <f>IFERROR(VLOOKUP(AE461,Constantes!$A$1:$E$5,MATCH(AD461,Constantes!$A$1:$E$1,0),0),"")</f>
        <v>0.18286935436241611</v>
      </c>
      <c r="AG461" s="115">
        <f t="shared" si="15"/>
        <v>464.78946129773436</v>
      </c>
    </row>
    <row r="462" spans="1:33" x14ac:dyDescent="0.3">
      <c r="A462">
        <f>COUNTIF($B$2:B462,B462)</f>
        <v>2</v>
      </c>
      <c r="B462">
        <v>19364058</v>
      </c>
      <c r="C462" t="s">
        <v>1354</v>
      </c>
      <c r="D462" t="s">
        <v>1355</v>
      </c>
      <c r="E462" t="s">
        <v>1356</v>
      </c>
      <c r="F462" t="s">
        <v>198</v>
      </c>
      <c r="G462" t="s">
        <v>215</v>
      </c>
      <c r="H462" t="s">
        <v>200</v>
      </c>
      <c r="I462" s="49">
        <v>45228</v>
      </c>
      <c r="J462" s="49">
        <v>45232</v>
      </c>
      <c r="K462" t="s">
        <v>1357</v>
      </c>
      <c r="L462" s="49">
        <v>45232</v>
      </c>
      <c r="M462" s="49">
        <v>45232</v>
      </c>
      <c r="N462" t="s">
        <v>118</v>
      </c>
      <c r="O462" t="s">
        <v>107</v>
      </c>
      <c r="P462">
        <f>VLOOKUP(N462,[1]ID_Cidades!$A$1:$E$5900,2,FALSE)</f>
        <v>295780</v>
      </c>
      <c r="Q462">
        <f>VLOOKUP(O462,[1]ID_Cidades!$A$1:$E$5900,2,FALSE)</f>
        <v>295765</v>
      </c>
      <c r="R462">
        <f t="shared" si="14"/>
        <v>87481371700</v>
      </c>
      <c r="S462" s="42">
        <f>VLOOKUP(R462,'[1]GCD base'!$A$1:$M$200,7,FALSE)</f>
        <v>2541.6476309999998</v>
      </c>
      <c r="T462" t="s">
        <v>109</v>
      </c>
      <c r="U462" t="s">
        <v>201</v>
      </c>
      <c r="V462" t="s">
        <v>202</v>
      </c>
      <c r="W462" t="s">
        <v>203</v>
      </c>
      <c r="X462" t="s">
        <v>204</v>
      </c>
      <c r="Y462">
        <v>0</v>
      </c>
      <c r="Z462">
        <v>0</v>
      </c>
      <c r="AA462">
        <v>1021.59</v>
      </c>
      <c r="AB462">
        <v>0</v>
      </c>
      <c r="AC462" s="49">
        <v>45204</v>
      </c>
      <c r="AD462" s="116" t="s">
        <v>10</v>
      </c>
      <c r="AE462" s="113" t="str" cm="1">
        <f t="array" ref="AE462">_xlfn.IFS(S462&lt;=Constantes!$G$2,"Muito Curta (evitável)",S462&lt;=Constantes!$H$2,"Curta Distância",S462&gt;Constantes!$H$2,"Longa Distância")</f>
        <v>Curta Distância</v>
      </c>
      <c r="AF462" s="114">
        <f>IFERROR(VLOOKUP(AE462,Constantes!$A$1:$E$5,MATCH(AD462,Constantes!$A$1:$E$1,0),0),"")</f>
        <v>0.18286935436241611</v>
      </c>
      <c r="AG462" s="115">
        <f t="shared" si="15"/>
        <v>464.78946129773436</v>
      </c>
    </row>
    <row r="463" spans="1:33" x14ac:dyDescent="0.3">
      <c r="A463">
        <f>COUNTIF($B$2:B463,B463)</f>
        <v>1</v>
      </c>
      <c r="B463">
        <v>19385995</v>
      </c>
      <c r="C463" t="s">
        <v>1451</v>
      </c>
      <c r="D463" t="s">
        <v>1452</v>
      </c>
      <c r="E463" t="s">
        <v>1453</v>
      </c>
      <c r="F463" t="s">
        <v>198</v>
      </c>
      <c r="G463" t="s">
        <v>199</v>
      </c>
      <c r="H463" t="s">
        <v>200</v>
      </c>
      <c r="I463" s="49">
        <v>45228</v>
      </c>
      <c r="J463" s="49">
        <v>45230</v>
      </c>
      <c r="K463" t="s">
        <v>1454</v>
      </c>
      <c r="L463" s="49">
        <v>45228</v>
      </c>
      <c r="M463" s="49">
        <v>45230</v>
      </c>
      <c r="N463" t="s">
        <v>107</v>
      </c>
      <c r="O463" t="s">
        <v>110</v>
      </c>
      <c r="P463">
        <f>VLOOKUP(N463,[1]ID_Cidades!$A$1:$E$5900,2,FALSE)</f>
        <v>295765</v>
      </c>
      <c r="Q463">
        <f>VLOOKUP(O463,[1]ID_Cidades!$A$1:$E$5900,2,FALSE)</f>
        <v>295763</v>
      </c>
      <c r="R463">
        <f t="shared" si="14"/>
        <v>87476343695</v>
      </c>
      <c r="S463" s="42">
        <f>VLOOKUP(R463,'[1]GCD base'!$A$1:$M$200,7,FALSE)</f>
        <v>1713.419991</v>
      </c>
      <c r="T463" t="s">
        <v>109</v>
      </c>
      <c r="U463" t="s">
        <v>205</v>
      </c>
      <c r="V463" t="s">
        <v>202</v>
      </c>
      <c r="W463" t="s">
        <v>210</v>
      </c>
      <c r="X463" t="s">
        <v>1455</v>
      </c>
      <c r="Y463">
        <v>1118.9000000000001</v>
      </c>
      <c r="Z463">
        <v>0</v>
      </c>
      <c r="AA463">
        <v>2106.4</v>
      </c>
      <c r="AB463">
        <v>1388.99</v>
      </c>
      <c r="AC463" s="49">
        <v>45217</v>
      </c>
      <c r="AD463" s="116" t="s">
        <v>10</v>
      </c>
      <c r="AE463" s="113" t="str" cm="1">
        <f t="array" ref="AE463">_xlfn.IFS(S463&lt;=Constantes!$G$2,"Muito Curta (evitável)",S463&lt;=Constantes!$H$2,"Curta Distância",S463&gt;Constantes!$H$2,"Longa Distância")</f>
        <v>Curta Distância</v>
      </c>
      <c r="AF463" s="114">
        <f>IFERROR(VLOOKUP(AE463,Constantes!$A$1:$E$5,MATCH(AD463,Constantes!$A$1:$E$1,0),0),"")</f>
        <v>0.18286935436241611</v>
      </c>
      <c r="AG463" s="115">
        <f t="shared" si="15"/>
        <v>313.33200750582682</v>
      </c>
    </row>
    <row r="464" spans="1:33" x14ac:dyDescent="0.3">
      <c r="A464">
        <f>COUNTIF($B$2:B464,B464)</f>
        <v>2</v>
      </c>
      <c r="B464">
        <v>19385995</v>
      </c>
      <c r="C464" t="s">
        <v>1451</v>
      </c>
      <c r="D464" t="s">
        <v>1452</v>
      </c>
      <c r="E464" t="s">
        <v>1453</v>
      </c>
      <c r="F464" t="s">
        <v>198</v>
      </c>
      <c r="G464" t="s">
        <v>199</v>
      </c>
      <c r="H464" t="s">
        <v>200</v>
      </c>
      <c r="I464" s="49">
        <v>45228</v>
      </c>
      <c r="J464" s="49">
        <v>45230</v>
      </c>
      <c r="K464" t="s">
        <v>1454</v>
      </c>
      <c r="L464" s="49">
        <v>45230</v>
      </c>
      <c r="M464" s="49">
        <v>45230</v>
      </c>
      <c r="N464" t="s">
        <v>110</v>
      </c>
      <c r="O464" t="s">
        <v>107</v>
      </c>
      <c r="P464">
        <f>VLOOKUP(N464,[1]ID_Cidades!$A$1:$E$5900,2,FALSE)</f>
        <v>295763</v>
      </c>
      <c r="Q464">
        <f>VLOOKUP(O464,[1]ID_Cidades!$A$1:$E$5900,2,FALSE)</f>
        <v>295765</v>
      </c>
      <c r="R464">
        <f t="shared" si="14"/>
        <v>87476343695</v>
      </c>
      <c r="S464" s="42">
        <f>VLOOKUP(R464,'[1]GCD base'!$A$1:$M$200,7,FALSE)</f>
        <v>1713.419991</v>
      </c>
      <c r="T464" t="s">
        <v>109</v>
      </c>
      <c r="U464" t="s">
        <v>201</v>
      </c>
      <c r="V464" t="s">
        <v>202</v>
      </c>
      <c r="W464" t="s">
        <v>210</v>
      </c>
      <c r="X464" t="s">
        <v>1455</v>
      </c>
      <c r="Y464">
        <v>0</v>
      </c>
      <c r="Z464">
        <v>0</v>
      </c>
      <c r="AA464">
        <v>0</v>
      </c>
      <c r="AB464">
        <v>0</v>
      </c>
      <c r="AC464">
        <v>0</v>
      </c>
      <c r="AD464" s="116" t="s">
        <v>10</v>
      </c>
      <c r="AE464" s="113" t="str" cm="1">
        <f t="array" ref="AE464">_xlfn.IFS(S464&lt;=Constantes!$G$2,"Muito Curta (evitável)",S464&lt;=Constantes!$H$2,"Curta Distância",S464&gt;Constantes!$H$2,"Longa Distância")</f>
        <v>Curta Distância</v>
      </c>
      <c r="AF464" s="114">
        <f>IFERROR(VLOOKUP(AE464,Constantes!$A$1:$E$5,MATCH(AD464,Constantes!$A$1:$E$1,0),0),"")</f>
        <v>0.18286935436241611</v>
      </c>
      <c r="AG464" s="115">
        <f t="shared" si="15"/>
        <v>313.33200750582682</v>
      </c>
    </row>
    <row r="465" spans="1:33" x14ac:dyDescent="0.3">
      <c r="A465">
        <f>COUNTIF($B$2:B465,B465)</f>
        <v>1</v>
      </c>
      <c r="B465">
        <v>19396375</v>
      </c>
      <c r="C465" t="s">
        <v>1496</v>
      </c>
      <c r="D465" t="s">
        <v>1497</v>
      </c>
      <c r="E465" t="s">
        <v>1498</v>
      </c>
      <c r="F465" t="s">
        <v>198</v>
      </c>
      <c r="G465" t="s">
        <v>221</v>
      </c>
      <c r="H465" t="s">
        <v>200</v>
      </c>
      <c r="I465" s="49">
        <v>45228</v>
      </c>
      <c r="J465" s="49">
        <v>45230</v>
      </c>
      <c r="K465" t="s">
        <v>1499</v>
      </c>
      <c r="L465" s="49">
        <v>45228</v>
      </c>
      <c r="M465" s="49">
        <v>45230</v>
      </c>
      <c r="N465" t="s">
        <v>107</v>
      </c>
      <c r="O465" t="s">
        <v>110</v>
      </c>
      <c r="P465">
        <f>VLOOKUP(N465,[1]ID_Cidades!$A$1:$E$5900,2,FALSE)</f>
        <v>295765</v>
      </c>
      <c r="Q465">
        <f>VLOOKUP(O465,[1]ID_Cidades!$A$1:$E$5900,2,FALSE)</f>
        <v>295763</v>
      </c>
      <c r="R465">
        <f t="shared" si="14"/>
        <v>87476343695</v>
      </c>
      <c r="S465" s="42">
        <f>VLOOKUP(R465,'[1]GCD base'!$A$1:$M$200,7,FALSE)</f>
        <v>1713.419991</v>
      </c>
      <c r="T465" t="s">
        <v>109</v>
      </c>
      <c r="U465" t="s">
        <v>205</v>
      </c>
      <c r="V465" t="s">
        <v>202</v>
      </c>
      <c r="W465" t="s">
        <v>210</v>
      </c>
      <c r="X465" t="s">
        <v>1500</v>
      </c>
      <c r="Y465">
        <v>988.03</v>
      </c>
      <c r="Z465">
        <v>0</v>
      </c>
      <c r="AA465">
        <v>2106.4</v>
      </c>
      <c r="AB465">
        <v>0</v>
      </c>
      <c r="AC465" s="49">
        <v>45217</v>
      </c>
      <c r="AD465" s="116" t="s">
        <v>10</v>
      </c>
      <c r="AE465" s="113" t="str" cm="1">
        <f t="array" ref="AE465">_xlfn.IFS(S465&lt;=Constantes!$G$2,"Muito Curta (evitável)",S465&lt;=Constantes!$H$2,"Curta Distância",S465&gt;Constantes!$H$2,"Longa Distância")</f>
        <v>Curta Distância</v>
      </c>
      <c r="AF465" s="114">
        <f>IFERROR(VLOOKUP(AE465,Constantes!$A$1:$E$5,MATCH(AD465,Constantes!$A$1:$E$1,0),0),"")</f>
        <v>0.18286935436241611</v>
      </c>
      <c r="AG465" s="115">
        <f t="shared" si="15"/>
        <v>313.33200750582682</v>
      </c>
    </row>
    <row r="466" spans="1:33" x14ac:dyDescent="0.3">
      <c r="A466">
        <f>COUNTIF($B$2:B466,B466)</f>
        <v>2</v>
      </c>
      <c r="B466">
        <v>19396375</v>
      </c>
      <c r="C466" t="s">
        <v>1496</v>
      </c>
      <c r="D466" t="s">
        <v>1497</v>
      </c>
      <c r="E466" t="s">
        <v>1498</v>
      </c>
      <c r="F466" t="s">
        <v>198</v>
      </c>
      <c r="G466" t="s">
        <v>221</v>
      </c>
      <c r="H466" t="s">
        <v>200</v>
      </c>
      <c r="I466" s="49">
        <v>45228</v>
      </c>
      <c r="J466" s="49">
        <v>45230</v>
      </c>
      <c r="K466" t="s">
        <v>1499</v>
      </c>
      <c r="L466" s="49">
        <v>45230</v>
      </c>
      <c r="M466" s="49">
        <v>45230</v>
      </c>
      <c r="N466" t="s">
        <v>110</v>
      </c>
      <c r="O466" t="s">
        <v>107</v>
      </c>
      <c r="P466">
        <f>VLOOKUP(N466,[1]ID_Cidades!$A$1:$E$5900,2,FALSE)</f>
        <v>295763</v>
      </c>
      <c r="Q466">
        <f>VLOOKUP(O466,[1]ID_Cidades!$A$1:$E$5900,2,FALSE)</f>
        <v>295765</v>
      </c>
      <c r="R466">
        <f t="shared" si="14"/>
        <v>87476343695</v>
      </c>
      <c r="S466" s="42">
        <f>VLOOKUP(R466,'[1]GCD base'!$A$1:$M$200,7,FALSE)</f>
        <v>1713.419991</v>
      </c>
      <c r="T466" t="s">
        <v>109</v>
      </c>
      <c r="U466" t="s">
        <v>201</v>
      </c>
      <c r="V466" t="s">
        <v>202</v>
      </c>
      <c r="W466" t="s">
        <v>210</v>
      </c>
      <c r="X466" t="s">
        <v>1500</v>
      </c>
      <c r="Y466">
        <v>0</v>
      </c>
      <c r="Z466">
        <v>0</v>
      </c>
      <c r="AA466">
        <v>0</v>
      </c>
      <c r="AB466">
        <v>0</v>
      </c>
      <c r="AC466">
        <v>0</v>
      </c>
      <c r="AD466" s="116" t="s">
        <v>10</v>
      </c>
      <c r="AE466" s="113" t="str" cm="1">
        <f t="array" ref="AE466">_xlfn.IFS(S466&lt;=Constantes!$G$2,"Muito Curta (evitável)",S466&lt;=Constantes!$H$2,"Curta Distância",S466&gt;Constantes!$H$2,"Longa Distância")</f>
        <v>Curta Distância</v>
      </c>
      <c r="AF466" s="114">
        <f>IFERROR(VLOOKUP(AE466,Constantes!$A$1:$E$5,MATCH(AD466,Constantes!$A$1:$E$1,0),0),"")</f>
        <v>0.18286935436241611</v>
      </c>
      <c r="AG466" s="115">
        <f t="shared" si="15"/>
        <v>313.33200750582682</v>
      </c>
    </row>
    <row r="467" spans="1:33" x14ac:dyDescent="0.3">
      <c r="A467">
        <f>COUNTIF($B$2:B467,B467)</f>
        <v>1</v>
      </c>
      <c r="B467">
        <v>19399734</v>
      </c>
      <c r="C467" t="s">
        <v>1501</v>
      </c>
      <c r="D467" t="s">
        <v>218</v>
      </c>
      <c r="E467" t="s">
        <v>1502</v>
      </c>
      <c r="F467" t="s">
        <v>198</v>
      </c>
      <c r="G467" t="s">
        <v>221</v>
      </c>
      <c r="H467" t="s">
        <v>200</v>
      </c>
      <c r="I467" s="49">
        <v>45228</v>
      </c>
      <c r="J467" s="49">
        <v>45231</v>
      </c>
      <c r="K467" t="s">
        <v>1499</v>
      </c>
      <c r="L467" s="49">
        <v>45231</v>
      </c>
      <c r="M467" s="49">
        <v>45231</v>
      </c>
      <c r="N467" t="s">
        <v>110</v>
      </c>
      <c r="O467" t="s">
        <v>107</v>
      </c>
      <c r="P467">
        <f>VLOOKUP(N467,[1]ID_Cidades!$A$1:$E$5900,2,FALSE)</f>
        <v>295763</v>
      </c>
      <c r="Q467">
        <f>VLOOKUP(O467,[1]ID_Cidades!$A$1:$E$5900,2,FALSE)</f>
        <v>295765</v>
      </c>
      <c r="R467">
        <f t="shared" si="14"/>
        <v>87476343695</v>
      </c>
      <c r="S467" s="42">
        <f>VLOOKUP(R467,'[1]GCD base'!$A$1:$M$200,7,FALSE)</f>
        <v>1713.419991</v>
      </c>
      <c r="T467" t="s">
        <v>109</v>
      </c>
      <c r="U467" t="s">
        <v>201</v>
      </c>
      <c r="V467" t="s">
        <v>202</v>
      </c>
      <c r="W467" t="s">
        <v>210</v>
      </c>
      <c r="X467" t="s">
        <v>1503</v>
      </c>
      <c r="Y467">
        <v>1339.26</v>
      </c>
      <c r="Z467">
        <v>0</v>
      </c>
      <c r="AA467">
        <v>2017.4</v>
      </c>
      <c r="AB467">
        <v>0</v>
      </c>
      <c r="AC467" s="49">
        <v>45217</v>
      </c>
      <c r="AD467" s="116" t="s">
        <v>10</v>
      </c>
      <c r="AE467" s="113" t="str" cm="1">
        <f t="array" ref="AE467">_xlfn.IFS(S467&lt;=Constantes!$G$2,"Muito Curta (evitável)",S467&lt;=Constantes!$H$2,"Curta Distância",S467&gt;Constantes!$H$2,"Longa Distância")</f>
        <v>Curta Distância</v>
      </c>
      <c r="AF467" s="114">
        <f>IFERROR(VLOOKUP(AE467,Constantes!$A$1:$E$5,MATCH(AD467,Constantes!$A$1:$E$1,0),0),"")</f>
        <v>0.18286935436241611</v>
      </c>
      <c r="AG467" s="115">
        <f t="shared" si="15"/>
        <v>313.33200750582682</v>
      </c>
    </row>
    <row r="468" spans="1:33" x14ac:dyDescent="0.3">
      <c r="A468">
        <f>COUNTIF($B$2:B468,B468)</f>
        <v>2</v>
      </c>
      <c r="B468">
        <v>19399734</v>
      </c>
      <c r="C468" t="s">
        <v>1501</v>
      </c>
      <c r="D468" t="s">
        <v>218</v>
      </c>
      <c r="E468" t="s">
        <v>1502</v>
      </c>
      <c r="F468" t="s">
        <v>198</v>
      </c>
      <c r="G468" t="s">
        <v>221</v>
      </c>
      <c r="H468" t="s">
        <v>200</v>
      </c>
      <c r="I468" s="49">
        <v>45228</v>
      </c>
      <c r="J468" s="49">
        <v>45231</v>
      </c>
      <c r="K468" t="s">
        <v>1499</v>
      </c>
      <c r="L468" s="49">
        <v>45228</v>
      </c>
      <c r="M468" s="49">
        <v>45231</v>
      </c>
      <c r="N468" t="s">
        <v>107</v>
      </c>
      <c r="O468" t="s">
        <v>110</v>
      </c>
      <c r="P468">
        <f>VLOOKUP(N468,[1]ID_Cidades!$A$1:$E$5900,2,FALSE)</f>
        <v>295765</v>
      </c>
      <c r="Q468">
        <f>VLOOKUP(O468,[1]ID_Cidades!$A$1:$E$5900,2,FALSE)</f>
        <v>295763</v>
      </c>
      <c r="R468">
        <f t="shared" si="14"/>
        <v>87476343695</v>
      </c>
      <c r="S468" s="42">
        <f>VLOOKUP(R468,'[1]GCD base'!$A$1:$M$200,7,FALSE)</f>
        <v>1713.419991</v>
      </c>
      <c r="T468" t="s">
        <v>109</v>
      </c>
      <c r="U468" t="s">
        <v>205</v>
      </c>
      <c r="V468" t="s">
        <v>202</v>
      </c>
      <c r="W468" t="s">
        <v>210</v>
      </c>
      <c r="X468" t="s">
        <v>1503</v>
      </c>
      <c r="Y468">
        <v>0</v>
      </c>
      <c r="Z468">
        <v>0</v>
      </c>
      <c r="AA468">
        <v>0</v>
      </c>
      <c r="AB468">
        <v>0</v>
      </c>
      <c r="AC468">
        <v>0</v>
      </c>
      <c r="AD468" s="116" t="s">
        <v>10</v>
      </c>
      <c r="AE468" s="113" t="str" cm="1">
        <f t="array" ref="AE468">_xlfn.IFS(S468&lt;=Constantes!$G$2,"Muito Curta (evitável)",S468&lt;=Constantes!$H$2,"Curta Distância",S468&gt;Constantes!$H$2,"Longa Distância")</f>
        <v>Curta Distância</v>
      </c>
      <c r="AF468" s="114">
        <f>IFERROR(VLOOKUP(AE468,Constantes!$A$1:$E$5,MATCH(AD468,Constantes!$A$1:$E$1,0),0),"")</f>
        <v>0.18286935436241611</v>
      </c>
      <c r="AG468" s="115">
        <f t="shared" si="15"/>
        <v>313.33200750582682</v>
      </c>
    </row>
    <row r="469" spans="1:33" x14ac:dyDescent="0.3">
      <c r="A469">
        <f>COUNTIF($B$2:B469,B469)</f>
        <v>1</v>
      </c>
      <c r="B469">
        <v>19317291</v>
      </c>
      <c r="C469" t="s">
        <v>1183</v>
      </c>
      <c r="D469" t="s">
        <v>1184</v>
      </c>
      <c r="E469" t="s">
        <v>1185</v>
      </c>
      <c r="F469" t="s">
        <v>198</v>
      </c>
      <c r="G469" t="s">
        <v>233</v>
      </c>
      <c r="H469" t="s">
        <v>233</v>
      </c>
      <c r="I469" s="49">
        <v>45229</v>
      </c>
      <c r="J469" s="49">
        <v>45231</v>
      </c>
      <c r="K469" t="s">
        <v>1186</v>
      </c>
      <c r="L469" s="49">
        <v>45231</v>
      </c>
      <c r="M469" s="49">
        <v>45231</v>
      </c>
      <c r="N469" t="s">
        <v>110</v>
      </c>
      <c r="O469" t="s">
        <v>107</v>
      </c>
      <c r="P469">
        <f>VLOOKUP(N469,[1]ID_Cidades!$A$1:$E$5900,2,FALSE)</f>
        <v>295763</v>
      </c>
      <c r="Q469">
        <f>VLOOKUP(O469,[1]ID_Cidades!$A$1:$E$5900,2,FALSE)</f>
        <v>295765</v>
      </c>
      <c r="R469">
        <f t="shared" si="14"/>
        <v>87476343695</v>
      </c>
      <c r="S469" s="42">
        <f>VLOOKUP(R469,'[1]GCD base'!$A$1:$M$200,7,FALSE)</f>
        <v>1713.419991</v>
      </c>
      <c r="T469" t="s">
        <v>109</v>
      </c>
      <c r="U469" t="s">
        <v>201</v>
      </c>
      <c r="V469" t="s">
        <v>202</v>
      </c>
      <c r="W469" t="s">
        <v>203</v>
      </c>
      <c r="X469" t="s">
        <v>204</v>
      </c>
      <c r="Y469">
        <v>958.12</v>
      </c>
      <c r="Z469">
        <v>0</v>
      </c>
      <c r="AA469">
        <v>2795.4</v>
      </c>
      <c r="AB469">
        <v>45.09</v>
      </c>
      <c r="AC469" s="49">
        <v>45191</v>
      </c>
      <c r="AD469" s="116" t="s">
        <v>10</v>
      </c>
      <c r="AE469" s="113" t="str" cm="1">
        <f t="array" ref="AE469">_xlfn.IFS(S469&lt;=Constantes!$G$2,"Muito Curta (evitável)",S469&lt;=Constantes!$H$2,"Curta Distância",S469&gt;Constantes!$H$2,"Longa Distância")</f>
        <v>Curta Distância</v>
      </c>
      <c r="AF469" s="114">
        <f>IFERROR(VLOOKUP(AE469,Constantes!$A$1:$E$5,MATCH(AD469,Constantes!$A$1:$E$1,0),0),"")</f>
        <v>0.18286935436241611</v>
      </c>
      <c r="AG469" s="115">
        <f t="shared" si="15"/>
        <v>313.33200750582682</v>
      </c>
    </row>
    <row r="470" spans="1:33" x14ac:dyDescent="0.3">
      <c r="A470">
        <f>COUNTIF($B$2:B470,B470)</f>
        <v>2</v>
      </c>
      <c r="B470">
        <v>19317291</v>
      </c>
      <c r="C470" t="s">
        <v>1183</v>
      </c>
      <c r="D470" t="s">
        <v>1184</v>
      </c>
      <c r="E470" t="s">
        <v>1185</v>
      </c>
      <c r="F470" t="s">
        <v>198</v>
      </c>
      <c r="G470" t="s">
        <v>233</v>
      </c>
      <c r="H470" t="s">
        <v>233</v>
      </c>
      <c r="I470" s="49">
        <v>45229</v>
      </c>
      <c r="J470" s="49">
        <v>45231</v>
      </c>
      <c r="K470" t="s">
        <v>1186</v>
      </c>
      <c r="L470" s="49">
        <v>45229</v>
      </c>
      <c r="M470" s="49">
        <v>45231</v>
      </c>
      <c r="N470" t="s">
        <v>107</v>
      </c>
      <c r="O470" t="s">
        <v>110</v>
      </c>
      <c r="P470">
        <f>VLOOKUP(N470,[1]ID_Cidades!$A$1:$E$5900,2,FALSE)</f>
        <v>295765</v>
      </c>
      <c r="Q470">
        <f>VLOOKUP(O470,[1]ID_Cidades!$A$1:$E$5900,2,FALSE)</f>
        <v>295763</v>
      </c>
      <c r="R470">
        <f t="shared" si="14"/>
        <v>87476343695</v>
      </c>
      <c r="S470" s="42">
        <f>VLOOKUP(R470,'[1]GCD base'!$A$1:$M$200,7,FALSE)</f>
        <v>1713.419991</v>
      </c>
      <c r="T470" t="s">
        <v>109</v>
      </c>
      <c r="U470" t="s">
        <v>205</v>
      </c>
      <c r="V470" t="s">
        <v>202</v>
      </c>
      <c r="W470" t="s">
        <v>203</v>
      </c>
      <c r="X470" t="s">
        <v>204</v>
      </c>
      <c r="Y470">
        <v>0</v>
      </c>
      <c r="Z470">
        <v>0</v>
      </c>
      <c r="AA470">
        <v>0</v>
      </c>
      <c r="AB470">
        <v>0</v>
      </c>
      <c r="AC470">
        <v>0</v>
      </c>
      <c r="AD470" s="116" t="s">
        <v>10</v>
      </c>
      <c r="AE470" s="113" t="str" cm="1">
        <f t="array" ref="AE470">_xlfn.IFS(S470&lt;=Constantes!$G$2,"Muito Curta (evitável)",S470&lt;=Constantes!$H$2,"Curta Distância",S470&gt;Constantes!$H$2,"Longa Distância")</f>
        <v>Curta Distância</v>
      </c>
      <c r="AF470" s="114">
        <f>IFERROR(VLOOKUP(AE470,Constantes!$A$1:$E$5,MATCH(AD470,Constantes!$A$1:$E$1,0),0),"")</f>
        <v>0.18286935436241611</v>
      </c>
      <c r="AG470" s="115">
        <f t="shared" si="15"/>
        <v>313.33200750582682</v>
      </c>
    </row>
    <row r="471" spans="1:33" x14ac:dyDescent="0.3">
      <c r="A471">
        <f>COUNTIF($B$2:B471,B471)</f>
        <v>1</v>
      </c>
      <c r="B471">
        <v>19345403</v>
      </c>
      <c r="C471" t="s">
        <v>1305</v>
      </c>
      <c r="D471" t="s">
        <v>218</v>
      </c>
      <c r="E471" t="s">
        <v>1306</v>
      </c>
      <c r="F471" t="s">
        <v>218</v>
      </c>
      <c r="G471" t="s">
        <v>207</v>
      </c>
      <c r="H471" t="s">
        <v>204</v>
      </c>
      <c r="I471" s="49">
        <v>45229</v>
      </c>
      <c r="J471" s="49">
        <v>45276</v>
      </c>
      <c r="K471" t="s">
        <v>1307</v>
      </c>
      <c r="L471" s="49">
        <v>45275</v>
      </c>
      <c r="M471" s="49">
        <v>45276</v>
      </c>
      <c r="N471" t="s">
        <v>135</v>
      </c>
      <c r="O471" t="s">
        <v>107</v>
      </c>
      <c r="P471">
        <f>VLOOKUP(N471,[1]ID_Cidades!$A$1:$E$5900,2,FALSE)</f>
        <v>314531</v>
      </c>
      <c r="Q471">
        <f>VLOOKUP(O471,[1]ID_Cidades!$A$1:$E$5900,2,FALSE)</f>
        <v>295765</v>
      </c>
      <c r="R471">
        <f t="shared" si="14"/>
        <v>93027261215</v>
      </c>
      <c r="S471" s="42">
        <f>VLOOKUP(R471,'[1]GCD base'!$A$1:$M$200,7,FALSE)</f>
        <v>5761.6142650000002</v>
      </c>
      <c r="T471" t="s">
        <v>109</v>
      </c>
      <c r="U471" t="s">
        <v>201</v>
      </c>
      <c r="V471" t="s">
        <v>202</v>
      </c>
      <c r="W471" t="s">
        <v>210</v>
      </c>
      <c r="X471" t="s">
        <v>1308</v>
      </c>
      <c r="Y471">
        <v>0</v>
      </c>
      <c r="Z471">
        <v>1791.96</v>
      </c>
      <c r="AA471">
        <v>9215.41</v>
      </c>
      <c r="AB471">
        <v>0</v>
      </c>
      <c r="AC471" s="49">
        <v>45219</v>
      </c>
      <c r="AD471" s="116" t="s">
        <v>10</v>
      </c>
      <c r="AE471" s="113" t="str" cm="1">
        <f t="array" ref="AE471">_xlfn.IFS(S471&lt;=Constantes!$G$2,"Muito Curta (evitável)",S471&lt;=Constantes!$H$2,"Curta Distância",S471&gt;Constantes!$H$2,"Longa Distância")</f>
        <v>Longa Distância</v>
      </c>
      <c r="AF471" s="114">
        <f>IFERROR(VLOOKUP(AE471,Constantes!$A$1:$E$5,MATCH(AD471,Constantes!$A$1:$E$1,0),0),"")</f>
        <v>0.20010828053691276</v>
      </c>
      <c r="AG471" s="115">
        <f t="shared" si="15"/>
        <v>1152.9467236860985</v>
      </c>
    </row>
    <row r="472" spans="1:33" x14ac:dyDescent="0.3">
      <c r="A472">
        <f>COUNTIF($B$2:B472,B472)</f>
        <v>2</v>
      </c>
      <c r="B472">
        <v>19345403</v>
      </c>
      <c r="C472" t="s">
        <v>1305</v>
      </c>
      <c r="D472" t="s">
        <v>218</v>
      </c>
      <c r="E472" t="s">
        <v>1306</v>
      </c>
      <c r="F472" t="s">
        <v>218</v>
      </c>
      <c r="G472" t="s">
        <v>207</v>
      </c>
      <c r="H472" t="s">
        <v>204</v>
      </c>
      <c r="I472" s="49">
        <v>45229</v>
      </c>
      <c r="J472" s="49">
        <v>45276</v>
      </c>
      <c r="K472" t="s">
        <v>1307</v>
      </c>
      <c r="L472" s="49">
        <v>45229</v>
      </c>
      <c r="M472" s="49">
        <v>45275</v>
      </c>
      <c r="N472" t="s">
        <v>107</v>
      </c>
      <c r="O472" t="s">
        <v>135</v>
      </c>
      <c r="P472">
        <f>VLOOKUP(N472,[1]ID_Cidades!$A$1:$E$5900,2,FALSE)</f>
        <v>295765</v>
      </c>
      <c r="Q472">
        <f>VLOOKUP(O472,[1]ID_Cidades!$A$1:$E$5900,2,FALSE)</f>
        <v>314531</v>
      </c>
      <c r="R472">
        <f t="shared" si="14"/>
        <v>93027261215</v>
      </c>
      <c r="S472" s="42">
        <f>VLOOKUP(R472,'[1]GCD base'!$A$1:$M$200,7,FALSE)</f>
        <v>5761.6142650000002</v>
      </c>
      <c r="T472" t="s">
        <v>109</v>
      </c>
      <c r="U472" t="s">
        <v>205</v>
      </c>
      <c r="V472" t="s">
        <v>202</v>
      </c>
      <c r="W472" t="s">
        <v>210</v>
      </c>
      <c r="X472" t="s">
        <v>1308</v>
      </c>
      <c r="Y472">
        <v>0</v>
      </c>
      <c r="Z472">
        <v>0</v>
      </c>
      <c r="AA472">
        <v>0</v>
      </c>
      <c r="AB472">
        <v>0</v>
      </c>
      <c r="AC472">
        <v>0</v>
      </c>
      <c r="AD472" s="116" t="s">
        <v>10</v>
      </c>
      <c r="AE472" s="113" t="str" cm="1">
        <f t="array" ref="AE472">_xlfn.IFS(S472&lt;=Constantes!$G$2,"Muito Curta (evitável)",S472&lt;=Constantes!$H$2,"Curta Distância",S472&gt;Constantes!$H$2,"Longa Distância")</f>
        <v>Longa Distância</v>
      </c>
      <c r="AF472" s="114">
        <f>IFERROR(VLOOKUP(AE472,Constantes!$A$1:$E$5,MATCH(AD472,Constantes!$A$1:$E$1,0),0),"")</f>
        <v>0.20010828053691276</v>
      </c>
      <c r="AG472" s="115">
        <f t="shared" si="15"/>
        <v>1152.9467236860985</v>
      </c>
    </row>
    <row r="473" spans="1:33" x14ac:dyDescent="0.3">
      <c r="A473">
        <f>COUNTIF($B$2:B473,B473)</f>
        <v>1</v>
      </c>
      <c r="B473">
        <v>19386044</v>
      </c>
      <c r="C473" t="s">
        <v>1456</v>
      </c>
      <c r="D473" t="s">
        <v>218</v>
      </c>
      <c r="E473" t="s">
        <v>1457</v>
      </c>
      <c r="F473" t="s">
        <v>218</v>
      </c>
      <c r="G473" t="s">
        <v>207</v>
      </c>
      <c r="H473" t="s">
        <v>204</v>
      </c>
      <c r="I473" s="49">
        <v>45229</v>
      </c>
      <c r="J473" s="49">
        <v>45276</v>
      </c>
      <c r="K473" t="s">
        <v>1307</v>
      </c>
      <c r="L473" s="49">
        <v>45275</v>
      </c>
      <c r="M473" s="49">
        <v>45276</v>
      </c>
      <c r="N473" t="s">
        <v>135</v>
      </c>
      <c r="O473" t="s">
        <v>107</v>
      </c>
      <c r="P473">
        <f>VLOOKUP(N473,[1]ID_Cidades!$A$1:$E$5900,2,FALSE)</f>
        <v>314531</v>
      </c>
      <c r="Q473">
        <f>VLOOKUP(O473,[1]ID_Cidades!$A$1:$E$5900,2,FALSE)</f>
        <v>295765</v>
      </c>
      <c r="R473">
        <f t="shared" si="14"/>
        <v>93027261215</v>
      </c>
      <c r="S473" s="42">
        <f>VLOOKUP(R473,'[1]GCD base'!$A$1:$M$200,7,FALSE)</f>
        <v>5761.6142650000002</v>
      </c>
      <c r="T473" t="s">
        <v>109</v>
      </c>
      <c r="U473" t="s">
        <v>201</v>
      </c>
      <c r="V473" t="s">
        <v>202</v>
      </c>
      <c r="W473" t="s">
        <v>210</v>
      </c>
      <c r="X473" t="s">
        <v>1308</v>
      </c>
      <c r="Y473">
        <v>0</v>
      </c>
      <c r="Z473">
        <v>1791.96</v>
      </c>
      <c r="AA473">
        <v>9215.41</v>
      </c>
      <c r="AB473">
        <v>0</v>
      </c>
      <c r="AC473" s="49">
        <v>45219</v>
      </c>
      <c r="AD473" s="116" t="s">
        <v>10</v>
      </c>
      <c r="AE473" s="113" t="str" cm="1">
        <f t="array" ref="AE473">_xlfn.IFS(S473&lt;=Constantes!$G$2,"Muito Curta (evitável)",S473&lt;=Constantes!$H$2,"Curta Distância",S473&gt;Constantes!$H$2,"Longa Distância")</f>
        <v>Longa Distância</v>
      </c>
      <c r="AF473" s="114">
        <f>IFERROR(VLOOKUP(AE473,Constantes!$A$1:$E$5,MATCH(AD473,Constantes!$A$1:$E$1,0),0),"")</f>
        <v>0.20010828053691276</v>
      </c>
      <c r="AG473" s="115">
        <f t="shared" si="15"/>
        <v>1152.9467236860985</v>
      </c>
    </row>
    <row r="474" spans="1:33" x14ac:dyDescent="0.3">
      <c r="A474">
        <f>COUNTIF($B$2:B474,B474)</f>
        <v>2</v>
      </c>
      <c r="B474">
        <v>19386044</v>
      </c>
      <c r="C474" t="s">
        <v>1456</v>
      </c>
      <c r="D474" t="s">
        <v>218</v>
      </c>
      <c r="E474" t="s">
        <v>1457</v>
      </c>
      <c r="F474" t="s">
        <v>218</v>
      </c>
      <c r="G474" t="s">
        <v>207</v>
      </c>
      <c r="H474" t="s">
        <v>204</v>
      </c>
      <c r="I474" s="49">
        <v>45229</v>
      </c>
      <c r="J474" s="49">
        <v>45276</v>
      </c>
      <c r="K474" t="s">
        <v>1307</v>
      </c>
      <c r="L474" s="49">
        <v>45229</v>
      </c>
      <c r="M474" s="49">
        <v>45275</v>
      </c>
      <c r="N474" t="s">
        <v>107</v>
      </c>
      <c r="O474" t="s">
        <v>135</v>
      </c>
      <c r="P474">
        <f>VLOOKUP(N474,[1]ID_Cidades!$A$1:$E$5900,2,FALSE)</f>
        <v>295765</v>
      </c>
      <c r="Q474">
        <f>VLOOKUP(O474,[1]ID_Cidades!$A$1:$E$5900,2,FALSE)</f>
        <v>314531</v>
      </c>
      <c r="R474">
        <f t="shared" si="14"/>
        <v>93027261215</v>
      </c>
      <c r="S474" s="42">
        <f>VLOOKUP(R474,'[1]GCD base'!$A$1:$M$200,7,FALSE)</f>
        <v>5761.6142650000002</v>
      </c>
      <c r="T474" t="s">
        <v>109</v>
      </c>
      <c r="U474" t="s">
        <v>205</v>
      </c>
      <c r="V474" t="s">
        <v>202</v>
      </c>
      <c r="W474" t="s">
        <v>210</v>
      </c>
      <c r="X474" t="s">
        <v>1308</v>
      </c>
      <c r="Y474">
        <v>0</v>
      </c>
      <c r="Z474">
        <v>0</v>
      </c>
      <c r="AA474">
        <v>0</v>
      </c>
      <c r="AB474">
        <v>0</v>
      </c>
      <c r="AC474">
        <v>0</v>
      </c>
      <c r="AD474" s="116" t="s">
        <v>10</v>
      </c>
      <c r="AE474" s="113" t="str" cm="1">
        <f t="array" ref="AE474">_xlfn.IFS(S474&lt;=Constantes!$G$2,"Muito Curta (evitável)",S474&lt;=Constantes!$H$2,"Curta Distância",S474&gt;Constantes!$H$2,"Longa Distância")</f>
        <v>Longa Distância</v>
      </c>
      <c r="AF474" s="114">
        <f>IFERROR(VLOOKUP(AE474,Constantes!$A$1:$E$5,MATCH(AD474,Constantes!$A$1:$E$1,0),0),"")</f>
        <v>0.20010828053691276</v>
      </c>
      <c r="AG474" s="115">
        <f t="shared" si="15"/>
        <v>1152.9467236860985</v>
      </c>
    </row>
    <row r="475" spans="1:33" x14ac:dyDescent="0.3">
      <c r="A475">
        <f>COUNTIF($B$2:B475,B475)</f>
        <v>1</v>
      </c>
      <c r="B475">
        <v>19386587</v>
      </c>
      <c r="C475" t="s">
        <v>1458</v>
      </c>
      <c r="D475" t="s">
        <v>218</v>
      </c>
      <c r="E475" t="s">
        <v>1459</v>
      </c>
      <c r="F475" t="s">
        <v>218</v>
      </c>
      <c r="G475" t="s">
        <v>207</v>
      </c>
      <c r="H475" t="s">
        <v>204</v>
      </c>
      <c r="I475" s="49">
        <v>45229</v>
      </c>
      <c r="J475" s="49">
        <v>45276</v>
      </c>
      <c r="K475" t="s">
        <v>1307</v>
      </c>
      <c r="L475" s="49">
        <v>45275</v>
      </c>
      <c r="M475" s="49">
        <v>45276</v>
      </c>
      <c r="N475" t="s">
        <v>135</v>
      </c>
      <c r="O475" t="s">
        <v>107</v>
      </c>
      <c r="P475">
        <f>VLOOKUP(N475,[1]ID_Cidades!$A$1:$E$5900,2,FALSE)</f>
        <v>314531</v>
      </c>
      <c r="Q475">
        <f>VLOOKUP(O475,[1]ID_Cidades!$A$1:$E$5900,2,FALSE)</f>
        <v>295765</v>
      </c>
      <c r="R475">
        <f t="shared" si="14"/>
        <v>93027261215</v>
      </c>
      <c r="S475" s="42">
        <f>VLOOKUP(R475,'[1]GCD base'!$A$1:$M$200,7,FALSE)</f>
        <v>5761.6142650000002</v>
      </c>
      <c r="T475" t="s">
        <v>109</v>
      </c>
      <c r="U475" t="s">
        <v>201</v>
      </c>
      <c r="V475" t="s">
        <v>202</v>
      </c>
      <c r="W475" t="s">
        <v>210</v>
      </c>
      <c r="X475" t="s">
        <v>1308</v>
      </c>
      <c r="Y475">
        <v>0</v>
      </c>
      <c r="Z475">
        <v>1791.96</v>
      </c>
      <c r="AA475">
        <v>9215.36</v>
      </c>
      <c r="AB475">
        <v>0</v>
      </c>
      <c r="AC475" s="49">
        <v>45219</v>
      </c>
      <c r="AD475" s="116" t="s">
        <v>10</v>
      </c>
      <c r="AE475" s="113" t="str" cm="1">
        <f t="array" ref="AE475">_xlfn.IFS(S475&lt;=Constantes!$G$2,"Muito Curta (evitável)",S475&lt;=Constantes!$H$2,"Curta Distância",S475&gt;Constantes!$H$2,"Longa Distância")</f>
        <v>Longa Distância</v>
      </c>
      <c r="AF475" s="114">
        <f>IFERROR(VLOOKUP(AE475,Constantes!$A$1:$E$5,MATCH(AD475,Constantes!$A$1:$E$1,0),0),"")</f>
        <v>0.20010828053691276</v>
      </c>
      <c r="AG475" s="115">
        <f t="shared" si="15"/>
        <v>1152.9467236860985</v>
      </c>
    </row>
    <row r="476" spans="1:33" x14ac:dyDescent="0.3">
      <c r="A476">
        <f>COUNTIF($B$2:B476,B476)</f>
        <v>2</v>
      </c>
      <c r="B476">
        <v>19386587</v>
      </c>
      <c r="C476" t="s">
        <v>1458</v>
      </c>
      <c r="D476" t="s">
        <v>218</v>
      </c>
      <c r="E476" t="s">
        <v>1459</v>
      </c>
      <c r="F476" t="s">
        <v>218</v>
      </c>
      <c r="G476" t="s">
        <v>207</v>
      </c>
      <c r="H476" t="s">
        <v>204</v>
      </c>
      <c r="I476" s="49">
        <v>45229</v>
      </c>
      <c r="J476" s="49">
        <v>45276</v>
      </c>
      <c r="K476" t="s">
        <v>1307</v>
      </c>
      <c r="L476" s="49">
        <v>45229</v>
      </c>
      <c r="M476" s="49">
        <v>45275</v>
      </c>
      <c r="N476" t="s">
        <v>107</v>
      </c>
      <c r="O476" t="s">
        <v>135</v>
      </c>
      <c r="P476">
        <f>VLOOKUP(N476,[1]ID_Cidades!$A$1:$E$5900,2,FALSE)</f>
        <v>295765</v>
      </c>
      <c r="Q476">
        <f>VLOOKUP(O476,[1]ID_Cidades!$A$1:$E$5900,2,FALSE)</f>
        <v>314531</v>
      </c>
      <c r="R476">
        <f t="shared" si="14"/>
        <v>93027261215</v>
      </c>
      <c r="S476" s="42">
        <f>VLOOKUP(R476,'[1]GCD base'!$A$1:$M$200,7,FALSE)</f>
        <v>5761.6142650000002</v>
      </c>
      <c r="T476" t="s">
        <v>109</v>
      </c>
      <c r="U476" t="s">
        <v>205</v>
      </c>
      <c r="V476" t="s">
        <v>202</v>
      </c>
      <c r="W476" t="s">
        <v>210</v>
      </c>
      <c r="X476" t="s">
        <v>1308</v>
      </c>
      <c r="Y476">
        <v>0</v>
      </c>
      <c r="Z476">
        <v>0</v>
      </c>
      <c r="AA476">
        <v>0</v>
      </c>
      <c r="AB476">
        <v>0</v>
      </c>
      <c r="AC476">
        <v>0</v>
      </c>
      <c r="AD476" s="116" t="s">
        <v>10</v>
      </c>
      <c r="AE476" s="113" t="str" cm="1">
        <f t="array" ref="AE476">_xlfn.IFS(S476&lt;=Constantes!$G$2,"Muito Curta (evitável)",S476&lt;=Constantes!$H$2,"Curta Distância",S476&gt;Constantes!$H$2,"Longa Distância")</f>
        <v>Longa Distância</v>
      </c>
      <c r="AF476" s="114">
        <f>IFERROR(VLOOKUP(AE476,Constantes!$A$1:$E$5,MATCH(AD476,Constantes!$A$1:$E$1,0),0),"")</f>
        <v>0.20010828053691276</v>
      </c>
      <c r="AG476" s="115">
        <f t="shared" si="15"/>
        <v>1152.9467236860985</v>
      </c>
    </row>
    <row r="477" spans="1:33" x14ac:dyDescent="0.3">
      <c r="A477">
        <f>COUNTIF($B$2:B477,B477)</f>
        <v>1</v>
      </c>
      <c r="B477">
        <v>19386794</v>
      </c>
      <c r="C477" t="s">
        <v>1460</v>
      </c>
      <c r="D477" t="s">
        <v>218</v>
      </c>
      <c r="E477" t="s">
        <v>1461</v>
      </c>
      <c r="F477" t="s">
        <v>218</v>
      </c>
      <c r="G477" t="s">
        <v>207</v>
      </c>
      <c r="H477" t="s">
        <v>204</v>
      </c>
      <c r="I477" s="49">
        <v>45229</v>
      </c>
      <c r="J477" s="49">
        <v>45276</v>
      </c>
      <c r="K477" t="s">
        <v>1307</v>
      </c>
      <c r="L477" s="49">
        <v>45229</v>
      </c>
      <c r="M477" s="49">
        <v>45275</v>
      </c>
      <c r="N477" t="s">
        <v>107</v>
      </c>
      <c r="O477" t="s">
        <v>135</v>
      </c>
      <c r="P477">
        <f>VLOOKUP(N477,[1]ID_Cidades!$A$1:$E$5900,2,FALSE)</f>
        <v>295765</v>
      </c>
      <c r="Q477">
        <f>VLOOKUP(O477,[1]ID_Cidades!$A$1:$E$5900,2,FALSE)</f>
        <v>314531</v>
      </c>
      <c r="R477">
        <f t="shared" si="14"/>
        <v>93027261215</v>
      </c>
      <c r="S477" s="42">
        <f>VLOOKUP(R477,'[1]GCD base'!$A$1:$M$200,7,FALSE)</f>
        <v>5761.6142650000002</v>
      </c>
      <c r="T477" t="s">
        <v>109</v>
      </c>
      <c r="U477" t="s">
        <v>205</v>
      </c>
      <c r="V477" t="s">
        <v>202</v>
      </c>
      <c r="W477" t="s">
        <v>210</v>
      </c>
      <c r="X477" t="s">
        <v>1308</v>
      </c>
      <c r="Y477">
        <v>0</v>
      </c>
      <c r="Z477">
        <v>1791.96</v>
      </c>
      <c r="AA477">
        <v>9215.41</v>
      </c>
      <c r="AB477">
        <v>0</v>
      </c>
      <c r="AC477" s="49">
        <v>45219</v>
      </c>
      <c r="AD477" s="116" t="s">
        <v>10</v>
      </c>
      <c r="AE477" s="113" t="str" cm="1">
        <f t="array" ref="AE477">_xlfn.IFS(S477&lt;=Constantes!$G$2,"Muito Curta (evitável)",S477&lt;=Constantes!$H$2,"Curta Distância",S477&gt;Constantes!$H$2,"Longa Distância")</f>
        <v>Longa Distância</v>
      </c>
      <c r="AF477" s="114">
        <f>IFERROR(VLOOKUP(AE477,Constantes!$A$1:$E$5,MATCH(AD477,Constantes!$A$1:$E$1,0),0),"")</f>
        <v>0.20010828053691276</v>
      </c>
      <c r="AG477" s="115">
        <f t="shared" si="15"/>
        <v>1152.9467236860985</v>
      </c>
    </row>
    <row r="478" spans="1:33" x14ac:dyDescent="0.3">
      <c r="A478">
        <f>COUNTIF($B$2:B478,B478)</f>
        <v>2</v>
      </c>
      <c r="B478">
        <v>19386794</v>
      </c>
      <c r="C478" t="s">
        <v>1460</v>
      </c>
      <c r="D478" t="s">
        <v>218</v>
      </c>
      <c r="E478" t="s">
        <v>1461</v>
      </c>
      <c r="F478" t="s">
        <v>218</v>
      </c>
      <c r="G478" t="s">
        <v>207</v>
      </c>
      <c r="H478" t="s">
        <v>204</v>
      </c>
      <c r="I478" s="49">
        <v>45229</v>
      </c>
      <c r="J478" s="49">
        <v>45276</v>
      </c>
      <c r="K478" t="s">
        <v>1307</v>
      </c>
      <c r="L478" s="49">
        <v>45275</v>
      </c>
      <c r="M478" s="49">
        <v>45276</v>
      </c>
      <c r="N478" t="s">
        <v>135</v>
      </c>
      <c r="O478" t="s">
        <v>107</v>
      </c>
      <c r="P478">
        <f>VLOOKUP(N478,[1]ID_Cidades!$A$1:$E$5900,2,FALSE)</f>
        <v>314531</v>
      </c>
      <c r="Q478">
        <f>VLOOKUP(O478,[1]ID_Cidades!$A$1:$E$5900,2,FALSE)</f>
        <v>295765</v>
      </c>
      <c r="R478">
        <f t="shared" si="14"/>
        <v>93027261215</v>
      </c>
      <c r="S478" s="42">
        <f>VLOOKUP(R478,'[1]GCD base'!$A$1:$M$200,7,FALSE)</f>
        <v>5761.6142650000002</v>
      </c>
      <c r="T478" t="s">
        <v>109</v>
      </c>
      <c r="U478" t="s">
        <v>201</v>
      </c>
      <c r="V478" t="s">
        <v>202</v>
      </c>
      <c r="W478" t="s">
        <v>210</v>
      </c>
      <c r="X478" t="s">
        <v>1308</v>
      </c>
      <c r="Y478">
        <v>0</v>
      </c>
      <c r="Z478">
        <v>0</v>
      </c>
      <c r="AA478">
        <v>0</v>
      </c>
      <c r="AB478">
        <v>0</v>
      </c>
      <c r="AC478">
        <v>0</v>
      </c>
      <c r="AD478" s="116" t="s">
        <v>10</v>
      </c>
      <c r="AE478" s="113" t="str" cm="1">
        <f t="array" ref="AE478">_xlfn.IFS(S478&lt;=Constantes!$G$2,"Muito Curta (evitável)",S478&lt;=Constantes!$H$2,"Curta Distância",S478&gt;Constantes!$H$2,"Longa Distância")</f>
        <v>Longa Distância</v>
      </c>
      <c r="AF478" s="114">
        <f>IFERROR(VLOOKUP(AE478,Constantes!$A$1:$E$5,MATCH(AD478,Constantes!$A$1:$E$1,0),0),"")</f>
        <v>0.20010828053691276</v>
      </c>
      <c r="AG478" s="115">
        <f t="shared" si="15"/>
        <v>1152.9467236860985</v>
      </c>
    </row>
    <row r="479" spans="1:33" x14ac:dyDescent="0.3">
      <c r="A479">
        <f>COUNTIF($B$2:B479,B479)</f>
        <v>1</v>
      </c>
      <c r="B479">
        <v>19261081</v>
      </c>
      <c r="C479" t="s">
        <v>911</v>
      </c>
      <c r="D479" t="s">
        <v>912</v>
      </c>
      <c r="E479" t="s">
        <v>913</v>
      </c>
      <c r="F479" t="s">
        <v>198</v>
      </c>
      <c r="G479" t="s">
        <v>207</v>
      </c>
      <c r="H479" t="s">
        <v>204</v>
      </c>
      <c r="I479" s="49">
        <v>45230</v>
      </c>
      <c r="J479" s="49">
        <v>45236</v>
      </c>
      <c r="K479" t="s">
        <v>914</v>
      </c>
      <c r="L479" s="49">
        <v>45230</v>
      </c>
      <c r="M479" s="49">
        <v>45235</v>
      </c>
      <c r="N479" t="s">
        <v>107</v>
      </c>
      <c r="O479" t="s">
        <v>116</v>
      </c>
      <c r="P479">
        <f>VLOOKUP(N479,[1]ID_Cidades!$A$1:$E$5900,2,FALSE)</f>
        <v>295765</v>
      </c>
      <c r="Q479">
        <f>VLOOKUP(O479,[1]ID_Cidades!$A$1:$E$5900,2,FALSE)</f>
        <v>295778</v>
      </c>
      <c r="R479">
        <f t="shared" si="14"/>
        <v>87480780170</v>
      </c>
      <c r="S479" s="42">
        <f>VLOOKUP(R479,'[1]GCD base'!$A$1:$M$200,7,FALSE)</f>
        <v>1961.5007860000001</v>
      </c>
      <c r="T479" t="s">
        <v>109</v>
      </c>
      <c r="U479" t="s">
        <v>205</v>
      </c>
      <c r="V479" t="s">
        <v>202</v>
      </c>
      <c r="W479" t="s">
        <v>203</v>
      </c>
      <c r="X479" t="s">
        <v>204</v>
      </c>
      <c r="Y479">
        <v>2452.77</v>
      </c>
      <c r="Z479">
        <v>0</v>
      </c>
      <c r="AA479">
        <v>1110.5</v>
      </c>
      <c r="AB479">
        <v>0</v>
      </c>
      <c r="AC479" s="49">
        <v>45180</v>
      </c>
      <c r="AD479" s="116" t="s">
        <v>10</v>
      </c>
      <c r="AE479" s="113" t="str" cm="1">
        <f t="array" ref="AE479">_xlfn.IFS(S479&lt;=Constantes!$G$2,"Muito Curta (evitável)",S479&lt;=Constantes!$H$2,"Curta Distância",S479&gt;Constantes!$H$2,"Longa Distância")</f>
        <v>Curta Distância</v>
      </c>
      <c r="AF479" s="114">
        <f>IFERROR(VLOOKUP(AE479,Constantes!$A$1:$E$5,MATCH(AD479,Constantes!$A$1:$E$1,0),0),"")</f>
        <v>0.18286935436241611</v>
      </c>
      <c r="AG479" s="115">
        <f t="shared" si="15"/>
        <v>358.69838231719172</v>
      </c>
    </row>
    <row r="480" spans="1:33" x14ac:dyDescent="0.3">
      <c r="A480">
        <f>COUNTIF($B$2:B480,B480)</f>
        <v>2</v>
      </c>
      <c r="B480">
        <v>19261081</v>
      </c>
      <c r="C480" t="s">
        <v>911</v>
      </c>
      <c r="D480" t="s">
        <v>912</v>
      </c>
      <c r="E480" t="s">
        <v>913</v>
      </c>
      <c r="F480" t="s">
        <v>198</v>
      </c>
      <c r="G480" t="s">
        <v>207</v>
      </c>
      <c r="H480" t="s">
        <v>204</v>
      </c>
      <c r="I480" s="49">
        <v>45230</v>
      </c>
      <c r="J480" s="49">
        <v>45236</v>
      </c>
      <c r="K480" t="s">
        <v>914</v>
      </c>
      <c r="L480" s="49">
        <v>45235</v>
      </c>
      <c r="M480" s="49">
        <v>45236</v>
      </c>
      <c r="N480" t="s">
        <v>116</v>
      </c>
      <c r="O480" t="s">
        <v>107</v>
      </c>
      <c r="P480">
        <f>VLOOKUP(N480,[1]ID_Cidades!$A$1:$E$5900,2,FALSE)</f>
        <v>295778</v>
      </c>
      <c r="Q480">
        <f>VLOOKUP(O480,[1]ID_Cidades!$A$1:$E$5900,2,FALSE)</f>
        <v>295765</v>
      </c>
      <c r="R480">
        <f t="shared" si="14"/>
        <v>87480780170</v>
      </c>
      <c r="S480" s="42">
        <f>VLOOKUP(R480,'[1]GCD base'!$A$1:$M$200,7,FALSE)</f>
        <v>1961.5007860000001</v>
      </c>
      <c r="T480" t="s">
        <v>109</v>
      </c>
      <c r="U480" t="s">
        <v>201</v>
      </c>
      <c r="V480" t="s">
        <v>202</v>
      </c>
      <c r="W480" t="s">
        <v>203</v>
      </c>
      <c r="X480" t="s">
        <v>204</v>
      </c>
      <c r="Y480">
        <v>0</v>
      </c>
      <c r="Z480">
        <v>0</v>
      </c>
      <c r="AA480">
        <v>1113.79</v>
      </c>
      <c r="AB480">
        <v>0</v>
      </c>
      <c r="AC480" s="49">
        <v>45180</v>
      </c>
      <c r="AD480" s="116" t="s">
        <v>10</v>
      </c>
      <c r="AE480" s="113" t="str" cm="1">
        <f t="array" ref="AE480">_xlfn.IFS(S480&lt;=Constantes!$G$2,"Muito Curta (evitável)",S480&lt;=Constantes!$H$2,"Curta Distância",S480&gt;Constantes!$H$2,"Longa Distância")</f>
        <v>Curta Distância</v>
      </c>
      <c r="AF480" s="114">
        <f>IFERROR(VLOOKUP(AE480,Constantes!$A$1:$E$5,MATCH(AD480,Constantes!$A$1:$E$1,0),0),"")</f>
        <v>0.18286935436241611</v>
      </c>
      <c r="AG480" s="115">
        <f t="shared" si="15"/>
        <v>358.69838231719172</v>
      </c>
    </row>
    <row r="481" spans="1:33" x14ac:dyDescent="0.3">
      <c r="A481">
        <f>COUNTIF($B$2:B481,B481)</f>
        <v>1</v>
      </c>
      <c r="B481">
        <v>19275186</v>
      </c>
      <c r="C481" t="s">
        <v>941</v>
      </c>
      <c r="D481" t="s">
        <v>942</v>
      </c>
      <c r="E481" t="s">
        <v>943</v>
      </c>
      <c r="F481" t="s">
        <v>198</v>
      </c>
      <c r="G481" t="s">
        <v>207</v>
      </c>
      <c r="H481" t="s">
        <v>204</v>
      </c>
      <c r="I481" s="49">
        <v>45230</v>
      </c>
      <c r="J481" s="49">
        <v>45236</v>
      </c>
      <c r="K481" t="s">
        <v>944</v>
      </c>
      <c r="L481" s="49">
        <v>45230</v>
      </c>
      <c r="M481" s="49">
        <v>45235</v>
      </c>
      <c r="N481" t="s">
        <v>107</v>
      </c>
      <c r="O481" t="s">
        <v>116</v>
      </c>
      <c r="P481">
        <f>VLOOKUP(N481,[1]ID_Cidades!$A$1:$E$5900,2,FALSE)</f>
        <v>295765</v>
      </c>
      <c r="Q481">
        <f>VLOOKUP(O481,[1]ID_Cidades!$A$1:$E$5900,2,FALSE)</f>
        <v>295778</v>
      </c>
      <c r="R481">
        <f t="shared" si="14"/>
        <v>87480780170</v>
      </c>
      <c r="S481" s="42">
        <f>VLOOKUP(R481,'[1]GCD base'!$A$1:$M$200,7,FALSE)</f>
        <v>1961.5007860000001</v>
      </c>
      <c r="T481" t="s">
        <v>109</v>
      </c>
      <c r="U481" t="s">
        <v>205</v>
      </c>
      <c r="V481" t="s">
        <v>202</v>
      </c>
      <c r="W481" t="s">
        <v>203</v>
      </c>
      <c r="X481" t="s">
        <v>204</v>
      </c>
      <c r="Y481">
        <v>95</v>
      </c>
      <c r="Z481">
        <v>0</v>
      </c>
      <c r="AA481">
        <v>1113.79</v>
      </c>
      <c r="AB481">
        <v>0</v>
      </c>
      <c r="AC481" s="49">
        <v>45182</v>
      </c>
      <c r="AD481" s="116" t="s">
        <v>10</v>
      </c>
      <c r="AE481" s="113" t="str" cm="1">
        <f t="array" ref="AE481">_xlfn.IFS(S481&lt;=Constantes!$G$2,"Muito Curta (evitável)",S481&lt;=Constantes!$H$2,"Curta Distância",S481&gt;Constantes!$H$2,"Longa Distância")</f>
        <v>Curta Distância</v>
      </c>
      <c r="AF481" s="114">
        <f>IFERROR(VLOOKUP(AE481,Constantes!$A$1:$E$5,MATCH(AD481,Constantes!$A$1:$E$1,0),0),"")</f>
        <v>0.18286935436241611</v>
      </c>
      <c r="AG481" s="115">
        <f t="shared" si="15"/>
        <v>358.69838231719172</v>
      </c>
    </row>
    <row r="482" spans="1:33" x14ac:dyDescent="0.3">
      <c r="A482">
        <f>COUNTIF($B$2:B482,B482)</f>
        <v>2</v>
      </c>
      <c r="B482">
        <v>19275186</v>
      </c>
      <c r="C482" t="s">
        <v>941</v>
      </c>
      <c r="D482" t="s">
        <v>942</v>
      </c>
      <c r="E482" t="s">
        <v>943</v>
      </c>
      <c r="F482" t="s">
        <v>198</v>
      </c>
      <c r="G482" t="s">
        <v>207</v>
      </c>
      <c r="H482" t="s">
        <v>204</v>
      </c>
      <c r="I482" s="49">
        <v>45230</v>
      </c>
      <c r="J482" s="49">
        <v>45236</v>
      </c>
      <c r="K482" t="s">
        <v>944</v>
      </c>
      <c r="L482" s="49">
        <v>45235</v>
      </c>
      <c r="M482" s="49">
        <v>45236</v>
      </c>
      <c r="N482" t="s">
        <v>116</v>
      </c>
      <c r="O482" t="s">
        <v>107</v>
      </c>
      <c r="P482">
        <f>VLOOKUP(N482,[1]ID_Cidades!$A$1:$E$5900,2,FALSE)</f>
        <v>295778</v>
      </c>
      <c r="Q482">
        <f>VLOOKUP(O482,[1]ID_Cidades!$A$1:$E$5900,2,FALSE)</f>
        <v>295765</v>
      </c>
      <c r="R482">
        <f t="shared" si="14"/>
        <v>87480780170</v>
      </c>
      <c r="S482" s="42">
        <f>VLOOKUP(R482,'[1]GCD base'!$A$1:$M$200,7,FALSE)</f>
        <v>1961.5007860000001</v>
      </c>
      <c r="T482" t="s">
        <v>109</v>
      </c>
      <c r="U482" t="s">
        <v>201</v>
      </c>
      <c r="V482" t="s">
        <v>202</v>
      </c>
      <c r="W482" t="s">
        <v>203</v>
      </c>
      <c r="X482" t="s">
        <v>204</v>
      </c>
      <c r="Y482">
        <v>0</v>
      </c>
      <c r="Z482">
        <v>0</v>
      </c>
      <c r="AA482">
        <v>1497.9</v>
      </c>
      <c r="AB482">
        <v>0</v>
      </c>
      <c r="AC482" s="49">
        <v>45182</v>
      </c>
      <c r="AD482" s="116" t="s">
        <v>10</v>
      </c>
      <c r="AE482" s="113" t="str" cm="1">
        <f t="array" ref="AE482">_xlfn.IFS(S482&lt;=Constantes!$G$2,"Muito Curta (evitável)",S482&lt;=Constantes!$H$2,"Curta Distância",S482&gt;Constantes!$H$2,"Longa Distância")</f>
        <v>Curta Distância</v>
      </c>
      <c r="AF482" s="114">
        <f>IFERROR(VLOOKUP(AE482,Constantes!$A$1:$E$5,MATCH(AD482,Constantes!$A$1:$E$1,0),0),"")</f>
        <v>0.18286935436241611</v>
      </c>
      <c r="AG482" s="115">
        <f t="shared" si="15"/>
        <v>358.69838231719172</v>
      </c>
    </row>
    <row r="483" spans="1:33" x14ac:dyDescent="0.3">
      <c r="A483">
        <f>COUNTIF($B$2:B483,B483)</f>
        <v>1</v>
      </c>
      <c r="B483">
        <v>19371558</v>
      </c>
      <c r="C483" t="s">
        <v>1382</v>
      </c>
      <c r="D483" t="s">
        <v>218</v>
      </c>
      <c r="E483" t="s">
        <v>1383</v>
      </c>
      <c r="F483" t="s">
        <v>218</v>
      </c>
      <c r="G483" t="s">
        <v>207</v>
      </c>
      <c r="H483" t="s">
        <v>204</v>
      </c>
      <c r="I483" s="49">
        <v>45230</v>
      </c>
      <c r="J483" s="49">
        <v>45235</v>
      </c>
      <c r="K483" t="s">
        <v>1384</v>
      </c>
      <c r="L483" s="49">
        <v>45230</v>
      </c>
      <c r="M483" s="49">
        <v>45235</v>
      </c>
      <c r="N483" t="s">
        <v>107</v>
      </c>
      <c r="O483" t="s">
        <v>115</v>
      </c>
      <c r="P483">
        <f>VLOOKUP(N483,[1]ID_Cidades!$A$1:$E$5900,2,FALSE)</f>
        <v>295765</v>
      </c>
      <c r="Q483">
        <f>VLOOKUP(O483,[1]ID_Cidades!$A$1:$E$5900,2,FALSE)</f>
        <v>295770</v>
      </c>
      <c r="R483">
        <f t="shared" si="14"/>
        <v>87478414050</v>
      </c>
      <c r="S483" s="42">
        <f>VLOOKUP(R483,'[1]GCD base'!$A$1:$M$200,7,FALSE)</f>
        <v>741.11941309999997</v>
      </c>
      <c r="T483" t="s">
        <v>109</v>
      </c>
      <c r="U483" t="s">
        <v>205</v>
      </c>
      <c r="V483" t="s">
        <v>202</v>
      </c>
      <c r="W483" t="s">
        <v>203</v>
      </c>
      <c r="X483" t="s">
        <v>204</v>
      </c>
      <c r="Y483">
        <v>0</v>
      </c>
      <c r="Z483">
        <v>0</v>
      </c>
      <c r="AA483">
        <v>837.49</v>
      </c>
      <c r="AB483">
        <v>0</v>
      </c>
      <c r="AC483" s="49">
        <v>45204</v>
      </c>
      <c r="AD483" s="116" t="s">
        <v>10</v>
      </c>
      <c r="AE483" s="113" t="str" cm="1">
        <f t="array" ref="AE483">_xlfn.IFS(S483&lt;=Constantes!$G$2,"Muito Curta (evitável)",S483&lt;=Constantes!$H$2,"Curta Distância",S483&gt;Constantes!$H$2,"Longa Distância")</f>
        <v>Curta Distância</v>
      </c>
      <c r="AF483" s="114">
        <f>IFERROR(VLOOKUP(AE483,Constantes!$A$1:$E$5,MATCH(AD483,Constantes!$A$1:$E$1,0),0),"")</f>
        <v>0.18286935436241611</v>
      </c>
      <c r="AG483" s="115">
        <f t="shared" si="15"/>
        <v>135.52802857904976</v>
      </c>
    </row>
    <row r="484" spans="1:33" x14ac:dyDescent="0.3">
      <c r="A484">
        <f>COUNTIF($B$2:B484,B484)</f>
        <v>2</v>
      </c>
      <c r="B484">
        <v>19371558</v>
      </c>
      <c r="C484" t="s">
        <v>1382</v>
      </c>
      <c r="D484" t="s">
        <v>218</v>
      </c>
      <c r="E484" t="s">
        <v>1383</v>
      </c>
      <c r="F484" t="s">
        <v>218</v>
      </c>
      <c r="G484" t="s">
        <v>207</v>
      </c>
      <c r="H484" t="s">
        <v>204</v>
      </c>
      <c r="I484" s="49">
        <v>45230</v>
      </c>
      <c r="J484" s="49">
        <v>45235</v>
      </c>
      <c r="K484" t="s">
        <v>1384</v>
      </c>
      <c r="L484" s="49">
        <v>45235</v>
      </c>
      <c r="M484" s="49">
        <v>45235</v>
      </c>
      <c r="N484" t="s">
        <v>115</v>
      </c>
      <c r="O484" t="s">
        <v>107</v>
      </c>
      <c r="P484">
        <f>VLOOKUP(N484,[1]ID_Cidades!$A$1:$E$5900,2,FALSE)</f>
        <v>295770</v>
      </c>
      <c r="Q484">
        <f>VLOOKUP(O484,[1]ID_Cidades!$A$1:$E$5900,2,FALSE)</f>
        <v>295765</v>
      </c>
      <c r="R484">
        <f t="shared" si="14"/>
        <v>87478414050</v>
      </c>
      <c r="S484" s="42">
        <f>VLOOKUP(R484,'[1]GCD base'!$A$1:$M$200,7,FALSE)</f>
        <v>741.11941309999997</v>
      </c>
      <c r="T484" t="s">
        <v>109</v>
      </c>
      <c r="U484" t="s">
        <v>201</v>
      </c>
      <c r="V484" t="s">
        <v>202</v>
      </c>
      <c r="W484" t="s">
        <v>203</v>
      </c>
      <c r="X484" t="s">
        <v>204</v>
      </c>
      <c r="Y484">
        <v>0</v>
      </c>
      <c r="Z484">
        <v>0</v>
      </c>
      <c r="AA484">
        <v>703.69</v>
      </c>
      <c r="AB484">
        <v>0</v>
      </c>
      <c r="AC484" s="49">
        <v>45204</v>
      </c>
      <c r="AD484" s="116" t="s">
        <v>10</v>
      </c>
      <c r="AE484" s="113" t="str" cm="1">
        <f t="array" ref="AE484">_xlfn.IFS(S484&lt;=Constantes!$G$2,"Muito Curta (evitável)",S484&lt;=Constantes!$H$2,"Curta Distância",S484&gt;Constantes!$H$2,"Longa Distância")</f>
        <v>Curta Distância</v>
      </c>
      <c r="AF484" s="114">
        <f>IFERROR(VLOOKUP(AE484,Constantes!$A$1:$E$5,MATCH(AD484,Constantes!$A$1:$E$1,0),0),"")</f>
        <v>0.18286935436241611</v>
      </c>
      <c r="AG484" s="115">
        <f t="shared" si="15"/>
        <v>135.52802857904976</v>
      </c>
    </row>
    <row r="485" spans="1:33" x14ac:dyDescent="0.3">
      <c r="A485">
        <f>COUNTIF($B$2:B485,B485)</f>
        <v>1</v>
      </c>
      <c r="B485">
        <v>19371687</v>
      </c>
      <c r="C485" t="s">
        <v>1385</v>
      </c>
      <c r="D485" t="s">
        <v>218</v>
      </c>
      <c r="E485" t="s">
        <v>1386</v>
      </c>
      <c r="F485" t="s">
        <v>218</v>
      </c>
      <c r="G485" t="s">
        <v>207</v>
      </c>
      <c r="H485" t="s">
        <v>204</v>
      </c>
      <c r="I485" s="49">
        <v>45230</v>
      </c>
      <c r="J485" s="49">
        <v>45235</v>
      </c>
      <c r="K485" t="s">
        <v>1384</v>
      </c>
      <c r="L485" s="49">
        <v>45230</v>
      </c>
      <c r="M485" s="49">
        <v>45235</v>
      </c>
      <c r="N485" t="s">
        <v>107</v>
      </c>
      <c r="O485" t="s">
        <v>115</v>
      </c>
      <c r="P485">
        <f>VLOOKUP(N485,[1]ID_Cidades!$A$1:$E$5900,2,FALSE)</f>
        <v>295765</v>
      </c>
      <c r="Q485">
        <f>VLOOKUP(O485,[1]ID_Cidades!$A$1:$E$5900,2,FALSE)</f>
        <v>295770</v>
      </c>
      <c r="R485">
        <f t="shared" si="14"/>
        <v>87478414050</v>
      </c>
      <c r="S485" s="42">
        <f>VLOOKUP(R485,'[1]GCD base'!$A$1:$M$200,7,FALSE)</f>
        <v>741.11941309999997</v>
      </c>
      <c r="T485" t="s">
        <v>109</v>
      </c>
      <c r="U485" t="s">
        <v>205</v>
      </c>
      <c r="V485" t="s">
        <v>202</v>
      </c>
      <c r="W485" t="s">
        <v>203</v>
      </c>
      <c r="X485" t="s">
        <v>204</v>
      </c>
      <c r="Y485">
        <v>0</v>
      </c>
      <c r="Z485">
        <v>0</v>
      </c>
      <c r="AA485">
        <v>837.49</v>
      </c>
      <c r="AB485">
        <v>0</v>
      </c>
      <c r="AC485" s="49">
        <v>45204</v>
      </c>
      <c r="AD485" s="116" t="s">
        <v>10</v>
      </c>
      <c r="AE485" s="113" t="str" cm="1">
        <f t="array" ref="AE485">_xlfn.IFS(S485&lt;=Constantes!$G$2,"Muito Curta (evitável)",S485&lt;=Constantes!$H$2,"Curta Distância",S485&gt;Constantes!$H$2,"Longa Distância")</f>
        <v>Curta Distância</v>
      </c>
      <c r="AF485" s="114">
        <f>IFERROR(VLOOKUP(AE485,Constantes!$A$1:$E$5,MATCH(AD485,Constantes!$A$1:$E$1,0),0),"")</f>
        <v>0.18286935436241611</v>
      </c>
      <c r="AG485" s="115">
        <f t="shared" si="15"/>
        <v>135.52802857904976</v>
      </c>
    </row>
    <row r="486" spans="1:33" x14ac:dyDescent="0.3">
      <c r="A486">
        <f>COUNTIF($B$2:B486,B486)</f>
        <v>2</v>
      </c>
      <c r="B486">
        <v>19371687</v>
      </c>
      <c r="C486" t="s">
        <v>1385</v>
      </c>
      <c r="D486" t="s">
        <v>218</v>
      </c>
      <c r="E486" t="s">
        <v>1386</v>
      </c>
      <c r="F486" t="s">
        <v>218</v>
      </c>
      <c r="G486" t="s">
        <v>207</v>
      </c>
      <c r="H486" t="s">
        <v>204</v>
      </c>
      <c r="I486" s="49">
        <v>45230</v>
      </c>
      <c r="J486" s="49">
        <v>45235</v>
      </c>
      <c r="K486" t="s">
        <v>1384</v>
      </c>
      <c r="L486" s="49">
        <v>45235</v>
      </c>
      <c r="M486" s="49">
        <v>45235</v>
      </c>
      <c r="N486" t="s">
        <v>115</v>
      </c>
      <c r="O486" t="s">
        <v>107</v>
      </c>
      <c r="P486">
        <f>VLOOKUP(N486,[1]ID_Cidades!$A$1:$E$5900,2,FALSE)</f>
        <v>295770</v>
      </c>
      <c r="Q486">
        <f>VLOOKUP(O486,[1]ID_Cidades!$A$1:$E$5900,2,FALSE)</f>
        <v>295765</v>
      </c>
      <c r="R486">
        <f t="shared" si="14"/>
        <v>87478414050</v>
      </c>
      <c r="S486" s="42">
        <f>VLOOKUP(R486,'[1]GCD base'!$A$1:$M$200,7,FALSE)</f>
        <v>741.11941309999997</v>
      </c>
      <c r="T486" t="s">
        <v>109</v>
      </c>
      <c r="U486" t="s">
        <v>201</v>
      </c>
      <c r="V486" t="s">
        <v>202</v>
      </c>
      <c r="W486" t="s">
        <v>203</v>
      </c>
      <c r="X486" t="s">
        <v>204</v>
      </c>
      <c r="Y486">
        <v>0</v>
      </c>
      <c r="Z486">
        <v>0</v>
      </c>
      <c r="AA486">
        <v>703.69</v>
      </c>
      <c r="AB486">
        <v>0</v>
      </c>
      <c r="AC486" s="49">
        <v>45204</v>
      </c>
      <c r="AD486" s="116" t="s">
        <v>10</v>
      </c>
      <c r="AE486" s="113" t="str" cm="1">
        <f t="array" ref="AE486">_xlfn.IFS(S486&lt;=Constantes!$G$2,"Muito Curta (evitável)",S486&lt;=Constantes!$H$2,"Curta Distância",S486&gt;Constantes!$H$2,"Longa Distância")</f>
        <v>Curta Distância</v>
      </c>
      <c r="AF486" s="114">
        <f>IFERROR(VLOOKUP(AE486,Constantes!$A$1:$E$5,MATCH(AD486,Constantes!$A$1:$E$1,0),0),"")</f>
        <v>0.18286935436241611</v>
      </c>
      <c r="AG486" s="115">
        <f t="shared" si="15"/>
        <v>135.52802857904976</v>
      </c>
    </row>
    <row r="487" spans="1:33" x14ac:dyDescent="0.3">
      <c r="A487">
        <f>COUNTIF($B$2:B487,B487)</f>
        <v>1</v>
      </c>
      <c r="B487">
        <v>19316173</v>
      </c>
      <c r="C487" t="s">
        <v>1166</v>
      </c>
      <c r="D487" t="s">
        <v>1167</v>
      </c>
      <c r="E487" t="s">
        <v>1168</v>
      </c>
      <c r="F487" t="s">
        <v>218</v>
      </c>
      <c r="G487" t="s">
        <v>207</v>
      </c>
      <c r="H487" t="s">
        <v>204</v>
      </c>
      <c r="I487" s="49">
        <v>45234</v>
      </c>
      <c r="J487" s="49">
        <v>45242</v>
      </c>
      <c r="K487" t="s">
        <v>1169</v>
      </c>
      <c r="L487" s="49">
        <v>45234</v>
      </c>
      <c r="M487" s="49">
        <v>45242</v>
      </c>
      <c r="N487" t="s">
        <v>117</v>
      </c>
      <c r="O487" t="s">
        <v>107</v>
      </c>
      <c r="P487">
        <f>VLOOKUP(N487,[1]ID_Cidades!$A$1:$E$5900,2,FALSE)</f>
        <v>295779</v>
      </c>
      <c r="Q487">
        <f>VLOOKUP(O487,[1]ID_Cidades!$A$1:$E$5900,2,FALSE)</f>
        <v>295765</v>
      </c>
      <c r="R487">
        <f t="shared" si="14"/>
        <v>87481075935</v>
      </c>
      <c r="S487" s="42">
        <f>VLOOKUP(R487,'[1]GCD base'!$A$1:$M$200,7,FALSE)</f>
        <v>2189.9742419999998</v>
      </c>
      <c r="T487" t="s">
        <v>109</v>
      </c>
      <c r="U487" t="s">
        <v>205</v>
      </c>
      <c r="V487" t="s">
        <v>202</v>
      </c>
      <c r="W487" t="s">
        <v>210</v>
      </c>
      <c r="X487" t="s">
        <v>1170</v>
      </c>
      <c r="Y487">
        <v>1629.59</v>
      </c>
      <c r="Z487">
        <v>0</v>
      </c>
      <c r="AA487">
        <v>1123.49</v>
      </c>
      <c r="AB487">
        <v>0</v>
      </c>
      <c r="AC487" s="49">
        <v>45209</v>
      </c>
      <c r="AD487" s="116" t="s">
        <v>10</v>
      </c>
      <c r="AE487" s="113" t="str" cm="1">
        <f t="array" ref="AE487">_xlfn.IFS(S487&lt;=Constantes!$G$2,"Muito Curta (evitável)",S487&lt;=Constantes!$H$2,"Curta Distância",S487&gt;Constantes!$H$2,"Longa Distância")</f>
        <v>Curta Distância</v>
      </c>
      <c r="AF487" s="114">
        <f>IFERROR(VLOOKUP(AE487,Constantes!$A$1:$E$5,MATCH(AD487,Constantes!$A$1:$E$1,0),0),"")</f>
        <v>0.18286935436241611</v>
      </c>
      <c r="AG487" s="115">
        <f t="shared" si="15"/>
        <v>400.47917570486158</v>
      </c>
    </row>
    <row r="488" spans="1:33" x14ac:dyDescent="0.3">
      <c r="A488">
        <f>COUNTIF($B$2:B488,B488)</f>
        <v>2</v>
      </c>
      <c r="B488">
        <v>19316173</v>
      </c>
      <c r="C488" t="s">
        <v>1166</v>
      </c>
      <c r="D488" t="s">
        <v>1167</v>
      </c>
      <c r="E488" t="s">
        <v>1168</v>
      </c>
      <c r="F488" t="s">
        <v>218</v>
      </c>
      <c r="G488" t="s">
        <v>207</v>
      </c>
      <c r="H488" t="s">
        <v>204</v>
      </c>
      <c r="I488" s="49">
        <v>45234</v>
      </c>
      <c r="J488" s="49">
        <v>45242</v>
      </c>
      <c r="K488" t="s">
        <v>1169</v>
      </c>
      <c r="L488" s="49">
        <v>45242</v>
      </c>
      <c r="M488" s="49">
        <v>45242</v>
      </c>
      <c r="N488" t="s">
        <v>107</v>
      </c>
      <c r="O488" t="s">
        <v>117</v>
      </c>
      <c r="P488">
        <f>VLOOKUP(N488,[1]ID_Cidades!$A$1:$E$5900,2,FALSE)</f>
        <v>295765</v>
      </c>
      <c r="Q488">
        <f>VLOOKUP(O488,[1]ID_Cidades!$A$1:$E$5900,2,FALSE)</f>
        <v>295779</v>
      </c>
      <c r="R488">
        <f t="shared" si="14"/>
        <v>87481075935</v>
      </c>
      <c r="S488" s="42">
        <f>VLOOKUP(R488,'[1]GCD base'!$A$1:$M$200,7,FALSE)</f>
        <v>2189.9742419999998</v>
      </c>
      <c r="T488" t="s">
        <v>109</v>
      </c>
      <c r="U488" t="s">
        <v>201</v>
      </c>
      <c r="V488" t="s">
        <v>202</v>
      </c>
      <c r="W488" t="s">
        <v>210</v>
      </c>
      <c r="X488" t="s">
        <v>1170</v>
      </c>
      <c r="Y488">
        <v>0</v>
      </c>
      <c r="Z488">
        <v>0</v>
      </c>
      <c r="AA488">
        <v>977.75</v>
      </c>
      <c r="AB488">
        <v>0</v>
      </c>
      <c r="AC488" s="49">
        <v>45209</v>
      </c>
      <c r="AD488" s="116" t="s">
        <v>10</v>
      </c>
      <c r="AE488" s="113" t="str" cm="1">
        <f t="array" ref="AE488">_xlfn.IFS(S488&lt;=Constantes!$G$2,"Muito Curta (evitável)",S488&lt;=Constantes!$H$2,"Curta Distância",S488&gt;Constantes!$H$2,"Longa Distância")</f>
        <v>Curta Distância</v>
      </c>
      <c r="AF488" s="114">
        <f>IFERROR(VLOOKUP(AE488,Constantes!$A$1:$E$5,MATCH(AD488,Constantes!$A$1:$E$1,0),0),"")</f>
        <v>0.18286935436241611</v>
      </c>
      <c r="AG488" s="115">
        <f t="shared" si="15"/>
        <v>400.47917570486158</v>
      </c>
    </row>
    <row r="489" spans="1:33" x14ac:dyDescent="0.3">
      <c r="A489">
        <f>COUNTIF($B$2:B489,B489)</f>
        <v>1</v>
      </c>
      <c r="B489">
        <v>19370084</v>
      </c>
      <c r="C489" t="s">
        <v>1378</v>
      </c>
      <c r="D489" t="s">
        <v>1379</v>
      </c>
      <c r="E489" t="s">
        <v>1380</v>
      </c>
      <c r="F489" t="s">
        <v>218</v>
      </c>
      <c r="G489" t="s">
        <v>207</v>
      </c>
      <c r="H489" t="s">
        <v>204</v>
      </c>
      <c r="I489" s="49">
        <v>45234</v>
      </c>
      <c r="J489" s="49">
        <v>45255</v>
      </c>
      <c r="K489" t="s">
        <v>1381</v>
      </c>
      <c r="L489" s="49">
        <v>45254</v>
      </c>
      <c r="M489" s="49">
        <v>45255</v>
      </c>
      <c r="N489" t="s">
        <v>126</v>
      </c>
      <c r="O489" t="s">
        <v>107</v>
      </c>
      <c r="P489">
        <f>VLOOKUP(N489,[1]ID_Cidades!$A$1:$E$5900,2,FALSE)</f>
        <v>303652</v>
      </c>
      <c r="Q489">
        <f>VLOOKUP(O489,[1]ID_Cidades!$A$1:$E$5900,2,FALSE)</f>
        <v>295765</v>
      </c>
      <c r="R489">
        <f t="shared" si="14"/>
        <v>89809633780</v>
      </c>
      <c r="S489" s="42">
        <f>VLOOKUP(R489,'[1]GCD base'!$A$1:$M$200,7,FALSE)</f>
        <v>2193.8649999999998</v>
      </c>
      <c r="T489" t="s">
        <v>109</v>
      </c>
      <c r="U489" t="s">
        <v>201</v>
      </c>
      <c r="V489" t="s">
        <v>202</v>
      </c>
      <c r="W489" t="s">
        <v>203</v>
      </c>
      <c r="X489" t="s">
        <v>204</v>
      </c>
      <c r="Y489">
        <v>0</v>
      </c>
      <c r="Z489">
        <v>0</v>
      </c>
      <c r="AA489">
        <v>923.05</v>
      </c>
      <c r="AB489">
        <v>0</v>
      </c>
      <c r="AC489" s="49">
        <v>45204</v>
      </c>
      <c r="AD489" s="116" t="s">
        <v>10</v>
      </c>
      <c r="AE489" s="113" t="str" cm="1">
        <f t="array" ref="AE489">_xlfn.IFS(S489&lt;=Constantes!$G$2,"Muito Curta (evitável)",S489&lt;=Constantes!$H$2,"Curta Distância",S489&gt;Constantes!$H$2,"Longa Distância")</f>
        <v>Curta Distância</v>
      </c>
      <c r="AF489" s="114">
        <f>IFERROR(VLOOKUP(AE489,Constantes!$A$1:$E$5,MATCH(AD489,Constantes!$A$1:$E$1,0),0),"")</f>
        <v>0.18286935436241611</v>
      </c>
      <c r="AG489" s="115">
        <f t="shared" si="15"/>
        <v>401.190676108302</v>
      </c>
    </row>
    <row r="490" spans="1:33" x14ac:dyDescent="0.3">
      <c r="A490">
        <f>COUNTIF($B$2:B490,B490)</f>
        <v>2</v>
      </c>
      <c r="B490">
        <v>19370084</v>
      </c>
      <c r="C490" t="s">
        <v>1378</v>
      </c>
      <c r="D490" t="s">
        <v>1379</v>
      </c>
      <c r="E490" t="s">
        <v>1380</v>
      </c>
      <c r="F490" t="s">
        <v>218</v>
      </c>
      <c r="G490" t="s">
        <v>207</v>
      </c>
      <c r="H490" t="s">
        <v>204</v>
      </c>
      <c r="I490" s="49">
        <v>45234</v>
      </c>
      <c r="J490" s="49">
        <v>45255</v>
      </c>
      <c r="K490" t="s">
        <v>1381</v>
      </c>
      <c r="L490" s="49">
        <v>45234</v>
      </c>
      <c r="M490" s="49">
        <v>45254</v>
      </c>
      <c r="N490" t="s">
        <v>107</v>
      </c>
      <c r="O490" t="s">
        <v>126</v>
      </c>
      <c r="P490">
        <f>VLOOKUP(N490,[1]ID_Cidades!$A$1:$E$5900,2,FALSE)</f>
        <v>295765</v>
      </c>
      <c r="Q490">
        <f>VLOOKUP(O490,[1]ID_Cidades!$A$1:$E$5900,2,FALSE)</f>
        <v>303652</v>
      </c>
      <c r="R490">
        <f t="shared" si="14"/>
        <v>89809633780</v>
      </c>
      <c r="S490" s="42">
        <f>VLOOKUP(R490,'[1]GCD base'!$A$1:$M$200,7,FALSE)</f>
        <v>2193.8649999999998</v>
      </c>
      <c r="T490" t="s">
        <v>109</v>
      </c>
      <c r="U490" t="s">
        <v>205</v>
      </c>
      <c r="V490" t="s">
        <v>202</v>
      </c>
      <c r="W490" t="s">
        <v>203</v>
      </c>
      <c r="X490" t="s">
        <v>204</v>
      </c>
      <c r="Y490">
        <v>0</v>
      </c>
      <c r="Z490">
        <v>0</v>
      </c>
      <c r="AA490">
        <v>1466.09</v>
      </c>
      <c r="AB490">
        <v>0</v>
      </c>
      <c r="AC490" s="49">
        <v>45204</v>
      </c>
      <c r="AD490" s="116" t="s">
        <v>10</v>
      </c>
      <c r="AE490" s="113" t="str" cm="1">
        <f t="array" ref="AE490">_xlfn.IFS(S490&lt;=Constantes!$G$2,"Muito Curta (evitável)",S490&lt;=Constantes!$H$2,"Curta Distância",S490&gt;Constantes!$H$2,"Longa Distância")</f>
        <v>Curta Distância</v>
      </c>
      <c r="AF490" s="114">
        <f>IFERROR(VLOOKUP(AE490,Constantes!$A$1:$E$5,MATCH(AD490,Constantes!$A$1:$E$1,0),0),"")</f>
        <v>0.18286935436241611</v>
      </c>
      <c r="AG490" s="115">
        <f t="shared" si="15"/>
        <v>401.190676108302</v>
      </c>
    </row>
    <row r="491" spans="1:33" x14ac:dyDescent="0.3">
      <c r="A491">
        <f>COUNTIF($B$2:B491,B491)</f>
        <v>1</v>
      </c>
      <c r="B491">
        <v>18835196</v>
      </c>
      <c r="C491" t="s">
        <v>139</v>
      </c>
      <c r="D491" t="s">
        <v>228</v>
      </c>
      <c r="E491" t="s">
        <v>140</v>
      </c>
      <c r="F491" t="s">
        <v>218</v>
      </c>
      <c r="G491" t="s">
        <v>207</v>
      </c>
      <c r="H491" t="s">
        <v>204</v>
      </c>
      <c r="I491" s="49">
        <v>45235</v>
      </c>
      <c r="J491" s="49">
        <v>45241</v>
      </c>
      <c r="K491" t="s">
        <v>229</v>
      </c>
      <c r="L491" s="49">
        <v>45235</v>
      </c>
      <c r="M491" s="49">
        <v>45241</v>
      </c>
      <c r="N491" t="s">
        <v>116</v>
      </c>
      <c r="O491" t="s">
        <v>107</v>
      </c>
      <c r="P491">
        <f>VLOOKUP(N491,[1]ID_Cidades!$A$1:$E$5900,2,FALSE)</f>
        <v>295778</v>
      </c>
      <c r="Q491">
        <f>VLOOKUP(O491,[1]ID_Cidades!$A$1:$E$5900,2,FALSE)</f>
        <v>295765</v>
      </c>
      <c r="R491">
        <f t="shared" si="14"/>
        <v>87480780170</v>
      </c>
      <c r="S491" s="42">
        <f>VLOOKUP(R491,'[1]GCD base'!$A$1:$M$200,7,FALSE)</f>
        <v>1961.5007860000001</v>
      </c>
      <c r="T491" t="s">
        <v>109</v>
      </c>
      <c r="U491" t="s">
        <v>205</v>
      </c>
      <c r="V491" t="s">
        <v>202</v>
      </c>
      <c r="W491" t="s">
        <v>203</v>
      </c>
      <c r="X491" t="s">
        <v>204</v>
      </c>
      <c r="Y491">
        <v>2311.63</v>
      </c>
      <c r="Z491">
        <v>0</v>
      </c>
      <c r="AA491">
        <v>596.19000000000005</v>
      </c>
      <c r="AB491">
        <v>0</v>
      </c>
      <c r="AC491" s="49">
        <v>45125</v>
      </c>
      <c r="AD491" s="116" t="s">
        <v>10</v>
      </c>
      <c r="AE491" s="113" t="str" cm="1">
        <f t="array" ref="AE491">_xlfn.IFS(S491&lt;=Constantes!$G$2,"Muito Curta (evitável)",S491&lt;=Constantes!$H$2,"Curta Distância",S491&gt;Constantes!$H$2,"Longa Distância")</f>
        <v>Curta Distância</v>
      </c>
      <c r="AF491" s="114">
        <f>IFERROR(VLOOKUP(AE491,Constantes!$A$1:$E$5,MATCH(AD491,Constantes!$A$1:$E$1,0),0),"")</f>
        <v>0.18286935436241611</v>
      </c>
      <c r="AG491" s="115">
        <f t="shared" si="15"/>
        <v>358.69838231719172</v>
      </c>
    </row>
    <row r="492" spans="1:33" x14ac:dyDescent="0.3">
      <c r="A492">
        <f>COUNTIF($B$2:B492,B492)</f>
        <v>2</v>
      </c>
      <c r="B492">
        <v>18835196</v>
      </c>
      <c r="C492" t="s">
        <v>139</v>
      </c>
      <c r="D492" t="s">
        <v>228</v>
      </c>
      <c r="E492" t="s">
        <v>140</v>
      </c>
      <c r="F492" t="s">
        <v>218</v>
      </c>
      <c r="G492" t="s">
        <v>207</v>
      </c>
      <c r="H492" t="s">
        <v>204</v>
      </c>
      <c r="I492" s="49">
        <v>45235</v>
      </c>
      <c r="J492" s="49">
        <v>45241</v>
      </c>
      <c r="K492" t="s">
        <v>229</v>
      </c>
      <c r="L492" s="49">
        <v>45241</v>
      </c>
      <c r="M492" s="49">
        <v>45241</v>
      </c>
      <c r="N492" t="s">
        <v>107</v>
      </c>
      <c r="O492" t="s">
        <v>116</v>
      </c>
      <c r="P492">
        <f>VLOOKUP(N492,[1]ID_Cidades!$A$1:$E$5900,2,FALSE)</f>
        <v>295765</v>
      </c>
      <c r="Q492">
        <f>VLOOKUP(O492,[1]ID_Cidades!$A$1:$E$5900,2,FALSE)</f>
        <v>295778</v>
      </c>
      <c r="R492">
        <f t="shared" si="14"/>
        <v>87480780170</v>
      </c>
      <c r="S492" s="42">
        <f>VLOOKUP(R492,'[1]GCD base'!$A$1:$M$200,7,FALSE)</f>
        <v>1961.5007860000001</v>
      </c>
      <c r="T492" t="s">
        <v>109</v>
      </c>
      <c r="U492" t="s">
        <v>201</v>
      </c>
      <c r="V492" t="s">
        <v>202</v>
      </c>
      <c r="W492" t="s">
        <v>203</v>
      </c>
      <c r="X492" t="s">
        <v>204</v>
      </c>
      <c r="Y492">
        <v>0</v>
      </c>
      <c r="Z492">
        <v>0</v>
      </c>
      <c r="AA492">
        <v>941.59</v>
      </c>
      <c r="AB492">
        <v>0</v>
      </c>
      <c r="AC492" s="49">
        <v>45125</v>
      </c>
      <c r="AD492" s="116" t="s">
        <v>10</v>
      </c>
      <c r="AE492" s="113" t="str" cm="1">
        <f t="array" ref="AE492">_xlfn.IFS(S492&lt;=Constantes!$G$2,"Muito Curta (evitável)",S492&lt;=Constantes!$H$2,"Curta Distância",S492&gt;Constantes!$H$2,"Longa Distância")</f>
        <v>Curta Distância</v>
      </c>
      <c r="AF492" s="114">
        <f>IFERROR(VLOOKUP(AE492,Constantes!$A$1:$E$5,MATCH(AD492,Constantes!$A$1:$E$1,0),0),"")</f>
        <v>0.18286935436241611</v>
      </c>
      <c r="AG492" s="115">
        <f t="shared" si="15"/>
        <v>358.69838231719172</v>
      </c>
    </row>
    <row r="493" spans="1:33" x14ac:dyDescent="0.3">
      <c r="A493">
        <f>COUNTIF($B$2:B493,B493)</f>
        <v>1</v>
      </c>
      <c r="B493">
        <v>19268869</v>
      </c>
      <c r="C493" t="s">
        <v>921</v>
      </c>
      <c r="D493" t="s">
        <v>922</v>
      </c>
      <c r="E493" t="s">
        <v>923</v>
      </c>
      <c r="F493" t="s">
        <v>198</v>
      </c>
      <c r="G493" t="s">
        <v>233</v>
      </c>
      <c r="H493" t="s">
        <v>233</v>
      </c>
      <c r="I493" s="49">
        <v>45235</v>
      </c>
      <c r="J493" s="49">
        <v>45241</v>
      </c>
      <c r="K493" t="s">
        <v>924</v>
      </c>
      <c r="L493" s="49">
        <v>45241</v>
      </c>
      <c r="M493" s="49">
        <v>45241</v>
      </c>
      <c r="N493" t="s">
        <v>496</v>
      </c>
      <c r="O493" t="s">
        <v>112</v>
      </c>
      <c r="P493">
        <f>VLOOKUP(N493,[1]ID_Cidades!$A$1:$E$5900,2,FALSE)</f>
        <v>295769</v>
      </c>
      <c r="Q493">
        <f>VLOOKUP(O493,[1]ID_Cidades!$A$1:$E$5900,2,FALSE)</f>
        <v>295766</v>
      </c>
      <c r="R493">
        <f t="shared" si="14"/>
        <v>87478414054</v>
      </c>
      <c r="S493" s="42">
        <f>VLOOKUP(R493,'[1]GCD base'!$A$1:$M$200,7,FALSE)</f>
        <v>395.59857959999999</v>
      </c>
      <c r="T493" t="s">
        <v>109</v>
      </c>
      <c r="U493" t="s">
        <v>201</v>
      </c>
      <c r="V493" t="s">
        <v>202</v>
      </c>
      <c r="W493" t="s">
        <v>203</v>
      </c>
      <c r="X493" t="s">
        <v>204</v>
      </c>
      <c r="Y493">
        <v>2162.08</v>
      </c>
      <c r="Z493">
        <v>0</v>
      </c>
      <c r="AA493">
        <v>683.04</v>
      </c>
      <c r="AB493">
        <v>0</v>
      </c>
      <c r="AC493" s="49">
        <v>45187</v>
      </c>
      <c r="AD493" s="116" t="s">
        <v>10</v>
      </c>
      <c r="AE493" s="113" t="str" cm="1">
        <f t="array" ref="AE493">_xlfn.IFS(S493&lt;=Constantes!$G$2,"Muito Curta (evitável)",S493&lt;=Constantes!$H$2,"Curta Distância",S493&gt;Constantes!$H$2,"Longa Distância")</f>
        <v>Muito Curta (evitável)</v>
      </c>
      <c r="AF493" s="114">
        <f>IFERROR(VLOOKUP(AE493,Constantes!$A$1:$E$5,MATCH(AD493,Constantes!$A$1:$E$1,0),0),"")</f>
        <v>0.27257678523489931</v>
      </c>
      <c r="AG493" s="115">
        <f t="shared" si="15"/>
        <v>107.83098907086041</v>
      </c>
    </row>
    <row r="494" spans="1:33" x14ac:dyDescent="0.3">
      <c r="A494">
        <f>COUNTIF($B$2:B494,B494)</f>
        <v>2</v>
      </c>
      <c r="B494">
        <v>19268869</v>
      </c>
      <c r="C494" t="s">
        <v>921</v>
      </c>
      <c r="D494" t="s">
        <v>922</v>
      </c>
      <c r="E494" t="s">
        <v>923</v>
      </c>
      <c r="F494" t="s">
        <v>198</v>
      </c>
      <c r="G494" t="s">
        <v>233</v>
      </c>
      <c r="H494" t="s">
        <v>233</v>
      </c>
      <c r="I494" s="49">
        <v>45235</v>
      </c>
      <c r="J494" s="49">
        <v>45241</v>
      </c>
      <c r="K494" t="s">
        <v>924</v>
      </c>
      <c r="L494" s="49">
        <v>45235</v>
      </c>
      <c r="M494" s="49">
        <v>45241</v>
      </c>
      <c r="N494" t="s">
        <v>112</v>
      </c>
      <c r="O494" t="s">
        <v>496</v>
      </c>
      <c r="P494">
        <f>VLOOKUP(N494,[1]ID_Cidades!$A$1:$E$5900,2,FALSE)</f>
        <v>295766</v>
      </c>
      <c r="Q494">
        <f>VLOOKUP(O494,[1]ID_Cidades!$A$1:$E$5900,2,FALSE)</f>
        <v>295769</v>
      </c>
      <c r="R494">
        <f t="shared" si="14"/>
        <v>87478414054</v>
      </c>
      <c r="S494" s="42">
        <f>VLOOKUP(R494,'[1]GCD base'!$A$1:$M$200,7,FALSE)</f>
        <v>395.59857959999999</v>
      </c>
      <c r="T494" t="s">
        <v>109</v>
      </c>
      <c r="U494" t="s">
        <v>205</v>
      </c>
      <c r="V494" t="s">
        <v>202</v>
      </c>
      <c r="W494" t="s">
        <v>203</v>
      </c>
      <c r="X494" t="s">
        <v>204</v>
      </c>
      <c r="Y494">
        <v>0</v>
      </c>
      <c r="Z494">
        <v>0</v>
      </c>
      <c r="AA494">
        <v>609.57000000000005</v>
      </c>
      <c r="AB494">
        <v>0</v>
      </c>
      <c r="AC494" s="49">
        <v>45187</v>
      </c>
      <c r="AD494" s="116" t="s">
        <v>10</v>
      </c>
      <c r="AE494" s="113" t="str" cm="1">
        <f t="array" ref="AE494">_xlfn.IFS(S494&lt;=Constantes!$G$2,"Muito Curta (evitável)",S494&lt;=Constantes!$H$2,"Curta Distância",S494&gt;Constantes!$H$2,"Longa Distância")</f>
        <v>Muito Curta (evitável)</v>
      </c>
      <c r="AF494" s="114">
        <f>IFERROR(VLOOKUP(AE494,Constantes!$A$1:$E$5,MATCH(AD494,Constantes!$A$1:$E$1,0),0),"")</f>
        <v>0.27257678523489931</v>
      </c>
      <c r="AG494" s="115">
        <f t="shared" si="15"/>
        <v>107.83098907086041</v>
      </c>
    </row>
    <row r="495" spans="1:33" x14ac:dyDescent="0.3">
      <c r="A495">
        <f>COUNTIF($B$2:B495,B495)</f>
        <v>1</v>
      </c>
      <c r="B495">
        <v>19356197</v>
      </c>
      <c r="C495" t="s">
        <v>1335</v>
      </c>
      <c r="D495" t="s">
        <v>1336</v>
      </c>
      <c r="E495" t="s">
        <v>1337</v>
      </c>
      <c r="F495" t="s">
        <v>198</v>
      </c>
      <c r="G495" t="s">
        <v>207</v>
      </c>
      <c r="H495" t="s">
        <v>204</v>
      </c>
      <c r="I495" s="49">
        <v>45235</v>
      </c>
      <c r="J495" s="49">
        <v>45237</v>
      </c>
      <c r="K495" t="s">
        <v>1338</v>
      </c>
      <c r="L495" s="49">
        <v>45237</v>
      </c>
      <c r="M495" s="49">
        <v>45237</v>
      </c>
      <c r="N495" t="s">
        <v>107</v>
      </c>
      <c r="O495" t="s">
        <v>114</v>
      </c>
      <c r="P495">
        <f>VLOOKUP(N495,[1]ID_Cidades!$A$1:$E$5900,2,FALSE)</f>
        <v>295765</v>
      </c>
      <c r="Q495">
        <f>VLOOKUP(O495,[1]ID_Cidades!$A$1:$E$5900,2,FALSE)</f>
        <v>295777</v>
      </c>
      <c r="R495">
        <f t="shared" si="14"/>
        <v>87480484405</v>
      </c>
      <c r="S495" s="42">
        <f>VLOOKUP(R495,'[1]GCD base'!$A$1:$M$200,7,FALSE)</f>
        <v>1714.8365369999999</v>
      </c>
      <c r="T495" t="s">
        <v>109</v>
      </c>
      <c r="U495" t="s">
        <v>201</v>
      </c>
      <c r="V495" t="s">
        <v>202</v>
      </c>
      <c r="W495" t="s">
        <v>203</v>
      </c>
      <c r="X495" t="s">
        <v>204</v>
      </c>
      <c r="Y495">
        <v>887.73</v>
      </c>
      <c r="Z495">
        <v>0</v>
      </c>
      <c r="AA495">
        <v>977.4</v>
      </c>
      <c r="AB495">
        <v>0</v>
      </c>
      <c r="AC495" s="49">
        <v>45201</v>
      </c>
      <c r="AD495" s="116" t="s">
        <v>10</v>
      </c>
      <c r="AE495" s="113" t="str" cm="1">
        <f t="array" ref="AE495">_xlfn.IFS(S495&lt;=Constantes!$G$2,"Muito Curta (evitável)",S495&lt;=Constantes!$H$2,"Curta Distância",S495&gt;Constantes!$H$2,"Longa Distância")</f>
        <v>Curta Distância</v>
      </c>
      <c r="AF495" s="114">
        <f>IFERROR(VLOOKUP(AE495,Constantes!$A$1:$E$5,MATCH(AD495,Constantes!$A$1:$E$1,0),0),"")</f>
        <v>0.18286935436241611</v>
      </c>
      <c r="AG495" s="115">
        <f t="shared" si="15"/>
        <v>313.59105035827145</v>
      </c>
    </row>
    <row r="496" spans="1:33" x14ac:dyDescent="0.3">
      <c r="A496">
        <f>COUNTIF($B$2:B496,B496)</f>
        <v>2</v>
      </c>
      <c r="B496">
        <v>19356197</v>
      </c>
      <c r="C496" t="s">
        <v>1335</v>
      </c>
      <c r="D496" t="s">
        <v>1336</v>
      </c>
      <c r="E496" t="s">
        <v>1337</v>
      </c>
      <c r="F496" t="s">
        <v>198</v>
      </c>
      <c r="G496" t="s">
        <v>207</v>
      </c>
      <c r="H496" t="s">
        <v>204</v>
      </c>
      <c r="I496" s="49">
        <v>45235</v>
      </c>
      <c r="J496" s="49">
        <v>45237</v>
      </c>
      <c r="K496" t="s">
        <v>1338</v>
      </c>
      <c r="L496" s="49">
        <v>45235</v>
      </c>
      <c r="M496" s="49">
        <v>45237</v>
      </c>
      <c r="N496" t="s">
        <v>114</v>
      </c>
      <c r="O496" t="s">
        <v>107</v>
      </c>
      <c r="P496">
        <f>VLOOKUP(N496,[1]ID_Cidades!$A$1:$E$5900,2,FALSE)</f>
        <v>295777</v>
      </c>
      <c r="Q496">
        <f>VLOOKUP(O496,[1]ID_Cidades!$A$1:$E$5900,2,FALSE)</f>
        <v>295765</v>
      </c>
      <c r="R496">
        <f t="shared" si="14"/>
        <v>87480484405</v>
      </c>
      <c r="S496" s="42">
        <f>VLOOKUP(R496,'[1]GCD base'!$A$1:$M$200,7,FALSE)</f>
        <v>1714.8365369999999</v>
      </c>
      <c r="T496" t="s">
        <v>109</v>
      </c>
      <c r="U496" t="s">
        <v>205</v>
      </c>
      <c r="V496" t="s">
        <v>202</v>
      </c>
      <c r="W496" t="s">
        <v>203</v>
      </c>
      <c r="X496" t="s">
        <v>204</v>
      </c>
      <c r="Y496">
        <v>0</v>
      </c>
      <c r="Z496">
        <v>0</v>
      </c>
      <c r="AA496">
        <v>897.89</v>
      </c>
      <c r="AB496">
        <v>0</v>
      </c>
      <c r="AC496" s="49">
        <v>45201</v>
      </c>
      <c r="AD496" s="116" t="s">
        <v>10</v>
      </c>
      <c r="AE496" s="113" t="str" cm="1">
        <f t="array" ref="AE496">_xlfn.IFS(S496&lt;=Constantes!$G$2,"Muito Curta (evitável)",S496&lt;=Constantes!$H$2,"Curta Distância",S496&gt;Constantes!$H$2,"Longa Distância")</f>
        <v>Curta Distância</v>
      </c>
      <c r="AF496" s="114">
        <f>IFERROR(VLOOKUP(AE496,Constantes!$A$1:$E$5,MATCH(AD496,Constantes!$A$1:$E$1,0),0),"")</f>
        <v>0.18286935436241611</v>
      </c>
      <c r="AG496" s="115">
        <f t="shared" si="15"/>
        <v>313.59105035827145</v>
      </c>
    </row>
    <row r="497" spans="1:33" x14ac:dyDescent="0.3">
      <c r="A497">
        <f>COUNTIF($B$2:B497,B497)</f>
        <v>1</v>
      </c>
      <c r="B497">
        <v>19368812</v>
      </c>
      <c r="C497" t="s">
        <v>1370</v>
      </c>
      <c r="D497" t="s">
        <v>218</v>
      </c>
      <c r="E497" t="s">
        <v>1371</v>
      </c>
      <c r="F497" t="s">
        <v>218</v>
      </c>
      <c r="G497" t="s">
        <v>207</v>
      </c>
      <c r="H497" t="s">
        <v>204</v>
      </c>
      <c r="I497" s="49">
        <v>45235</v>
      </c>
      <c r="J497" s="49">
        <v>45241</v>
      </c>
      <c r="K497" t="s">
        <v>1372</v>
      </c>
      <c r="L497" s="49">
        <v>45241</v>
      </c>
      <c r="M497" s="49">
        <v>45241</v>
      </c>
      <c r="N497" t="s">
        <v>124</v>
      </c>
      <c r="O497" t="s">
        <v>107</v>
      </c>
      <c r="P497">
        <f>VLOOKUP(N497,[1]ID_Cidades!$A$1:$E$5900,2,FALSE)</f>
        <v>295776</v>
      </c>
      <c r="Q497">
        <f>VLOOKUP(O497,[1]ID_Cidades!$A$1:$E$5900,2,FALSE)</f>
        <v>295765</v>
      </c>
      <c r="R497">
        <f t="shared" si="14"/>
        <v>87480188640</v>
      </c>
      <c r="S497" s="42">
        <f>VLOOKUP(R497,'[1]GCD base'!$A$1:$M$200,7,FALSE)</f>
        <v>1568.389426</v>
      </c>
      <c r="T497" t="s">
        <v>109</v>
      </c>
      <c r="U497" t="s">
        <v>201</v>
      </c>
      <c r="V497" t="s">
        <v>202</v>
      </c>
      <c r="W497" t="s">
        <v>203</v>
      </c>
      <c r="X497" t="s">
        <v>204</v>
      </c>
      <c r="Y497">
        <v>0</v>
      </c>
      <c r="Z497">
        <v>0</v>
      </c>
      <c r="AA497">
        <v>1878.59</v>
      </c>
      <c r="AB497">
        <v>0</v>
      </c>
      <c r="AC497" s="49">
        <v>45216</v>
      </c>
      <c r="AD497" s="116" t="s">
        <v>10</v>
      </c>
      <c r="AE497" s="113" t="str" cm="1">
        <f t="array" ref="AE497">_xlfn.IFS(S497&lt;=Constantes!$G$2,"Muito Curta (evitável)",S497&lt;=Constantes!$H$2,"Curta Distância",S497&gt;Constantes!$H$2,"Longa Distância")</f>
        <v>Curta Distância</v>
      </c>
      <c r="AF497" s="114">
        <f>IFERROR(VLOOKUP(AE497,Constantes!$A$1:$E$5,MATCH(AD497,Constantes!$A$1:$E$1,0),0),"")</f>
        <v>0.18286935436241611</v>
      </c>
      <c r="AG497" s="115">
        <f t="shared" si="15"/>
        <v>286.81036172146037</v>
      </c>
    </row>
    <row r="498" spans="1:33" x14ac:dyDescent="0.3">
      <c r="A498">
        <f>COUNTIF($B$2:B498,B498)</f>
        <v>2</v>
      </c>
      <c r="B498">
        <v>19368812</v>
      </c>
      <c r="C498" t="s">
        <v>1370</v>
      </c>
      <c r="D498" t="s">
        <v>218</v>
      </c>
      <c r="E498" t="s">
        <v>1371</v>
      </c>
      <c r="F498" t="s">
        <v>218</v>
      </c>
      <c r="G498" t="s">
        <v>207</v>
      </c>
      <c r="H498" t="s">
        <v>204</v>
      </c>
      <c r="I498" s="49">
        <v>45235</v>
      </c>
      <c r="J498" s="49">
        <v>45241</v>
      </c>
      <c r="K498" t="s">
        <v>1372</v>
      </c>
      <c r="L498" s="49">
        <v>45235</v>
      </c>
      <c r="M498" s="49">
        <v>45241</v>
      </c>
      <c r="N498" t="s">
        <v>107</v>
      </c>
      <c r="O498" t="s">
        <v>124</v>
      </c>
      <c r="P498">
        <f>VLOOKUP(N498,[1]ID_Cidades!$A$1:$E$5900,2,FALSE)</f>
        <v>295765</v>
      </c>
      <c r="Q498">
        <f>VLOOKUP(O498,[1]ID_Cidades!$A$1:$E$5900,2,FALSE)</f>
        <v>295776</v>
      </c>
      <c r="R498">
        <f t="shared" si="14"/>
        <v>87480188640</v>
      </c>
      <c r="S498" s="42">
        <f>VLOOKUP(R498,'[1]GCD base'!$A$1:$M$200,7,FALSE)</f>
        <v>1568.389426</v>
      </c>
      <c r="T498" t="s">
        <v>109</v>
      </c>
      <c r="U498" t="s">
        <v>205</v>
      </c>
      <c r="V498" t="s">
        <v>202</v>
      </c>
      <c r="W498" t="s">
        <v>203</v>
      </c>
      <c r="X498" t="s">
        <v>204</v>
      </c>
      <c r="Y498">
        <v>0</v>
      </c>
      <c r="Z498">
        <v>0</v>
      </c>
      <c r="AA498">
        <v>1116.95</v>
      </c>
      <c r="AB498">
        <v>0</v>
      </c>
      <c r="AC498" s="49">
        <v>45216</v>
      </c>
      <c r="AD498" s="116" t="s">
        <v>10</v>
      </c>
      <c r="AE498" s="113" t="str" cm="1">
        <f t="array" ref="AE498">_xlfn.IFS(S498&lt;=Constantes!$G$2,"Muito Curta (evitável)",S498&lt;=Constantes!$H$2,"Curta Distância",S498&gt;Constantes!$H$2,"Longa Distância")</f>
        <v>Curta Distância</v>
      </c>
      <c r="AF498" s="114">
        <f>IFERROR(VLOOKUP(AE498,Constantes!$A$1:$E$5,MATCH(AD498,Constantes!$A$1:$E$1,0),0),"")</f>
        <v>0.18286935436241611</v>
      </c>
      <c r="AG498" s="115">
        <f t="shared" si="15"/>
        <v>286.81036172146037</v>
      </c>
    </row>
    <row r="499" spans="1:33" x14ac:dyDescent="0.3">
      <c r="A499">
        <f>COUNTIF($B$2:B499,B499)</f>
        <v>1</v>
      </c>
      <c r="B499">
        <v>19374748</v>
      </c>
      <c r="C499" t="s">
        <v>1404</v>
      </c>
      <c r="D499" t="s">
        <v>524</v>
      </c>
      <c r="E499" t="s">
        <v>525</v>
      </c>
      <c r="F499" t="s">
        <v>198</v>
      </c>
      <c r="G499" t="s">
        <v>233</v>
      </c>
      <c r="H499" t="s">
        <v>233</v>
      </c>
      <c r="I499" s="49">
        <v>45235</v>
      </c>
      <c r="J499" s="49">
        <v>45239</v>
      </c>
      <c r="K499" t="s">
        <v>1405</v>
      </c>
      <c r="L499" s="49">
        <v>45235</v>
      </c>
      <c r="M499" s="49">
        <v>45235</v>
      </c>
      <c r="N499" t="s">
        <v>107</v>
      </c>
      <c r="O499" t="s">
        <v>108</v>
      </c>
      <c r="P499">
        <f>VLOOKUP(N499,[1]ID_Cidades!$A$1:$E$5900,2,FALSE)</f>
        <v>295765</v>
      </c>
      <c r="Q499">
        <f>VLOOKUP(O499,[1]ID_Cidades!$A$1:$E$5900,2,FALSE)</f>
        <v>305719</v>
      </c>
      <c r="R499">
        <f t="shared" si="14"/>
        <v>90420980035</v>
      </c>
      <c r="S499" s="42">
        <f>VLOOKUP(R499,'[1]GCD base'!$A$1:$M$200,7,FALSE)</f>
        <v>2917.0455609999999</v>
      </c>
      <c r="T499" t="s">
        <v>109</v>
      </c>
      <c r="U499" t="s">
        <v>201</v>
      </c>
      <c r="V499" t="s">
        <v>202</v>
      </c>
      <c r="W499" t="s">
        <v>203</v>
      </c>
      <c r="X499" t="s">
        <v>204</v>
      </c>
      <c r="Y499">
        <v>1212.69</v>
      </c>
      <c r="Z499">
        <v>0</v>
      </c>
      <c r="AA499">
        <v>794.45</v>
      </c>
      <c r="AB499">
        <v>0</v>
      </c>
      <c r="AC499" s="49">
        <v>45210</v>
      </c>
      <c r="AD499" s="116" t="s">
        <v>10</v>
      </c>
      <c r="AE499" s="113" t="str" cm="1">
        <f t="array" ref="AE499">_xlfn.IFS(S499&lt;=Constantes!$G$2,"Muito Curta (evitável)",S499&lt;=Constantes!$H$2,"Curta Distância",S499&gt;Constantes!$H$2,"Longa Distância")</f>
        <v>Curta Distância</v>
      </c>
      <c r="AF499" s="114">
        <f>IFERROR(VLOOKUP(AE499,Constantes!$A$1:$E$5,MATCH(AD499,Constantes!$A$1:$E$1,0),0),"")</f>
        <v>0.18286935436241611</v>
      </c>
      <c r="AG499" s="115">
        <f t="shared" si="15"/>
        <v>533.43823838582193</v>
      </c>
    </row>
    <row r="500" spans="1:33" x14ac:dyDescent="0.3">
      <c r="A500">
        <f>COUNTIF($B$2:B500,B500)</f>
        <v>2</v>
      </c>
      <c r="B500">
        <v>19374748</v>
      </c>
      <c r="C500" t="s">
        <v>1404</v>
      </c>
      <c r="D500" t="s">
        <v>524</v>
      </c>
      <c r="E500" t="s">
        <v>525</v>
      </c>
      <c r="F500" t="s">
        <v>198</v>
      </c>
      <c r="G500" t="s">
        <v>233</v>
      </c>
      <c r="H500" t="s">
        <v>233</v>
      </c>
      <c r="I500" s="49">
        <v>45235</v>
      </c>
      <c r="J500" s="49">
        <v>45239</v>
      </c>
      <c r="K500" t="s">
        <v>1405</v>
      </c>
      <c r="L500" s="49">
        <v>45238</v>
      </c>
      <c r="M500" s="49">
        <v>45239</v>
      </c>
      <c r="N500" t="s">
        <v>108</v>
      </c>
      <c r="O500" t="s">
        <v>107</v>
      </c>
      <c r="P500">
        <f>VLOOKUP(N500,[1]ID_Cidades!$A$1:$E$5900,2,FALSE)</f>
        <v>305719</v>
      </c>
      <c r="Q500">
        <f>VLOOKUP(O500,[1]ID_Cidades!$A$1:$E$5900,2,FALSE)</f>
        <v>295765</v>
      </c>
      <c r="R500">
        <f t="shared" si="14"/>
        <v>90420980035</v>
      </c>
      <c r="S500" s="42">
        <f>VLOOKUP(R500,'[1]GCD base'!$A$1:$M$200,7,FALSE)</f>
        <v>2917.0455609999999</v>
      </c>
      <c r="T500" t="s">
        <v>109</v>
      </c>
      <c r="U500" t="s">
        <v>201</v>
      </c>
      <c r="V500" t="s">
        <v>202</v>
      </c>
      <c r="W500" t="s">
        <v>203</v>
      </c>
      <c r="X500" t="s">
        <v>204</v>
      </c>
      <c r="Y500">
        <v>0</v>
      </c>
      <c r="Z500">
        <v>0</v>
      </c>
      <c r="AA500">
        <v>1045.49</v>
      </c>
      <c r="AB500">
        <v>0</v>
      </c>
      <c r="AC500" s="49">
        <v>45210</v>
      </c>
      <c r="AD500" s="116" t="s">
        <v>10</v>
      </c>
      <c r="AE500" s="113" t="str" cm="1">
        <f t="array" ref="AE500">_xlfn.IFS(S500&lt;=Constantes!$G$2,"Muito Curta (evitável)",S500&lt;=Constantes!$H$2,"Curta Distância",S500&gt;Constantes!$H$2,"Longa Distância")</f>
        <v>Curta Distância</v>
      </c>
      <c r="AF500" s="114">
        <f>IFERROR(VLOOKUP(AE500,Constantes!$A$1:$E$5,MATCH(AD500,Constantes!$A$1:$E$1,0),0),"")</f>
        <v>0.18286935436241611</v>
      </c>
      <c r="AG500" s="115">
        <f t="shared" si="15"/>
        <v>533.43823838582193</v>
      </c>
    </row>
    <row r="501" spans="1:33" x14ac:dyDescent="0.3">
      <c r="A501">
        <f>COUNTIF($B$2:B501,B501)</f>
        <v>1</v>
      </c>
      <c r="B501">
        <v>19374874</v>
      </c>
      <c r="C501" t="s">
        <v>1406</v>
      </c>
      <c r="D501" t="s">
        <v>1407</v>
      </c>
      <c r="E501" t="s">
        <v>1408</v>
      </c>
      <c r="F501" t="s">
        <v>198</v>
      </c>
      <c r="G501" t="s">
        <v>207</v>
      </c>
      <c r="H501" t="s">
        <v>204</v>
      </c>
      <c r="I501" s="49">
        <v>45235</v>
      </c>
      <c r="J501" s="49">
        <v>45239</v>
      </c>
      <c r="K501" t="s">
        <v>1409</v>
      </c>
      <c r="L501" s="49">
        <v>45238</v>
      </c>
      <c r="M501" s="49">
        <v>45239</v>
      </c>
      <c r="N501" t="s">
        <v>108</v>
      </c>
      <c r="O501" t="s">
        <v>107</v>
      </c>
      <c r="P501">
        <f>VLOOKUP(N501,[1]ID_Cidades!$A$1:$E$5900,2,FALSE)</f>
        <v>305719</v>
      </c>
      <c r="Q501">
        <f>VLOOKUP(O501,[1]ID_Cidades!$A$1:$E$5900,2,FALSE)</f>
        <v>295765</v>
      </c>
      <c r="R501">
        <f t="shared" si="14"/>
        <v>90420980035</v>
      </c>
      <c r="S501" s="42">
        <f>VLOOKUP(R501,'[1]GCD base'!$A$1:$M$200,7,FALSE)</f>
        <v>2917.0455609999999</v>
      </c>
      <c r="T501" t="s">
        <v>109</v>
      </c>
      <c r="U501" t="s">
        <v>201</v>
      </c>
      <c r="V501" t="s">
        <v>202</v>
      </c>
      <c r="W501" t="s">
        <v>203</v>
      </c>
      <c r="X501" t="s">
        <v>204</v>
      </c>
      <c r="Y501">
        <v>1329.41</v>
      </c>
      <c r="Z501">
        <v>0</v>
      </c>
      <c r="AA501">
        <v>794.45</v>
      </c>
      <c r="AB501">
        <v>0</v>
      </c>
      <c r="AC501" s="49">
        <v>45210</v>
      </c>
      <c r="AD501" s="116" t="s">
        <v>10</v>
      </c>
      <c r="AE501" s="113" t="str" cm="1">
        <f t="array" ref="AE501">_xlfn.IFS(S501&lt;=Constantes!$G$2,"Muito Curta (evitável)",S501&lt;=Constantes!$H$2,"Curta Distância",S501&gt;Constantes!$H$2,"Longa Distância")</f>
        <v>Curta Distância</v>
      </c>
      <c r="AF501" s="114">
        <f>IFERROR(VLOOKUP(AE501,Constantes!$A$1:$E$5,MATCH(AD501,Constantes!$A$1:$E$1,0),0),"")</f>
        <v>0.18286935436241611</v>
      </c>
      <c r="AG501" s="115">
        <f t="shared" si="15"/>
        <v>533.43823838582193</v>
      </c>
    </row>
    <row r="502" spans="1:33" x14ac:dyDescent="0.3">
      <c r="A502">
        <f>COUNTIF($B$2:B502,B502)</f>
        <v>2</v>
      </c>
      <c r="B502">
        <v>19374874</v>
      </c>
      <c r="C502" t="s">
        <v>1406</v>
      </c>
      <c r="D502" t="s">
        <v>1407</v>
      </c>
      <c r="E502" t="s">
        <v>1408</v>
      </c>
      <c r="F502" t="s">
        <v>198</v>
      </c>
      <c r="G502" t="s">
        <v>207</v>
      </c>
      <c r="H502" t="s">
        <v>204</v>
      </c>
      <c r="I502" s="49">
        <v>45235</v>
      </c>
      <c r="J502" s="49">
        <v>45239</v>
      </c>
      <c r="K502" t="s">
        <v>1409</v>
      </c>
      <c r="L502" s="49">
        <v>45235</v>
      </c>
      <c r="M502" s="49">
        <v>45235</v>
      </c>
      <c r="N502" t="s">
        <v>107</v>
      </c>
      <c r="O502" t="s">
        <v>108</v>
      </c>
      <c r="P502">
        <f>VLOOKUP(N502,[1]ID_Cidades!$A$1:$E$5900,2,FALSE)</f>
        <v>295765</v>
      </c>
      <c r="Q502">
        <f>VLOOKUP(O502,[1]ID_Cidades!$A$1:$E$5900,2,FALSE)</f>
        <v>305719</v>
      </c>
      <c r="R502">
        <f t="shared" si="14"/>
        <v>90420980035</v>
      </c>
      <c r="S502" s="42">
        <f>VLOOKUP(R502,'[1]GCD base'!$A$1:$M$200,7,FALSE)</f>
        <v>2917.0455609999999</v>
      </c>
      <c r="T502" t="s">
        <v>109</v>
      </c>
      <c r="U502" t="s">
        <v>201</v>
      </c>
      <c r="V502" t="s">
        <v>202</v>
      </c>
      <c r="W502" t="s">
        <v>203</v>
      </c>
      <c r="X502" t="s">
        <v>204</v>
      </c>
      <c r="Y502">
        <v>0</v>
      </c>
      <c r="Z502">
        <v>0</v>
      </c>
      <c r="AA502">
        <v>1045.49</v>
      </c>
      <c r="AB502">
        <v>0</v>
      </c>
      <c r="AC502" s="49">
        <v>45210</v>
      </c>
      <c r="AD502" s="116" t="s">
        <v>10</v>
      </c>
      <c r="AE502" s="113" t="str" cm="1">
        <f t="array" ref="AE502">_xlfn.IFS(S502&lt;=Constantes!$G$2,"Muito Curta (evitável)",S502&lt;=Constantes!$H$2,"Curta Distância",S502&gt;Constantes!$H$2,"Longa Distância")</f>
        <v>Curta Distância</v>
      </c>
      <c r="AF502" s="114">
        <f>IFERROR(VLOOKUP(AE502,Constantes!$A$1:$E$5,MATCH(AD502,Constantes!$A$1:$E$1,0),0),"")</f>
        <v>0.18286935436241611</v>
      </c>
      <c r="AG502" s="115">
        <f t="shared" si="15"/>
        <v>533.43823838582193</v>
      </c>
    </row>
    <row r="503" spans="1:33" x14ac:dyDescent="0.3">
      <c r="A503">
        <f>COUNTIF($B$2:B503,B503)</f>
        <v>1</v>
      </c>
      <c r="B503">
        <v>19445226</v>
      </c>
      <c r="C503" t="s">
        <v>1583</v>
      </c>
      <c r="D503" t="s">
        <v>1584</v>
      </c>
      <c r="E503" t="s">
        <v>1585</v>
      </c>
      <c r="F503" t="s">
        <v>198</v>
      </c>
      <c r="G503" t="s">
        <v>207</v>
      </c>
      <c r="H503" t="s">
        <v>204</v>
      </c>
      <c r="I503" s="49">
        <v>45235</v>
      </c>
      <c r="J503" s="49">
        <v>45239</v>
      </c>
      <c r="K503" t="s">
        <v>1586</v>
      </c>
      <c r="L503" s="49">
        <v>45235</v>
      </c>
      <c r="M503" s="49">
        <v>45235</v>
      </c>
      <c r="N503" t="s">
        <v>112</v>
      </c>
      <c r="O503" t="s">
        <v>121</v>
      </c>
      <c r="P503">
        <f>VLOOKUP(N503,[1]ID_Cidades!$A$1:$E$5900,2,FALSE)</f>
        <v>295766</v>
      </c>
      <c r="Q503">
        <f>VLOOKUP(O503,[1]ID_Cidades!$A$1:$E$5900,2,FALSE)</f>
        <v>314439</v>
      </c>
      <c r="R503">
        <f t="shared" si="14"/>
        <v>93000365274</v>
      </c>
      <c r="S503" s="42">
        <f>VLOOKUP(R503,'[1]GCD base'!$A$1:$M$200,7,FALSE)</f>
        <v>627.62636250000003</v>
      </c>
      <c r="T503" t="s">
        <v>109</v>
      </c>
      <c r="U503" t="s">
        <v>201</v>
      </c>
      <c r="V503" t="s">
        <v>202</v>
      </c>
      <c r="W503" t="s">
        <v>210</v>
      </c>
      <c r="X503" t="s">
        <v>1587</v>
      </c>
      <c r="Y503">
        <v>1477.63</v>
      </c>
      <c r="Z503">
        <v>0</v>
      </c>
      <c r="AA503">
        <v>1174.03</v>
      </c>
      <c r="AB503">
        <v>0</v>
      </c>
      <c r="AC503" s="49">
        <v>45231</v>
      </c>
      <c r="AD503" s="116" t="s">
        <v>10</v>
      </c>
      <c r="AE503" s="113" t="str" cm="1">
        <f t="array" ref="AE503">_xlfn.IFS(S503&lt;=Constantes!$G$2,"Muito Curta (evitável)",S503&lt;=Constantes!$H$2,"Curta Distância",S503&gt;Constantes!$H$2,"Longa Distância")</f>
        <v>Curta Distância</v>
      </c>
      <c r="AF503" s="114">
        <f>IFERROR(VLOOKUP(AE503,Constantes!$A$1:$E$5,MATCH(AD503,Constantes!$A$1:$E$1,0),0),"")</f>
        <v>0.18286935436241611</v>
      </c>
      <c r="AG503" s="115">
        <f t="shared" si="15"/>
        <v>114.77362769120674</v>
      </c>
    </row>
    <row r="504" spans="1:33" x14ac:dyDescent="0.3">
      <c r="A504">
        <f>COUNTIF($B$2:B504,B504)</f>
        <v>2</v>
      </c>
      <c r="B504">
        <v>19445226</v>
      </c>
      <c r="C504" t="s">
        <v>1583</v>
      </c>
      <c r="D504" t="s">
        <v>1584</v>
      </c>
      <c r="E504" t="s">
        <v>1585</v>
      </c>
      <c r="F504" t="s">
        <v>198</v>
      </c>
      <c r="G504" t="s">
        <v>207</v>
      </c>
      <c r="H504" t="s">
        <v>204</v>
      </c>
      <c r="I504" s="49">
        <v>45235</v>
      </c>
      <c r="J504" s="49">
        <v>45239</v>
      </c>
      <c r="K504" t="s">
        <v>1586</v>
      </c>
      <c r="L504" s="49">
        <v>45239</v>
      </c>
      <c r="M504" s="49">
        <v>45239</v>
      </c>
      <c r="N504" t="s">
        <v>121</v>
      </c>
      <c r="O504" t="s">
        <v>112</v>
      </c>
      <c r="P504">
        <f>VLOOKUP(N504,[1]ID_Cidades!$A$1:$E$5900,2,FALSE)</f>
        <v>314439</v>
      </c>
      <c r="Q504">
        <f>VLOOKUP(O504,[1]ID_Cidades!$A$1:$E$5900,2,FALSE)</f>
        <v>295766</v>
      </c>
      <c r="R504">
        <f t="shared" si="14"/>
        <v>93000365274</v>
      </c>
      <c r="S504" s="42">
        <f>VLOOKUP(R504,'[1]GCD base'!$A$1:$M$200,7,FALSE)</f>
        <v>627.62636250000003</v>
      </c>
      <c r="T504" t="s">
        <v>109</v>
      </c>
      <c r="U504" t="s">
        <v>201</v>
      </c>
      <c r="V504" t="s">
        <v>202</v>
      </c>
      <c r="W504" t="s">
        <v>210</v>
      </c>
      <c r="X504" t="s">
        <v>1587</v>
      </c>
      <c r="Y504">
        <v>0</v>
      </c>
      <c r="Z504">
        <v>0</v>
      </c>
      <c r="AA504">
        <v>725.54</v>
      </c>
      <c r="AB504">
        <v>0</v>
      </c>
      <c r="AC504" s="49">
        <v>45231</v>
      </c>
      <c r="AD504" s="116" t="s">
        <v>10</v>
      </c>
      <c r="AE504" s="113" t="str" cm="1">
        <f t="array" ref="AE504">_xlfn.IFS(S504&lt;=Constantes!$G$2,"Muito Curta (evitável)",S504&lt;=Constantes!$H$2,"Curta Distância",S504&gt;Constantes!$H$2,"Longa Distância")</f>
        <v>Curta Distância</v>
      </c>
      <c r="AF504" s="114">
        <f>IFERROR(VLOOKUP(AE504,Constantes!$A$1:$E$5,MATCH(AD504,Constantes!$A$1:$E$1,0),0),"")</f>
        <v>0.18286935436241611</v>
      </c>
      <c r="AG504" s="115">
        <f t="shared" si="15"/>
        <v>114.77362769120674</v>
      </c>
    </row>
    <row r="505" spans="1:33" x14ac:dyDescent="0.3">
      <c r="A505">
        <f>COUNTIF($B$2:B505,B505)</f>
        <v>1</v>
      </c>
      <c r="B505">
        <v>19280831</v>
      </c>
      <c r="C505" t="s">
        <v>970</v>
      </c>
      <c r="D505" t="s">
        <v>971</v>
      </c>
      <c r="E505" t="s">
        <v>972</v>
      </c>
      <c r="F505" t="s">
        <v>198</v>
      </c>
      <c r="G505" t="s">
        <v>233</v>
      </c>
      <c r="H505" t="s">
        <v>233</v>
      </c>
      <c r="I505" s="49">
        <v>45236</v>
      </c>
      <c r="J505" s="49">
        <v>45240</v>
      </c>
      <c r="K505" t="s">
        <v>973</v>
      </c>
      <c r="L505" s="49">
        <v>45236</v>
      </c>
      <c r="M505" s="49">
        <v>45240</v>
      </c>
      <c r="N505" t="s">
        <v>112</v>
      </c>
      <c r="O505" t="s">
        <v>496</v>
      </c>
      <c r="P505">
        <f>VLOOKUP(N505,[1]ID_Cidades!$A$1:$E$5900,2,FALSE)</f>
        <v>295766</v>
      </c>
      <c r="Q505">
        <f>VLOOKUP(O505,[1]ID_Cidades!$A$1:$E$5900,2,FALSE)</f>
        <v>295769</v>
      </c>
      <c r="R505">
        <f t="shared" si="14"/>
        <v>87478414054</v>
      </c>
      <c r="S505" s="42">
        <f>VLOOKUP(R505,'[1]GCD base'!$A$1:$M$200,7,FALSE)</f>
        <v>395.59857959999999</v>
      </c>
      <c r="T505" t="s">
        <v>109</v>
      </c>
      <c r="U505" t="s">
        <v>205</v>
      </c>
      <c r="V505" t="s">
        <v>202</v>
      </c>
      <c r="W505" t="s">
        <v>203</v>
      </c>
      <c r="X505" t="s">
        <v>204</v>
      </c>
      <c r="Y505">
        <v>1480.04</v>
      </c>
      <c r="Z505">
        <v>0</v>
      </c>
      <c r="AA505">
        <v>745.14</v>
      </c>
      <c r="AB505">
        <v>0</v>
      </c>
      <c r="AC505" s="49">
        <v>45191</v>
      </c>
      <c r="AD505" s="116" t="s">
        <v>10</v>
      </c>
      <c r="AE505" s="113" t="str" cm="1">
        <f t="array" ref="AE505">_xlfn.IFS(S505&lt;=Constantes!$G$2,"Muito Curta (evitável)",S505&lt;=Constantes!$H$2,"Curta Distância",S505&gt;Constantes!$H$2,"Longa Distância")</f>
        <v>Muito Curta (evitável)</v>
      </c>
      <c r="AF505" s="114">
        <f>IFERROR(VLOOKUP(AE505,Constantes!$A$1:$E$5,MATCH(AD505,Constantes!$A$1:$E$1,0),0),"")</f>
        <v>0.27257678523489931</v>
      </c>
      <c r="AG505" s="115">
        <f t="shared" si="15"/>
        <v>107.83098907086041</v>
      </c>
    </row>
    <row r="506" spans="1:33" x14ac:dyDescent="0.3">
      <c r="A506">
        <f>COUNTIF($B$2:B506,B506)</f>
        <v>2</v>
      </c>
      <c r="B506">
        <v>19280831</v>
      </c>
      <c r="C506" t="s">
        <v>970</v>
      </c>
      <c r="D506" t="s">
        <v>971</v>
      </c>
      <c r="E506" t="s">
        <v>972</v>
      </c>
      <c r="F506" t="s">
        <v>198</v>
      </c>
      <c r="G506" t="s">
        <v>233</v>
      </c>
      <c r="H506" t="s">
        <v>233</v>
      </c>
      <c r="I506" s="49">
        <v>45236</v>
      </c>
      <c r="J506" s="49">
        <v>45240</v>
      </c>
      <c r="K506" t="s">
        <v>973</v>
      </c>
      <c r="L506" s="49">
        <v>45240</v>
      </c>
      <c r="M506" s="49">
        <v>45240</v>
      </c>
      <c r="N506" t="s">
        <v>496</v>
      </c>
      <c r="O506" t="s">
        <v>112</v>
      </c>
      <c r="P506">
        <f>VLOOKUP(N506,[1]ID_Cidades!$A$1:$E$5900,2,FALSE)</f>
        <v>295769</v>
      </c>
      <c r="Q506">
        <f>VLOOKUP(O506,[1]ID_Cidades!$A$1:$E$5900,2,FALSE)</f>
        <v>295766</v>
      </c>
      <c r="R506">
        <f t="shared" si="14"/>
        <v>87478414054</v>
      </c>
      <c r="S506" s="42">
        <f>VLOOKUP(R506,'[1]GCD base'!$A$1:$M$200,7,FALSE)</f>
        <v>395.59857959999999</v>
      </c>
      <c r="T506" t="s">
        <v>109</v>
      </c>
      <c r="U506" t="s">
        <v>201</v>
      </c>
      <c r="V506" t="s">
        <v>202</v>
      </c>
      <c r="W506" t="s">
        <v>203</v>
      </c>
      <c r="X506" t="s">
        <v>204</v>
      </c>
      <c r="Y506">
        <v>0</v>
      </c>
      <c r="Z506">
        <v>0</v>
      </c>
      <c r="AA506">
        <v>735.87</v>
      </c>
      <c r="AB506">
        <v>0</v>
      </c>
      <c r="AC506" s="49">
        <v>45191</v>
      </c>
      <c r="AD506" s="116" t="s">
        <v>10</v>
      </c>
      <c r="AE506" s="113" t="str" cm="1">
        <f t="array" ref="AE506">_xlfn.IFS(S506&lt;=Constantes!$G$2,"Muito Curta (evitável)",S506&lt;=Constantes!$H$2,"Curta Distância",S506&gt;Constantes!$H$2,"Longa Distância")</f>
        <v>Muito Curta (evitável)</v>
      </c>
      <c r="AF506" s="114">
        <f>IFERROR(VLOOKUP(AE506,Constantes!$A$1:$E$5,MATCH(AD506,Constantes!$A$1:$E$1,0),0),"")</f>
        <v>0.27257678523489931</v>
      </c>
      <c r="AG506" s="115">
        <f t="shared" si="15"/>
        <v>107.83098907086041</v>
      </c>
    </row>
    <row r="507" spans="1:33" x14ac:dyDescent="0.3">
      <c r="A507">
        <f>COUNTIF($B$2:B507,B507)</f>
        <v>1</v>
      </c>
      <c r="B507">
        <v>19287629</v>
      </c>
      <c r="C507" t="s">
        <v>1018</v>
      </c>
      <c r="D507" t="s">
        <v>1019</v>
      </c>
      <c r="E507" t="s">
        <v>1020</v>
      </c>
      <c r="F507" t="s">
        <v>198</v>
      </c>
      <c r="G507" t="s">
        <v>207</v>
      </c>
      <c r="H507" t="s">
        <v>204</v>
      </c>
      <c r="I507" s="49">
        <v>45236</v>
      </c>
      <c r="J507" s="49">
        <v>45240</v>
      </c>
      <c r="K507" t="s">
        <v>1021</v>
      </c>
      <c r="L507" s="49">
        <v>45240</v>
      </c>
      <c r="M507" s="49">
        <v>45240</v>
      </c>
      <c r="N507" t="s">
        <v>496</v>
      </c>
      <c r="O507" t="s">
        <v>112</v>
      </c>
      <c r="P507">
        <f>VLOOKUP(N507,[1]ID_Cidades!$A$1:$E$5900,2,FALSE)</f>
        <v>295769</v>
      </c>
      <c r="Q507">
        <f>VLOOKUP(O507,[1]ID_Cidades!$A$1:$E$5900,2,FALSE)</f>
        <v>295766</v>
      </c>
      <c r="R507">
        <f t="shared" si="14"/>
        <v>87478414054</v>
      </c>
      <c r="S507" s="42">
        <f>VLOOKUP(R507,'[1]GCD base'!$A$1:$M$200,7,FALSE)</f>
        <v>395.59857959999999</v>
      </c>
      <c r="T507" t="s">
        <v>109</v>
      </c>
      <c r="U507" t="s">
        <v>201</v>
      </c>
      <c r="V507" t="s">
        <v>202</v>
      </c>
      <c r="W507" t="s">
        <v>203</v>
      </c>
      <c r="X507" t="s">
        <v>204</v>
      </c>
      <c r="Y507">
        <v>1363.14</v>
      </c>
      <c r="Z507">
        <v>0</v>
      </c>
      <c r="AA507">
        <v>735.87</v>
      </c>
      <c r="AB507">
        <v>0</v>
      </c>
      <c r="AC507" s="49">
        <v>45191</v>
      </c>
      <c r="AD507" s="116" t="s">
        <v>10</v>
      </c>
      <c r="AE507" s="113" t="str" cm="1">
        <f t="array" ref="AE507">_xlfn.IFS(S507&lt;=Constantes!$G$2,"Muito Curta (evitável)",S507&lt;=Constantes!$H$2,"Curta Distância",S507&gt;Constantes!$H$2,"Longa Distância")</f>
        <v>Muito Curta (evitável)</v>
      </c>
      <c r="AF507" s="114">
        <f>IFERROR(VLOOKUP(AE507,Constantes!$A$1:$E$5,MATCH(AD507,Constantes!$A$1:$E$1,0),0),"")</f>
        <v>0.27257678523489931</v>
      </c>
      <c r="AG507" s="115">
        <f t="shared" si="15"/>
        <v>107.83098907086041</v>
      </c>
    </row>
    <row r="508" spans="1:33" x14ac:dyDescent="0.3">
      <c r="A508">
        <f>COUNTIF($B$2:B508,B508)</f>
        <v>2</v>
      </c>
      <c r="B508">
        <v>19287629</v>
      </c>
      <c r="C508" t="s">
        <v>1018</v>
      </c>
      <c r="D508" t="s">
        <v>1019</v>
      </c>
      <c r="E508" t="s">
        <v>1020</v>
      </c>
      <c r="F508" t="s">
        <v>198</v>
      </c>
      <c r="G508" t="s">
        <v>207</v>
      </c>
      <c r="H508" t="s">
        <v>204</v>
      </c>
      <c r="I508" s="49">
        <v>45236</v>
      </c>
      <c r="J508" s="49">
        <v>45240</v>
      </c>
      <c r="K508" t="s">
        <v>1021</v>
      </c>
      <c r="L508" s="49">
        <v>45236</v>
      </c>
      <c r="M508" s="49">
        <v>45240</v>
      </c>
      <c r="N508" t="s">
        <v>112</v>
      </c>
      <c r="O508" t="s">
        <v>496</v>
      </c>
      <c r="P508">
        <f>VLOOKUP(N508,[1]ID_Cidades!$A$1:$E$5900,2,FALSE)</f>
        <v>295766</v>
      </c>
      <c r="Q508">
        <f>VLOOKUP(O508,[1]ID_Cidades!$A$1:$E$5900,2,FALSE)</f>
        <v>295769</v>
      </c>
      <c r="R508">
        <f t="shared" si="14"/>
        <v>87478414054</v>
      </c>
      <c r="S508" s="42">
        <f>VLOOKUP(R508,'[1]GCD base'!$A$1:$M$200,7,FALSE)</f>
        <v>395.59857959999999</v>
      </c>
      <c r="T508" t="s">
        <v>109</v>
      </c>
      <c r="U508" t="s">
        <v>205</v>
      </c>
      <c r="V508" t="s">
        <v>202</v>
      </c>
      <c r="W508" t="s">
        <v>203</v>
      </c>
      <c r="X508" t="s">
        <v>204</v>
      </c>
      <c r="Y508">
        <v>0</v>
      </c>
      <c r="Z508">
        <v>0</v>
      </c>
      <c r="AA508">
        <v>745.14</v>
      </c>
      <c r="AB508">
        <v>0</v>
      </c>
      <c r="AC508" s="49">
        <v>45191</v>
      </c>
      <c r="AD508" s="116" t="s">
        <v>10</v>
      </c>
      <c r="AE508" s="113" t="str" cm="1">
        <f t="array" ref="AE508">_xlfn.IFS(S508&lt;=Constantes!$G$2,"Muito Curta (evitável)",S508&lt;=Constantes!$H$2,"Curta Distância",S508&gt;Constantes!$H$2,"Longa Distância")</f>
        <v>Muito Curta (evitável)</v>
      </c>
      <c r="AF508" s="114">
        <f>IFERROR(VLOOKUP(AE508,Constantes!$A$1:$E$5,MATCH(AD508,Constantes!$A$1:$E$1,0),0),"")</f>
        <v>0.27257678523489931</v>
      </c>
      <c r="AG508" s="115">
        <f t="shared" si="15"/>
        <v>107.83098907086041</v>
      </c>
    </row>
    <row r="509" spans="1:33" x14ac:dyDescent="0.3">
      <c r="A509">
        <f>COUNTIF($B$2:B509,B509)</f>
        <v>1</v>
      </c>
      <c r="B509">
        <v>19290952</v>
      </c>
      <c r="C509" t="s">
        <v>1027</v>
      </c>
      <c r="D509" t="s">
        <v>1028</v>
      </c>
      <c r="E509" t="s">
        <v>1029</v>
      </c>
      <c r="F509" t="s">
        <v>198</v>
      </c>
      <c r="G509" t="s">
        <v>207</v>
      </c>
      <c r="H509" t="s">
        <v>204</v>
      </c>
      <c r="I509" s="49">
        <v>45236</v>
      </c>
      <c r="J509" s="49">
        <v>45240</v>
      </c>
      <c r="K509" t="s">
        <v>1030</v>
      </c>
      <c r="L509" s="49">
        <v>45240</v>
      </c>
      <c r="M509" s="49">
        <v>45240</v>
      </c>
      <c r="N509" t="s">
        <v>496</v>
      </c>
      <c r="O509" t="s">
        <v>112</v>
      </c>
      <c r="P509">
        <f>VLOOKUP(N509,[1]ID_Cidades!$A$1:$E$5900,2,FALSE)</f>
        <v>295769</v>
      </c>
      <c r="Q509">
        <f>VLOOKUP(O509,[1]ID_Cidades!$A$1:$E$5900,2,FALSE)</f>
        <v>295766</v>
      </c>
      <c r="R509">
        <f t="shared" si="14"/>
        <v>87478414054</v>
      </c>
      <c r="S509" s="42">
        <f>VLOOKUP(R509,'[1]GCD base'!$A$1:$M$200,7,FALSE)</f>
        <v>395.59857959999999</v>
      </c>
      <c r="T509" t="s">
        <v>109</v>
      </c>
      <c r="U509" t="s">
        <v>201</v>
      </c>
      <c r="V509" t="s">
        <v>202</v>
      </c>
      <c r="W509" t="s">
        <v>203</v>
      </c>
      <c r="X509" t="s">
        <v>204</v>
      </c>
      <c r="Y509">
        <v>1288.1400000000001</v>
      </c>
      <c r="Z509">
        <v>0</v>
      </c>
      <c r="AA509">
        <v>745.14</v>
      </c>
      <c r="AB509">
        <v>0</v>
      </c>
      <c r="AC509" s="49">
        <v>45191</v>
      </c>
      <c r="AD509" s="116" t="s">
        <v>10</v>
      </c>
      <c r="AE509" s="113" t="str" cm="1">
        <f t="array" ref="AE509">_xlfn.IFS(S509&lt;=Constantes!$G$2,"Muito Curta (evitável)",S509&lt;=Constantes!$H$2,"Curta Distância",S509&gt;Constantes!$H$2,"Longa Distância")</f>
        <v>Muito Curta (evitável)</v>
      </c>
      <c r="AF509" s="114">
        <f>IFERROR(VLOOKUP(AE509,Constantes!$A$1:$E$5,MATCH(AD509,Constantes!$A$1:$E$1,0),0),"")</f>
        <v>0.27257678523489931</v>
      </c>
      <c r="AG509" s="115">
        <f t="shared" si="15"/>
        <v>107.83098907086041</v>
      </c>
    </row>
    <row r="510" spans="1:33" x14ac:dyDescent="0.3">
      <c r="A510">
        <f>COUNTIF($B$2:B510,B510)</f>
        <v>2</v>
      </c>
      <c r="B510">
        <v>19290952</v>
      </c>
      <c r="C510" t="s">
        <v>1027</v>
      </c>
      <c r="D510" t="s">
        <v>1028</v>
      </c>
      <c r="E510" t="s">
        <v>1029</v>
      </c>
      <c r="F510" t="s">
        <v>198</v>
      </c>
      <c r="G510" t="s">
        <v>207</v>
      </c>
      <c r="H510" t="s">
        <v>204</v>
      </c>
      <c r="I510" s="49">
        <v>45236</v>
      </c>
      <c r="J510" s="49">
        <v>45240</v>
      </c>
      <c r="K510" t="s">
        <v>1030</v>
      </c>
      <c r="L510" s="49">
        <v>45236</v>
      </c>
      <c r="M510" s="49">
        <v>45240</v>
      </c>
      <c r="N510" t="s">
        <v>112</v>
      </c>
      <c r="O510" t="s">
        <v>496</v>
      </c>
      <c r="P510">
        <f>VLOOKUP(N510,[1]ID_Cidades!$A$1:$E$5900,2,FALSE)</f>
        <v>295766</v>
      </c>
      <c r="Q510">
        <f>VLOOKUP(O510,[1]ID_Cidades!$A$1:$E$5900,2,FALSE)</f>
        <v>295769</v>
      </c>
      <c r="R510">
        <f t="shared" si="14"/>
        <v>87478414054</v>
      </c>
      <c r="S510" s="42">
        <f>VLOOKUP(R510,'[1]GCD base'!$A$1:$M$200,7,FALSE)</f>
        <v>395.59857959999999</v>
      </c>
      <c r="T510" t="s">
        <v>109</v>
      </c>
      <c r="U510" t="s">
        <v>205</v>
      </c>
      <c r="V510" t="s">
        <v>202</v>
      </c>
      <c r="W510" t="s">
        <v>203</v>
      </c>
      <c r="X510" t="s">
        <v>204</v>
      </c>
      <c r="Y510">
        <v>0</v>
      </c>
      <c r="Z510">
        <v>0</v>
      </c>
      <c r="AA510">
        <v>735.87</v>
      </c>
      <c r="AB510">
        <v>0</v>
      </c>
      <c r="AC510" s="49">
        <v>45191</v>
      </c>
      <c r="AD510" s="116" t="s">
        <v>10</v>
      </c>
      <c r="AE510" s="113" t="str" cm="1">
        <f t="array" ref="AE510">_xlfn.IFS(S510&lt;=Constantes!$G$2,"Muito Curta (evitável)",S510&lt;=Constantes!$H$2,"Curta Distância",S510&gt;Constantes!$H$2,"Longa Distância")</f>
        <v>Muito Curta (evitável)</v>
      </c>
      <c r="AF510" s="114">
        <f>IFERROR(VLOOKUP(AE510,Constantes!$A$1:$E$5,MATCH(AD510,Constantes!$A$1:$E$1,0),0),"")</f>
        <v>0.27257678523489931</v>
      </c>
      <c r="AG510" s="115">
        <f t="shared" si="15"/>
        <v>107.83098907086041</v>
      </c>
    </row>
    <row r="511" spans="1:33" x14ac:dyDescent="0.3">
      <c r="A511">
        <f>COUNTIF($B$2:B511,B511)</f>
        <v>1</v>
      </c>
      <c r="B511">
        <v>19304384</v>
      </c>
      <c r="C511" t="s">
        <v>1095</v>
      </c>
      <c r="D511" t="s">
        <v>863</v>
      </c>
      <c r="E511" t="s">
        <v>864</v>
      </c>
      <c r="F511" t="s">
        <v>198</v>
      </c>
      <c r="G511" t="s">
        <v>207</v>
      </c>
      <c r="H511" t="s">
        <v>204</v>
      </c>
      <c r="I511" s="49">
        <v>45236</v>
      </c>
      <c r="J511" s="49">
        <v>45240</v>
      </c>
      <c r="K511" t="s">
        <v>1096</v>
      </c>
      <c r="L511" s="49">
        <v>45240</v>
      </c>
      <c r="M511" s="49">
        <v>45240</v>
      </c>
      <c r="N511" t="s">
        <v>496</v>
      </c>
      <c r="O511" t="s">
        <v>121</v>
      </c>
      <c r="P511">
        <f>VLOOKUP(N511,[1]ID_Cidades!$A$1:$E$5900,2,FALSE)</f>
        <v>295769</v>
      </c>
      <c r="Q511">
        <f>VLOOKUP(O511,[1]ID_Cidades!$A$1:$E$5900,2,FALSE)</f>
        <v>314439</v>
      </c>
      <c r="R511">
        <f t="shared" si="14"/>
        <v>93001308591</v>
      </c>
      <c r="S511" s="42">
        <f>VLOOKUP(R511,'[1]GCD base'!$A$1:$M$200,7,FALSE)</f>
        <v>817.90566100000001</v>
      </c>
      <c r="T511" t="s">
        <v>109</v>
      </c>
      <c r="U511" t="s">
        <v>201</v>
      </c>
      <c r="V511" t="s">
        <v>202</v>
      </c>
      <c r="W511" t="s">
        <v>203</v>
      </c>
      <c r="X511" t="s">
        <v>204</v>
      </c>
      <c r="Y511">
        <v>1480.04</v>
      </c>
      <c r="Z511">
        <v>0</v>
      </c>
      <c r="AA511">
        <v>1363.07</v>
      </c>
      <c r="AB511">
        <v>0</v>
      </c>
      <c r="AC511" s="49">
        <v>45196</v>
      </c>
      <c r="AD511" s="116" t="s">
        <v>10</v>
      </c>
      <c r="AE511" s="113" t="str" cm="1">
        <f t="array" ref="AE511">_xlfn.IFS(S511&lt;=Constantes!$G$2,"Muito Curta (evitável)",S511&lt;=Constantes!$H$2,"Curta Distância",S511&gt;Constantes!$H$2,"Longa Distância")</f>
        <v>Curta Distância</v>
      </c>
      <c r="AF511" s="114">
        <f>IFERROR(VLOOKUP(AE511,Constantes!$A$1:$E$5,MATCH(AD511,Constantes!$A$1:$E$1,0),0),"")</f>
        <v>0.18286935436241611</v>
      </c>
      <c r="AG511" s="115">
        <f t="shared" si="15"/>
        <v>149.56988015643518</v>
      </c>
    </row>
    <row r="512" spans="1:33" x14ac:dyDescent="0.3">
      <c r="A512">
        <f>COUNTIF($B$2:B512,B512)</f>
        <v>2</v>
      </c>
      <c r="B512">
        <v>19304384</v>
      </c>
      <c r="C512" t="s">
        <v>1095</v>
      </c>
      <c r="D512" t="s">
        <v>863</v>
      </c>
      <c r="E512" t="s">
        <v>864</v>
      </c>
      <c r="F512" t="s">
        <v>198</v>
      </c>
      <c r="G512" t="s">
        <v>207</v>
      </c>
      <c r="H512" t="s">
        <v>204</v>
      </c>
      <c r="I512" s="49">
        <v>45236</v>
      </c>
      <c r="J512" s="49">
        <v>45240</v>
      </c>
      <c r="K512" t="s">
        <v>1096</v>
      </c>
      <c r="L512" s="49">
        <v>45236</v>
      </c>
      <c r="M512" s="49">
        <v>45240</v>
      </c>
      <c r="N512" t="s">
        <v>121</v>
      </c>
      <c r="O512" t="s">
        <v>496</v>
      </c>
      <c r="P512">
        <f>VLOOKUP(N512,[1]ID_Cidades!$A$1:$E$5900,2,FALSE)</f>
        <v>314439</v>
      </c>
      <c r="Q512">
        <f>VLOOKUP(O512,[1]ID_Cidades!$A$1:$E$5900,2,FALSE)</f>
        <v>295769</v>
      </c>
      <c r="R512">
        <f t="shared" si="14"/>
        <v>93001308591</v>
      </c>
      <c r="S512" s="42">
        <f>VLOOKUP(R512,'[1]GCD base'!$A$1:$M$200,7,FALSE)</f>
        <v>817.90566100000001</v>
      </c>
      <c r="T512" t="s">
        <v>109</v>
      </c>
      <c r="U512" t="s">
        <v>205</v>
      </c>
      <c r="V512" t="s">
        <v>202</v>
      </c>
      <c r="W512" t="s">
        <v>203</v>
      </c>
      <c r="X512" t="s">
        <v>204</v>
      </c>
      <c r="Y512">
        <v>0</v>
      </c>
      <c r="Z512">
        <v>0</v>
      </c>
      <c r="AA512">
        <v>1952.13</v>
      </c>
      <c r="AB512">
        <v>0</v>
      </c>
      <c r="AC512" s="49">
        <v>45196</v>
      </c>
      <c r="AD512" s="116" t="s">
        <v>10</v>
      </c>
      <c r="AE512" s="113" t="str" cm="1">
        <f t="array" ref="AE512">_xlfn.IFS(S512&lt;=Constantes!$G$2,"Muito Curta (evitável)",S512&lt;=Constantes!$H$2,"Curta Distância",S512&gt;Constantes!$H$2,"Longa Distância")</f>
        <v>Curta Distância</v>
      </c>
      <c r="AF512" s="114">
        <f>IFERROR(VLOOKUP(AE512,Constantes!$A$1:$E$5,MATCH(AD512,Constantes!$A$1:$E$1,0),0),"")</f>
        <v>0.18286935436241611</v>
      </c>
      <c r="AG512" s="115">
        <f t="shared" si="15"/>
        <v>149.56988015643518</v>
      </c>
    </row>
    <row r="513" spans="1:33" x14ac:dyDescent="0.3">
      <c r="A513">
        <f>COUNTIF($B$2:B513,B513)</f>
        <v>1</v>
      </c>
      <c r="B513">
        <v>19315632</v>
      </c>
      <c r="C513" t="s">
        <v>1160</v>
      </c>
      <c r="D513" t="s">
        <v>347</v>
      </c>
      <c r="E513" t="s">
        <v>348</v>
      </c>
      <c r="F513" t="s">
        <v>198</v>
      </c>
      <c r="G513" t="s">
        <v>207</v>
      </c>
      <c r="H513" t="s">
        <v>204</v>
      </c>
      <c r="I513" s="49">
        <v>45236</v>
      </c>
      <c r="J513" s="49">
        <v>45240</v>
      </c>
      <c r="K513" t="s">
        <v>1161</v>
      </c>
      <c r="L513" s="49">
        <v>45240</v>
      </c>
      <c r="M513" s="49">
        <v>45240</v>
      </c>
      <c r="N513" t="s">
        <v>117</v>
      </c>
      <c r="O513" t="s">
        <v>107</v>
      </c>
      <c r="P513">
        <f>VLOOKUP(N513,[1]ID_Cidades!$A$1:$E$5900,2,FALSE)</f>
        <v>295779</v>
      </c>
      <c r="Q513">
        <f>VLOOKUP(O513,[1]ID_Cidades!$A$1:$E$5900,2,FALSE)</f>
        <v>295765</v>
      </c>
      <c r="R513">
        <f t="shared" si="14"/>
        <v>87481075935</v>
      </c>
      <c r="S513" s="42">
        <f>VLOOKUP(R513,'[1]GCD base'!$A$1:$M$200,7,FALSE)</f>
        <v>2189.9742419999998</v>
      </c>
      <c r="T513" t="s">
        <v>109</v>
      </c>
      <c r="U513" t="s">
        <v>201</v>
      </c>
      <c r="V513" t="s">
        <v>202</v>
      </c>
      <c r="W513" t="s">
        <v>203</v>
      </c>
      <c r="X513" t="s">
        <v>204</v>
      </c>
      <c r="Y513">
        <v>1660.58</v>
      </c>
      <c r="Z513">
        <v>0</v>
      </c>
      <c r="AA513">
        <v>1394.05</v>
      </c>
      <c r="AB513">
        <v>0</v>
      </c>
      <c r="AC513" s="49">
        <v>45191</v>
      </c>
      <c r="AD513" s="116" t="s">
        <v>10</v>
      </c>
      <c r="AE513" s="113" t="str" cm="1">
        <f t="array" ref="AE513">_xlfn.IFS(S513&lt;=Constantes!$G$2,"Muito Curta (evitável)",S513&lt;=Constantes!$H$2,"Curta Distância",S513&gt;Constantes!$H$2,"Longa Distância")</f>
        <v>Curta Distância</v>
      </c>
      <c r="AF513" s="114">
        <f>IFERROR(VLOOKUP(AE513,Constantes!$A$1:$E$5,MATCH(AD513,Constantes!$A$1:$E$1,0),0),"")</f>
        <v>0.18286935436241611</v>
      </c>
      <c r="AG513" s="115">
        <f t="shared" si="15"/>
        <v>400.47917570486158</v>
      </c>
    </row>
    <row r="514" spans="1:33" x14ac:dyDescent="0.3">
      <c r="A514">
        <f>COUNTIF($B$2:B514,B514)</f>
        <v>2</v>
      </c>
      <c r="B514">
        <v>19315632</v>
      </c>
      <c r="C514" t="s">
        <v>1160</v>
      </c>
      <c r="D514" t="s">
        <v>347</v>
      </c>
      <c r="E514" t="s">
        <v>348</v>
      </c>
      <c r="F514" t="s">
        <v>198</v>
      </c>
      <c r="G514" t="s">
        <v>207</v>
      </c>
      <c r="H514" t="s">
        <v>204</v>
      </c>
      <c r="I514" s="49">
        <v>45236</v>
      </c>
      <c r="J514" s="49">
        <v>45240</v>
      </c>
      <c r="K514" t="s">
        <v>1161</v>
      </c>
      <c r="L514" s="49">
        <v>45236</v>
      </c>
      <c r="M514" s="49">
        <v>45240</v>
      </c>
      <c r="N514" t="s">
        <v>107</v>
      </c>
      <c r="O514" t="s">
        <v>117</v>
      </c>
      <c r="P514">
        <f>VLOOKUP(N514,[1]ID_Cidades!$A$1:$E$5900,2,FALSE)</f>
        <v>295765</v>
      </c>
      <c r="Q514">
        <f>VLOOKUP(O514,[1]ID_Cidades!$A$1:$E$5900,2,FALSE)</f>
        <v>295779</v>
      </c>
      <c r="R514">
        <f t="shared" ref="R514:R577" si="16">P514*Q514</f>
        <v>87481075935</v>
      </c>
      <c r="S514" s="42">
        <f>VLOOKUP(R514,'[1]GCD base'!$A$1:$M$200,7,FALSE)</f>
        <v>2189.9742419999998</v>
      </c>
      <c r="T514" t="s">
        <v>109</v>
      </c>
      <c r="U514" t="s">
        <v>205</v>
      </c>
      <c r="V514" t="s">
        <v>202</v>
      </c>
      <c r="W514" t="s">
        <v>203</v>
      </c>
      <c r="X514" t="s">
        <v>204</v>
      </c>
      <c r="Y514">
        <v>0</v>
      </c>
      <c r="Z514">
        <v>0</v>
      </c>
      <c r="AA514">
        <v>977.89</v>
      </c>
      <c r="AB514">
        <v>0</v>
      </c>
      <c r="AC514" s="49">
        <v>45191</v>
      </c>
      <c r="AD514" s="116" t="s">
        <v>10</v>
      </c>
      <c r="AE514" s="113" t="str" cm="1">
        <f t="array" ref="AE514">_xlfn.IFS(S514&lt;=Constantes!$G$2,"Muito Curta (evitável)",S514&lt;=Constantes!$H$2,"Curta Distância",S514&gt;Constantes!$H$2,"Longa Distância")</f>
        <v>Curta Distância</v>
      </c>
      <c r="AF514" s="114">
        <f>IFERROR(VLOOKUP(AE514,Constantes!$A$1:$E$5,MATCH(AD514,Constantes!$A$1:$E$1,0),0),"")</f>
        <v>0.18286935436241611</v>
      </c>
      <c r="AG514" s="115">
        <f t="shared" si="15"/>
        <v>400.47917570486158</v>
      </c>
    </row>
    <row r="515" spans="1:33" x14ac:dyDescent="0.3">
      <c r="A515">
        <f>COUNTIF($B$2:B515,B515)</f>
        <v>1</v>
      </c>
      <c r="B515">
        <v>19315974</v>
      </c>
      <c r="C515" t="s">
        <v>1162</v>
      </c>
      <c r="D515" t="s">
        <v>1163</v>
      </c>
      <c r="E515" t="s">
        <v>1164</v>
      </c>
      <c r="F515" t="s">
        <v>198</v>
      </c>
      <c r="G515" t="s">
        <v>207</v>
      </c>
      <c r="H515" t="s">
        <v>204</v>
      </c>
      <c r="I515" s="49">
        <v>45236</v>
      </c>
      <c r="J515" s="49">
        <v>45240</v>
      </c>
      <c r="K515" t="s">
        <v>1165</v>
      </c>
      <c r="L515" s="49">
        <v>45240</v>
      </c>
      <c r="M515" s="49">
        <v>45240</v>
      </c>
      <c r="N515" t="s">
        <v>496</v>
      </c>
      <c r="O515" t="s">
        <v>112</v>
      </c>
      <c r="P515">
        <f>VLOOKUP(N515,[1]ID_Cidades!$A$1:$E$5900,2,FALSE)</f>
        <v>295769</v>
      </c>
      <c r="Q515">
        <f>VLOOKUP(O515,[1]ID_Cidades!$A$1:$E$5900,2,FALSE)</f>
        <v>295766</v>
      </c>
      <c r="R515">
        <f t="shared" si="16"/>
        <v>87478414054</v>
      </c>
      <c r="S515" s="42">
        <f>VLOOKUP(R515,'[1]GCD base'!$A$1:$M$200,7,FALSE)</f>
        <v>395.59857959999999</v>
      </c>
      <c r="T515" t="s">
        <v>109</v>
      </c>
      <c r="U515" t="s">
        <v>201</v>
      </c>
      <c r="V515" t="s">
        <v>202</v>
      </c>
      <c r="W515" t="s">
        <v>203</v>
      </c>
      <c r="X515" t="s">
        <v>204</v>
      </c>
      <c r="Y515">
        <v>1575.04</v>
      </c>
      <c r="Z515">
        <v>0</v>
      </c>
      <c r="AA515">
        <v>735.87</v>
      </c>
      <c r="AB515">
        <v>0</v>
      </c>
      <c r="AC515" s="49">
        <v>45194</v>
      </c>
      <c r="AD515" s="116" t="s">
        <v>10</v>
      </c>
      <c r="AE515" s="113" t="str" cm="1">
        <f t="array" ref="AE515">_xlfn.IFS(S515&lt;=Constantes!$G$2,"Muito Curta (evitável)",S515&lt;=Constantes!$H$2,"Curta Distância",S515&gt;Constantes!$H$2,"Longa Distância")</f>
        <v>Muito Curta (evitável)</v>
      </c>
      <c r="AF515" s="114">
        <f>IFERROR(VLOOKUP(AE515,Constantes!$A$1:$E$5,MATCH(AD515,Constantes!$A$1:$E$1,0),0),"")</f>
        <v>0.27257678523489931</v>
      </c>
      <c r="AG515" s="115">
        <f t="shared" ref="AG515:AG578" si="17">AF515*S515</f>
        <v>107.83098907086041</v>
      </c>
    </row>
    <row r="516" spans="1:33" x14ac:dyDescent="0.3">
      <c r="A516">
        <f>COUNTIF($B$2:B516,B516)</f>
        <v>2</v>
      </c>
      <c r="B516">
        <v>19315974</v>
      </c>
      <c r="C516" t="s">
        <v>1162</v>
      </c>
      <c r="D516" t="s">
        <v>1163</v>
      </c>
      <c r="E516" t="s">
        <v>1164</v>
      </c>
      <c r="F516" t="s">
        <v>198</v>
      </c>
      <c r="G516" t="s">
        <v>207</v>
      </c>
      <c r="H516" t="s">
        <v>204</v>
      </c>
      <c r="I516" s="49">
        <v>45236</v>
      </c>
      <c r="J516" s="49">
        <v>45240</v>
      </c>
      <c r="K516" t="s">
        <v>1165</v>
      </c>
      <c r="L516" s="49">
        <v>45236</v>
      </c>
      <c r="M516" s="49">
        <v>45240</v>
      </c>
      <c r="N516" t="s">
        <v>112</v>
      </c>
      <c r="O516" t="s">
        <v>496</v>
      </c>
      <c r="P516">
        <f>VLOOKUP(N516,[1]ID_Cidades!$A$1:$E$5900,2,FALSE)</f>
        <v>295766</v>
      </c>
      <c r="Q516">
        <f>VLOOKUP(O516,[1]ID_Cidades!$A$1:$E$5900,2,FALSE)</f>
        <v>295769</v>
      </c>
      <c r="R516">
        <f t="shared" si="16"/>
        <v>87478414054</v>
      </c>
      <c r="S516" s="42">
        <f>VLOOKUP(R516,'[1]GCD base'!$A$1:$M$200,7,FALSE)</f>
        <v>395.59857959999999</v>
      </c>
      <c r="T516" t="s">
        <v>109</v>
      </c>
      <c r="U516" t="s">
        <v>205</v>
      </c>
      <c r="V516" t="s">
        <v>202</v>
      </c>
      <c r="W516" t="s">
        <v>203</v>
      </c>
      <c r="X516" t="s">
        <v>204</v>
      </c>
      <c r="Y516">
        <v>0</v>
      </c>
      <c r="Z516">
        <v>0</v>
      </c>
      <c r="AA516">
        <v>745.14</v>
      </c>
      <c r="AB516">
        <v>0</v>
      </c>
      <c r="AC516" s="49">
        <v>45194</v>
      </c>
      <c r="AD516" s="116" t="s">
        <v>10</v>
      </c>
      <c r="AE516" s="113" t="str" cm="1">
        <f t="array" ref="AE516">_xlfn.IFS(S516&lt;=Constantes!$G$2,"Muito Curta (evitável)",S516&lt;=Constantes!$H$2,"Curta Distância",S516&gt;Constantes!$H$2,"Longa Distância")</f>
        <v>Muito Curta (evitável)</v>
      </c>
      <c r="AF516" s="114">
        <f>IFERROR(VLOOKUP(AE516,Constantes!$A$1:$E$5,MATCH(AD516,Constantes!$A$1:$E$1,0),0),"")</f>
        <v>0.27257678523489931</v>
      </c>
      <c r="AG516" s="115">
        <f t="shared" si="17"/>
        <v>107.83098907086041</v>
      </c>
    </row>
    <row r="517" spans="1:33" x14ac:dyDescent="0.3">
      <c r="A517">
        <f>COUNTIF($B$2:B517,B517)</f>
        <v>1</v>
      </c>
      <c r="B517">
        <v>19323399</v>
      </c>
      <c r="C517" t="s">
        <v>1218</v>
      </c>
      <c r="D517" t="s">
        <v>1219</v>
      </c>
      <c r="E517" t="s">
        <v>1220</v>
      </c>
      <c r="F517" t="s">
        <v>198</v>
      </c>
      <c r="G517" t="s">
        <v>207</v>
      </c>
      <c r="H517" t="s">
        <v>204</v>
      </c>
      <c r="I517" s="49">
        <v>45236</v>
      </c>
      <c r="J517" s="49">
        <v>45241</v>
      </c>
      <c r="K517" t="s">
        <v>1221</v>
      </c>
      <c r="L517" s="49">
        <v>45241</v>
      </c>
      <c r="M517" s="49">
        <v>45241</v>
      </c>
      <c r="N517" t="s">
        <v>117</v>
      </c>
      <c r="O517" t="s">
        <v>107</v>
      </c>
      <c r="P517">
        <f>VLOOKUP(N517,[1]ID_Cidades!$A$1:$E$5900,2,FALSE)</f>
        <v>295779</v>
      </c>
      <c r="Q517">
        <f>VLOOKUP(O517,[1]ID_Cidades!$A$1:$E$5900,2,FALSE)</f>
        <v>295765</v>
      </c>
      <c r="R517">
        <f t="shared" si="16"/>
        <v>87481075935</v>
      </c>
      <c r="S517" s="42">
        <f>VLOOKUP(R517,'[1]GCD base'!$A$1:$M$200,7,FALSE)</f>
        <v>2189.9742419999998</v>
      </c>
      <c r="T517" t="s">
        <v>109</v>
      </c>
      <c r="U517" t="s">
        <v>201</v>
      </c>
      <c r="V517" t="s">
        <v>202</v>
      </c>
      <c r="W517" t="s">
        <v>203</v>
      </c>
      <c r="X517" t="s">
        <v>204</v>
      </c>
      <c r="Y517">
        <v>1598.92</v>
      </c>
      <c r="Z517">
        <v>0</v>
      </c>
      <c r="AA517">
        <v>977.89</v>
      </c>
      <c r="AB517">
        <v>0</v>
      </c>
      <c r="AC517" s="49">
        <v>45191</v>
      </c>
      <c r="AD517" s="116" t="s">
        <v>10</v>
      </c>
      <c r="AE517" s="113" t="str" cm="1">
        <f t="array" ref="AE517">_xlfn.IFS(S517&lt;=Constantes!$G$2,"Muito Curta (evitável)",S517&lt;=Constantes!$H$2,"Curta Distância",S517&gt;Constantes!$H$2,"Longa Distância")</f>
        <v>Curta Distância</v>
      </c>
      <c r="AF517" s="114">
        <f>IFERROR(VLOOKUP(AE517,Constantes!$A$1:$E$5,MATCH(AD517,Constantes!$A$1:$E$1,0),0),"")</f>
        <v>0.18286935436241611</v>
      </c>
      <c r="AG517" s="115">
        <f t="shared" si="17"/>
        <v>400.47917570486158</v>
      </c>
    </row>
    <row r="518" spans="1:33" x14ac:dyDescent="0.3">
      <c r="A518">
        <f>COUNTIF($B$2:B518,B518)</f>
        <v>2</v>
      </c>
      <c r="B518">
        <v>19323399</v>
      </c>
      <c r="C518" t="s">
        <v>1218</v>
      </c>
      <c r="D518" t="s">
        <v>1219</v>
      </c>
      <c r="E518" t="s">
        <v>1220</v>
      </c>
      <c r="F518" t="s">
        <v>198</v>
      </c>
      <c r="G518" t="s">
        <v>207</v>
      </c>
      <c r="H518" t="s">
        <v>204</v>
      </c>
      <c r="I518" s="49">
        <v>45236</v>
      </c>
      <c r="J518" s="49">
        <v>45241</v>
      </c>
      <c r="K518" t="s">
        <v>1221</v>
      </c>
      <c r="L518" s="49">
        <v>45236</v>
      </c>
      <c r="M518" s="49">
        <v>45241</v>
      </c>
      <c r="N518" t="s">
        <v>107</v>
      </c>
      <c r="O518" t="s">
        <v>117</v>
      </c>
      <c r="P518">
        <f>VLOOKUP(N518,[1]ID_Cidades!$A$1:$E$5900,2,FALSE)</f>
        <v>295765</v>
      </c>
      <c r="Q518">
        <f>VLOOKUP(O518,[1]ID_Cidades!$A$1:$E$5900,2,FALSE)</f>
        <v>295779</v>
      </c>
      <c r="R518">
        <f t="shared" si="16"/>
        <v>87481075935</v>
      </c>
      <c r="S518" s="42">
        <f>VLOOKUP(R518,'[1]GCD base'!$A$1:$M$200,7,FALSE)</f>
        <v>2189.9742419999998</v>
      </c>
      <c r="T518" t="s">
        <v>109</v>
      </c>
      <c r="U518" t="s">
        <v>205</v>
      </c>
      <c r="V518" t="s">
        <v>202</v>
      </c>
      <c r="W518" t="s">
        <v>203</v>
      </c>
      <c r="X518" t="s">
        <v>204</v>
      </c>
      <c r="Y518">
        <v>0</v>
      </c>
      <c r="Z518">
        <v>0</v>
      </c>
      <c r="AA518">
        <v>963.45</v>
      </c>
      <c r="AB518">
        <v>0</v>
      </c>
      <c r="AC518" s="49">
        <v>45191</v>
      </c>
      <c r="AD518" s="116" t="s">
        <v>10</v>
      </c>
      <c r="AE518" s="113" t="str" cm="1">
        <f t="array" ref="AE518">_xlfn.IFS(S518&lt;=Constantes!$G$2,"Muito Curta (evitável)",S518&lt;=Constantes!$H$2,"Curta Distância",S518&gt;Constantes!$H$2,"Longa Distância")</f>
        <v>Curta Distância</v>
      </c>
      <c r="AF518" s="114">
        <f>IFERROR(VLOOKUP(AE518,Constantes!$A$1:$E$5,MATCH(AD518,Constantes!$A$1:$E$1,0),0),"")</f>
        <v>0.18286935436241611</v>
      </c>
      <c r="AG518" s="115">
        <f t="shared" si="17"/>
        <v>400.47917570486158</v>
      </c>
    </row>
    <row r="519" spans="1:33" x14ac:dyDescent="0.3">
      <c r="A519">
        <f>COUNTIF($B$2:B519,B519)</f>
        <v>1</v>
      </c>
      <c r="B519">
        <v>19400372</v>
      </c>
      <c r="C519" t="s">
        <v>1504</v>
      </c>
      <c r="D519" t="s">
        <v>1505</v>
      </c>
      <c r="E519" t="s">
        <v>1506</v>
      </c>
      <c r="F519" t="s">
        <v>198</v>
      </c>
      <c r="G519" t="s">
        <v>207</v>
      </c>
      <c r="H519" t="s">
        <v>204</v>
      </c>
      <c r="I519" s="49">
        <v>45236</v>
      </c>
      <c r="J519" s="49">
        <v>45240</v>
      </c>
      <c r="K519" t="s">
        <v>1507</v>
      </c>
      <c r="L519" s="49">
        <v>45236</v>
      </c>
      <c r="M519" s="49">
        <v>45240</v>
      </c>
      <c r="N519" t="s">
        <v>1508</v>
      </c>
      <c r="O519" t="s">
        <v>108</v>
      </c>
      <c r="P519">
        <f>VLOOKUP(N519,[1]ID_Cidades!$A$1:$E$5900,2,FALSE)</f>
        <v>300632</v>
      </c>
      <c r="Q519">
        <f>VLOOKUP(O519,[1]ID_Cidades!$A$1:$E$5900,2,FALSE)</f>
        <v>305719</v>
      </c>
      <c r="R519">
        <f t="shared" si="16"/>
        <v>91908914408</v>
      </c>
      <c r="S519" s="42">
        <f>VLOOKUP(R519,'[1]GCD base'!$A$1:$M$200,7,FALSE)</f>
        <v>2836.5260450000001</v>
      </c>
      <c r="T519" t="s">
        <v>109</v>
      </c>
      <c r="U519" t="s">
        <v>205</v>
      </c>
      <c r="V519" t="s">
        <v>202</v>
      </c>
      <c r="W519" t="s">
        <v>203</v>
      </c>
      <c r="X519" t="s">
        <v>204</v>
      </c>
      <c r="Y519">
        <v>0</v>
      </c>
      <c r="Z519">
        <v>0</v>
      </c>
      <c r="AA519">
        <v>1862.16</v>
      </c>
      <c r="AB519">
        <v>0</v>
      </c>
      <c r="AC519" s="49">
        <v>45216</v>
      </c>
      <c r="AD519" s="116" t="s">
        <v>10</v>
      </c>
      <c r="AE519" s="113" t="str" cm="1">
        <f t="array" ref="AE519">_xlfn.IFS(S519&lt;=Constantes!$G$2,"Muito Curta (evitável)",S519&lt;=Constantes!$H$2,"Curta Distância",S519&gt;Constantes!$H$2,"Longa Distância")</f>
        <v>Curta Distância</v>
      </c>
      <c r="AF519" s="114">
        <f>IFERROR(VLOOKUP(AE519,Constantes!$A$1:$E$5,MATCH(AD519,Constantes!$A$1:$E$1,0),0),"")</f>
        <v>0.18286935436241611</v>
      </c>
      <c r="AG519" s="115">
        <f t="shared" si="17"/>
        <v>518.71368648132773</v>
      </c>
    </row>
    <row r="520" spans="1:33" x14ac:dyDescent="0.3">
      <c r="A520">
        <f>COUNTIF($B$2:B520,B520)</f>
        <v>2</v>
      </c>
      <c r="B520">
        <v>19400372</v>
      </c>
      <c r="C520" t="s">
        <v>1504</v>
      </c>
      <c r="D520" t="s">
        <v>1505</v>
      </c>
      <c r="E520" t="s">
        <v>1506</v>
      </c>
      <c r="F520" t="s">
        <v>198</v>
      </c>
      <c r="G520" t="s">
        <v>207</v>
      </c>
      <c r="H520" t="s">
        <v>204</v>
      </c>
      <c r="I520" s="49">
        <v>45236</v>
      </c>
      <c r="J520" s="49">
        <v>45240</v>
      </c>
      <c r="K520" t="s">
        <v>1507</v>
      </c>
      <c r="L520" s="49">
        <v>45240</v>
      </c>
      <c r="M520" s="49">
        <v>45240</v>
      </c>
      <c r="N520" t="s">
        <v>108</v>
      </c>
      <c r="O520" t="s">
        <v>1508</v>
      </c>
      <c r="P520">
        <f>VLOOKUP(N520,[1]ID_Cidades!$A$1:$E$5900,2,FALSE)</f>
        <v>305719</v>
      </c>
      <c r="Q520">
        <f>VLOOKUP(O520,[1]ID_Cidades!$A$1:$E$5900,2,FALSE)</f>
        <v>300632</v>
      </c>
      <c r="R520">
        <f t="shared" si="16"/>
        <v>91908914408</v>
      </c>
      <c r="S520" s="42">
        <f>VLOOKUP(R520,'[1]GCD base'!$A$1:$M$200,7,FALSE)</f>
        <v>2836.5260450000001</v>
      </c>
      <c r="T520" t="s">
        <v>109</v>
      </c>
      <c r="U520" t="s">
        <v>201</v>
      </c>
      <c r="V520" t="s">
        <v>202</v>
      </c>
      <c r="W520" t="s">
        <v>203</v>
      </c>
      <c r="X520" t="s">
        <v>204</v>
      </c>
      <c r="Y520">
        <v>0</v>
      </c>
      <c r="Z520">
        <v>0</v>
      </c>
      <c r="AA520">
        <v>1871.95</v>
      </c>
      <c r="AB520">
        <v>0</v>
      </c>
      <c r="AC520" s="49">
        <v>45216</v>
      </c>
      <c r="AD520" s="116" t="s">
        <v>10</v>
      </c>
      <c r="AE520" s="113" t="str" cm="1">
        <f t="array" ref="AE520">_xlfn.IFS(S520&lt;=Constantes!$G$2,"Muito Curta (evitável)",S520&lt;=Constantes!$H$2,"Curta Distância",S520&gt;Constantes!$H$2,"Longa Distância")</f>
        <v>Curta Distância</v>
      </c>
      <c r="AF520" s="114">
        <f>IFERROR(VLOOKUP(AE520,Constantes!$A$1:$E$5,MATCH(AD520,Constantes!$A$1:$E$1,0),0),"")</f>
        <v>0.18286935436241611</v>
      </c>
      <c r="AG520" s="115">
        <f t="shared" si="17"/>
        <v>518.71368648132773</v>
      </c>
    </row>
    <row r="521" spans="1:33" x14ac:dyDescent="0.3">
      <c r="A521">
        <f>COUNTIF($B$2:B521,B521)</f>
        <v>1</v>
      </c>
      <c r="B521">
        <v>19346425</v>
      </c>
      <c r="C521" t="s">
        <v>1309</v>
      </c>
      <c r="D521" t="s">
        <v>1310</v>
      </c>
      <c r="E521" t="s">
        <v>1311</v>
      </c>
      <c r="F521" t="s">
        <v>198</v>
      </c>
      <c r="G521" t="s">
        <v>233</v>
      </c>
      <c r="H521" t="s">
        <v>233</v>
      </c>
      <c r="I521" s="49">
        <v>45237</v>
      </c>
      <c r="J521" s="49">
        <v>45240</v>
      </c>
      <c r="K521" t="s">
        <v>1312</v>
      </c>
      <c r="L521" s="49">
        <v>45240</v>
      </c>
      <c r="M521" s="49">
        <v>45240</v>
      </c>
      <c r="N521" t="s">
        <v>110</v>
      </c>
      <c r="O521" t="s">
        <v>107</v>
      </c>
      <c r="P521">
        <f>VLOOKUP(N521,[1]ID_Cidades!$A$1:$E$5900,2,FALSE)</f>
        <v>295763</v>
      </c>
      <c r="Q521">
        <f>VLOOKUP(O521,[1]ID_Cidades!$A$1:$E$5900,2,FALSE)</f>
        <v>295765</v>
      </c>
      <c r="R521">
        <f t="shared" si="16"/>
        <v>87476343695</v>
      </c>
      <c r="S521" s="42">
        <f>VLOOKUP(R521,'[1]GCD base'!$A$1:$M$200,7,FALSE)</f>
        <v>1713.419991</v>
      </c>
      <c r="T521" t="s">
        <v>109</v>
      </c>
      <c r="U521" t="s">
        <v>201</v>
      </c>
      <c r="V521" t="s">
        <v>202</v>
      </c>
      <c r="W521" t="s">
        <v>203</v>
      </c>
      <c r="X521" t="s">
        <v>204</v>
      </c>
      <c r="Y521">
        <v>1309.3499999999999</v>
      </c>
      <c r="Z521">
        <v>0</v>
      </c>
      <c r="AA521">
        <v>818.89</v>
      </c>
      <c r="AB521">
        <v>0</v>
      </c>
      <c r="AC521" s="49">
        <v>45202</v>
      </c>
      <c r="AD521" s="116" t="s">
        <v>10</v>
      </c>
      <c r="AE521" s="113" t="str" cm="1">
        <f t="array" ref="AE521">_xlfn.IFS(S521&lt;=Constantes!$G$2,"Muito Curta (evitável)",S521&lt;=Constantes!$H$2,"Curta Distância",S521&gt;Constantes!$H$2,"Longa Distância")</f>
        <v>Curta Distância</v>
      </c>
      <c r="AF521" s="114">
        <f>IFERROR(VLOOKUP(AE521,Constantes!$A$1:$E$5,MATCH(AD521,Constantes!$A$1:$E$1,0),0),"")</f>
        <v>0.18286935436241611</v>
      </c>
      <c r="AG521" s="115">
        <f t="shared" si="17"/>
        <v>313.33200750582682</v>
      </c>
    </row>
    <row r="522" spans="1:33" x14ac:dyDescent="0.3">
      <c r="A522">
        <f>COUNTIF($B$2:B522,B522)</f>
        <v>2</v>
      </c>
      <c r="B522">
        <v>19346425</v>
      </c>
      <c r="C522" t="s">
        <v>1309</v>
      </c>
      <c r="D522" t="s">
        <v>1310</v>
      </c>
      <c r="E522" t="s">
        <v>1311</v>
      </c>
      <c r="F522" t="s">
        <v>198</v>
      </c>
      <c r="G522" t="s">
        <v>233</v>
      </c>
      <c r="H522" t="s">
        <v>233</v>
      </c>
      <c r="I522" s="49">
        <v>45237</v>
      </c>
      <c r="J522" s="49">
        <v>45240</v>
      </c>
      <c r="K522" t="s">
        <v>1312</v>
      </c>
      <c r="L522" s="49">
        <v>45237</v>
      </c>
      <c r="M522" s="49">
        <v>45240</v>
      </c>
      <c r="N522" t="s">
        <v>107</v>
      </c>
      <c r="O522" t="s">
        <v>110</v>
      </c>
      <c r="P522">
        <f>VLOOKUP(N522,[1]ID_Cidades!$A$1:$E$5900,2,FALSE)</f>
        <v>295765</v>
      </c>
      <c r="Q522">
        <f>VLOOKUP(O522,[1]ID_Cidades!$A$1:$E$5900,2,FALSE)</f>
        <v>295763</v>
      </c>
      <c r="R522">
        <f t="shared" si="16"/>
        <v>87476343695</v>
      </c>
      <c r="S522" s="42">
        <f>VLOOKUP(R522,'[1]GCD base'!$A$1:$M$200,7,FALSE)</f>
        <v>1713.419991</v>
      </c>
      <c r="T522" t="s">
        <v>109</v>
      </c>
      <c r="U522" t="s">
        <v>205</v>
      </c>
      <c r="V522" t="s">
        <v>202</v>
      </c>
      <c r="W522" t="s">
        <v>203</v>
      </c>
      <c r="X522" t="s">
        <v>204</v>
      </c>
      <c r="Y522">
        <v>0</v>
      </c>
      <c r="Z522">
        <v>0</v>
      </c>
      <c r="AA522">
        <v>1033.51</v>
      </c>
      <c r="AB522">
        <v>0</v>
      </c>
      <c r="AC522" s="49">
        <v>45202</v>
      </c>
      <c r="AD522" s="116" t="s">
        <v>10</v>
      </c>
      <c r="AE522" s="113" t="str" cm="1">
        <f t="array" ref="AE522">_xlfn.IFS(S522&lt;=Constantes!$G$2,"Muito Curta (evitável)",S522&lt;=Constantes!$H$2,"Curta Distância",S522&gt;Constantes!$H$2,"Longa Distância")</f>
        <v>Curta Distância</v>
      </c>
      <c r="AF522" s="114">
        <f>IFERROR(VLOOKUP(AE522,Constantes!$A$1:$E$5,MATCH(AD522,Constantes!$A$1:$E$1,0),0),"")</f>
        <v>0.18286935436241611</v>
      </c>
      <c r="AG522" s="115">
        <f t="shared" si="17"/>
        <v>313.33200750582682</v>
      </c>
    </row>
    <row r="523" spans="1:33" x14ac:dyDescent="0.3">
      <c r="A523">
        <f>COUNTIF($B$2:B523,B523)</f>
        <v>1</v>
      </c>
      <c r="B523">
        <v>19358374</v>
      </c>
      <c r="C523" t="s">
        <v>1342</v>
      </c>
      <c r="D523" t="s">
        <v>1343</v>
      </c>
      <c r="E523" t="s">
        <v>1344</v>
      </c>
      <c r="F523" t="s">
        <v>198</v>
      </c>
      <c r="G523" t="s">
        <v>233</v>
      </c>
      <c r="H523" t="s">
        <v>233</v>
      </c>
      <c r="I523" s="49">
        <v>45237</v>
      </c>
      <c r="J523" s="49">
        <v>45239</v>
      </c>
      <c r="K523" t="s">
        <v>1345</v>
      </c>
      <c r="L523" s="49">
        <v>45237</v>
      </c>
      <c r="M523" s="49">
        <v>45239</v>
      </c>
      <c r="N523" t="s">
        <v>107</v>
      </c>
      <c r="O523" t="s">
        <v>110</v>
      </c>
      <c r="P523">
        <f>VLOOKUP(N523,[1]ID_Cidades!$A$1:$E$5900,2,FALSE)</f>
        <v>295765</v>
      </c>
      <c r="Q523">
        <f>VLOOKUP(O523,[1]ID_Cidades!$A$1:$E$5900,2,FALSE)</f>
        <v>295763</v>
      </c>
      <c r="R523">
        <f t="shared" si="16"/>
        <v>87476343695</v>
      </c>
      <c r="S523" s="42">
        <f>VLOOKUP(R523,'[1]GCD base'!$A$1:$M$200,7,FALSE)</f>
        <v>1713.419991</v>
      </c>
      <c r="T523" t="s">
        <v>109</v>
      </c>
      <c r="U523" t="s">
        <v>205</v>
      </c>
      <c r="V523" t="s">
        <v>202</v>
      </c>
      <c r="W523" t="s">
        <v>203</v>
      </c>
      <c r="X523" t="s">
        <v>204</v>
      </c>
      <c r="Y523">
        <v>958.12</v>
      </c>
      <c r="Z523">
        <v>0</v>
      </c>
      <c r="AA523">
        <v>1089.51</v>
      </c>
      <c r="AB523">
        <v>0</v>
      </c>
      <c r="AC523" s="49">
        <v>45203</v>
      </c>
      <c r="AD523" s="116" t="s">
        <v>10</v>
      </c>
      <c r="AE523" s="113" t="str" cm="1">
        <f t="array" ref="AE523">_xlfn.IFS(S523&lt;=Constantes!$G$2,"Muito Curta (evitável)",S523&lt;=Constantes!$H$2,"Curta Distância",S523&gt;Constantes!$H$2,"Longa Distância")</f>
        <v>Curta Distância</v>
      </c>
      <c r="AF523" s="114">
        <f>IFERROR(VLOOKUP(AE523,Constantes!$A$1:$E$5,MATCH(AD523,Constantes!$A$1:$E$1,0),0),"")</f>
        <v>0.18286935436241611</v>
      </c>
      <c r="AG523" s="115">
        <f t="shared" si="17"/>
        <v>313.33200750582682</v>
      </c>
    </row>
    <row r="524" spans="1:33" x14ac:dyDescent="0.3">
      <c r="A524">
        <f>COUNTIF($B$2:B524,B524)</f>
        <v>2</v>
      </c>
      <c r="B524">
        <v>19358374</v>
      </c>
      <c r="C524" t="s">
        <v>1342</v>
      </c>
      <c r="D524" t="s">
        <v>1343</v>
      </c>
      <c r="E524" t="s">
        <v>1344</v>
      </c>
      <c r="F524" t="s">
        <v>198</v>
      </c>
      <c r="G524" t="s">
        <v>233</v>
      </c>
      <c r="H524" t="s">
        <v>233</v>
      </c>
      <c r="I524" s="49">
        <v>45237</v>
      </c>
      <c r="J524" s="49">
        <v>45239</v>
      </c>
      <c r="K524" t="s">
        <v>1345</v>
      </c>
      <c r="L524" s="49">
        <v>45239</v>
      </c>
      <c r="M524" s="49">
        <v>45239</v>
      </c>
      <c r="N524" t="s">
        <v>110</v>
      </c>
      <c r="O524" t="s">
        <v>107</v>
      </c>
      <c r="P524">
        <f>VLOOKUP(N524,[1]ID_Cidades!$A$1:$E$5900,2,FALSE)</f>
        <v>295763</v>
      </c>
      <c r="Q524">
        <f>VLOOKUP(O524,[1]ID_Cidades!$A$1:$E$5900,2,FALSE)</f>
        <v>295765</v>
      </c>
      <c r="R524">
        <f t="shared" si="16"/>
        <v>87476343695</v>
      </c>
      <c r="S524" s="42">
        <f>VLOOKUP(R524,'[1]GCD base'!$A$1:$M$200,7,FALSE)</f>
        <v>1713.419991</v>
      </c>
      <c r="T524" t="s">
        <v>109</v>
      </c>
      <c r="U524" t="s">
        <v>201</v>
      </c>
      <c r="V524" t="s">
        <v>202</v>
      </c>
      <c r="W524" t="s">
        <v>203</v>
      </c>
      <c r="X524" t="s">
        <v>204</v>
      </c>
      <c r="Y524">
        <v>0</v>
      </c>
      <c r="Z524">
        <v>0</v>
      </c>
      <c r="AA524">
        <v>984.19</v>
      </c>
      <c r="AB524">
        <v>0</v>
      </c>
      <c r="AC524" s="49">
        <v>45203</v>
      </c>
      <c r="AD524" s="116" t="s">
        <v>10</v>
      </c>
      <c r="AE524" s="113" t="str" cm="1">
        <f t="array" ref="AE524">_xlfn.IFS(S524&lt;=Constantes!$G$2,"Muito Curta (evitável)",S524&lt;=Constantes!$H$2,"Curta Distância",S524&gt;Constantes!$H$2,"Longa Distância")</f>
        <v>Curta Distância</v>
      </c>
      <c r="AF524" s="114">
        <f>IFERROR(VLOOKUP(AE524,Constantes!$A$1:$E$5,MATCH(AD524,Constantes!$A$1:$E$1,0),0),"")</f>
        <v>0.18286935436241611</v>
      </c>
      <c r="AG524" s="115">
        <f t="shared" si="17"/>
        <v>313.33200750582682</v>
      </c>
    </row>
    <row r="525" spans="1:33" x14ac:dyDescent="0.3">
      <c r="A525">
        <f>COUNTIF($B$2:B525,B525)</f>
        <v>1</v>
      </c>
      <c r="B525">
        <v>19445875</v>
      </c>
      <c r="C525" t="s">
        <v>1592</v>
      </c>
      <c r="D525" t="s">
        <v>1497</v>
      </c>
      <c r="E525" t="s">
        <v>1498</v>
      </c>
      <c r="F525" t="s">
        <v>198</v>
      </c>
      <c r="G525" t="s">
        <v>221</v>
      </c>
      <c r="H525" t="s">
        <v>200</v>
      </c>
      <c r="I525" s="49">
        <v>45237</v>
      </c>
      <c r="J525" s="49">
        <v>45241</v>
      </c>
      <c r="K525" t="s">
        <v>1593</v>
      </c>
      <c r="L525" s="49">
        <v>45241</v>
      </c>
      <c r="M525" s="49">
        <v>45241</v>
      </c>
      <c r="N525" t="s">
        <v>115</v>
      </c>
      <c r="O525" t="s">
        <v>107</v>
      </c>
      <c r="P525">
        <f>VLOOKUP(N525,[1]ID_Cidades!$A$1:$E$5900,2,FALSE)</f>
        <v>295770</v>
      </c>
      <c r="Q525">
        <f>VLOOKUP(O525,[1]ID_Cidades!$A$1:$E$5900,2,FALSE)</f>
        <v>295765</v>
      </c>
      <c r="R525">
        <f t="shared" si="16"/>
        <v>87478414050</v>
      </c>
      <c r="S525" s="42">
        <f>VLOOKUP(R525,'[1]GCD base'!$A$1:$M$200,7,FALSE)</f>
        <v>741.11941309999997</v>
      </c>
      <c r="T525" t="s">
        <v>109</v>
      </c>
      <c r="U525" t="s">
        <v>201</v>
      </c>
      <c r="V525" t="s">
        <v>202</v>
      </c>
      <c r="W525" t="s">
        <v>210</v>
      </c>
      <c r="X525" t="s">
        <v>1594</v>
      </c>
      <c r="Y525">
        <v>1509.95</v>
      </c>
      <c r="Z525">
        <v>0</v>
      </c>
      <c r="AA525">
        <v>1628.19</v>
      </c>
      <c r="AB525">
        <v>0</v>
      </c>
      <c r="AC525" s="49">
        <v>45224</v>
      </c>
      <c r="AD525" s="116" t="s">
        <v>10</v>
      </c>
      <c r="AE525" s="113" t="str" cm="1">
        <f t="array" ref="AE525">_xlfn.IFS(S525&lt;=Constantes!$G$2,"Muito Curta (evitável)",S525&lt;=Constantes!$H$2,"Curta Distância",S525&gt;Constantes!$H$2,"Longa Distância")</f>
        <v>Curta Distância</v>
      </c>
      <c r="AF525" s="114">
        <f>IFERROR(VLOOKUP(AE525,Constantes!$A$1:$E$5,MATCH(AD525,Constantes!$A$1:$E$1,0),0),"")</f>
        <v>0.18286935436241611</v>
      </c>
      <c r="AG525" s="115">
        <f t="shared" si="17"/>
        <v>135.52802857904976</v>
      </c>
    </row>
    <row r="526" spans="1:33" x14ac:dyDescent="0.3">
      <c r="A526">
        <f>COUNTIF($B$2:B526,B526)</f>
        <v>2</v>
      </c>
      <c r="B526">
        <v>19445875</v>
      </c>
      <c r="C526" t="s">
        <v>1592</v>
      </c>
      <c r="D526" t="s">
        <v>1497</v>
      </c>
      <c r="E526" t="s">
        <v>1498</v>
      </c>
      <c r="F526" t="s">
        <v>198</v>
      </c>
      <c r="G526" t="s">
        <v>221</v>
      </c>
      <c r="H526" t="s">
        <v>200</v>
      </c>
      <c r="I526" s="49">
        <v>45237</v>
      </c>
      <c r="J526" s="49">
        <v>45241</v>
      </c>
      <c r="K526" t="s">
        <v>1593</v>
      </c>
      <c r="L526" s="49">
        <v>45237</v>
      </c>
      <c r="M526" s="49">
        <v>45241</v>
      </c>
      <c r="N526" t="s">
        <v>107</v>
      </c>
      <c r="O526" t="s">
        <v>115</v>
      </c>
      <c r="P526">
        <f>VLOOKUP(N526,[1]ID_Cidades!$A$1:$E$5900,2,FALSE)</f>
        <v>295765</v>
      </c>
      <c r="Q526">
        <f>VLOOKUP(O526,[1]ID_Cidades!$A$1:$E$5900,2,FALSE)</f>
        <v>295770</v>
      </c>
      <c r="R526">
        <f t="shared" si="16"/>
        <v>87478414050</v>
      </c>
      <c r="S526" s="42">
        <f>VLOOKUP(R526,'[1]GCD base'!$A$1:$M$200,7,FALSE)</f>
        <v>741.11941309999997</v>
      </c>
      <c r="T526" t="s">
        <v>109</v>
      </c>
      <c r="U526" t="s">
        <v>205</v>
      </c>
      <c r="V526" t="s">
        <v>202</v>
      </c>
      <c r="W526" t="s">
        <v>210</v>
      </c>
      <c r="X526" t="s">
        <v>1594</v>
      </c>
      <c r="Y526">
        <v>0</v>
      </c>
      <c r="Z526">
        <v>0</v>
      </c>
      <c r="AA526">
        <v>1292.8900000000001</v>
      </c>
      <c r="AB526">
        <v>0</v>
      </c>
      <c r="AC526" s="49">
        <v>45224</v>
      </c>
      <c r="AD526" s="116" t="s">
        <v>10</v>
      </c>
      <c r="AE526" s="113" t="str" cm="1">
        <f t="array" ref="AE526">_xlfn.IFS(S526&lt;=Constantes!$G$2,"Muito Curta (evitável)",S526&lt;=Constantes!$H$2,"Curta Distância",S526&gt;Constantes!$H$2,"Longa Distância")</f>
        <v>Curta Distância</v>
      </c>
      <c r="AF526" s="114">
        <f>IFERROR(VLOOKUP(AE526,Constantes!$A$1:$E$5,MATCH(AD526,Constantes!$A$1:$E$1,0),0),"")</f>
        <v>0.18286935436241611</v>
      </c>
      <c r="AG526" s="115">
        <f t="shared" si="17"/>
        <v>135.52802857904976</v>
      </c>
    </row>
    <row r="527" spans="1:33" x14ac:dyDescent="0.3">
      <c r="A527">
        <f>COUNTIF($B$2:B527,B527)</f>
        <v>1</v>
      </c>
      <c r="B527">
        <v>19466987</v>
      </c>
      <c r="C527" t="s">
        <v>1630</v>
      </c>
      <c r="D527" t="s">
        <v>1631</v>
      </c>
      <c r="E527" t="s">
        <v>1632</v>
      </c>
      <c r="F527" t="s">
        <v>198</v>
      </c>
      <c r="G527" t="s">
        <v>217</v>
      </c>
      <c r="H527" t="s">
        <v>217</v>
      </c>
      <c r="I527" s="49">
        <v>45237</v>
      </c>
      <c r="J527" s="49">
        <v>45239</v>
      </c>
      <c r="K527" t="s">
        <v>1633</v>
      </c>
      <c r="L527" s="49">
        <v>45237</v>
      </c>
      <c r="M527" s="49">
        <v>45239</v>
      </c>
      <c r="N527" t="s">
        <v>107</v>
      </c>
      <c r="O527" t="s">
        <v>110</v>
      </c>
      <c r="P527">
        <f>VLOOKUP(N527,[1]ID_Cidades!$A$1:$E$5900,2,FALSE)</f>
        <v>295765</v>
      </c>
      <c r="Q527">
        <f>VLOOKUP(O527,[1]ID_Cidades!$A$1:$E$5900,2,FALSE)</f>
        <v>295763</v>
      </c>
      <c r="R527">
        <f t="shared" si="16"/>
        <v>87476343695</v>
      </c>
      <c r="S527" s="42">
        <f>VLOOKUP(R527,'[1]GCD base'!$A$1:$M$200,7,FALSE)</f>
        <v>1713.419991</v>
      </c>
      <c r="T527" t="s">
        <v>109</v>
      </c>
      <c r="U527" t="s">
        <v>205</v>
      </c>
      <c r="V527" t="s">
        <v>202</v>
      </c>
      <c r="W527" t="s">
        <v>210</v>
      </c>
      <c r="X527" t="s">
        <v>1634</v>
      </c>
      <c r="Y527">
        <v>958.12</v>
      </c>
      <c r="Z527">
        <v>0</v>
      </c>
      <c r="AA527">
        <v>4275.3999999999996</v>
      </c>
      <c r="AB527">
        <v>4275.3999999999996</v>
      </c>
      <c r="AC527" s="49">
        <v>45231</v>
      </c>
      <c r="AD527" s="116" t="s">
        <v>10</v>
      </c>
      <c r="AE527" s="113" t="str" cm="1">
        <f t="array" ref="AE527">_xlfn.IFS(S527&lt;=Constantes!$G$2,"Muito Curta (evitável)",S527&lt;=Constantes!$H$2,"Curta Distância",S527&gt;Constantes!$H$2,"Longa Distância")</f>
        <v>Curta Distância</v>
      </c>
      <c r="AF527" s="114">
        <f>IFERROR(VLOOKUP(AE527,Constantes!$A$1:$E$5,MATCH(AD527,Constantes!$A$1:$E$1,0),0),"")</f>
        <v>0.18286935436241611</v>
      </c>
      <c r="AG527" s="115">
        <f t="shared" si="17"/>
        <v>313.33200750582682</v>
      </c>
    </row>
    <row r="528" spans="1:33" x14ac:dyDescent="0.3">
      <c r="A528">
        <f>COUNTIF($B$2:B528,B528)</f>
        <v>2</v>
      </c>
      <c r="B528">
        <v>19466987</v>
      </c>
      <c r="C528" t="s">
        <v>1630</v>
      </c>
      <c r="D528" t="s">
        <v>1631</v>
      </c>
      <c r="E528" t="s">
        <v>1632</v>
      </c>
      <c r="F528" t="s">
        <v>198</v>
      </c>
      <c r="G528" t="s">
        <v>217</v>
      </c>
      <c r="H528" t="s">
        <v>217</v>
      </c>
      <c r="I528" s="49">
        <v>45237</v>
      </c>
      <c r="J528" s="49">
        <v>45239</v>
      </c>
      <c r="K528" t="s">
        <v>1633</v>
      </c>
      <c r="L528" s="49">
        <v>45239</v>
      </c>
      <c r="M528" s="49">
        <v>45239</v>
      </c>
      <c r="N528" t="s">
        <v>110</v>
      </c>
      <c r="O528" t="s">
        <v>107</v>
      </c>
      <c r="P528">
        <f>VLOOKUP(N528,[1]ID_Cidades!$A$1:$E$5900,2,FALSE)</f>
        <v>295763</v>
      </c>
      <c r="Q528">
        <f>VLOOKUP(O528,[1]ID_Cidades!$A$1:$E$5900,2,FALSE)</f>
        <v>295765</v>
      </c>
      <c r="R528">
        <f t="shared" si="16"/>
        <v>87476343695</v>
      </c>
      <c r="S528" s="42">
        <f>VLOOKUP(R528,'[1]GCD base'!$A$1:$M$200,7,FALSE)</f>
        <v>1713.419991</v>
      </c>
      <c r="T528" t="s">
        <v>109</v>
      </c>
      <c r="U528" t="s">
        <v>201</v>
      </c>
      <c r="V528" t="s">
        <v>202</v>
      </c>
      <c r="W528" t="s">
        <v>210</v>
      </c>
      <c r="X528" t="s">
        <v>1634</v>
      </c>
      <c r="Y528">
        <v>0</v>
      </c>
      <c r="Z528">
        <v>0</v>
      </c>
      <c r="AA528">
        <v>0</v>
      </c>
      <c r="AB528">
        <v>0</v>
      </c>
      <c r="AC528">
        <v>0</v>
      </c>
      <c r="AD528" s="116" t="s">
        <v>10</v>
      </c>
      <c r="AE528" s="113" t="str" cm="1">
        <f t="array" ref="AE528">_xlfn.IFS(S528&lt;=Constantes!$G$2,"Muito Curta (evitável)",S528&lt;=Constantes!$H$2,"Curta Distância",S528&gt;Constantes!$H$2,"Longa Distância")</f>
        <v>Curta Distância</v>
      </c>
      <c r="AF528" s="114">
        <f>IFERROR(VLOOKUP(AE528,Constantes!$A$1:$E$5,MATCH(AD528,Constantes!$A$1:$E$1,0),0),"")</f>
        <v>0.18286935436241611</v>
      </c>
      <c r="AG528" s="115">
        <f t="shared" si="17"/>
        <v>313.33200750582682</v>
      </c>
    </row>
    <row r="529" spans="1:33" x14ac:dyDescent="0.3">
      <c r="A529">
        <f>COUNTIF($B$2:B529,B529)</f>
        <v>1</v>
      </c>
      <c r="B529">
        <v>19479520</v>
      </c>
      <c r="C529" t="s">
        <v>1635</v>
      </c>
      <c r="D529" t="s">
        <v>1636</v>
      </c>
      <c r="E529" t="s">
        <v>1637</v>
      </c>
      <c r="F529" t="s">
        <v>198</v>
      </c>
      <c r="G529" t="s">
        <v>207</v>
      </c>
      <c r="H529" t="s">
        <v>204</v>
      </c>
      <c r="I529" s="49">
        <v>45237</v>
      </c>
      <c r="J529" s="49">
        <v>45240</v>
      </c>
      <c r="K529" t="s">
        <v>1638</v>
      </c>
      <c r="L529" s="49">
        <v>45237</v>
      </c>
      <c r="M529" s="49">
        <v>45240</v>
      </c>
      <c r="N529" t="s">
        <v>107</v>
      </c>
      <c r="O529" t="s">
        <v>110</v>
      </c>
      <c r="P529">
        <f>VLOOKUP(N529,[1]ID_Cidades!$A$1:$E$5900,2,FALSE)</f>
        <v>295765</v>
      </c>
      <c r="Q529">
        <f>VLOOKUP(O529,[1]ID_Cidades!$A$1:$E$5900,2,FALSE)</f>
        <v>295763</v>
      </c>
      <c r="R529">
        <f t="shared" si="16"/>
        <v>87476343695</v>
      </c>
      <c r="S529" s="42">
        <f>VLOOKUP(R529,'[1]GCD base'!$A$1:$M$200,7,FALSE)</f>
        <v>1713.419991</v>
      </c>
      <c r="T529" t="s">
        <v>109</v>
      </c>
      <c r="U529" t="s">
        <v>205</v>
      </c>
      <c r="V529" t="s">
        <v>202</v>
      </c>
      <c r="W529" t="s">
        <v>210</v>
      </c>
      <c r="X529" t="s">
        <v>1639</v>
      </c>
      <c r="Y529">
        <v>1215.83</v>
      </c>
      <c r="Z529">
        <v>0</v>
      </c>
      <c r="AA529">
        <v>1838.41</v>
      </c>
      <c r="AB529">
        <v>0</v>
      </c>
      <c r="AC529" s="49">
        <v>45233</v>
      </c>
      <c r="AD529" s="116" t="s">
        <v>10</v>
      </c>
      <c r="AE529" s="113" t="str" cm="1">
        <f t="array" ref="AE529">_xlfn.IFS(S529&lt;=Constantes!$G$2,"Muito Curta (evitável)",S529&lt;=Constantes!$H$2,"Curta Distância",S529&gt;Constantes!$H$2,"Longa Distância")</f>
        <v>Curta Distância</v>
      </c>
      <c r="AF529" s="114">
        <f>IFERROR(VLOOKUP(AE529,Constantes!$A$1:$E$5,MATCH(AD529,Constantes!$A$1:$E$1,0),0),"")</f>
        <v>0.18286935436241611</v>
      </c>
      <c r="AG529" s="115">
        <f t="shared" si="17"/>
        <v>313.33200750582682</v>
      </c>
    </row>
    <row r="530" spans="1:33" x14ac:dyDescent="0.3">
      <c r="A530">
        <f>COUNTIF($B$2:B530,B530)</f>
        <v>2</v>
      </c>
      <c r="B530">
        <v>19479520</v>
      </c>
      <c r="C530" t="s">
        <v>1635</v>
      </c>
      <c r="D530" t="s">
        <v>1636</v>
      </c>
      <c r="E530" t="s">
        <v>1637</v>
      </c>
      <c r="F530" t="s">
        <v>198</v>
      </c>
      <c r="G530" t="s">
        <v>207</v>
      </c>
      <c r="H530" t="s">
        <v>204</v>
      </c>
      <c r="I530" s="49">
        <v>45237</v>
      </c>
      <c r="J530" s="49">
        <v>45240</v>
      </c>
      <c r="K530" t="s">
        <v>1638</v>
      </c>
      <c r="L530" s="49">
        <v>45240</v>
      </c>
      <c r="M530" s="49">
        <v>45240</v>
      </c>
      <c r="N530" t="s">
        <v>110</v>
      </c>
      <c r="O530" t="s">
        <v>107</v>
      </c>
      <c r="P530">
        <f>VLOOKUP(N530,[1]ID_Cidades!$A$1:$E$5900,2,FALSE)</f>
        <v>295763</v>
      </c>
      <c r="Q530">
        <f>VLOOKUP(O530,[1]ID_Cidades!$A$1:$E$5900,2,FALSE)</f>
        <v>295765</v>
      </c>
      <c r="R530">
        <f t="shared" si="16"/>
        <v>87476343695</v>
      </c>
      <c r="S530" s="42">
        <f>VLOOKUP(R530,'[1]GCD base'!$A$1:$M$200,7,FALSE)</f>
        <v>1713.419991</v>
      </c>
      <c r="T530" t="s">
        <v>109</v>
      </c>
      <c r="U530" t="s">
        <v>201</v>
      </c>
      <c r="V530" t="s">
        <v>202</v>
      </c>
      <c r="W530" t="s">
        <v>210</v>
      </c>
      <c r="X530" t="s">
        <v>1639</v>
      </c>
      <c r="Y530">
        <v>0</v>
      </c>
      <c r="Z530">
        <v>0</v>
      </c>
      <c r="AA530">
        <v>2406.9899999999998</v>
      </c>
      <c r="AB530">
        <v>0</v>
      </c>
      <c r="AC530" s="49">
        <v>45233</v>
      </c>
      <c r="AD530" s="116" t="s">
        <v>10</v>
      </c>
      <c r="AE530" s="113" t="str" cm="1">
        <f t="array" ref="AE530">_xlfn.IFS(S530&lt;=Constantes!$G$2,"Muito Curta (evitável)",S530&lt;=Constantes!$H$2,"Curta Distância",S530&gt;Constantes!$H$2,"Longa Distância")</f>
        <v>Curta Distância</v>
      </c>
      <c r="AF530" s="114">
        <f>IFERROR(VLOOKUP(AE530,Constantes!$A$1:$E$5,MATCH(AD530,Constantes!$A$1:$E$1,0),0),"")</f>
        <v>0.18286935436241611</v>
      </c>
      <c r="AG530" s="115">
        <f t="shared" si="17"/>
        <v>313.33200750582682</v>
      </c>
    </row>
    <row r="531" spans="1:33" x14ac:dyDescent="0.3">
      <c r="A531">
        <f>COUNTIF($B$2:B531,B531)</f>
        <v>1</v>
      </c>
      <c r="B531">
        <v>19077191</v>
      </c>
      <c r="C531" t="s">
        <v>367</v>
      </c>
      <c r="D531" t="s">
        <v>368</v>
      </c>
      <c r="E531" t="s">
        <v>369</v>
      </c>
      <c r="F531" t="s">
        <v>198</v>
      </c>
      <c r="G531" t="s">
        <v>207</v>
      </c>
      <c r="H531" t="s">
        <v>204</v>
      </c>
      <c r="I531" s="49">
        <v>45238</v>
      </c>
      <c r="J531" s="49">
        <v>45244</v>
      </c>
      <c r="K531" t="s">
        <v>370</v>
      </c>
      <c r="L531" s="49">
        <v>45238</v>
      </c>
      <c r="M531" s="49">
        <v>45244</v>
      </c>
      <c r="N531" t="s">
        <v>371</v>
      </c>
      <c r="O531" t="s">
        <v>107</v>
      </c>
      <c r="P531">
        <f>VLOOKUP(N531,[1]ID_Cidades!$A$1:$E$5900,2,FALSE)</f>
        <v>295768</v>
      </c>
      <c r="Q531">
        <f>VLOOKUP(O531,[1]ID_Cidades!$A$1:$E$5900,2,FALSE)</f>
        <v>295765</v>
      </c>
      <c r="R531">
        <f t="shared" si="16"/>
        <v>87477822520</v>
      </c>
      <c r="S531" s="42">
        <f>VLOOKUP(R531,'[1]GCD base'!$A$1:$M$200,7,FALSE)</f>
        <v>279.06946140000002</v>
      </c>
      <c r="T531" t="s">
        <v>109</v>
      </c>
      <c r="U531" t="s">
        <v>205</v>
      </c>
      <c r="V531" t="s">
        <v>202</v>
      </c>
      <c r="W531" t="s">
        <v>203</v>
      </c>
      <c r="X531" t="s">
        <v>204</v>
      </c>
      <c r="Y531">
        <v>2162.08</v>
      </c>
      <c r="Z531">
        <v>0</v>
      </c>
      <c r="AA531">
        <v>1079.29</v>
      </c>
      <c r="AB531">
        <v>0</v>
      </c>
      <c r="AC531" s="49">
        <v>45195</v>
      </c>
      <c r="AD531" s="116" t="s">
        <v>10</v>
      </c>
      <c r="AE531" s="113" t="str" cm="1">
        <f t="array" ref="AE531">_xlfn.IFS(S531&lt;=Constantes!$G$2,"Muito Curta (evitável)",S531&lt;=Constantes!$H$2,"Curta Distância",S531&gt;Constantes!$H$2,"Longa Distância")</f>
        <v>Muito Curta (evitável)</v>
      </c>
      <c r="AF531" s="114">
        <f>IFERROR(VLOOKUP(AE531,Constantes!$A$1:$E$5,MATCH(AD531,Constantes!$A$1:$E$1,0),0),"")</f>
        <v>0.27257678523489931</v>
      </c>
      <c r="AG531" s="115">
        <f t="shared" si="17"/>
        <v>76.067856645646827</v>
      </c>
    </row>
    <row r="532" spans="1:33" x14ac:dyDescent="0.3">
      <c r="A532">
        <f>COUNTIF($B$2:B532,B532)</f>
        <v>2</v>
      </c>
      <c r="B532">
        <v>19077191</v>
      </c>
      <c r="C532" t="s">
        <v>367</v>
      </c>
      <c r="D532" t="s">
        <v>368</v>
      </c>
      <c r="E532" t="s">
        <v>369</v>
      </c>
      <c r="F532" t="s">
        <v>198</v>
      </c>
      <c r="G532" t="s">
        <v>207</v>
      </c>
      <c r="H532" t="s">
        <v>204</v>
      </c>
      <c r="I532" s="49">
        <v>45238</v>
      </c>
      <c r="J532" s="49">
        <v>45244</v>
      </c>
      <c r="K532" t="s">
        <v>370</v>
      </c>
      <c r="L532" s="49">
        <v>45244</v>
      </c>
      <c r="M532" s="49">
        <v>45244</v>
      </c>
      <c r="N532" t="s">
        <v>107</v>
      </c>
      <c r="O532" t="s">
        <v>371</v>
      </c>
      <c r="P532">
        <f>VLOOKUP(N532,[1]ID_Cidades!$A$1:$E$5900,2,FALSE)</f>
        <v>295765</v>
      </c>
      <c r="Q532">
        <f>VLOOKUP(O532,[1]ID_Cidades!$A$1:$E$5900,2,FALSE)</f>
        <v>295768</v>
      </c>
      <c r="R532">
        <f t="shared" si="16"/>
        <v>87477822520</v>
      </c>
      <c r="S532" s="42">
        <f>VLOOKUP(R532,'[1]GCD base'!$A$1:$M$200,7,FALSE)</f>
        <v>279.06946140000002</v>
      </c>
      <c r="T532" t="s">
        <v>109</v>
      </c>
      <c r="U532" t="s">
        <v>201</v>
      </c>
      <c r="V532" t="s">
        <v>202</v>
      </c>
      <c r="W532" t="s">
        <v>203</v>
      </c>
      <c r="X532" t="s">
        <v>204</v>
      </c>
      <c r="Y532">
        <v>0</v>
      </c>
      <c r="Z532">
        <v>0</v>
      </c>
      <c r="AA532">
        <v>1077.49</v>
      </c>
      <c r="AB532">
        <v>0</v>
      </c>
      <c r="AC532" s="49">
        <v>45195</v>
      </c>
      <c r="AD532" s="116" t="s">
        <v>10</v>
      </c>
      <c r="AE532" s="113" t="str" cm="1">
        <f t="array" ref="AE532">_xlfn.IFS(S532&lt;=Constantes!$G$2,"Muito Curta (evitável)",S532&lt;=Constantes!$H$2,"Curta Distância",S532&gt;Constantes!$H$2,"Longa Distância")</f>
        <v>Muito Curta (evitável)</v>
      </c>
      <c r="AF532" s="114">
        <f>IFERROR(VLOOKUP(AE532,Constantes!$A$1:$E$5,MATCH(AD532,Constantes!$A$1:$E$1,0),0),"")</f>
        <v>0.27257678523489931</v>
      </c>
      <c r="AG532" s="115">
        <f t="shared" si="17"/>
        <v>76.067856645646827</v>
      </c>
    </row>
    <row r="533" spans="1:33" x14ac:dyDescent="0.3">
      <c r="A533">
        <f>COUNTIF($B$2:B533,B533)</f>
        <v>1</v>
      </c>
      <c r="B533">
        <v>19277297</v>
      </c>
      <c r="C533" t="s">
        <v>954</v>
      </c>
      <c r="D533" t="s">
        <v>955</v>
      </c>
      <c r="E533" t="s">
        <v>956</v>
      </c>
      <c r="F533" t="s">
        <v>198</v>
      </c>
      <c r="G533" t="s">
        <v>233</v>
      </c>
      <c r="H533" t="s">
        <v>233</v>
      </c>
      <c r="I533" s="49">
        <v>45238</v>
      </c>
      <c r="J533" s="49">
        <v>45241</v>
      </c>
      <c r="K533" t="s">
        <v>957</v>
      </c>
      <c r="L533" s="49">
        <v>45238</v>
      </c>
      <c r="M533" s="49">
        <v>45241</v>
      </c>
      <c r="N533" t="s">
        <v>107</v>
      </c>
      <c r="O533" t="s">
        <v>110</v>
      </c>
      <c r="P533">
        <f>VLOOKUP(N533,[1]ID_Cidades!$A$1:$E$5900,2,FALSE)</f>
        <v>295765</v>
      </c>
      <c r="Q533">
        <f>VLOOKUP(O533,[1]ID_Cidades!$A$1:$E$5900,2,FALSE)</f>
        <v>295763</v>
      </c>
      <c r="R533">
        <f t="shared" si="16"/>
        <v>87476343695</v>
      </c>
      <c r="S533" s="42">
        <f>VLOOKUP(R533,'[1]GCD base'!$A$1:$M$200,7,FALSE)</f>
        <v>1713.419991</v>
      </c>
      <c r="T533" t="s">
        <v>109</v>
      </c>
      <c r="U533" t="s">
        <v>205</v>
      </c>
      <c r="V533" t="s">
        <v>202</v>
      </c>
      <c r="W533" t="s">
        <v>203</v>
      </c>
      <c r="X533" t="s">
        <v>204</v>
      </c>
      <c r="Y533">
        <v>1339.26</v>
      </c>
      <c r="Z533">
        <v>0</v>
      </c>
      <c r="AA533">
        <v>1594.1</v>
      </c>
      <c r="AB533">
        <v>0</v>
      </c>
      <c r="AC533" s="49">
        <v>45187</v>
      </c>
      <c r="AD533" s="116" t="s">
        <v>10</v>
      </c>
      <c r="AE533" s="113" t="str" cm="1">
        <f t="array" ref="AE533">_xlfn.IFS(S533&lt;=Constantes!$G$2,"Muito Curta (evitável)",S533&lt;=Constantes!$H$2,"Curta Distância",S533&gt;Constantes!$H$2,"Longa Distância")</f>
        <v>Curta Distância</v>
      </c>
      <c r="AF533" s="114">
        <f>IFERROR(VLOOKUP(AE533,Constantes!$A$1:$E$5,MATCH(AD533,Constantes!$A$1:$E$1,0),0),"")</f>
        <v>0.18286935436241611</v>
      </c>
      <c r="AG533" s="115">
        <f t="shared" si="17"/>
        <v>313.33200750582682</v>
      </c>
    </row>
    <row r="534" spans="1:33" x14ac:dyDescent="0.3">
      <c r="A534">
        <f>COUNTIF($B$2:B534,B534)</f>
        <v>2</v>
      </c>
      <c r="B534">
        <v>19277297</v>
      </c>
      <c r="C534" t="s">
        <v>954</v>
      </c>
      <c r="D534" t="s">
        <v>955</v>
      </c>
      <c r="E534" t="s">
        <v>956</v>
      </c>
      <c r="F534" t="s">
        <v>198</v>
      </c>
      <c r="G534" t="s">
        <v>233</v>
      </c>
      <c r="H534" t="s">
        <v>233</v>
      </c>
      <c r="I534" s="49">
        <v>45238</v>
      </c>
      <c r="J534" s="49">
        <v>45241</v>
      </c>
      <c r="K534" t="s">
        <v>957</v>
      </c>
      <c r="L534" s="49">
        <v>45241</v>
      </c>
      <c r="M534" s="49">
        <v>45241</v>
      </c>
      <c r="N534" t="s">
        <v>110</v>
      </c>
      <c r="O534" t="s">
        <v>107</v>
      </c>
      <c r="P534">
        <f>VLOOKUP(N534,[1]ID_Cidades!$A$1:$E$5900,2,FALSE)</f>
        <v>295763</v>
      </c>
      <c r="Q534">
        <f>VLOOKUP(O534,[1]ID_Cidades!$A$1:$E$5900,2,FALSE)</f>
        <v>295765</v>
      </c>
      <c r="R534">
        <f t="shared" si="16"/>
        <v>87476343695</v>
      </c>
      <c r="S534" s="42">
        <f>VLOOKUP(R534,'[1]GCD base'!$A$1:$M$200,7,FALSE)</f>
        <v>1713.419991</v>
      </c>
      <c r="T534" t="s">
        <v>109</v>
      </c>
      <c r="U534" t="s">
        <v>201</v>
      </c>
      <c r="V534" t="s">
        <v>202</v>
      </c>
      <c r="W534" t="s">
        <v>203</v>
      </c>
      <c r="X534" t="s">
        <v>204</v>
      </c>
      <c r="Y534">
        <v>0</v>
      </c>
      <c r="Z534">
        <v>0</v>
      </c>
      <c r="AA534">
        <v>0</v>
      </c>
      <c r="AB534">
        <v>0</v>
      </c>
      <c r="AC534">
        <v>0</v>
      </c>
      <c r="AD534" s="116" t="s">
        <v>10</v>
      </c>
      <c r="AE534" s="113" t="str" cm="1">
        <f t="array" ref="AE534">_xlfn.IFS(S534&lt;=Constantes!$G$2,"Muito Curta (evitável)",S534&lt;=Constantes!$H$2,"Curta Distância",S534&gt;Constantes!$H$2,"Longa Distância")</f>
        <v>Curta Distância</v>
      </c>
      <c r="AF534" s="114">
        <f>IFERROR(VLOOKUP(AE534,Constantes!$A$1:$E$5,MATCH(AD534,Constantes!$A$1:$E$1,0),0),"")</f>
        <v>0.18286935436241611</v>
      </c>
      <c r="AG534" s="115">
        <f t="shared" si="17"/>
        <v>313.33200750582682</v>
      </c>
    </row>
    <row r="535" spans="1:33" x14ac:dyDescent="0.3">
      <c r="A535">
        <f>COUNTIF($B$2:B535,B535)</f>
        <v>1</v>
      </c>
      <c r="B535">
        <v>19287574</v>
      </c>
      <c r="C535" t="s">
        <v>1016</v>
      </c>
      <c r="D535" t="s">
        <v>791</v>
      </c>
      <c r="E535" t="s">
        <v>792</v>
      </c>
      <c r="F535" t="s">
        <v>198</v>
      </c>
      <c r="G535" t="s">
        <v>233</v>
      </c>
      <c r="H535" t="s">
        <v>233</v>
      </c>
      <c r="I535" s="49">
        <v>45238</v>
      </c>
      <c r="J535" s="49">
        <v>45241</v>
      </c>
      <c r="K535" t="s">
        <v>1017</v>
      </c>
      <c r="L535" s="49">
        <v>45241</v>
      </c>
      <c r="M535" s="49">
        <v>45241</v>
      </c>
      <c r="N535" t="s">
        <v>110</v>
      </c>
      <c r="O535" t="s">
        <v>107</v>
      </c>
      <c r="P535">
        <f>VLOOKUP(N535,[1]ID_Cidades!$A$1:$E$5900,2,FALSE)</f>
        <v>295763</v>
      </c>
      <c r="Q535">
        <f>VLOOKUP(O535,[1]ID_Cidades!$A$1:$E$5900,2,FALSE)</f>
        <v>295765</v>
      </c>
      <c r="R535">
        <f t="shared" si="16"/>
        <v>87476343695</v>
      </c>
      <c r="S535" s="42">
        <f>VLOOKUP(R535,'[1]GCD base'!$A$1:$M$200,7,FALSE)</f>
        <v>1713.419991</v>
      </c>
      <c r="T535" t="s">
        <v>109</v>
      </c>
      <c r="U535" t="s">
        <v>201</v>
      </c>
      <c r="V535" t="s">
        <v>202</v>
      </c>
      <c r="W535" t="s">
        <v>203</v>
      </c>
      <c r="X535" t="s">
        <v>204</v>
      </c>
      <c r="Y535">
        <v>0</v>
      </c>
      <c r="Z535">
        <v>0</v>
      </c>
      <c r="AA535">
        <v>947.61</v>
      </c>
      <c r="AB535">
        <v>0</v>
      </c>
      <c r="AC535" s="49">
        <v>45184</v>
      </c>
      <c r="AD535" s="116" t="s">
        <v>10</v>
      </c>
      <c r="AE535" s="113" t="str" cm="1">
        <f t="array" ref="AE535">_xlfn.IFS(S535&lt;=Constantes!$G$2,"Muito Curta (evitável)",S535&lt;=Constantes!$H$2,"Curta Distância",S535&gt;Constantes!$H$2,"Longa Distância")</f>
        <v>Curta Distância</v>
      </c>
      <c r="AF535" s="114">
        <f>IFERROR(VLOOKUP(AE535,Constantes!$A$1:$E$5,MATCH(AD535,Constantes!$A$1:$E$1,0),0),"")</f>
        <v>0.18286935436241611</v>
      </c>
      <c r="AG535" s="115">
        <f t="shared" si="17"/>
        <v>313.33200750582682</v>
      </c>
    </row>
    <row r="536" spans="1:33" x14ac:dyDescent="0.3">
      <c r="A536">
        <f>COUNTIF($B$2:B536,B536)</f>
        <v>2</v>
      </c>
      <c r="B536">
        <v>19287574</v>
      </c>
      <c r="C536" t="s">
        <v>1016</v>
      </c>
      <c r="D536" t="s">
        <v>791</v>
      </c>
      <c r="E536" t="s">
        <v>792</v>
      </c>
      <c r="F536" t="s">
        <v>198</v>
      </c>
      <c r="G536" t="s">
        <v>233</v>
      </c>
      <c r="H536" t="s">
        <v>233</v>
      </c>
      <c r="I536" s="49">
        <v>45238</v>
      </c>
      <c r="J536" s="49">
        <v>45241</v>
      </c>
      <c r="K536" t="s">
        <v>1017</v>
      </c>
      <c r="L536" s="49">
        <v>45238</v>
      </c>
      <c r="M536" s="49">
        <v>45241</v>
      </c>
      <c r="N536" t="s">
        <v>107</v>
      </c>
      <c r="O536" t="s">
        <v>110</v>
      </c>
      <c r="P536">
        <f>VLOOKUP(N536,[1]ID_Cidades!$A$1:$E$5900,2,FALSE)</f>
        <v>295765</v>
      </c>
      <c r="Q536">
        <f>VLOOKUP(O536,[1]ID_Cidades!$A$1:$E$5900,2,FALSE)</f>
        <v>295763</v>
      </c>
      <c r="R536">
        <f t="shared" si="16"/>
        <v>87476343695</v>
      </c>
      <c r="S536" s="42">
        <f>VLOOKUP(R536,'[1]GCD base'!$A$1:$M$200,7,FALSE)</f>
        <v>1713.419991</v>
      </c>
      <c r="T536" t="s">
        <v>109</v>
      </c>
      <c r="U536" t="s">
        <v>205</v>
      </c>
      <c r="V536" t="s">
        <v>202</v>
      </c>
      <c r="W536" t="s">
        <v>203</v>
      </c>
      <c r="X536" t="s">
        <v>204</v>
      </c>
      <c r="Y536">
        <v>0</v>
      </c>
      <c r="Z536">
        <v>0</v>
      </c>
      <c r="AA536">
        <v>621.89</v>
      </c>
      <c r="AB536">
        <v>0</v>
      </c>
      <c r="AC536" s="49">
        <v>45184</v>
      </c>
      <c r="AD536" s="116" t="s">
        <v>10</v>
      </c>
      <c r="AE536" s="113" t="str" cm="1">
        <f t="array" ref="AE536">_xlfn.IFS(S536&lt;=Constantes!$G$2,"Muito Curta (evitável)",S536&lt;=Constantes!$H$2,"Curta Distância",S536&gt;Constantes!$H$2,"Longa Distância")</f>
        <v>Curta Distância</v>
      </c>
      <c r="AF536" s="114">
        <f>IFERROR(VLOOKUP(AE536,Constantes!$A$1:$E$5,MATCH(AD536,Constantes!$A$1:$E$1,0),0),"")</f>
        <v>0.18286935436241611</v>
      </c>
      <c r="AG536" s="115">
        <f t="shared" si="17"/>
        <v>313.33200750582682</v>
      </c>
    </row>
    <row r="537" spans="1:33" x14ac:dyDescent="0.3">
      <c r="A537">
        <f>COUNTIF($B$2:B537,B537)</f>
        <v>1</v>
      </c>
      <c r="B537">
        <v>19368241</v>
      </c>
      <c r="C537" t="s">
        <v>1367</v>
      </c>
      <c r="D537" t="s">
        <v>218</v>
      </c>
      <c r="E537" t="s">
        <v>1368</v>
      </c>
      <c r="F537" t="s">
        <v>198</v>
      </c>
      <c r="G537" t="s">
        <v>233</v>
      </c>
      <c r="H537" t="s">
        <v>233</v>
      </c>
      <c r="I537" s="49">
        <v>45238</v>
      </c>
      <c r="J537" s="49">
        <v>45240</v>
      </c>
      <c r="K537" t="s">
        <v>1369</v>
      </c>
      <c r="L537" s="49">
        <v>45238</v>
      </c>
      <c r="M537" s="49">
        <v>45240</v>
      </c>
      <c r="N537" t="s">
        <v>107</v>
      </c>
      <c r="O537" t="s">
        <v>110</v>
      </c>
      <c r="P537">
        <f>VLOOKUP(N537,[1]ID_Cidades!$A$1:$E$5900,2,FALSE)</f>
        <v>295765</v>
      </c>
      <c r="Q537">
        <f>VLOOKUP(O537,[1]ID_Cidades!$A$1:$E$5900,2,FALSE)</f>
        <v>295763</v>
      </c>
      <c r="R537">
        <f t="shared" si="16"/>
        <v>87476343695</v>
      </c>
      <c r="S537" s="42">
        <f>VLOOKUP(R537,'[1]GCD base'!$A$1:$M$200,7,FALSE)</f>
        <v>1713.419991</v>
      </c>
      <c r="T537" t="s">
        <v>109</v>
      </c>
      <c r="U537" t="s">
        <v>205</v>
      </c>
      <c r="V537" t="s">
        <v>202</v>
      </c>
      <c r="W537" t="s">
        <v>203</v>
      </c>
      <c r="X537" t="s">
        <v>204</v>
      </c>
      <c r="Y537">
        <v>958.12</v>
      </c>
      <c r="Z537">
        <v>0</v>
      </c>
      <c r="AA537">
        <v>905.29</v>
      </c>
      <c r="AB537">
        <v>0</v>
      </c>
      <c r="AC537" s="49">
        <v>45204</v>
      </c>
      <c r="AD537" s="116" t="s">
        <v>10</v>
      </c>
      <c r="AE537" s="113" t="str" cm="1">
        <f t="array" ref="AE537">_xlfn.IFS(S537&lt;=Constantes!$G$2,"Muito Curta (evitável)",S537&lt;=Constantes!$H$2,"Curta Distância",S537&gt;Constantes!$H$2,"Longa Distância")</f>
        <v>Curta Distância</v>
      </c>
      <c r="AF537" s="114">
        <f>IFERROR(VLOOKUP(AE537,Constantes!$A$1:$E$5,MATCH(AD537,Constantes!$A$1:$E$1,0),0),"")</f>
        <v>0.18286935436241611</v>
      </c>
      <c r="AG537" s="115">
        <f t="shared" si="17"/>
        <v>313.33200750582682</v>
      </c>
    </row>
    <row r="538" spans="1:33" x14ac:dyDescent="0.3">
      <c r="A538">
        <f>COUNTIF($B$2:B538,B538)</f>
        <v>1</v>
      </c>
      <c r="B538">
        <v>19393176</v>
      </c>
      <c r="C538" t="s">
        <v>1468</v>
      </c>
      <c r="D538" t="s">
        <v>1469</v>
      </c>
      <c r="E538" t="s">
        <v>1470</v>
      </c>
      <c r="F538" t="s">
        <v>198</v>
      </c>
      <c r="G538" t="s">
        <v>221</v>
      </c>
      <c r="H538" t="s">
        <v>200</v>
      </c>
      <c r="I538" s="49">
        <v>45238</v>
      </c>
      <c r="J538" s="49">
        <v>45241</v>
      </c>
      <c r="K538" t="s">
        <v>1471</v>
      </c>
      <c r="L538" s="49">
        <v>45238</v>
      </c>
      <c r="M538" s="49">
        <v>45240</v>
      </c>
      <c r="N538" t="s">
        <v>107</v>
      </c>
      <c r="O538" t="s">
        <v>110</v>
      </c>
      <c r="P538">
        <f>VLOOKUP(N538,[1]ID_Cidades!$A$1:$E$5900,2,FALSE)</f>
        <v>295765</v>
      </c>
      <c r="Q538">
        <f>VLOOKUP(O538,[1]ID_Cidades!$A$1:$E$5900,2,FALSE)</f>
        <v>295763</v>
      </c>
      <c r="R538">
        <f t="shared" si="16"/>
        <v>87476343695</v>
      </c>
      <c r="S538" s="42">
        <f>VLOOKUP(R538,'[1]GCD base'!$A$1:$M$200,7,FALSE)</f>
        <v>1713.419991</v>
      </c>
      <c r="T538" t="s">
        <v>109</v>
      </c>
      <c r="U538" t="s">
        <v>205</v>
      </c>
      <c r="V538" t="s">
        <v>202</v>
      </c>
      <c r="W538" t="s">
        <v>203</v>
      </c>
      <c r="X538" t="s">
        <v>204</v>
      </c>
      <c r="Y538">
        <v>1339.26</v>
      </c>
      <c r="Z538">
        <v>0</v>
      </c>
      <c r="AA538">
        <v>971.99</v>
      </c>
      <c r="AB538">
        <v>0</v>
      </c>
      <c r="AC538" s="49">
        <v>45215</v>
      </c>
      <c r="AD538" s="116" t="s">
        <v>10</v>
      </c>
      <c r="AE538" s="113" t="str" cm="1">
        <f t="array" ref="AE538">_xlfn.IFS(S538&lt;=Constantes!$G$2,"Muito Curta (evitável)",S538&lt;=Constantes!$H$2,"Curta Distância",S538&gt;Constantes!$H$2,"Longa Distância")</f>
        <v>Curta Distância</v>
      </c>
      <c r="AF538" s="114">
        <f>IFERROR(VLOOKUP(AE538,Constantes!$A$1:$E$5,MATCH(AD538,Constantes!$A$1:$E$1,0),0),"")</f>
        <v>0.18286935436241611</v>
      </c>
      <c r="AG538" s="115">
        <f t="shared" si="17"/>
        <v>313.33200750582682</v>
      </c>
    </row>
    <row r="539" spans="1:33" x14ac:dyDescent="0.3">
      <c r="A539">
        <f>COUNTIF($B$2:B539,B539)</f>
        <v>2</v>
      </c>
      <c r="B539">
        <v>19393176</v>
      </c>
      <c r="C539" t="s">
        <v>1468</v>
      </c>
      <c r="D539" t="s">
        <v>1469</v>
      </c>
      <c r="E539" t="s">
        <v>1470</v>
      </c>
      <c r="F539" t="s">
        <v>198</v>
      </c>
      <c r="G539" t="s">
        <v>221</v>
      </c>
      <c r="H539" t="s">
        <v>200</v>
      </c>
      <c r="I539" s="49">
        <v>45238</v>
      </c>
      <c r="J539" s="49">
        <v>45241</v>
      </c>
      <c r="K539" t="s">
        <v>1471</v>
      </c>
      <c r="L539" s="49">
        <v>45240</v>
      </c>
      <c r="M539" s="49">
        <v>45241</v>
      </c>
      <c r="N539" t="s">
        <v>110</v>
      </c>
      <c r="O539" t="s">
        <v>107</v>
      </c>
      <c r="P539">
        <f>VLOOKUP(N539,[1]ID_Cidades!$A$1:$E$5900,2,FALSE)</f>
        <v>295763</v>
      </c>
      <c r="Q539">
        <f>VLOOKUP(O539,[1]ID_Cidades!$A$1:$E$5900,2,FALSE)</f>
        <v>295765</v>
      </c>
      <c r="R539">
        <f t="shared" si="16"/>
        <v>87476343695</v>
      </c>
      <c r="S539" s="42">
        <f>VLOOKUP(R539,'[1]GCD base'!$A$1:$M$200,7,FALSE)</f>
        <v>1713.419991</v>
      </c>
      <c r="T539" t="s">
        <v>109</v>
      </c>
      <c r="U539" t="s">
        <v>201</v>
      </c>
      <c r="V539" t="s">
        <v>202</v>
      </c>
      <c r="W539" t="s">
        <v>203</v>
      </c>
      <c r="X539" t="s">
        <v>204</v>
      </c>
      <c r="Y539">
        <v>0</v>
      </c>
      <c r="Z539">
        <v>0</v>
      </c>
      <c r="AA539">
        <v>1150.51</v>
      </c>
      <c r="AB539">
        <v>0</v>
      </c>
      <c r="AC539" s="49">
        <v>45215</v>
      </c>
      <c r="AD539" s="116" t="s">
        <v>10</v>
      </c>
      <c r="AE539" s="113" t="str" cm="1">
        <f t="array" ref="AE539">_xlfn.IFS(S539&lt;=Constantes!$G$2,"Muito Curta (evitável)",S539&lt;=Constantes!$H$2,"Curta Distância",S539&gt;Constantes!$H$2,"Longa Distância")</f>
        <v>Curta Distância</v>
      </c>
      <c r="AF539" s="114">
        <f>IFERROR(VLOOKUP(AE539,Constantes!$A$1:$E$5,MATCH(AD539,Constantes!$A$1:$E$1,0),0),"")</f>
        <v>0.18286935436241611</v>
      </c>
      <c r="AG539" s="115">
        <f t="shared" si="17"/>
        <v>313.33200750582682</v>
      </c>
    </row>
    <row r="540" spans="1:33" x14ac:dyDescent="0.3">
      <c r="A540">
        <f>COUNTIF($B$2:B540,B540)</f>
        <v>1</v>
      </c>
      <c r="B540">
        <v>19405681</v>
      </c>
      <c r="C540" t="s">
        <v>1511</v>
      </c>
      <c r="D540" t="s">
        <v>1512</v>
      </c>
      <c r="E540" t="s">
        <v>1513</v>
      </c>
      <c r="F540" t="s">
        <v>198</v>
      </c>
      <c r="G540" t="s">
        <v>233</v>
      </c>
      <c r="H540" t="s">
        <v>233</v>
      </c>
      <c r="I540" s="49">
        <v>45238</v>
      </c>
      <c r="J540" s="49">
        <v>45241</v>
      </c>
      <c r="K540" t="s">
        <v>1514</v>
      </c>
      <c r="L540" s="49">
        <v>45238</v>
      </c>
      <c r="M540" s="49">
        <v>45241</v>
      </c>
      <c r="N540" t="s">
        <v>107</v>
      </c>
      <c r="O540" t="s">
        <v>116</v>
      </c>
      <c r="P540">
        <f>VLOOKUP(N540,[1]ID_Cidades!$A$1:$E$5900,2,FALSE)</f>
        <v>295765</v>
      </c>
      <c r="Q540">
        <f>VLOOKUP(O540,[1]ID_Cidades!$A$1:$E$5900,2,FALSE)</f>
        <v>295778</v>
      </c>
      <c r="R540">
        <f t="shared" si="16"/>
        <v>87480780170</v>
      </c>
      <c r="S540" s="42">
        <f>VLOOKUP(R540,'[1]GCD base'!$A$1:$M$200,7,FALSE)</f>
        <v>1961.5007860000001</v>
      </c>
      <c r="T540" t="s">
        <v>109</v>
      </c>
      <c r="U540" t="s">
        <v>205</v>
      </c>
      <c r="V540" t="s">
        <v>202</v>
      </c>
      <c r="W540" t="s">
        <v>210</v>
      </c>
      <c r="X540" t="s">
        <v>1515</v>
      </c>
      <c r="Y540">
        <v>1339.26</v>
      </c>
      <c r="Z540">
        <v>0</v>
      </c>
      <c r="AA540">
        <v>843.69</v>
      </c>
      <c r="AB540">
        <v>0</v>
      </c>
      <c r="AC540" s="49">
        <v>45216</v>
      </c>
      <c r="AD540" s="116" t="s">
        <v>10</v>
      </c>
      <c r="AE540" s="113" t="str" cm="1">
        <f t="array" ref="AE540">_xlfn.IFS(S540&lt;=Constantes!$G$2,"Muito Curta (evitável)",S540&lt;=Constantes!$H$2,"Curta Distância",S540&gt;Constantes!$H$2,"Longa Distância")</f>
        <v>Curta Distância</v>
      </c>
      <c r="AF540" s="114">
        <f>IFERROR(VLOOKUP(AE540,Constantes!$A$1:$E$5,MATCH(AD540,Constantes!$A$1:$E$1,0),0),"")</f>
        <v>0.18286935436241611</v>
      </c>
      <c r="AG540" s="115">
        <f t="shared" si="17"/>
        <v>358.69838231719172</v>
      </c>
    </row>
    <row r="541" spans="1:33" x14ac:dyDescent="0.3">
      <c r="A541">
        <f>COUNTIF($B$2:B541,B541)</f>
        <v>2</v>
      </c>
      <c r="B541">
        <v>19405681</v>
      </c>
      <c r="C541" t="s">
        <v>1511</v>
      </c>
      <c r="D541" t="s">
        <v>1512</v>
      </c>
      <c r="E541" t="s">
        <v>1513</v>
      </c>
      <c r="F541" t="s">
        <v>198</v>
      </c>
      <c r="G541" t="s">
        <v>233</v>
      </c>
      <c r="H541" t="s">
        <v>233</v>
      </c>
      <c r="I541" s="49">
        <v>45238</v>
      </c>
      <c r="J541" s="49">
        <v>45241</v>
      </c>
      <c r="K541" t="s">
        <v>1514</v>
      </c>
      <c r="L541" s="49">
        <v>45241</v>
      </c>
      <c r="M541" s="49">
        <v>45241</v>
      </c>
      <c r="N541" t="s">
        <v>116</v>
      </c>
      <c r="O541" t="s">
        <v>107</v>
      </c>
      <c r="P541">
        <f>VLOOKUP(N541,[1]ID_Cidades!$A$1:$E$5900,2,FALSE)</f>
        <v>295778</v>
      </c>
      <c r="Q541">
        <f>VLOOKUP(O541,[1]ID_Cidades!$A$1:$E$5900,2,FALSE)</f>
        <v>295765</v>
      </c>
      <c r="R541">
        <f t="shared" si="16"/>
        <v>87480780170</v>
      </c>
      <c r="S541" s="42">
        <f>VLOOKUP(R541,'[1]GCD base'!$A$1:$M$200,7,FALSE)</f>
        <v>1961.5007860000001</v>
      </c>
      <c r="T541" t="s">
        <v>109</v>
      </c>
      <c r="U541" t="s">
        <v>201</v>
      </c>
      <c r="V541" t="s">
        <v>202</v>
      </c>
      <c r="W541" t="s">
        <v>210</v>
      </c>
      <c r="X541" t="s">
        <v>1515</v>
      </c>
      <c r="Y541">
        <v>0</v>
      </c>
      <c r="Z541">
        <v>0</v>
      </c>
      <c r="AA541">
        <v>1359.2</v>
      </c>
      <c r="AB541">
        <v>0</v>
      </c>
      <c r="AC541" s="49">
        <v>45216</v>
      </c>
      <c r="AD541" s="116" t="s">
        <v>10</v>
      </c>
      <c r="AE541" s="113" t="str" cm="1">
        <f t="array" ref="AE541">_xlfn.IFS(S541&lt;=Constantes!$G$2,"Muito Curta (evitável)",S541&lt;=Constantes!$H$2,"Curta Distância",S541&gt;Constantes!$H$2,"Longa Distância")</f>
        <v>Curta Distância</v>
      </c>
      <c r="AF541" s="114">
        <f>IFERROR(VLOOKUP(AE541,Constantes!$A$1:$E$5,MATCH(AD541,Constantes!$A$1:$E$1,0),0),"")</f>
        <v>0.18286935436241611</v>
      </c>
      <c r="AG541" s="115">
        <f t="shared" si="17"/>
        <v>358.69838231719172</v>
      </c>
    </row>
    <row r="542" spans="1:33" x14ac:dyDescent="0.3">
      <c r="A542">
        <f>COUNTIF($B$2:B542,B542)</f>
        <v>1</v>
      </c>
      <c r="B542">
        <v>19425415</v>
      </c>
      <c r="C542" t="s">
        <v>1535</v>
      </c>
      <c r="D542" t="s">
        <v>1536</v>
      </c>
      <c r="E542" t="s">
        <v>1537</v>
      </c>
      <c r="F542" t="s">
        <v>198</v>
      </c>
      <c r="G542" t="s">
        <v>207</v>
      </c>
      <c r="H542" t="s">
        <v>204</v>
      </c>
      <c r="I542" s="49">
        <v>45238</v>
      </c>
      <c r="J542" s="49">
        <v>45239</v>
      </c>
      <c r="K542" t="s">
        <v>1538</v>
      </c>
      <c r="L542" s="49">
        <v>45238</v>
      </c>
      <c r="M542" s="49">
        <v>45239</v>
      </c>
      <c r="N542" t="s">
        <v>107</v>
      </c>
      <c r="O542" t="s">
        <v>110</v>
      </c>
      <c r="P542">
        <f>VLOOKUP(N542,[1]ID_Cidades!$A$1:$E$5900,2,FALSE)</f>
        <v>295765</v>
      </c>
      <c r="Q542">
        <f>VLOOKUP(O542,[1]ID_Cidades!$A$1:$E$5900,2,FALSE)</f>
        <v>295763</v>
      </c>
      <c r="R542">
        <f t="shared" si="16"/>
        <v>87476343695</v>
      </c>
      <c r="S542" s="42">
        <f>VLOOKUP(R542,'[1]GCD base'!$A$1:$M$200,7,FALSE)</f>
        <v>1713.419991</v>
      </c>
      <c r="T542" t="s">
        <v>109</v>
      </c>
      <c r="U542" t="s">
        <v>205</v>
      </c>
      <c r="V542" t="s">
        <v>202</v>
      </c>
      <c r="W542" t="s">
        <v>203</v>
      </c>
      <c r="X542" t="s">
        <v>204</v>
      </c>
      <c r="Y542">
        <v>606.89</v>
      </c>
      <c r="Z542">
        <v>0</v>
      </c>
      <c r="AA542">
        <v>1553.41</v>
      </c>
      <c r="AB542">
        <v>0</v>
      </c>
      <c r="AC542" s="49">
        <v>45222</v>
      </c>
      <c r="AD542" s="116" t="s">
        <v>10</v>
      </c>
      <c r="AE542" s="113" t="str" cm="1">
        <f t="array" ref="AE542">_xlfn.IFS(S542&lt;=Constantes!$G$2,"Muito Curta (evitável)",S542&lt;=Constantes!$H$2,"Curta Distância",S542&gt;Constantes!$H$2,"Longa Distância")</f>
        <v>Curta Distância</v>
      </c>
      <c r="AF542" s="114">
        <f>IFERROR(VLOOKUP(AE542,Constantes!$A$1:$E$5,MATCH(AD542,Constantes!$A$1:$E$1,0),0),"")</f>
        <v>0.18286935436241611</v>
      </c>
      <c r="AG542" s="115">
        <f t="shared" si="17"/>
        <v>313.33200750582682</v>
      </c>
    </row>
    <row r="543" spans="1:33" x14ac:dyDescent="0.3">
      <c r="A543">
        <f>COUNTIF($B$2:B543,B543)</f>
        <v>2</v>
      </c>
      <c r="B543">
        <v>19425415</v>
      </c>
      <c r="C543" t="s">
        <v>1535</v>
      </c>
      <c r="D543" t="s">
        <v>1536</v>
      </c>
      <c r="E543" t="s">
        <v>1537</v>
      </c>
      <c r="F543" t="s">
        <v>198</v>
      </c>
      <c r="G543" t="s">
        <v>207</v>
      </c>
      <c r="H543" t="s">
        <v>204</v>
      </c>
      <c r="I543" s="49">
        <v>45238</v>
      </c>
      <c r="J543" s="49">
        <v>45239</v>
      </c>
      <c r="K543" t="s">
        <v>1538</v>
      </c>
      <c r="L543" s="49">
        <v>45239</v>
      </c>
      <c r="M543" s="49">
        <v>45239</v>
      </c>
      <c r="N543" t="s">
        <v>110</v>
      </c>
      <c r="O543" t="s">
        <v>107</v>
      </c>
      <c r="P543">
        <f>VLOOKUP(N543,[1]ID_Cidades!$A$1:$E$5900,2,FALSE)</f>
        <v>295763</v>
      </c>
      <c r="Q543">
        <f>VLOOKUP(O543,[1]ID_Cidades!$A$1:$E$5900,2,FALSE)</f>
        <v>295765</v>
      </c>
      <c r="R543">
        <f t="shared" si="16"/>
        <v>87476343695</v>
      </c>
      <c r="S543" s="42">
        <f>VLOOKUP(R543,'[1]GCD base'!$A$1:$M$200,7,FALSE)</f>
        <v>1713.419991</v>
      </c>
      <c r="T543" t="s">
        <v>109</v>
      </c>
      <c r="U543" t="s">
        <v>201</v>
      </c>
      <c r="V543" t="s">
        <v>202</v>
      </c>
      <c r="W543" t="s">
        <v>203</v>
      </c>
      <c r="X543" t="s">
        <v>204</v>
      </c>
      <c r="Y543">
        <v>0</v>
      </c>
      <c r="Z543">
        <v>0</v>
      </c>
      <c r="AA543">
        <v>1060.99</v>
      </c>
      <c r="AB543">
        <v>0</v>
      </c>
      <c r="AC543" s="49">
        <v>45222</v>
      </c>
      <c r="AD543" s="116" t="s">
        <v>10</v>
      </c>
      <c r="AE543" s="113" t="str" cm="1">
        <f t="array" ref="AE543">_xlfn.IFS(S543&lt;=Constantes!$G$2,"Muito Curta (evitável)",S543&lt;=Constantes!$H$2,"Curta Distância",S543&gt;Constantes!$H$2,"Longa Distância")</f>
        <v>Curta Distância</v>
      </c>
      <c r="AF543" s="114">
        <f>IFERROR(VLOOKUP(AE543,Constantes!$A$1:$E$5,MATCH(AD543,Constantes!$A$1:$E$1,0),0),"")</f>
        <v>0.18286935436241611</v>
      </c>
      <c r="AG543" s="115">
        <f t="shared" si="17"/>
        <v>313.33200750582682</v>
      </c>
    </row>
    <row r="544" spans="1:33" x14ac:dyDescent="0.3">
      <c r="A544">
        <f>COUNTIF($B$2:B544,B544)</f>
        <v>1</v>
      </c>
      <c r="B544">
        <v>19448124</v>
      </c>
      <c r="C544" t="s">
        <v>1603</v>
      </c>
      <c r="D544" t="s">
        <v>1604</v>
      </c>
      <c r="E544" t="s">
        <v>1605</v>
      </c>
      <c r="F544" t="s">
        <v>198</v>
      </c>
      <c r="G544" t="s">
        <v>207</v>
      </c>
      <c r="H544" t="s">
        <v>204</v>
      </c>
      <c r="I544" s="49">
        <v>45238</v>
      </c>
      <c r="J544" s="49">
        <v>45240</v>
      </c>
      <c r="K544" t="s">
        <v>1606</v>
      </c>
      <c r="L544" s="49">
        <v>45240</v>
      </c>
      <c r="M544" s="49">
        <v>45240</v>
      </c>
      <c r="N544" t="s">
        <v>107</v>
      </c>
      <c r="O544" t="s">
        <v>115</v>
      </c>
      <c r="P544">
        <f>VLOOKUP(N544,[1]ID_Cidades!$A$1:$E$5900,2,FALSE)</f>
        <v>295765</v>
      </c>
      <c r="Q544">
        <f>VLOOKUP(O544,[1]ID_Cidades!$A$1:$E$5900,2,FALSE)</f>
        <v>295770</v>
      </c>
      <c r="R544">
        <f t="shared" si="16"/>
        <v>87478414050</v>
      </c>
      <c r="S544" s="42">
        <f>VLOOKUP(R544,'[1]GCD base'!$A$1:$M$200,7,FALSE)</f>
        <v>741.11941309999997</v>
      </c>
      <c r="T544" t="s">
        <v>109</v>
      </c>
      <c r="U544" t="s">
        <v>201</v>
      </c>
      <c r="V544" t="s">
        <v>202</v>
      </c>
      <c r="W544" t="s">
        <v>210</v>
      </c>
      <c r="X544" t="s">
        <v>1607</v>
      </c>
      <c r="Y544">
        <v>857.82</v>
      </c>
      <c r="Z544">
        <v>0</v>
      </c>
      <c r="AA544">
        <v>933.19</v>
      </c>
      <c r="AB544">
        <v>0</v>
      </c>
      <c r="AC544" s="49">
        <v>45226</v>
      </c>
      <c r="AD544" s="116" t="s">
        <v>10</v>
      </c>
      <c r="AE544" s="113" t="str" cm="1">
        <f t="array" ref="AE544">_xlfn.IFS(S544&lt;=Constantes!$G$2,"Muito Curta (evitável)",S544&lt;=Constantes!$H$2,"Curta Distância",S544&gt;Constantes!$H$2,"Longa Distância")</f>
        <v>Curta Distância</v>
      </c>
      <c r="AF544" s="114">
        <f>IFERROR(VLOOKUP(AE544,Constantes!$A$1:$E$5,MATCH(AD544,Constantes!$A$1:$E$1,0),0),"")</f>
        <v>0.18286935436241611</v>
      </c>
      <c r="AG544" s="115">
        <f t="shared" si="17"/>
        <v>135.52802857904976</v>
      </c>
    </row>
    <row r="545" spans="1:33" x14ac:dyDescent="0.3">
      <c r="A545">
        <f>COUNTIF($B$2:B545,B545)</f>
        <v>2</v>
      </c>
      <c r="B545">
        <v>19448124</v>
      </c>
      <c r="C545" t="s">
        <v>1603</v>
      </c>
      <c r="D545" t="s">
        <v>1604</v>
      </c>
      <c r="E545" t="s">
        <v>1605</v>
      </c>
      <c r="F545" t="s">
        <v>198</v>
      </c>
      <c r="G545" t="s">
        <v>207</v>
      </c>
      <c r="H545" t="s">
        <v>204</v>
      </c>
      <c r="I545" s="49">
        <v>45238</v>
      </c>
      <c r="J545" s="49">
        <v>45240</v>
      </c>
      <c r="K545" t="s">
        <v>1606</v>
      </c>
      <c r="L545" s="49">
        <v>45238</v>
      </c>
      <c r="M545" s="49">
        <v>45240</v>
      </c>
      <c r="N545" t="s">
        <v>115</v>
      </c>
      <c r="O545" t="s">
        <v>107</v>
      </c>
      <c r="P545">
        <f>VLOOKUP(N545,[1]ID_Cidades!$A$1:$E$5900,2,FALSE)</f>
        <v>295770</v>
      </c>
      <c r="Q545">
        <f>VLOOKUP(O545,[1]ID_Cidades!$A$1:$E$5900,2,FALSE)</f>
        <v>295765</v>
      </c>
      <c r="R545">
        <f t="shared" si="16"/>
        <v>87478414050</v>
      </c>
      <c r="S545" s="42">
        <f>VLOOKUP(R545,'[1]GCD base'!$A$1:$M$200,7,FALSE)</f>
        <v>741.11941309999997</v>
      </c>
      <c r="T545" t="s">
        <v>109</v>
      </c>
      <c r="U545" t="s">
        <v>205</v>
      </c>
      <c r="V545" t="s">
        <v>202</v>
      </c>
      <c r="W545" t="s">
        <v>210</v>
      </c>
      <c r="X545" t="s">
        <v>1607</v>
      </c>
      <c r="Y545">
        <v>0</v>
      </c>
      <c r="Z545">
        <v>0</v>
      </c>
      <c r="AA545">
        <v>930.19</v>
      </c>
      <c r="AB545">
        <v>0</v>
      </c>
      <c r="AC545" s="49">
        <v>45226</v>
      </c>
      <c r="AD545" s="116" t="s">
        <v>10</v>
      </c>
      <c r="AE545" s="113" t="str" cm="1">
        <f t="array" ref="AE545">_xlfn.IFS(S545&lt;=Constantes!$G$2,"Muito Curta (evitável)",S545&lt;=Constantes!$H$2,"Curta Distância",S545&gt;Constantes!$H$2,"Longa Distância")</f>
        <v>Curta Distância</v>
      </c>
      <c r="AF545" s="114">
        <f>IFERROR(VLOOKUP(AE545,Constantes!$A$1:$E$5,MATCH(AD545,Constantes!$A$1:$E$1,0),0),"")</f>
        <v>0.18286935436241611</v>
      </c>
      <c r="AG545" s="115">
        <f t="shared" si="17"/>
        <v>135.52802857904976</v>
      </c>
    </row>
    <row r="546" spans="1:33" x14ac:dyDescent="0.3">
      <c r="A546">
        <f>COUNTIF($B$2:B546,B546)</f>
        <v>1</v>
      </c>
      <c r="B546">
        <v>19245152</v>
      </c>
      <c r="C546" t="s">
        <v>824</v>
      </c>
      <c r="D546" t="s">
        <v>825</v>
      </c>
      <c r="E546" t="s">
        <v>826</v>
      </c>
      <c r="F546" t="s">
        <v>198</v>
      </c>
      <c r="G546" t="s">
        <v>207</v>
      </c>
      <c r="H546" t="s">
        <v>204</v>
      </c>
      <c r="I546" s="49">
        <v>45240</v>
      </c>
      <c r="J546" s="49">
        <v>45245</v>
      </c>
      <c r="K546" t="s">
        <v>827</v>
      </c>
      <c r="L546" s="49">
        <v>45244</v>
      </c>
      <c r="M546" s="49">
        <v>45245</v>
      </c>
      <c r="N546" t="s">
        <v>116</v>
      </c>
      <c r="O546" t="s">
        <v>107</v>
      </c>
      <c r="P546">
        <f>VLOOKUP(N546,[1]ID_Cidades!$A$1:$E$5900,2,FALSE)</f>
        <v>295778</v>
      </c>
      <c r="Q546">
        <f>VLOOKUP(O546,[1]ID_Cidades!$A$1:$E$5900,2,FALSE)</f>
        <v>295765</v>
      </c>
      <c r="R546">
        <f t="shared" si="16"/>
        <v>87480780170</v>
      </c>
      <c r="S546" s="42">
        <f>VLOOKUP(R546,'[1]GCD base'!$A$1:$M$200,7,FALSE)</f>
        <v>1961.5007860000001</v>
      </c>
      <c r="T546" t="s">
        <v>109</v>
      </c>
      <c r="U546" t="s">
        <v>201</v>
      </c>
      <c r="V546" t="s">
        <v>202</v>
      </c>
      <c r="W546" t="s">
        <v>203</v>
      </c>
      <c r="X546" t="s">
        <v>204</v>
      </c>
      <c r="Y546">
        <v>2101.54</v>
      </c>
      <c r="Z546">
        <v>0</v>
      </c>
      <c r="AA546">
        <v>816.7</v>
      </c>
      <c r="AB546">
        <v>0</v>
      </c>
      <c r="AC546" s="49">
        <v>45174</v>
      </c>
      <c r="AD546" s="116" t="s">
        <v>10</v>
      </c>
      <c r="AE546" s="113" t="str" cm="1">
        <f t="array" ref="AE546">_xlfn.IFS(S546&lt;=Constantes!$G$2,"Muito Curta (evitável)",S546&lt;=Constantes!$H$2,"Curta Distância",S546&gt;Constantes!$H$2,"Longa Distância")</f>
        <v>Curta Distância</v>
      </c>
      <c r="AF546" s="114">
        <f>IFERROR(VLOOKUP(AE546,Constantes!$A$1:$E$5,MATCH(AD546,Constantes!$A$1:$E$1,0),0),"")</f>
        <v>0.18286935436241611</v>
      </c>
      <c r="AG546" s="115">
        <f t="shared" si="17"/>
        <v>358.69838231719172</v>
      </c>
    </row>
    <row r="547" spans="1:33" x14ac:dyDescent="0.3">
      <c r="A547">
        <f>COUNTIF($B$2:B547,B547)</f>
        <v>2</v>
      </c>
      <c r="B547">
        <v>19245152</v>
      </c>
      <c r="C547" t="s">
        <v>824</v>
      </c>
      <c r="D547" t="s">
        <v>825</v>
      </c>
      <c r="E547" t="s">
        <v>826</v>
      </c>
      <c r="F547" t="s">
        <v>198</v>
      </c>
      <c r="G547" t="s">
        <v>207</v>
      </c>
      <c r="H547" t="s">
        <v>204</v>
      </c>
      <c r="I547" s="49">
        <v>45240</v>
      </c>
      <c r="J547" s="49">
        <v>45245</v>
      </c>
      <c r="K547" t="s">
        <v>827</v>
      </c>
      <c r="L547" s="49">
        <v>45240</v>
      </c>
      <c r="M547" s="49">
        <v>45244</v>
      </c>
      <c r="N547" t="s">
        <v>107</v>
      </c>
      <c r="O547" t="s">
        <v>116</v>
      </c>
      <c r="P547">
        <f>VLOOKUP(N547,[1]ID_Cidades!$A$1:$E$5900,2,FALSE)</f>
        <v>295765</v>
      </c>
      <c r="Q547">
        <f>VLOOKUP(O547,[1]ID_Cidades!$A$1:$E$5900,2,FALSE)</f>
        <v>295778</v>
      </c>
      <c r="R547">
        <f t="shared" si="16"/>
        <v>87480780170</v>
      </c>
      <c r="S547" s="42">
        <f>VLOOKUP(R547,'[1]GCD base'!$A$1:$M$200,7,FALSE)</f>
        <v>1961.5007860000001</v>
      </c>
      <c r="T547" t="s">
        <v>109</v>
      </c>
      <c r="U547" t="s">
        <v>205</v>
      </c>
      <c r="V547" t="s">
        <v>202</v>
      </c>
      <c r="W547" t="s">
        <v>203</v>
      </c>
      <c r="X547" t="s">
        <v>204</v>
      </c>
      <c r="Y547">
        <v>0</v>
      </c>
      <c r="Z547">
        <v>0</v>
      </c>
      <c r="AA547">
        <v>819.99</v>
      </c>
      <c r="AB547">
        <v>0</v>
      </c>
      <c r="AC547" s="49">
        <v>45174</v>
      </c>
      <c r="AD547" s="116" t="s">
        <v>10</v>
      </c>
      <c r="AE547" s="113" t="str" cm="1">
        <f t="array" ref="AE547">_xlfn.IFS(S547&lt;=Constantes!$G$2,"Muito Curta (evitável)",S547&lt;=Constantes!$H$2,"Curta Distância",S547&gt;Constantes!$H$2,"Longa Distância")</f>
        <v>Curta Distância</v>
      </c>
      <c r="AF547" s="114">
        <f>IFERROR(VLOOKUP(AE547,Constantes!$A$1:$E$5,MATCH(AD547,Constantes!$A$1:$E$1,0),0),"")</f>
        <v>0.18286935436241611</v>
      </c>
      <c r="AG547" s="115">
        <f t="shared" si="17"/>
        <v>358.69838231719172</v>
      </c>
    </row>
    <row r="548" spans="1:33" x14ac:dyDescent="0.3">
      <c r="A548">
        <f>COUNTIF($B$2:B548,B548)</f>
        <v>1</v>
      </c>
      <c r="B548">
        <v>19246181</v>
      </c>
      <c r="C548" t="s">
        <v>835</v>
      </c>
      <c r="D548" t="s">
        <v>836</v>
      </c>
      <c r="E548" t="s">
        <v>837</v>
      </c>
      <c r="F548" t="s">
        <v>198</v>
      </c>
      <c r="G548" t="s">
        <v>233</v>
      </c>
      <c r="H548" t="s">
        <v>233</v>
      </c>
      <c r="I548" s="49">
        <v>45240</v>
      </c>
      <c r="J548" s="49">
        <v>45245</v>
      </c>
      <c r="K548" t="s">
        <v>838</v>
      </c>
      <c r="L548" s="49">
        <v>45240</v>
      </c>
      <c r="M548" s="49">
        <v>45244</v>
      </c>
      <c r="N548" t="s">
        <v>107</v>
      </c>
      <c r="O548" t="s">
        <v>116</v>
      </c>
      <c r="P548">
        <f>VLOOKUP(N548,[1]ID_Cidades!$A$1:$E$5900,2,FALSE)</f>
        <v>295765</v>
      </c>
      <c r="Q548">
        <f>VLOOKUP(O548,[1]ID_Cidades!$A$1:$E$5900,2,FALSE)</f>
        <v>295778</v>
      </c>
      <c r="R548">
        <f t="shared" si="16"/>
        <v>87480780170</v>
      </c>
      <c r="S548" s="42">
        <f>VLOOKUP(R548,'[1]GCD base'!$A$1:$M$200,7,FALSE)</f>
        <v>1961.5007860000001</v>
      </c>
      <c r="T548" t="s">
        <v>109</v>
      </c>
      <c r="U548" t="s">
        <v>205</v>
      </c>
      <c r="V548" t="s">
        <v>202</v>
      </c>
      <c r="W548" t="s">
        <v>203</v>
      </c>
      <c r="X548" t="s">
        <v>204</v>
      </c>
      <c r="Y548">
        <v>2101.54</v>
      </c>
      <c r="Z548">
        <v>0</v>
      </c>
      <c r="AA548">
        <v>816.7</v>
      </c>
      <c r="AB548">
        <v>0</v>
      </c>
      <c r="AC548" s="49">
        <v>45174</v>
      </c>
      <c r="AD548" s="116" t="s">
        <v>10</v>
      </c>
      <c r="AE548" s="113" t="str" cm="1">
        <f t="array" ref="AE548">_xlfn.IFS(S548&lt;=Constantes!$G$2,"Muito Curta (evitável)",S548&lt;=Constantes!$H$2,"Curta Distância",S548&gt;Constantes!$H$2,"Longa Distância")</f>
        <v>Curta Distância</v>
      </c>
      <c r="AF548" s="114">
        <f>IFERROR(VLOOKUP(AE548,Constantes!$A$1:$E$5,MATCH(AD548,Constantes!$A$1:$E$1,0),0),"")</f>
        <v>0.18286935436241611</v>
      </c>
      <c r="AG548" s="115">
        <f t="shared" si="17"/>
        <v>358.69838231719172</v>
      </c>
    </row>
    <row r="549" spans="1:33" x14ac:dyDescent="0.3">
      <c r="A549">
        <f>COUNTIF($B$2:B549,B549)</f>
        <v>2</v>
      </c>
      <c r="B549">
        <v>19246181</v>
      </c>
      <c r="C549" t="s">
        <v>835</v>
      </c>
      <c r="D549" t="s">
        <v>836</v>
      </c>
      <c r="E549" t="s">
        <v>837</v>
      </c>
      <c r="F549" t="s">
        <v>198</v>
      </c>
      <c r="G549" t="s">
        <v>233</v>
      </c>
      <c r="H549" t="s">
        <v>233</v>
      </c>
      <c r="I549" s="49">
        <v>45240</v>
      </c>
      <c r="J549" s="49">
        <v>45245</v>
      </c>
      <c r="K549" t="s">
        <v>838</v>
      </c>
      <c r="L549" s="49">
        <v>45244</v>
      </c>
      <c r="M549" s="49">
        <v>45245</v>
      </c>
      <c r="N549" t="s">
        <v>116</v>
      </c>
      <c r="O549" t="s">
        <v>107</v>
      </c>
      <c r="P549">
        <f>VLOOKUP(N549,[1]ID_Cidades!$A$1:$E$5900,2,FALSE)</f>
        <v>295778</v>
      </c>
      <c r="Q549">
        <f>VLOOKUP(O549,[1]ID_Cidades!$A$1:$E$5900,2,FALSE)</f>
        <v>295765</v>
      </c>
      <c r="R549">
        <f t="shared" si="16"/>
        <v>87480780170</v>
      </c>
      <c r="S549" s="42">
        <f>VLOOKUP(R549,'[1]GCD base'!$A$1:$M$200,7,FALSE)</f>
        <v>1961.5007860000001</v>
      </c>
      <c r="T549" t="s">
        <v>109</v>
      </c>
      <c r="U549" t="s">
        <v>201</v>
      </c>
      <c r="V549" t="s">
        <v>202</v>
      </c>
      <c r="W549" t="s">
        <v>203</v>
      </c>
      <c r="X549" t="s">
        <v>204</v>
      </c>
      <c r="Y549">
        <v>0</v>
      </c>
      <c r="Z549">
        <v>0</v>
      </c>
      <c r="AA549">
        <v>819.99</v>
      </c>
      <c r="AB549">
        <v>0</v>
      </c>
      <c r="AC549" s="49">
        <v>45174</v>
      </c>
      <c r="AD549" s="116" t="s">
        <v>10</v>
      </c>
      <c r="AE549" s="113" t="str" cm="1">
        <f t="array" ref="AE549">_xlfn.IFS(S549&lt;=Constantes!$G$2,"Muito Curta (evitável)",S549&lt;=Constantes!$H$2,"Curta Distância",S549&gt;Constantes!$H$2,"Longa Distância")</f>
        <v>Curta Distância</v>
      </c>
      <c r="AF549" s="114">
        <f>IFERROR(VLOOKUP(AE549,Constantes!$A$1:$E$5,MATCH(AD549,Constantes!$A$1:$E$1,0),0),"")</f>
        <v>0.18286935436241611</v>
      </c>
      <c r="AG549" s="115">
        <f t="shared" si="17"/>
        <v>358.69838231719172</v>
      </c>
    </row>
    <row r="550" spans="1:33" x14ac:dyDescent="0.3">
      <c r="A550">
        <f>COUNTIF($B$2:B550,B550)</f>
        <v>1</v>
      </c>
      <c r="B550">
        <v>19378040</v>
      </c>
      <c r="C550" t="s">
        <v>1423</v>
      </c>
      <c r="D550" t="s">
        <v>1424</v>
      </c>
      <c r="E550" t="s">
        <v>1425</v>
      </c>
      <c r="F550" t="s">
        <v>198</v>
      </c>
      <c r="G550" t="s">
        <v>233</v>
      </c>
      <c r="H550" t="s">
        <v>233</v>
      </c>
      <c r="I550" s="49">
        <v>45240</v>
      </c>
      <c r="J550" s="49">
        <v>45255</v>
      </c>
      <c r="K550" t="s">
        <v>1426</v>
      </c>
      <c r="L550" s="49">
        <v>45255</v>
      </c>
      <c r="M550" s="49">
        <v>45255</v>
      </c>
      <c r="N550" t="s">
        <v>107</v>
      </c>
      <c r="O550" t="s">
        <v>1174</v>
      </c>
      <c r="P550">
        <f>VLOOKUP(N550,[1]ID_Cidades!$A$1:$E$5900,2,FALSE)</f>
        <v>295765</v>
      </c>
      <c r="Q550">
        <f>VLOOKUP(O550,[1]ID_Cidades!$A$1:$E$5900,2,FALSE)</f>
        <v>295772</v>
      </c>
      <c r="R550">
        <f t="shared" si="16"/>
        <v>87479005580</v>
      </c>
      <c r="S550" s="42">
        <f>VLOOKUP(R550,'[1]GCD base'!$A$1:$M$200,7,FALSE)</f>
        <v>901.24066259999995</v>
      </c>
      <c r="T550" t="s">
        <v>109</v>
      </c>
      <c r="U550" t="s">
        <v>201</v>
      </c>
      <c r="V550" t="s">
        <v>202</v>
      </c>
      <c r="W550" t="s">
        <v>203</v>
      </c>
      <c r="X550" t="s">
        <v>204</v>
      </c>
      <c r="Y550">
        <v>5056.3100000000004</v>
      </c>
      <c r="Z550">
        <v>0</v>
      </c>
      <c r="AA550">
        <v>1382.29</v>
      </c>
      <c r="AB550">
        <v>0</v>
      </c>
      <c r="AC550" s="49">
        <v>45209</v>
      </c>
      <c r="AD550" s="116" t="s">
        <v>10</v>
      </c>
      <c r="AE550" s="113" t="str" cm="1">
        <f t="array" ref="AE550">_xlfn.IFS(S550&lt;=Constantes!$G$2,"Muito Curta (evitável)",S550&lt;=Constantes!$H$2,"Curta Distância",S550&gt;Constantes!$H$2,"Longa Distância")</f>
        <v>Curta Distância</v>
      </c>
      <c r="AF550" s="114">
        <f>IFERROR(VLOOKUP(AE550,Constantes!$A$1:$E$5,MATCH(AD550,Constantes!$A$1:$E$1,0),0),"")</f>
        <v>0.18286935436241611</v>
      </c>
      <c r="AG550" s="115">
        <f t="shared" si="17"/>
        <v>164.80929809481808</v>
      </c>
    </row>
    <row r="551" spans="1:33" x14ac:dyDescent="0.3">
      <c r="A551">
        <f>COUNTIF($B$2:B551,B551)</f>
        <v>2</v>
      </c>
      <c r="B551">
        <v>19378040</v>
      </c>
      <c r="C551" t="s">
        <v>1423</v>
      </c>
      <c r="D551" t="s">
        <v>1424</v>
      </c>
      <c r="E551" t="s">
        <v>1425</v>
      </c>
      <c r="F551" t="s">
        <v>198</v>
      </c>
      <c r="G551" t="s">
        <v>233</v>
      </c>
      <c r="H551" t="s">
        <v>233</v>
      </c>
      <c r="I551" s="49">
        <v>45240</v>
      </c>
      <c r="J551" s="49">
        <v>45255</v>
      </c>
      <c r="K551" t="s">
        <v>1426</v>
      </c>
      <c r="L551" s="49">
        <v>45240</v>
      </c>
      <c r="M551" s="49">
        <v>45255</v>
      </c>
      <c r="N551" t="s">
        <v>1174</v>
      </c>
      <c r="O551" t="s">
        <v>107</v>
      </c>
      <c r="P551">
        <f>VLOOKUP(N551,[1]ID_Cidades!$A$1:$E$5900,2,FALSE)</f>
        <v>295772</v>
      </c>
      <c r="Q551">
        <f>VLOOKUP(O551,[1]ID_Cidades!$A$1:$E$5900,2,FALSE)</f>
        <v>295765</v>
      </c>
      <c r="R551">
        <f t="shared" si="16"/>
        <v>87479005580</v>
      </c>
      <c r="S551" s="42">
        <f>VLOOKUP(R551,'[1]GCD base'!$A$1:$M$200,7,FALSE)</f>
        <v>901.24066259999995</v>
      </c>
      <c r="T551" t="s">
        <v>109</v>
      </c>
      <c r="U551" t="s">
        <v>205</v>
      </c>
      <c r="V551" t="s">
        <v>202</v>
      </c>
      <c r="W551" t="s">
        <v>203</v>
      </c>
      <c r="X551" t="s">
        <v>204</v>
      </c>
      <c r="Y551">
        <v>0</v>
      </c>
      <c r="Z551">
        <v>0</v>
      </c>
      <c r="AA551">
        <v>1380.54</v>
      </c>
      <c r="AB551">
        <v>0</v>
      </c>
      <c r="AC551" s="49">
        <v>45209</v>
      </c>
      <c r="AD551" s="116" t="s">
        <v>10</v>
      </c>
      <c r="AE551" s="113" t="str" cm="1">
        <f t="array" ref="AE551">_xlfn.IFS(S551&lt;=Constantes!$G$2,"Muito Curta (evitável)",S551&lt;=Constantes!$H$2,"Curta Distância",S551&gt;Constantes!$H$2,"Longa Distância")</f>
        <v>Curta Distância</v>
      </c>
      <c r="AF551" s="114">
        <f>IFERROR(VLOOKUP(AE551,Constantes!$A$1:$E$5,MATCH(AD551,Constantes!$A$1:$E$1,0),0),"")</f>
        <v>0.18286935436241611</v>
      </c>
      <c r="AG551" s="115">
        <f t="shared" si="17"/>
        <v>164.80929809481808</v>
      </c>
    </row>
    <row r="552" spans="1:33" x14ac:dyDescent="0.3">
      <c r="A552">
        <f>COUNTIF($B$2:B552,B552)</f>
        <v>1</v>
      </c>
      <c r="B552">
        <v>19429538</v>
      </c>
      <c r="C552" t="s">
        <v>1552</v>
      </c>
      <c r="D552" t="s">
        <v>218</v>
      </c>
      <c r="E552" t="s">
        <v>1553</v>
      </c>
      <c r="F552" t="s">
        <v>218</v>
      </c>
      <c r="G552" t="s">
        <v>207</v>
      </c>
      <c r="H552" t="s">
        <v>204</v>
      </c>
      <c r="I552" s="49">
        <v>45240</v>
      </c>
      <c r="J552" s="49">
        <v>45246</v>
      </c>
      <c r="K552" t="s">
        <v>1554</v>
      </c>
      <c r="L552" s="49">
        <v>45246</v>
      </c>
      <c r="M552" s="49">
        <v>45246</v>
      </c>
      <c r="N552" t="s">
        <v>128</v>
      </c>
      <c r="O552" t="s">
        <v>107</v>
      </c>
      <c r="P552">
        <f>VLOOKUP(N552,[1]ID_Cidades!$A$1:$E$5900,2,FALSE)</f>
        <v>295771</v>
      </c>
      <c r="Q552">
        <f>VLOOKUP(O552,[1]ID_Cidades!$A$1:$E$5900,2,FALSE)</f>
        <v>295765</v>
      </c>
      <c r="R552">
        <f t="shared" si="16"/>
        <v>87478709815</v>
      </c>
      <c r="S552" s="42">
        <f>VLOOKUP(R552,'[1]GCD base'!$A$1:$M$200,7,FALSE)</f>
        <v>1147.346953</v>
      </c>
      <c r="T552" t="s">
        <v>109</v>
      </c>
      <c r="U552" t="s">
        <v>201</v>
      </c>
      <c r="V552" t="s">
        <v>202</v>
      </c>
      <c r="W552" t="s">
        <v>203</v>
      </c>
      <c r="X552" t="s">
        <v>204</v>
      </c>
      <c r="Y552">
        <v>0</v>
      </c>
      <c r="Z552">
        <v>0</v>
      </c>
      <c r="AA552">
        <v>1380.09</v>
      </c>
      <c r="AB552">
        <v>0</v>
      </c>
      <c r="AC552" s="49">
        <v>45223</v>
      </c>
      <c r="AD552" s="116" t="s">
        <v>10</v>
      </c>
      <c r="AE552" s="113" t="str" cm="1">
        <f t="array" ref="AE552">_xlfn.IFS(S552&lt;=Constantes!$G$2,"Muito Curta (evitável)",S552&lt;=Constantes!$H$2,"Curta Distância",S552&gt;Constantes!$H$2,"Longa Distância")</f>
        <v>Curta Distância</v>
      </c>
      <c r="AF552" s="114">
        <f>IFERROR(VLOOKUP(AE552,Constantes!$A$1:$E$5,MATCH(AD552,Constantes!$A$1:$E$1,0),0),"")</f>
        <v>0.18286935436241611</v>
      </c>
      <c r="AG552" s="115">
        <f t="shared" si="17"/>
        <v>209.81459652479538</v>
      </c>
    </row>
    <row r="553" spans="1:33" x14ac:dyDescent="0.3">
      <c r="A553">
        <f>COUNTIF($B$2:B553,B553)</f>
        <v>2</v>
      </c>
      <c r="B553">
        <v>19429538</v>
      </c>
      <c r="C553" t="s">
        <v>1552</v>
      </c>
      <c r="D553" t="s">
        <v>218</v>
      </c>
      <c r="E553" t="s">
        <v>1553</v>
      </c>
      <c r="F553" t="s">
        <v>218</v>
      </c>
      <c r="G553" t="s">
        <v>207</v>
      </c>
      <c r="H553" t="s">
        <v>204</v>
      </c>
      <c r="I553" s="49">
        <v>45240</v>
      </c>
      <c r="J553" s="49">
        <v>45246</v>
      </c>
      <c r="K553" t="s">
        <v>1554</v>
      </c>
      <c r="L553" s="49">
        <v>45240</v>
      </c>
      <c r="M553" s="49">
        <v>45246</v>
      </c>
      <c r="N553" t="s">
        <v>107</v>
      </c>
      <c r="O553" t="s">
        <v>128</v>
      </c>
      <c r="P553">
        <f>VLOOKUP(N553,[1]ID_Cidades!$A$1:$E$5900,2,FALSE)</f>
        <v>295765</v>
      </c>
      <c r="Q553">
        <f>VLOOKUP(O553,[1]ID_Cidades!$A$1:$E$5900,2,FALSE)</f>
        <v>295771</v>
      </c>
      <c r="R553">
        <f t="shared" si="16"/>
        <v>87478709815</v>
      </c>
      <c r="S553" s="42">
        <f>VLOOKUP(R553,'[1]GCD base'!$A$1:$M$200,7,FALSE)</f>
        <v>1147.346953</v>
      </c>
      <c r="T553" t="s">
        <v>109</v>
      </c>
      <c r="U553" t="s">
        <v>205</v>
      </c>
      <c r="V553" t="s">
        <v>202</v>
      </c>
      <c r="W553" t="s">
        <v>203</v>
      </c>
      <c r="X553" t="s">
        <v>204</v>
      </c>
      <c r="Y553">
        <v>0</v>
      </c>
      <c r="Z553">
        <v>0</v>
      </c>
      <c r="AA553">
        <v>1120.79</v>
      </c>
      <c r="AB553">
        <v>0</v>
      </c>
      <c r="AC553" s="49">
        <v>45223</v>
      </c>
      <c r="AD553" s="116" t="s">
        <v>10</v>
      </c>
      <c r="AE553" s="113" t="str" cm="1">
        <f t="array" ref="AE553">_xlfn.IFS(S553&lt;=Constantes!$G$2,"Muito Curta (evitável)",S553&lt;=Constantes!$H$2,"Curta Distância",S553&gt;Constantes!$H$2,"Longa Distância")</f>
        <v>Curta Distância</v>
      </c>
      <c r="AF553" s="114">
        <f>IFERROR(VLOOKUP(AE553,Constantes!$A$1:$E$5,MATCH(AD553,Constantes!$A$1:$E$1,0),0),"")</f>
        <v>0.18286935436241611</v>
      </c>
      <c r="AG553" s="115">
        <f t="shared" si="17"/>
        <v>209.81459652479538</v>
      </c>
    </row>
    <row r="554" spans="1:33" x14ac:dyDescent="0.3">
      <c r="A554">
        <f>COUNTIF($B$2:B554,B554)</f>
        <v>1</v>
      </c>
      <c r="B554">
        <v>19429698</v>
      </c>
      <c r="C554" t="s">
        <v>1555</v>
      </c>
      <c r="D554" t="s">
        <v>218</v>
      </c>
      <c r="E554" t="s">
        <v>1556</v>
      </c>
      <c r="F554" t="s">
        <v>218</v>
      </c>
      <c r="G554" t="s">
        <v>207</v>
      </c>
      <c r="H554" t="s">
        <v>204</v>
      </c>
      <c r="I554" s="49">
        <v>45240</v>
      </c>
      <c r="J554" s="49">
        <v>45246</v>
      </c>
      <c r="K554" t="s">
        <v>1557</v>
      </c>
      <c r="L554" s="49">
        <v>45246</v>
      </c>
      <c r="M554" s="49">
        <v>45246</v>
      </c>
      <c r="N554" t="s">
        <v>128</v>
      </c>
      <c r="O554" t="s">
        <v>107</v>
      </c>
      <c r="P554">
        <f>VLOOKUP(N554,[1]ID_Cidades!$A$1:$E$5900,2,FALSE)</f>
        <v>295771</v>
      </c>
      <c r="Q554">
        <f>VLOOKUP(O554,[1]ID_Cidades!$A$1:$E$5900,2,FALSE)</f>
        <v>295765</v>
      </c>
      <c r="R554">
        <f t="shared" si="16"/>
        <v>87478709815</v>
      </c>
      <c r="S554" s="42">
        <f>VLOOKUP(R554,'[1]GCD base'!$A$1:$M$200,7,FALSE)</f>
        <v>1147.346953</v>
      </c>
      <c r="T554" t="s">
        <v>109</v>
      </c>
      <c r="U554" t="s">
        <v>201</v>
      </c>
      <c r="V554" t="s">
        <v>202</v>
      </c>
      <c r="W554" t="s">
        <v>203</v>
      </c>
      <c r="X554" t="s">
        <v>204</v>
      </c>
      <c r="Y554">
        <v>0</v>
      </c>
      <c r="Z554">
        <v>0</v>
      </c>
      <c r="AA554">
        <v>1120.79</v>
      </c>
      <c r="AB554">
        <v>0</v>
      </c>
      <c r="AC554" s="49">
        <v>45223</v>
      </c>
      <c r="AD554" s="116" t="s">
        <v>10</v>
      </c>
      <c r="AE554" s="113" t="str" cm="1">
        <f t="array" ref="AE554">_xlfn.IFS(S554&lt;=Constantes!$G$2,"Muito Curta (evitável)",S554&lt;=Constantes!$H$2,"Curta Distância",S554&gt;Constantes!$H$2,"Longa Distância")</f>
        <v>Curta Distância</v>
      </c>
      <c r="AF554" s="114">
        <f>IFERROR(VLOOKUP(AE554,Constantes!$A$1:$E$5,MATCH(AD554,Constantes!$A$1:$E$1,0),0),"")</f>
        <v>0.18286935436241611</v>
      </c>
      <c r="AG554" s="115">
        <f t="shared" si="17"/>
        <v>209.81459652479538</v>
      </c>
    </row>
    <row r="555" spans="1:33" x14ac:dyDescent="0.3">
      <c r="A555">
        <f>COUNTIF($B$2:B555,B555)</f>
        <v>2</v>
      </c>
      <c r="B555">
        <v>19429698</v>
      </c>
      <c r="C555" t="s">
        <v>1555</v>
      </c>
      <c r="D555" t="s">
        <v>218</v>
      </c>
      <c r="E555" t="s">
        <v>1556</v>
      </c>
      <c r="F555" t="s">
        <v>218</v>
      </c>
      <c r="G555" t="s">
        <v>207</v>
      </c>
      <c r="H555" t="s">
        <v>204</v>
      </c>
      <c r="I555" s="49">
        <v>45240</v>
      </c>
      <c r="J555" s="49">
        <v>45246</v>
      </c>
      <c r="K555" t="s">
        <v>1557</v>
      </c>
      <c r="L555" s="49">
        <v>45240</v>
      </c>
      <c r="M555" s="49">
        <v>45246</v>
      </c>
      <c r="N555" t="s">
        <v>107</v>
      </c>
      <c r="O555" t="s">
        <v>128</v>
      </c>
      <c r="P555">
        <f>VLOOKUP(N555,[1]ID_Cidades!$A$1:$E$5900,2,FALSE)</f>
        <v>295765</v>
      </c>
      <c r="Q555">
        <f>VLOOKUP(O555,[1]ID_Cidades!$A$1:$E$5900,2,FALSE)</f>
        <v>295771</v>
      </c>
      <c r="R555">
        <f t="shared" si="16"/>
        <v>87478709815</v>
      </c>
      <c r="S555" s="42">
        <f>VLOOKUP(R555,'[1]GCD base'!$A$1:$M$200,7,FALSE)</f>
        <v>1147.346953</v>
      </c>
      <c r="T555" t="s">
        <v>109</v>
      </c>
      <c r="U555" t="s">
        <v>205</v>
      </c>
      <c r="V555" t="s">
        <v>202</v>
      </c>
      <c r="W555" t="s">
        <v>203</v>
      </c>
      <c r="X555" t="s">
        <v>204</v>
      </c>
      <c r="Y555">
        <v>0</v>
      </c>
      <c r="Z555">
        <v>0</v>
      </c>
      <c r="AA555">
        <v>1380.09</v>
      </c>
      <c r="AB555">
        <v>0</v>
      </c>
      <c r="AC555" s="49">
        <v>45223</v>
      </c>
      <c r="AD555" s="116" t="s">
        <v>10</v>
      </c>
      <c r="AE555" s="113" t="str" cm="1">
        <f t="array" ref="AE555">_xlfn.IFS(S555&lt;=Constantes!$G$2,"Muito Curta (evitável)",S555&lt;=Constantes!$H$2,"Curta Distância",S555&gt;Constantes!$H$2,"Longa Distância")</f>
        <v>Curta Distância</v>
      </c>
      <c r="AF555" s="114">
        <f>IFERROR(VLOOKUP(AE555,Constantes!$A$1:$E$5,MATCH(AD555,Constantes!$A$1:$E$1,0),0),"")</f>
        <v>0.18286935436241611</v>
      </c>
      <c r="AG555" s="115">
        <f t="shared" si="17"/>
        <v>209.81459652479538</v>
      </c>
    </row>
    <row r="556" spans="1:33" x14ac:dyDescent="0.3">
      <c r="A556">
        <f>COUNTIF($B$2:B556,B556)</f>
        <v>1</v>
      </c>
      <c r="B556">
        <v>19162088</v>
      </c>
      <c r="C556" t="s">
        <v>554</v>
      </c>
      <c r="D556" t="s">
        <v>218</v>
      </c>
      <c r="E556" t="s">
        <v>555</v>
      </c>
      <c r="F556" t="s">
        <v>218</v>
      </c>
      <c r="G556" t="s">
        <v>207</v>
      </c>
      <c r="H556" t="s">
        <v>204</v>
      </c>
      <c r="I556" s="49">
        <v>45241</v>
      </c>
      <c r="J556" s="49">
        <v>45246</v>
      </c>
      <c r="K556" t="s">
        <v>556</v>
      </c>
      <c r="L556" s="49">
        <v>45241</v>
      </c>
      <c r="M556" s="49">
        <v>45246</v>
      </c>
      <c r="N556" t="s">
        <v>107</v>
      </c>
      <c r="O556" t="s">
        <v>116</v>
      </c>
      <c r="P556">
        <f>VLOOKUP(N556,[1]ID_Cidades!$A$1:$E$5900,2,FALSE)</f>
        <v>295765</v>
      </c>
      <c r="Q556">
        <f>VLOOKUP(O556,[1]ID_Cidades!$A$1:$E$5900,2,FALSE)</f>
        <v>295778</v>
      </c>
      <c r="R556">
        <f t="shared" si="16"/>
        <v>87480780170</v>
      </c>
      <c r="S556" s="42">
        <f>VLOOKUP(R556,'[1]GCD base'!$A$1:$M$200,7,FALSE)</f>
        <v>1961.5007860000001</v>
      </c>
      <c r="T556" t="s">
        <v>109</v>
      </c>
      <c r="U556" t="s">
        <v>205</v>
      </c>
      <c r="V556" t="s">
        <v>202</v>
      </c>
      <c r="W556" t="s">
        <v>203</v>
      </c>
      <c r="X556" t="s">
        <v>204</v>
      </c>
      <c r="Y556">
        <v>0</v>
      </c>
      <c r="Z556">
        <v>0</v>
      </c>
      <c r="AA556">
        <v>691.79</v>
      </c>
      <c r="AB556">
        <v>0</v>
      </c>
      <c r="AC556" s="49">
        <v>45156</v>
      </c>
      <c r="AD556" s="116" t="s">
        <v>10</v>
      </c>
      <c r="AE556" s="113" t="str" cm="1">
        <f t="array" ref="AE556">_xlfn.IFS(S556&lt;=Constantes!$G$2,"Muito Curta (evitável)",S556&lt;=Constantes!$H$2,"Curta Distância",S556&gt;Constantes!$H$2,"Longa Distância")</f>
        <v>Curta Distância</v>
      </c>
      <c r="AF556" s="114">
        <f>IFERROR(VLOOKUP(AE556,Constantes!$A$1:$E$5,MATCH(AD556,Constantes!$A$1:$E$1,0),0),"")</f>
        <v>0.18286935436241611</v>
      </c>
      <c r="AG556" s="115">
        <f t="shared" si="17"/>
        <v>358.69838231719172</v>
      </c>
    </row>
    <row r="557" spans="1:33" x14ac:dyDescent="0.3">
      <c r="A557">
        <f>COUNTIF($B$2:B557,B557)</f>
        <v>2</v>
      </c>
      <c r="B557">
        <v>19162088</v>
      </c>
      <c r="C557" t="s">
        <v>554</v>
      </c>
      <c r="D557" t="s">
        <v>218</v>
      </c>
      <c r="E557" t="s">
        <v>555</v>
      </c>
      <c r="F557" t="s">
        <v>218</v>
      </c>
      <c r="G557" t="s">
        <v>207</v>
      </c>
      <c r="H557" t="s">
        <v>204</v>
      </c>
      <c r="I557" s="49">
        <v>45241</v>
      </c>
      <c r="J557" s="49">
        <v>45246</v>
      </c>
      <c r="K557" t="s">
        <v>556</v>
      </c>
      <c r="L557" s="49">
        <v>45246</v>
      </c>
      <c r="M557" s="49">
        <v>45246</v>
      </c>
      <c r="N557" t="s">
        <v>116</v>
      </c>
      <c r="O557" t="s">
        <v>107</v>
      </c>
      <c r="P557">
        <f>VLOOKUP(N557,[1]ID_Cidades!$A$1:$E$5900,2,FALSE)</f>
        <v>295778</v>
      </c>
      <c r="Q557">
        <f>VLOOKUP(O557,[1]ID_Cidades!$A$1:$E$5900,2,FALSE)</f>
        <v>295765</v>
      </c>
      <c r="R557">
        <f t="shared" si="16"/>
        <v>87480780170</v>
      </c>
      <c r="S557" s="42">
        <f>VLOOKUP(R557,'[1]GCD base'!$A$1:$M$200,7,FALSE)</f>
        <v>1961.5007860000001</v>
      </c>
      <c r="T557" t="s">
        <v>109</v>
      </c>
      <c r="U557" t="s">
        <v>201</v>
      </c>
      <c r="V557" t="s">
        <v>202</v>
      </c>
      <c r="W557" t="s">
        <v>203</v>
      </c>
      <c r="X557" t="s">
        <v>204</v>
      </c>
      <c r="Y557">
        <v>0</v>
      </c>
      <c r="Z557">
        <v>0</v>
      </c>
      <c r="AA557">
        <v>841.6</v>
      </c>
      <c r="AB557">
        <v>0</v>
      </c>
      <c r="AC557" s="49">
        <v>45156</v>
      </c>
      <c r="AD557" s="116" t="s">
        <v>10</v>
      </c>
      <c r="AE557" s="113" t="str" cm="1">
        <f t="array" ref="AE557">_xlfn.IFS(S557&lt;=Constantes!$G$2,"Muito Curta (evitável)",S557&lt;=Constantes!$H$2,"Curta Distância",S557&gt;Constantes!$H$2,"Longa Distância")</f>
        <v>Curta Distância</v>
      </c>
      <c r="AF557" s="114">
        <f>IFERROR(VLOOKUP(AE557,Constantes!$A$1:$E$5,MATCH(AD557,Constantes!$A$1:$E$1,0),0),"")</f>
        <v>0.18286935436241611</v>
      </c>
      <c r="AG557" s="115">
        <f t="shared" si="17"/>
        <v>358.69838231719172</v>
      </c>
    </row>
    <row r="558" spans="1:33" x14ac:dyDescent="0.3">
      <c r="A558">
        <f>COUNTIF($B$2:B558,B558)</f>
        <v>1</v>
      </c>
      <c r="B558">
        <v>19286475</v>
      </c>
      <c r="C558" t="s">
        <v>1012</v>
      </c>
      <c r="D558" t="s">
        <v>1013</v>
      </c>
      <c r="E558" t="s">
        <v>1014</v>
      </c>
      <c r="F558" t="s">
        <v>214</v>
      </c>
      <c r="G558" t="s">
        <v>207</v>
      </c>
      <c r="H558" t="s">
        <v>204</v>
      </c>
      <c r="I558" s="49">
        <v>45241</v>
      </c>
      <c r="J558" s="49">
        <v>45245</v>
      </c>
      <c r="K558" t="s">
        <v>1015</v>
      </c>
      <c r="L558" s="49">
        <v>45244</v>
      </c>
      <c r="M558" s="49">
        <v>45245</v>
      </c>
      <c r="N558" t="s">
        <v>126</v>
      </c>
      <c r="O558" t="s">
        <v>160</v>
      </c>
      <c r="P558">
        <f>VLOOKUP(N558,[1]ID_Cidades!$A$1:$E$5900,2,FALSE)</f>
        <v>303652</v>
      </c>
      <c r="Q558">
        <f>VLOOKUP(O558,[1]ID_Cidades!$A$1:$E$5900,2,FALSE)</f>
        <v>301428</v>
      </c>
      <c r="R558">
        <f t="shared" si="16"/>
        <v>91529215056</v>
      </c>
      <c r="S558" s="42">
        <f>VLOOKUP(R558,'[1]GCD base'!$A$1:$M$200,7,FALSE)</f>
        <v>1671.013784</v>
      </c>
      <c r="T558" t="s">
        <v>109</v>
      </c>
      <c r="U558" t="s">
        <v>201</v>
      </c>
      <c r="V558" t="s">
        <v>202</v>
      </c>
      <c r="W558" t="s">
        <v>203</v>
      </c>
      <c r="X558" t="s">
        <v>204</v>
      </c>
      <c r="Y558">
        <v>1294.23</v>
      </c>
      <c r="Z558">
        <v>0</v>
      </c>
      <c r="AA558">
        <v>822.65</v>
      </c>
      <c r="AB558">
        <v>0</v>
      </c>
      <c r="AC558" s="49">
        <v>45184</v>
      </c>
      <c r="AD558" s="116" t="s">
        <v>10</v>
      </c>
      <c r="AE558" s="113" t="str" cm="1">
        <f t="array" ref="AE558">_xlfn.IFS(S558&lt;=Constantes!$G$2,"Muito Curta (evitável)",S558&lt;=Constantes!$H$2,"Curta Distância",S558&gt;Constantes!$H$2,"Longa Distância")</f>
        <v>Curta Distância</v>
      </c>
      <c r="AF558" s="114">
        <f>IFERROR(VLOOKUP(AE558,Constantes!$A$1:$E$5,MATCH(AD558,Constantes!$A$1:$E$1,0),0),"")</f>
        <v>0.18286935436241611</v>
      </c>
      <c r="AG558" s="115">
        <f t="shared" si="17"/>
        <v>305.57721181077784</v>
      </c>
    </row>
    <row r="559" spans="1:33" x14ac:dyDescent="0.3">
      <c r="A559">
        <f>COUNTIF($B$2:B559,B559)</f>
        <v>2</v>
      </c>
      <c r="B559">
        <v>19286475</v>
      </c>
      <c r="C559" t="s">
        <v>1012</v>
      </c>
      <c r="D559" t="s">
        <v>1013</v>
      </c>
      <c r="E559" t="s">
        <v>1014</v>
      </c>
      <c r="F559" t="s">
        <v>214</v>
      </c>
      <c r="G559" t="s">
        <v>207</v>
      </c>
      <c r="H559" t="s">
        <v>204</v>
      </c>
      <c r="I559" s="49">
        <v>45241</v>
      </c>
      <c r="J559" s="49">
        <v>45245</v>
      </c>
      <c r="K559" t="s">
        <v>1015</v>
      </c>
      <c r="L559" s="49">
        <v>45241</v>
      </c>
      <c r="M559" s="49">
        <v>45242</v>
      </c>
      <c r="N559" t="s">
        <v>160</v>
      </c>
      <c r="O559" t="s">
        <v>126</v>
      </c>
      <c r="P559">
        <f>VLOOKUP(N559,[1]ID_Cidades!$A$1:$E$5900,2,FALSE)</f>
        <v>301428</v>
      </c>
      <c r="Q559">
        <f>VLOOKUP(O559,[1]ID_Cidades!$A$1:$E$5900,2,FALSE)</f>
        <v>303652</v>
      </c>
      <c r="R559">
        <f t="shared" si="16"/>
        <v>91529215056</v>
      </c>
      <c r="S559" s="42">
        <f>VLOOKUP(R559,'[1]GCD base'!$A$1:$M$200,7,FALSE)</f>
        <v>1671.013784</v>
      </c>
      <c r="T559" t="s">
        <v>109</v>
      </c>
      <c r="U559" t="s">
        <v>205</v>
      </c>
      <c r="V559" t="s">
        <v>202</v>
      </c>
      <c r="W559" t="s">
        <v>203</v>
      </c>
      <c r="X559" t="s">
        <v>204</v>
      </c>
      <c r="Y559">
        <v>0</v>
      </c>
      <c r="Z559">
        <v>0</v>
      </c>
      <c r="AA559">
        <v>604.89</v>
      </c>
      <c r="AB559">
        <v>0</v>
      </c>
      <c r="AC559" s="49">
        <v>45184</v>
      </c>
      <c r="AD559" s="116" t="s">
        <v>10</v>
      </c>
      <c r="AE559" s="113" t="str" cm="1">
        <f t="array" ref="AE559">_xlfn.IFS(S559&lt;=Constantes!$G$2,"Muito Curta (evitável)",S559&lt;=Constantes!$H$2,"Curta Distância",S559&gt;Constantes!$H$2,"Longa Distância")</f>
        <v>Curta Distância</v>
      </c>
      <c r="AF559" s="114">
        <f>IFERROR(VLOOKUP(AE559,Constantes!$A$1:$E$5,MATCH(AD559,Constantes!$A$1:$E$1,0),0),"")</f>
        <v>0.18286935436241611</v>
      </c>
      <c r="AG559" s="115">
        <f t="shared" si="17"/>
        <v>305.57721181077784</v>
      </c>
    </row>
    <row r="560" spans="1:33" x14ac:dyDescent="0.3">
      <c r="A560">
        <f>COUNTIF($B$2:B560,B560)</f>
        <v>1</v>
      </c>
      <c r="B560">
        <v>19312513</v>
      </c>
      <c r="C560" t="s">
        <v>1134</v>
      </c>
      <c r="D560" t="s">
        <v>1135</v>
      </c>
      <c r="E560" t="s">
        <v>1136</v>
      </c>
      <c r="F560" t="s">
        <v>218</v>
      </c>
      <c r="G560" t="s">
        <v>207</v>
      </c>
      <c r="H560" t="s">
        <v>204</v>
      </c>
      <c r="I560" s="49">
        <v>45241</v>
      </c>
      <c r="J560" s="49">
        <v>45245</v>
      </c>
      <c r="K560" t="s">
        <v>1137</v>
      </c>
      <c r="L560" s="49">
        <v>45241</v>
      </c>
      <c r="M560" s="49">
        <v>45244</v>
      </c>
      <c r="N560" t="s">
        <v>107</v>
      </c>
      <c r="O560" t="s">
        <v>116</v>
      </c>
      <c r="P560">
        <f>VLOOKUP(N560,[1]ID_Cidades!$A$1:$E$5900,2,FALSE)</f>
        <v>295765</v>
      </c>
      <c r="Q560">
        <f>VLOOKUP(O560,[1]ID_Cidades!$A$1:$E$5900,2,FALSE)</f>
        <v>295778</v>
      </c>
      <c r="R560">
        <f t="shared" si="16"/>
        <v>87480780170</v>
      </c>
      <c r="S560" s="42">
        <f>VLOOKUP(R560,'[1]GCD base'!$A$1:$M$200,7,FALSE)</f>
        <v>1961.5007860000001</v>
      </c>
      <c r="T560" t="s">
        <v>109</v>
      </c>
      <c r="U560" t="s">
        <v>205</v>
      </c>
      <c r="V560" t="s">
        <v>202</v>
      </c>
      <c r="W560" t="s">
        <v>203</v>
      </c>
      <c r="X560" t="s">
        <v>204</v>
      </c>
      <c r="Y560">
        <v>0</v>
      </c>
      <c r="Z560">
        <v>0</v>
      </c>
      <c r="AA560">
        <v>818.7</v>
      </c>
      <c r="AB560">
        <v>0</v>
      </c>
      <c r="AC560" s="49">
        <v>45190</v>
      </c>
      <c r="AD560" s="116" t="s">
        <v>10</v>
      </c>
      <c r="AE560" s="113" t="str" cm="1">
        <f t="array" ref="AE560">_xlfn.IFS(S560&lt;=Constantes!$G$2,"Muito Curta (evitável)",S560&lt;=Constantes!$H$2,"Curta Distância",S560&gt;Constantes!$H$2,"Longa Distância")</f>
        <v>Curta Distância</v>
      </c>
      <c r="AF560" s="114">
        <f>IFERROR(VLOOKUP(AE560,Constantes!$A$1:$E$5,MATCH(AD560,Constantes!$A$1:$E$1,0),0),"")</f>
        <v>0.18286935436241611</v>
      </c>
      <c r="AG560" s="115">
        <f t="shared" si="17"/>
        <v>358.69838231719172</v>
      </c>
    </row>
    <row r="561" spans="1:33" x14ac:dyDescent="0.3">
      <c r="A561">
        <f>COUNTIF($B$2:B561,B561)</f>
        <v>2</v>
      </c>
      <c r="B561">
        <v>19312513</v>
      </c>
      <c r="C561" t="s">
        <v>1134</v>
      </c>
      <c r="D561" t="s">
        <v>1135</v>
      </c>
      <c r="E561" t="s">
        <v>1136</v>
      </c>
      <c r="F561" t="s">
        <v>218</v>
      </c>
      <c r="G561" t="s">
        <v>207</v>
      </c>
      <c r="H561" t="s">
        <v>204</v>
      </c>
      <c r="I561" s="49">
        <v>45241</v>
      </c>
      <c r="J561" s="49">
        <v>45245</v>
      </c>
      <c r="K561" t="s">
        <v>1137</v>
      </c>
      <c r="L561" s="49">
        <v>45244</v>
      </c>
      <c r="M561" s="49">
        <v>45245</v>
      </c>
      <c r="N561" t="s">
        <v>116</v>
      </c>
      <c r="O561" t="s">
        <v>107</v>
      </c>
      <c r="P561">
        <f>VLOOKUP(N561,[1]ID_Cidades!$A$1:$E$5900,2,FALSE)</f>
        <v>295778</v>
      </c>
      <c r="Q561">
        <f>VLOOKUP(O561,[1]ID_Cidades!$A$1:$E$5900,2,FALSE)</f>
        <v>295765</v>
      </c>
      <c r="R561">
        <f t="shared" si="16"/>
        <v>87480780170</v>
      </c>
      <c r="S561" s="42">
        <f>VLOOKUP(R561,'[1]GCD base'!$A$1:$M$200,7,FALSE)</f>
        <v>1961.5007860000001</v>
      </c>
      <c r="T561" t="s">
        <v>109</v>
      </c>
      <c r="U561" t="s">
        <v>201</v>
      </c>
      <c r="V561" t="s">
        <v>202</v>
      </c>
      <c r="W561" t="s">
        <v>203</v>
      </c>
      <c r="X561" t="s">
        <v>204</v>
      </c>
      <c r="Y561">
        <v>0</v>
      </c>
      <c r="Z561">
        <v>0</v>
      </c>
      <c r="AA561">
        <v>906.19</v>
      </c>
      <c r="AB561">
        <v>0</v>
      </c>
      <c r="AC561" s="49">
        <v>45190</v>
      </c>
      <c r="AD561" s="116" t="s">
        <v>10</v>
      </c>
      <c r="AE561" s="113" t="str" cm="1">
        <f t="array" ref="AE561">_xlfn.IFS(S561&lt;=Constantes!$G$2,"Muito Curta (evitável)",S561&lt;=Constantes!$H$2,"Curta Distância",S561&gt;Constantes!$H$2,"Longa Distância")</f>
        <v>Curta Distância</v>
      </c>
      <c r="AF561" s="114">
        <f>IFERROR(VLOOKUP(AE561,Constantes!$A$1:$E$5,MATCH(AD561,Constantes!$A$1:$E$1,0),0),"")</f>
        <v>0.18286935436241611</v>
      </c>
      <c r="AG561" s="115">
        <f t="shared" si="17"/>
        <v>358.69838231719172</v>
      </c>
    </row>
    <row r="562" spans="1:33" x14ac:dyDescent="0.3">
      <c r="A562">
        <f>COUNTIF($B$2:B562,B562)</f>
        <v>1</v>
      </c>
      <c r="B562">
        <v>19392824</v>
      </c>
      <c r="C562" t="s">
        <v>1465</v>
      </c>
      <c r="D562" t="s">
        <v>218</v>
      </c>
      <c r="E562" t="s">
        <v>1466</v>
      </c>
      <c r="F562" t="s">
        <v>198</v>
      </c>
      <c r="G562" t="s">
        <v>207</v>
      </c>
      <c r="H562" t="s">
        <v>204</v>
      </c>
      <c r="I562" s="49">
        <v>45241</v>
      </c>
      <c r="J562" s="49">
        <v>45244</v>
      </c>
      <c r="K562" t="s">
        <v>1467</v>
      </c>
      <c r="L562" s="49">
        <v>45244</v>
      </c>
      <c r="M562" s="49">
        <v>45244</v>
      </c>
      <c r="N562" t="s">
        <v>126</v>
      </c>
      <c r="O562" t="s">
        <v>107</v>
      </c>
      <c r="P562">
        <f>VLOOKUP(N562,[1]ID_Cidades!$A$1:$E$5900,2,FALSE)</f>
        <v>303652</v>
      </c>
      <c r="Q562">
        <f>VLOOKUP(O562,[1]ID_Cidades!$A$1:$E$5900,2,FALSE)</f>
        <v>295765</v>
      </c>
      <c r="R562">
        <f t="shared" si="16"/>
        <v>89809633780</v>
      </c>
      <c r="S562" s="42">
        <f>VLOOKUP(R562,'[1]GCD base'!$A$1:$M$200,7,FALSE)</f>
        <v>2193.8649999999998</v>
      </c>
      <c r="T562" t="s">
        <v>109</v>
      </c>
      <c r="U562" t="s">
        <v>201</v>
      </c>
      <c r="V562" t="s">
        <v>202</v>
      </c>
      <c r="W562" t="s">
        <v>203</v>
      </c>
      <c r="X562" t="s">
        <v>204</v>
      </c>
      <c r="Y562">
        <v>1088.33</v>
      </c>
      <c r="Z562">
        <v>0</v>
      </c>
      <c r="AA562">
        <v>2355.89</v>
      </c>
      <c r="AB562">
        <v>0</v>
      </c>
      <c r="AC562" s="49">
        <v>45219</v>
      </c>
      <c r="AD562" s="116" t="s">
        <v>10</v>
      </c>
      <c r="AE562" s="113" t="str" cm="1">
        <f t="array" ref="AE562">_xlfn.IFS(S562&lt;=Constantes!$G$2,"Muito Curta (evitável)",S562&lt;=Constantes!$H$2,"Curta Distância",S562&gt;Constantes!$H$2,"Longa Distância")</f>
        <v>Curta Distância</v>
      </c>
      <c r="AF562" s="114">
        <f>IFERROR(VLOOKUP(AE562,Constantes!$A$1:$E$5,MATCH(AD562,Constantes!$A$1:$E$1,0),0),"")</f>
        <v>0.18286935436241611</v>
      </c>
      <c r="AG562" s="115">
        <f t="shared" si="17"/>
        <v>401.190676108302</v>
      </c>
    </row>
    <row r="563" spans="1:33" x14ac:dyDescent="0.3">
      <c r="A563">
        <f>COUNTIF($B$2:B563,B563)</f>
        <v>2</v>
      </c>
      <c r="B563">
        <v>19392824</v>
      </c>
      <c r="C563" t="s">
        <v>1465</v>
      </c>
      <c r="D563" t="s">
        <v>218</v>
      </c>
      <c r="E563" t="s">
        <v>1466</v>
      </c>
      <c r="F563" t="s">
        <v>198</v>
      </c>
      <c r="G563" t="s">
        <v>207</v>
      </c>
      <c r="H563" t="s">
        <v>204</v>
      </c>
      <c r="I563" s="49">
        <v>45241</v>
      </c>
      <c r="J563" s="49">
        <v>45244</v>
      </c>
      <c r="K563" t="s">
        <v>1467</v>
      </c>
      <c r="L563" s="49">
        <v>45241</v>
      </c>
      <c r="M563" s="49">
        <v>45241</v>
      </c>
      <c r="N563" t="s">
        <v>107</v>
      </c>
      <c r="O563" t="s">
        <v>126</v>
      </c>
      <c r="P563">
        <f>VLOOKUP(N563,[1]ID_Cidades!$A$1:$E$5900,2,FALSE)</f>
        <v>295765</v>
      </c>
      <c r="Q563">
        <f>VLOOKUP(O563,[1]ID_Cidades!$A$1:$E$5900,2,FALSE)</f>
        <v>303652</v>
      </c>
      <c r="R563">
        <f t="shared" si="16"/>
        <v>89809633780</v>
      </c>
      <c r="S563" s="42">
        <f>VLOOKUP(R563,'[1]GCD base'!$A$1:$M$200,7,FALSE)</f>
        <v>2193.8649999999998</v>
      </c>
      <c r="T563" t="s">
        <v>109</v>
      </c>
      <c r="U563" t="s">
        <v>201</v>
      </c>
      <c r="V563" t="s">
        <v>202</v>
      </c>
      <c r="W563" t="s">
        <v>203</v>
      </c>
      <c r="X563" t="s">
        <v>204</v>
      </c>
      <c r="Y563">
        <v>0</v>
      </c>
      <c r="Z563">
        <v>0</v>
      </c>
      <c r="AA563">
        <v>1287.1500000000001</v>
      </c>
      <c r="AB563">
        <v>0</v>
      </c>
      <c r="AC563" s="49">
        <v>45219</v>
      </c>
      <c r="AD563" s="116" t="s">
        <v>10</v>
      </c>
      <c r="AE563" s="113" t="str" cm="1">
        <f t="array" ref="AE563">_xlfn.IFS(S563&lt;=Constantes!$G$2,"Muito Curta (evitável)",S563&lt;=Constantes!$H$2,"Curta Distância",S563&gt;Constantes!$H$2,"Longa Distância")</f>
        <v>Curta Distância</v>
      </c>
      <c r="AF563" s="114">
        <f>IFERROR(VLOOKUP(AE563,Constantes!$A$1:$E$5,MATCH(AD563,Constantes!$A$1:$E$1,0),0),"")</f>
        <v>0.18286935436241611</v>
      </c>
      <c r="AG563" s="115">
        <f t="shared" si="17"/>
        <v>401.190676108302</v>
      </c>
    </row>
    <row r="564" spans="1:33" x14ac:dyDescent="0.3">
      <c r="A564">
        <f>COUNTIF($B$2:B564,B564)</f>
        <v>1</v>
      </c>
      <c r="B564">
        <v>19403635</v>
      </c>
      <c r="C564" t="s">
        <v>1509</v>
      </c>
      <c r="D564" t="s">
        <v>218</v>
      </c>
      <c r="E564" t="s">
        <v>1510</v>
      </c>
      <c r="F564" t="s">
        <v>198</v>
      </c>
      <c r="G564" t="s">
        <v>207</v>
      </c>
      <c r="H564" t="s">
        <v>204</v>
      </c>
      <c r="I564" s="49">
        <v>45241</v>
      </c>
      <c r="J564" s="49">
        <v>45244</v>
      </c>
      <c r="K564" t="s">
        <v>1467</v>
      </c>
      <c r="L564" s="49">
        <v>45244</v>
      </c>
      <c r="M564" s="49">
        <v>45244</v>
      </c>
      <c r="N564" t="s">
        <v>126</v>
      </c>
      <c r="O564" t="s">
        <v>107</v>
      </c>
      <c r="P564">
        <f>VLOOKUP(N564,[1]ID_Cidades!$A$1:$E$5900,2,FALSE)</f>
        <v>303652</v>
      </c>
      <c r="Q564">
        <f>VLOOKUP(O564,[1]ID_Cidades!$A$1:$E$5900,2,FALSE)</f>
        <v>295765</v>
      </c>
      <c r="R564">
        <f t="shared" si="16"/>
        <v>89809633780</v>
      </c>
      <c r="S564" s="42">
        <f>VLOOKUP(R564,'[1]GCD base'!$A$1:$M$200,7,FALSE)</f>
        <v>2193.8649999999998</v>
      </c>
      <c r="T564" t="s">
        <v>109</v>
      </c>
      <c r="U564" t="s">
        <v>201</v>
      </c>
      <c r="V564" t="s">
        <v>202</v>
      </c>
      <c r="W564" t="s">
        <v>203</v>
      </c>
      <c r="X564" t="s">
        <v>204</v>
      </c>
      <c r="Y564">
        <v>1088.33</v>
      </c>
      <c r="Z564">
        <v>0</v>
      </c>
      <c r="AA564">
        <v>2355.89</v>
      </c>
      <c r="AB564">
        <v>0</v>
      </c>
      <c r="AC564" s="49">
        <v>45219</v>
      </c>
      <c r="AD564" s="116" t="s">
        <v>10</v>
      </c>
      <c r="AE564" s="113" t="str" cm="1">
        <f t="array" ref="AE564">_xlfn.IFS(S564&lt;=Constantes!$G$2,"Muito Curta (evitável)",S564&lt;=Constantes!$H$2,"Curta Distância",S564&gt;Constantes!$H$2,"Longa Distância")</f>
        <v>Curta Distância</v>
      </c>
      <c r="AF564" s="114">
        <f>IFERROR(VLOOKUP(AE564,Constantes!$A$1:$E$5,MATCH(AD564,Constantes!$A$1:$E$1,0),0),"")</f>
        <v>0.18286935436241611</v>
      </c>
      <c r="AG564" s="115">
        <f t="shared" si="17"/>
        <v>401.190676108302</v>
      </c>
    </row>
    <row r="565" spans="1:33" x14ac:dyDescent="0.3">
      <c r="A565">
        <f>COUNTIF($B$2:B565,B565)</f>
        <v>2</v>
      </c>
      <c r="B565">
        <v>19403635</v>
      </c>
      <c r="C565" t="s">
        <v>1509</v>
      </c>
      <c r="D565" t="s">
        <v>218</v>
      </c>
      <c r="E565" t="s">
        <v>1510</v>
      </c>
      <c r="F565" t="s">
        <v>198</v>
      </c>
      <c r="G565" t="s">
        <v>207</v>
      </c>
      <c r="H565" t="s">
        <v>204</v>
      </c>
      <c r="I565" s="49">
        <v>45241</v>
      </c>
      <c r="J565" s="49">
        <v>45244</v>
      </c>
      <c r="K565" t="s">
        <v>1467</v>
      </c>
      <c r="L565" s="49">
        <v>45241</v>
      </c>
      <c r="M565" s="49">
        <v>45241</v>
      </c>
      <c r="N565" t="s">
        <v>107</v>
      </c>
      <c r="O565" t="s">
        <v>126</v>
      </c>
      <c r="P565">
        <f>VLOOKUP(N565,[1]ID_Cidades!$A$1:$E$5900,2,FALSE)</f>
        <v>295765</v>
      </c>
      <c r="Q565">
        <f>VLOOKUP(O565,[1]ID_Cidades!$A$1:$E$5900,2,FALSE)</f>
        <v>303652</v>
      </c>
      <c r="R565">
        <f t="shared" si="16"/>
        <v>89809633780</v>
      </c>
      <c r="S565" s="42">
        <f>VLOOKUP(R565,'[1]GCD base'!$A$1:$M$200,7,FALSE)</f>
        <v>2193.8649999999998</v>
      </c>
      <c r="T565" t="s">
        <v>109</v>
      </c>
      <c r="U565" t="s">
        <v>201</v>
      </c>
      <c r="V565" t="s">
        <v>202</v>
      </c>
      <c r="W565" t="s">
        <v>203</v>
      </c>
      <c r="X565" t="s">
        <v>204</v>
      </c>
      <c r="Y565">
        <v>0</v>
      </c>
      <c r="Z565">
        <v>0</v>
      </c>
      <c r="AA565">
        <v>1287.1500000000001</v>
      </c>
      <c r="AB565">
        <v>0</v>
      </c>
      <c r="AC565" s="49">
        <v>45219</v>
      </c>
      <c r="AD565" s="116" t="s">
        <v>10</v>
      </c>
      <c r="AE565" s="113" t="str" cm="1">
        <f t="array" ref="AE565">_xlfn.IFS(S565&lt;=Constantes!$G$2,"Muito Curta (evitável)",S565&lt;=Constantes!$H$2,"Curta Distância",S565&gt;Constantes!$H$2,"Longa Distância")</f>
        <v>Curta Distância</v>
      </c>
      <c r="AF565" s="114">
        <f>IFERROR(VLOOKUP(AE565,Constantes!$A$1:$E$5,MATCH(AD565,Constantes!$A$1:$E$1,0),0),"")</f>
        <v>0.18286935436241611</v>
      </c>
      <c r="AG565" s="115">
        <f t="shared" si="17"/>
        <v>401.190676108302</v>
      </c>
    </row>
    <row r="566" spans="1:33" x14ac:dyDescent="0.3">
      <c r="A566">
        <f>COUNTIF($B$2:B566,B566)</f>
        <v>1</v>
      </c>
      <c r="B566">
        <v>19415132</v>
      </c>
      <c r="C566" t="s">
        <v>1530</v>
      </c>
      <c r="D566" t="s">
        <v>218</v>
      </c>
      <c r="E566" t="s">
        <v>1531</v>
      </c>
      <c r="F566" t="s">
        <v>218</v>
      </c>
      <c r="G566" t="s">
        <v>207</v>
      </c>
      <c r="H566" t="s">
        <v>204</v>
      </c>
      <c r="I566" s="49">
        <v>45241</v>
      </c>
      <c r="J566" s="49">
        <v>45245</v>
      </c>
      <c r="K566" t="s">
        <v>1532</v>
      </c>
      <c r="L566" s="49">
        <v>45245</v>
      </c>
      <c r="M566" s="49">
        <v>45245</v>
      </c>
      <c r="N566" t="s">
        <v>126</v>
      </c>
      <c r="O566" t="s">
        <v>107</v>
      </c>
      <c r="P566">
        <f>VLOOKUP(N566,[1]ID_Cidades!$A$1:$E$5900,2,FALSE)</f>
        <v>303652</v>
      </c>
      <c r="Q566">
        <f>VLOOKUP(O566,[1]ID_Cidades!$A$1:$E$5900,2,FALSE)</f>
        <v>295765</v>
      </c>
      <c r="R566">
        <f t="shared" si="16"/>
        <v>89809633780</v>
      </c>
      <c r="S566" s="42">
        <f>VLOOKUP(R566,'[1]GCD base'!$A$1:$M$200,7,FALSE)</f>
        <v>2193.8649999999998</v>
      </c>
      <c r="T566" t="s">
        <v>109</v>
      </c>
      <c r="U566" t="s">
        <v>201</v>
      </c>
      <c r="V566" t="s">
        <v>202</v>
      </c>
      <c r="W566" t="s">
        <v>203</v>
      </c>
      <c r="X566" t="s">
        <v>204</v>
      </c>
      <c r="Y566">
        <v>0</v>
      </c>
      <c r="Z566">
        <v>0</v>
      </c>
      <c r="AA566">
        <v>1486.49</v>
      </c>
      <c r="AB566">
        <v>0</v>
      </c>
      <c r="AC566" s="49">
        <v>45217</v>
      </c>
      <c r="AD566" s="116" t="s">
        <v>10</v>
      </c>
      <c r="AE566" s="113" t="str" cm="1">
        <f t="array" ref="AE566">_xlfn.IFS(S566&lt;=Constantes!$G$2,"Muito Curta (evitável)",S566&lt;=Constantes!$H$2,"Curta Distância",S566&gt;Constantes!$H$2,"Longa Distância")</f>
        <v>Curta Distância</v>
      </c>
      <c r="AF566" s="114">
        <f>IFERROR(VLOOKUP(AE566,Constantes!$A$1:$E$5,MATCH(AD566,Constantes!$A$1:$E$1,0),0),"")</f>
        <v>0.18286935436241611</v>
      </c>
      <c r="AG566" s="115">
        <f t="shared" si="17"/>
        <v>401.190676108302</v>
      </c>
    </row>
    <row r="567" spans="1:33" x14ac:dyDescent="0.3">
      <c r="A567">
        <f>COUNTIF($B$2:B567,B567)</f>
        <v>2</v>
      </c>
      <c r="B567">
        <v>19415132</v>
      </c>
      <c r="C567" t="s">
        <v>1530</v>
      </c>
      <c r="D567" t="s">
        <v>218</v>
      </c>
      <c r="E567" t="s">
        <v>1531</v>
      </c>
      <c r="F567" t="s">
        <v>218</v>
      </c>
      <c r="G567" t="s">
        <v>207</v>
      </c>
      <c r="H567" t="s">
        <v>204</v>
      </c>
      <c r="I567" s="49">
        <v>45241</v>
      </c>
      <c r="J567" s="49">
        <v>45245</v>
      </c>
      <c r="K567" t="s">
        <v>1532</v>
      </c>
      <c r="L567" s="49">
        <v>45241</v>
      </c>
      <c r="M567" s="49">
        <v>45245</v>
      </c>
      <c r="N567" t="s">
        <v>107</v>
      </c>
      <c r="O567" t="s">
        <v>126</v>
      </c>
      <c r="P567">
        <f>VLOOKUP(N567,[1]ID_Cidades!$A$1:$E$5900,2,FALSE)</f>
        <v>295765</v>
      </c>
      <c r="Q567">
        <f>VLOOKUP(O567,[1]ID_Cidades!$A$1:$E$5900,2,FALSE)</f>
        <v>303652</v>
      </c>
      <c r="R567">
        <f t="shared" si="16"/>
        <v>89809633780</v>
      </c>
      <c r="S567" s="42">
        <f>VLOOKUP(R567,'[1]GCD base'!$A$1:$M$200,7,FALSE)</f>
        <v>2193.8649999999998</v>
      </c>
      <c r="T567" t="s">
        <v>109</v>
      </c>
      <c r="U567" t="s">
        <v>205</v>
      </c>
      <c r="V567" t="s">
        <v>202</v>
      </c>
      <c r="W567" t="s">
        <v>203</v>
      </c>
      <c r="X567" t="s">
        <v>204</v>
      </c>
      <c r="Y567">
        <v>0</v>
      </c>
      <c r="Z567">
        <v>0</v>
      </c>
      <c r="AA567">
        <v>1511.85</v>
      </c>
      <c r="AB567">
        <v>0</v>
      </c>
      <c r="AC567" s="49">
        <v>45217</v>
      </c>
      <c r="AD567" s="116" t="s">
        <v>10</v>
      </c>
      <c r="AE567" s="113" t="str" cm="1">
        <f t="array" ref="AE567">_xlfn.IFS(S567&lt;=Constantes!$G$2,"Muito Curta (evitável)",S567&lt;=Constantes!$H$2,"Curta Distância",S567&gt;Constantes!$H$2,"Longa Distância")</f>
        <v>Curta Distância</v>
      </c>
      <c r="AF567" s="114">
        <f>IFERROR(VLOOKUP(AE567,Constantes!$A$1:$E$5,MATCH(AD567,Constantes!$A$1:$E$1,0),0),"")</f>
        <v>0.18286935436241611</v>
      </c>
      <c r="AG567" s="115">
        <f t="shared" si="17"/>
        <v>401.190676108302</v>
      </c>
    </row>
    <row r="568" spans="1:33" x14ac:dyDescent="0.3">
      <c r="A568">
        <f>COUNTIF($B$2:B568,B568)</f>
        <v>1</v>
      </c>
      <c r="B568">
        <v>19428135</v>
      </c>
      <c r="C568" t="s">
        <v>1539</v>
      </c>
      <c r="D568" t="s">
        <v>218</v>
      </c>
      <c r="E568" t="s">
        <v>1540</v>
      </c>
      <c r="F568" t="s">
        <v>218</v>
      </c>
      <c r="G568" t="s">
        <v>207</v>
      </c>
      <c r="H568" t="s">
        <v>204</v>
      </c>
      <c r="I568" s="49">
        <v>45241</v>
      </c>
      <c r="J568" s="49">
        <v>45245</v>
      </c>
      <c r="K568" t="s">
        <v>1541</v>
      </c>
      <c r="L568" s="49">
        <v>45241</v>
      </c>
      <c r="M568" s="49">
        <v>45245</v>
      </c>
      <c r="N568" t="s">
        <v>107</v>
      </c>
      <c r="O568" t="s">
        <v>126</v>
      </c>
      <c r="P568">
        <f>VLOOKUP(N568,[1]ID_Cidades!$A$1:$E$5900,2,FALSE)</f>
        <v>295765</v>
      </c>
      <c r="Q568">
        <f>VLOOKUP(O568,[1]ID_Cidades!$A$1:$E$5900,2,FALSE)</f>
        <v>303652</v>
      </c>
      <c r="R568">
        <f t="shared" si="16"/>
        <v>89809633780</v>
      </c>
      <c r="S568" s="42">
        <f>VLOOKUP(R568,'[1]GCD base'!$A$1:$M$200,7,FALSE)</f>
        <v>2193.8649999999998</v>
      </c>
      <c r="T568" t="s">
        <v>109</v>
      </c>
      <c r="U568" t="s">
        <v>205</v>
      </c>
      <c r="V568" t="s">
        <v>202</v>
      </c>
      <c r="W568" t="s">
        <v>203</v>
      </c>
      <c r="X568" t="s">
        <v>204</v>
      </c>
      <c r="Y568">
        <v>0</v>
      </c>
      <c r="Z568">
        <v>0</v>
      </c>
      <c r="AA568">
        <v>1302.75</v>
      </c>
      <c r="AB568">
        <v>0</v>
      </c>
      <c r="AC568" s="49">
        <v>45223</v>
      </c>
      <c r="AD568" s="116" t="s">
        <v>10</v>
      </c>
      <c r="AE568" s="113" t="str" cm="1">
        <f t="array" ref="AE568">_xlfn.IFS(S568&lt;=Constantes!$G$2,"Muito Curta (evitável)",S568&lt;=Constantes!$H$2,"Curta Distância",S568&gt;Constantes!$H$2,"Longa Distância")</f>
        <v>Curta Distância</v>
      </c>
      <c r="AF568" s="114">
        <f>IFERROR(VLOOKUP(AE568,Constantes!$A$1:$E$5,MATCH(AD568,Constantes!$A$1:$E$1,0),0),"")</f>
        <v>0.18286935436241611</v>
      </c>
      <c r="AG568" s="115">
        <f t="shared" si="17"/>
        <v>401.190676108302</v>
      </c>
    </row>
    <row r="569" spans="1:33" x14ac:dyDescent="0.3">
      <c r="A569">
        <f>COUNTIF($B$2:B569,B569)</f>
        <v>2</v>
      </c>
      <c r="B569">
        <v>19428135</v>
      </c>
      <c r="C569" t="s">
        <v>1539</v>
      </c>
      <c r="D569" t="s">
        <v>218</v>
      </c>
      <c r="E569" t="s">
        <v>1540</v>
      </c>
      <c r="F569" t="s">
        <v>218</v>
      </c>
      <c r="G569" t="s">
        <v>207</v>
      </c>
      <c r="H569" t="s">
        <v>204</v>
      </c>
      <c r="I569" s="49">
        <v>45241</v>
      </c>
      <c r="J569" s="49">
        <v>45245</v>
      </c>
      <c r="K569" t="s">
        <v>1541</v>
      </c>
      <c r="L569" s="49">
        <v>45245</v>
      </c>
      <c r="M569" s="49">
        <v>45245</v>
      </c>
      <c r="N569" t="s">
        <v>126</v>
      </c>
      <c r="O569" t="s">
        <v>107</v>
      </c>
      <c r="P569">
        <f>VLOOKUP(N569,[1]ID_Cidades!$A$1:$E$5900,2,FALSE)</f>
        <v>303652</v>
      </c>
      <c r="Q569">
        <f>VLOOKUP(O569,[1]ID_Cidades!$A$1:$E$5900,2,FALSE)</f>
        <v>295765</v>
      </c>
      <c r="R569">
        <f t="shared" si="16"/>
        <v>89809633780</v>
      </c>
      <c r="S569" s="42">
        <f>VLOOKUP(R569,'[1]GCD base'!$A$1:$M$200,7,FALSE)</f>
        <v>2193.8649999999998</v>
      </c>
      <c r="T569" t="s">
        <v>109</v>
      </c>
      <c r="U569" t="s">
        <v>201</v>
      </c>
      <c r="V569" t="s">
        <v>202</v>
      </c>
      <c r="W569" t="s">
        <v>203</v>
      </c>
      <c r="X569" t="s">
        <v>204</v>
      </c>
      <c r="Y569">
        <v>0</v>
      </c>
      <c r="Z569">
        <v>0</v>
      </c>
      <c r="AA569">
        <v>1048.5899999999999</v>
      </c>
      <c r="AB569">
        <v>0</v>
      </c>
      <c r="AC569" s="49">
        <v>45223</v>
      </c>
      <c r="AD569" s="116" t="s">
        <v>10</v>
      </c>
      <c r="AE569" s="113" t="str" cm="1">
        <f t="array" ref="AE569">_xlfn.IFS(S569&lt;=Constantes!$G$2,"Muito Curta (evitável)",S569&lt;=Constantes!$H$2,"Curta Distância",S569&gt;Constantes!$H$2,"Longa Distância")</f>
        <v>Curta Distância</v>
      </c>
      <c r="AF569" s="114">
        <f>IFERROR(VLOOKUP(AE569,Constantes!$A$1:$E$5,MATCH(AD569,Constantes!$A$1:$E$1,0),0),"")</f>
        <v>0.18286935436241611</v>
      </c>
      <c r="AG569" s="115">
        <f t="shared" si="17"/>
        <v>401.190676108302</v>
      </c>
    </row>
    <row r="570" spans="1:33" x14ac:dyDescent="0.3">
      <c r="A570">
        <f>COUNTIF($B$2:B570,B570)</f>
        <v>1</v>
      </c>
      <c r="B570">
        <v>19428217</v>
      </c>
      <c r="C570" t="s">
        <v>1542</v>
      </c>
      <c r="D570" t="s">
        <v>218</v>
      </c>
      <c r="E570" t="s">
        <v>1543</v>
      </c>
      <c r="F570" t="s">
        <v>218</v>
      </c>
      <c r="G570" t="s">
        <v>207</v>
      </c>
      <c r="H570" t="s">
        <v>204</v>
      </c>
      <c r="I570" s="49">
        <v>45241</v>
      </c>
      <c r="J570" s="49">
        <v>45245</v>
      </c>
      <c r="K570" t="s">
        <v>1541</v>
      </c>
      <c r="L570" s="49">
        <v>45241</v>
      </c>
      <c r="M570" s="49">
        <v>45245</v>
      </c>
      <c r="N570" t="s">
        <v>107</v>
      </c>
      <c r="O570" t="s">
        <v>126</v>
      </c>
      <c r="P570">
        <f>VLOOKUP(N570,[1]ID_Cidades!$A$1:$E$5900,2,FALSE)</f>
        <v>295765</v>
      </c>
      <c r="Q570">
        <f>VLOOKUP(O570,[1]ID_Cidades!$A$1:$E$5900,2,FALSE)</f>
        <v>303652</v>
      </c>
      <c r="R570">
        <f t="shared" si="16"/>
        <v>89809633780</v>
      </c>
      <c r="S570" s="42">
        <f>VLOOKUP(R570,'[1]GCD base'!$A$1:$M$200,7,FALSE)</f>
        <v>2193.8649999999998</v>
      </c>
      <c r="T570" t="s">
        <v>109</v>
      </c>
      <c r="U570" t="s">
        <v>205</v>
      </c>
      <c r="V570" t="s">
        <v>202</v>
      </c>
      <c r="W570" t="s">
        <v>203</v>
      </c>
      <c r="X570" t="s">
        <v>204</v>
      </c>
      <c r="Y570">
        <v>0</v>
      </c>
      <c r="Z570">
        <v>0</v>
      </c>
      <c r="AA570">
        <v>1302.75</v>
      </c>
      <c r="AB570">
        <v>0</v>
      </c>
      <c r="AC570" s="49">
        <v>45223</v>
      </c>
      <c r="AD570" s="116" t="s">
        <v>10</v>
      </c>
      <c r="AE570" s="113" t="str" cm="1">
        <f t="array" ref="AE570">_xlfn.IFS(S570&lt;=Constantes!$G$2,"Muito Curta (evitável)",S570&lt;=Constantes!$H$2,"Curta Distância",S570&gt;Constantes!$H$2,"Longa Distância")</f>
        <v>Curta Distância</v>
      </c>
      <c r="AF570" s="114">
        <f>IFERROR(VLOOKUP(AE570,Constantes!$A$1:$E$5,MATCH(AD570,Constantes!$A$1:$E$1,0),0),"")</f>
        <v>0.18286935436241611</v>
      </c>
      <c r="AG570" s="115">
        <f t="shared" si="17"/>
        <v>401.190676108302</v>
      </c>
    </row>
    <row r="571" spans="1:33" x14ac:dyDescent="0.3">
      <c r="A571">
        <f>COUNTIF($B$2:B571,B571)</f>
        <v>2</v>
      </c>
      <c r="B571">
        <v>19428217</v>
      </c>
      <c r="C571" t="s">
        <v>1542</v>
      </c>
      <c r="D571" t="s">
        <v>218</v>
      </c>
      <c r="E571" t="s">
        <v>1543</v>
      </c>
      <c r="F571" t="s">
        <v>218</v>
      </c>
      <c r="G571" t="s">
        <v>207</v>
      </c>
      <c r="H571" t="s">
        <v>204</v>
      </c>
      <c r="I571" s="49">
        <v>45241</v>
      </c>
      <c r="J571" s="49">
        <v>45245</v>
      </c>
      <c r="K571" t="s">
        <v>1541</v>
      </c>
      <c r="L571" s="49">
        <v>45245</v>
      </c>
      <c r="M571" s="49">
        <v>45245</v>
      </c>
      <c r="N571" t="s">
        <v>126</v>
      </c>
      <c r="O571" t="s">
        <v>107</v>
      </c>
      <c r="P571">
        <f>VLOOKUP(N571,[1]ID_Cidades!$A$1:$E$5900,2,FALSE)</f>
        <v>303652</v>
      </c>
      <c r="Q571">
        <f>VLOOKUP(O571,[1]ID_Cidades!$A$1:$E$5900,2,FALSE)</f>
        <v>295765</v>
      </c>
      <c r="R571">
        <f t="shared" si="16"/>
        <v>89809633780</v>
      </c>
      <c r="S571" s="42">
        <f>VLOOKUP(R571,'[1]GCD base'!$A$1:$M$200,7,FALSE)</f>
        <v>2193.8649999999998</v>
      </c>
      <c r="T571" t="s">
        <v>109</v>
      </c>
      <c r="U571" t="s">
        <v>201</v>
      </c>
      <c r="V571" t="s">
        <v>202</v>
      </c>
      <c r="W571" t="s">
        <v>203</v>
      </c>
      <c r="X571" t="s">
        <v>204</v>
      </c>
      <c r="Y571">
        <v>0</v>
      </c>
      <c r="Z571">
        <v>0</v>
      </c>
      <c r="AA571">
        <v>1048.5899999999999</v>
      </c>
      <c r="AB571">
        <v>0</v>
      </c>
      <c r="AC571" s="49">
        <v>45223</v>
      </c>
      <c r="AD571" s="116" t="s">
        <v>10</v>
      </c>
      <c r="AE571" s="113" t="str" cm="1">
        <f t="array" ref="AE571">_xlfn.IFS(S571&lt;=Constantes!$G$2,"Muito Curta (evitável)",S571&lt;=Constantes!$H$2,"Curta Distância",S571&gt;Constantes!$H$2,"Longa Distância")</f>
        <v>Curta Distância</v>
      </c>
      <c r="AF571" s="114">
        <f>IFERROR(VLOOKUP(AE571,Constantes!$A$1:$E$5,MATCH(AD571,Constantes!$A$1:$E$1,0),0),"")</f>
        <v>0.18286935436241611</v>
      </c>
      <c r="AG571" s="115">
        <f t="shared" si="17"/>
        <v>401.190676108302</v>
      </c>
    </row>
    <row r="572" spans="1:33" x14ac:dyDescent="0.3">
      <c r="A572">
        <f>COUNTIF($B$2:B572,B572)</f>
        <v>1</v>
      </c>
      <c r="B572">
        <v>19428302</v>
      </c>
      <c r="C572" t="s">
        <v>1544</v>
      </c>
      <c r="D572" t="s">
        <v>218</v>
      </c>
      <c r="E572" t="s">
        <v>1545</v>
      </c>
      <c r="F572" t="s">
        <v>218</v>
      </c>
      <c r="G572" t="s">
        <v>207</v>
      </c>
      <c r="H572" t="s">
        <v>204</v>
      </c>
      <c r="I572" s="49">
        <v>45241</v>
      </c>
      <c r="J572" s="49">
        <v>45245</v>
      </c>
      <c r="K572" t="s">
        <v>1541</v>
      </c>
      <c r="L572" s="49">
        <v>45241</v>
      </c>
      <c r="M572" s="49">
        <v>45245</v>
      </c>
      <c r="N572" t="s">
        <v>107</v>
      </c>
      <c r="O572" t="s">
        <v>126</v>
      </c>
      <c r="P572">
        <f>VLOOKUP(N572,[1]ID_Cidades!$A$1:$E$5900,2,FALSE)</f>
        <v>295765</v>
      </c>
      <c r="Q572">
        <f>VLOOKUP(O572,[1]ID_Cidades!$A$1:$E$5900,2,FALSE)</f>
        <v>303652</v>
      </c>
      <c r="R572">
        <f t="shared" si="16"/>
        <v>89809633780</v>
      </c>
      <c r="S572" s="42">
        <f>VLOOKUP(R572,'[1]GCD base'!$A$1:$M$200,7,FALSE)</f>
        <v>2193.8649999999998</v>
      </c>
      <c r="T572" t="s">
        <v>109</v>
      </c>
      <c r="U572" t="s">
        <v>205</v>
      </c>
      <c r="V572" t="s">
        <v>202</v>
      </c>
      <c r="W572" t="s">
        <v>203</v>
      </c>
      <c r="X572" t="s">
        <v>204</v>
      </c>
      <c r="Y572">
        <v>0</v>
      </c>
      <c r="Z572">
        <v>0</v>
      </c>
      <c r="AA572">
        <v>1302.75</v>
      </c>
      <c r="AB572">
        <v>0</v>
      </c>
      <c r="AC572" s="49">
        <v>45223</v>
      </c>
      <c r="AD572" s="116" t="s">
        <v>10</v>
      </c>
      <c r="AE572" s="113" t="str" cm="1">
        <f t="array" ref="AE572">_xlfn.IFS(S572&lt;=Constantes!$G$2,"Muito Curta (evitável)",S572&lt;=Constantes!$H$2,"Curta Distância",S572&gt;Constantes!$H$2,"Longa Distância")</f>
        <v>Curta Distância</v>
      </c>
      <c r="AF572" s="114">
        <f>IFERROR(VLOOKUP(AE572,Constantes!$A$1:$E$5,MATCH(AD572,Constantes!$A$1:$E$1,0),0),"")</f>
        <v>0.18286935436241611</v>
      </c>
      <c r="AG572" s="115">
        <f t="shared" si="17"/>
        <v>401.190676108302</v>
      </c>
    </row>
    <row r="573" spans="1:33" x14ac:dyDescent="0.3">
      <c r="A573">
        <f>COUNTIF($B$2:B573,B573)</f>
        <v>2</v>
      </c>
      <c r="B573">
        <v>19428302</v>
      </c>
      <c r="C573" t="s">
        <v>1544</v>
      </c>
      <c r="D573" t="s">
        <v>218</v>
      </c>
      <c r="E573" t="s">
        <v>1545</v>
      </c>
      <c r="F573" t="s">
        <v>218</v>
      </c>
      <c r="G573" t="s">
        <v>207</v>
      </c>
      <c r="H573" t="s">
        <v>204</v>
      </c>
      <c r="I573" s="49">
        <v>45241</v>
      </c>
      <c r="J573" s="49">
        <v>45245</v>
      </c>
      <c r="K573" t="s">
        <v>1541</v>
      </c>
      <c r="L573" s="49">
        <v>45245</v>
      </c>
      <c r="M573" s="49">
        <v>45245</v>
      </c>
      <c r="N573" t="s">
        <v>126</v>
      </c>
      <c r="O573" t="s">
        <v>107</v>
      </c>
      <c r="P573">
        <f>VLOOKUP(N573,[1]ID_Cidades!$A$1:$E$5900,2,FALSE)</f>
        <v>303652</v>
      </c>
      <c r="Q573">
        <f>VLOOKUP(O573,[1]ID_Cidades!$A$1:$E$5900,2,FALSE)</f>
        <v>295765</v>
      </c>
      <c r="R573">
        <f t="shared" si="16"/>
        <v>89809633780</v>
      </c>
      <c r="S573" s="42">
        <f>VLOOKUP(R573,'[1]GCD base'!$A$1:$M$200,7,FALSE)</f>
        <v>2193.8649999999998</v>
      </c>
      <c r="T573" t="s">
        <v>109</v>
      </c>
      <c r="U573" t="s">
        <v>201</v>
      </c>
      <c r="V573" t="s">
        <v>202</v>
      </c>
      <c r="W573" t="s">
        <v>203</v>
      </c>
      <c r="X573" t="s">
        <v>204</v>
      </c>
      <c r="Y573">
        <v>0</v>
      </c>
      <c r="Z573">
        <v>0</v>
      </c>
      <c r="AA573">
        <v>1048.5899999999999</v>
      </c>
      <c r="AB573">
        <v>0</v>
      </c>
      <c r="AC573" s="49">
        <v>45223</v>
      </c>
      <c r="AD573" s="116" t="s">
        <v>10</v>
      </c>
      <c r="AE573" s="113" t="str" cm="1">
        <f t="array" ref="AE573">_xlfn.IFS(S573&lt;=Constantes!$G$2,"Muito Curta (evitável)",S573&lt;=Constantes!$H$2,"Curta Distância",S573&gt;Constantes!$H$2,"Longa Distância")</f>
        <v>Curta Distância</v>
      </c>
      <c r="AF573" s="114">
        <f>IFERROR(VLOOKUP(AE573,Constantes!$A$1:$E$5,MATCH(AD573,Constantes!$A$1:$E$1,0),0),"")</f>
        <v>0.18286935436241611</v>
      </c>
      <c r="AG573" s="115">
        <f t="shared" si="17"/>
        <v>401.190676108302</v>
      </c>
    </row>
    <row r="574" spans="1:33" x14ac:dyDescent="0.3">
      <c r="A574">
        <f>COUNTIF($B$2:B574,B574)</f>
        <v>1</v>
      </c>
      <c r="B574">
        <v>19107006</v>
      </c>
      <c r="C574" t="s">
        <v>438</v>
      </c>
      <c r="D574" t="s">
        <v>439</v>
      </c>
      <c r="E574" t="s">
        <v>440</v>
      </c>
      <c r="F574" t="s">
        <v>441</v>
      </c>
      <c r="G574" t="s">
        <v>207</v>
      </c>
      <c r="H574" t="s">
        <v>204</v>
      </c>
      <c r="I574" s="49">
        <v>45242</v>
      </c>
      <c r="J574" s="49">
        <v>45245</v>
      </c>
      <c r="K574" t="s">
        <v>442</v>
      </c>
      <c r="L574" s="49">
        <v>45244</v>
      </c>
      <c r="M574" s="49">
        <v>45245</v>
      </c>
      <c r="N574" t="s">
        <v>126</v>
      </c>
      <c r="O574" t="s">
        <v>107</v>
      </c>
      <c r="P574">
        <f>VLOOKUP(N574,[1]ID_Cidades!$A$1:$E$5900,2,FALSE)</f>
        <v>303652</v>
      </c>
      <c r="Q574">
        <f>VLOOKUP(O574,[1]ID_Cidades!$A$1:$E$5900,2,FALSE)</f>
        <v>295765</v>
      </c>
      <c r="R574">
        <f t="shared" si="16"/>
        <v>89809633780</v>
      </c>
      <c r="S574" s="42">
        <f>VLOOKUP(R574,'[1]GCD base'!$A$1:$M$200,7,FALSE)</f>
        <v>2193.8649999999998</v>
      </c>
      <c r="T574" t="s">
        <v>109</v>
      </c>
      <c r="U574" t="s">
        <v>201</v>
      </c>
      <c r="V574" t="s">
        <v>202</v>
      </c>
      <c r="W574" t="s">
        <v>203</v>
      </c>
      <c r="X574" t="s">
        <v>204</v>
      </c>
      <c r="Y574">
        <v>1088.33</v>
      </c>
      <c r="Z574">
        <v>0</v>
      </c>
      <c r="AA574">
        <v>907.55</v>
      </c>
      <c r="AB574">
        <v>0</v>
      </c>
      <c r="AC574" s="49">
        <v>45141</v>
      </c>
      <c r="AD574" s="116" t="s">
        <v>10</v>
      </c>
      <c r="AE574" s="113" t="str" cm="1">
        <f t="array" ref="AE574">_xlfn.IFS(S574&lt;=Constantes!$G$2,"Muito Curta (evitável)",S574&lt;=Constantes!$H$2,"Curta Distância",S574&gt;Constantes!$H$2,"Longa Distância")</f>
        <v>Curta Distância</v>
      </c>
      <c r="AF574" s="114">
        <f>IFERROR(VLOOKUP(AE574,Constantes!$A$1:$E$5,MATCH(AD574,Constantes!$A$1:$E$1,0),0),"")</f>
        <v>0.18286935436241611</v>
      </c>
      <c r="AG574" s="115">
        <f t="shared" si="17"/>
        <v>401.190676108302</v>
      </c>
    </row>
    <row r="575" spans="1:33" x14ac:dyDescent="0.3">
      <c r="A575">
        <f>COUNTIF($B$2:B575,B575)</f>
        <v>2</v>
      </c>
      <c r="B575">
        <v>19107006</v>
      </c>
      <c r="C575" t="s">
        <v>438</v>
      </c>
      <c r="D575" t="s">
        <v>439</v>
      </c>
      <c r="E575" t="s">
        <v>440</v>
      </c>
      <c r="F575" t="s">
        <v>441</v>
      </c>
      <c r="G575" t="s">
        <v>207</v>
      </c>
      <c r="H575" t="s">
        <v>204</v>
      </c>
      <c r="I575" s="49">
        <v>45242</v>
      </c>
      <c r="J575" s="49">
        <v>45245</v>
      </c>
      <c r="K575" t="s">
        <v>442</v>
      </c>
      <c r="L575" s="49">
        <v>45242</v>
      </c>
      <c r="M575" s="49">
        <v>45244</v>
      </c>
      <c r="N575" t="s">
        <v>107</v>
      </c>
      <c r="O575" t="s">
        <v>126</v>
      </c>
      <c r="P575">
        <f>VLOOKUP(N575,[1]ID_Cidades!$A$1:$E$5900,2,FALSE)</f>
        <v>295765</v>
      </c>
      <c r="Q575">
        <f>VLOOKUP(O575,[1]ID_Cidades!$A$1:$E$5900,2,FALSE)</f>
        <v>303652</v>
      </c>
      <c r="R575">
        <f t="shared" si="16"/>
        <v>89809633780</v>
      </c>
      <c r="S575" s="42">
        <f>VLOOKUP(R575,'[1]GCD base'!$A$1:$M$200,7,FALSE)</f>
        <v>2193.8649999999998</v>
      </c>
      <c r="T575" t="s">
        <v>109</v>
      </c>
      <c r="U575" t="s">
        <v>205</v>
      </c>
      <c r="V575" t="s">
        <v>202</v>
      </c>
      <c r="W575" t="s">
        <v>203</v>
      </c>
      <c r="X575" t="s">
        <v>204</v>
      </c>
      <c r="Y575">
        <v>0</v>
      </c>
      <c r="Z575">
        <v>0</v>
      </c>
      <c r="AA575">
        <v>1493.99</v>
      </c>
      <c r="AB575">
        <v>0</v>
      </c>
      <c r="AC575" s="49">
        <v>45141</v>
      </c>
      <c r="AD575" s="116" t="s">
        <v>10</v>
      </c>
      <c r="AE575" s="113" t="str" cm="1">
        <f t="array" ref="AE575">_xlfn.IFS(S575&lt;=Constantes!$G$2,"Muito Curta (evitável)",S575&lt;=Constantes!$H$2,"Curta Distância",S575&gt;Constantes!$H$2,"Longa Distância")</f>
        <v>Curta Distância</v>
      </c>
      <c r="AF575" s="114">
        <f>IFERROR(VLOOKUP(AE575,Constantes!$A$1:$E$5,MATCH(AD575,Constantes!$A$1:$E$1,0),0),"")</f>
        <v>0.18286935436241611</v>
      </c>
      <c r="AG575" s="115">
        <f t="shared" si="17"/>
        <v>401.190676108302</v>
      </c>
    </row>
    <row r="576" spans="1:33" x14ac:dyDescent="0.3">
      <c r="A576">
        <f>COUNTIF($B$2:B576,B576)</f>
        <v>1</v>
      </c>
      <c r="B576">
        <v>19185584</v>
      </c>
      <c r="C576" t="s">
        <v>634</v>
      </c>
      <c r="D576" t="s">
        <v>591</v>
      </c>
      <c r="E576" t="s">
        <v>592</v>
      </c>
      <c r="F576" t="s">
        <v>198</v>
      </c>
      <c r="G576" t="s">
        <v>207</v>
      </c>
      <c r="H576" t="s">
        <v>204</v>
      </c>
      <c r="I576" s="49">
        <v>45242</v>
      </c>
      <c r="J576" s="49">
        <v>45244</v>
      </c>
      <c r="K576" t="s">
        <v>635</v>
      </c>
      <c r="L576" s="49">
        <v>45242</v>
      </c>
      <c r="M576" s="49">
        <v>45244</v>
      </c>
      <c r="N576" t="s">
        <v>107</v>
      </c>
      <c r="O576" t="s">
        <v>110</v>
      </c>
      <c r="P576">
        <f>VLOOKUP(N576,[1]ID_Cidades!$A$1:$E$5900,2,FALSE)</f>
        <v>295765</v>
      </c>
      <c r="Q576">
        <f>VLOOKUP(O576,[1]ID_Cidades!$A$1:$E$5900,2,FALSE)</f>
        <v>295763</v>
      </c>
      <c r="R576">
        <f t="shared" si="16"/>
        <v>87476343695</v>
      </c>
      <c r="S576" s="42">
        <f>VLOOKUP(R576,'[1]GCD base'!$A$1:$M$200,7,FALSE)</f>
        <v>1713.419991</v>
      </c>
      <c r="T576" t="s">
        <v>109</v>
      </c>
      <c r="U576" t="s">
        <v>205</v>
      </c>
      <c r="V576" t="s">
        <v>202</v>
      </c>
      <c r="W576" t="s">
        <v>203</v>
      </c>
      <c r="X576" t="s">
        <v>204</v>
      </c>
      <c r="Y576">
        <v>988.03</v>
      </c>
      <c r="Z576">
        <v>0</v>
      </c>
      <c r="AA576">
        <v>1200.4100000000001</v>
      </c>
      <c r="AB576">
        <v>0</v>
      </c>
      <c r="AC576" s="49">
        <v>45153</v>
      </c>
      <c r="AD576" s="116" t="s">
        <v>10</v>
      </c>
      <c r="AE576" s="113" t="str" cm="1">
        <f t="array" ref="AE576">_xlfn.IFS(S576&lt;=Constantes!$G$2,"Muito Curta (evitável)",S576&lt;=Constantes!$H$2,"Curta Distância",S576&gt;Constantes!$H$2,"Longa Distância")</f>
        <v>Curta Distância</v>
      </c>
      <c r="AF576" s="114">
        <f>IFERROR(VLOOKUP(AE576,Constantes!$A$1:$E$5,MATCH(AD576,Constantes!$A$1:$E$1,0),0),"")</f>
        <v>0.18286935436241611</v>
      </c>
      <c r="AG576" s="115">
        <f t="shared" si="17"/>
        <v>313.33200750582682</v>
      </c>
    </row>
    <row r="577" spans="1:33" x14ac:dyDescent="0.3">
      <c r="A577">
        <f>COUNTIF($B$2:B577,B577)</f>
        <v>2</v>
      </c>
      <c r="B577">
        <v>19185584</v>
      </c>
      <c r="C577" t="s">
        <v>634</v>
      </c>
      <c r="D577" t="s">
        <v>591</v>
      </c>
      <c r="E577" t="s">
        <v>592</v>
      </c>
      <c r="F577" t="s">
        <v>198</v>
      </c>
      <c r="G577" t="s">
        <v>207</v>
      </c>
      <c r="H577" t="s">
        <v>204</v>
      </c>
      <c r="I577" s="49">
        <v>45242</v>
      </c>
      <c r="J577" s="49">
        <v>45244</v>
      </c>
      <c r="K577" t="s">
        <v>635</v>
      </c>
      <c r="L577" s="49">
        <v>45244</v>
      </c>
      <c r="M577" s="49">
        <v>45244</v>
      </c>
      <c r="N577" t="s">
        <v>110</v>
      </c>
      <c r="O577" t="s">
        <v>107</v>
      </c>
      <c r="P577">
        <f>VLOOKUP(N577,[1]ID_Cidades!$A$1:$E$5900,2,FALSE)</f>
        <v>295763</v>
      </c>
      <c r="Q577">
        <f>VLOOKUP(O577,[1]ID_Cidades!$A$1:$E$5900,2,FALSE)</f>
        <v>295765</v>
      </c>
      <c r="R577">
        <f t="shared" si="16"/>
        <v>87476343695</v>
      </c>
      <c r="S577" s="42">
        <f>VLOOKUP(R577,'[1]GCD base'!$A$1:$M$200,7,FALSE)</f>
        <v>1713.419991</v>
      </c>
      <c r="T577" t="s">
        <v>109</v>
      </c>
      <c r="U577" t="s">
        <v>201</v>
      </c>
      <c r="V577" t="s">
        <v>202</v>
      </c>
      <c r="W577" t="s">
        <v>203</v>
      </c>
      <c r="X577" t="s">
        <v>204</v>
      </c>
      <c r="Y577">
        <v>0</v>
      </c>
      <c r="Z577">
        <v>0</v>
      </c>
      <c r="AA577">
        <v>1663.89</v>
      </c>
      <c r="AB577">
        <v>0</v>
      </c>
      <c r="AC577" s="49">
        <v>45153</v>
      </c>
      <c r="AD577" s="116" t="s">
        <v>10</v>
      </c>
      <c r="AE577" s="113" t="str" cm="1">
        <f t="array" ref="AE577">_xlfn.IFS(S577&lt;=Constantes!$G$2,"Muito Curta (evitável)",S577&lt;=Constantes!$H$2,"Curta Distância",S577&gt;Constantes!$H$2,"Longa Distância")</f>
        <v>Curta Distância</v>
      </c>
      <c r="AF577" s="114">
        <f>IFERROR(VLOOKUP(AE577,Constantes!$A$1:$E$5,MATCH(AD577,Constantes!$A$1:$E$1,0),0),"")</f>
        <v>0.18286935436241611</v>
      </c>
      <c r="AG577" s="115">
        <f t="shared" si="17"/>
        <v>313.33200750582682</v>
      </c>
    </row>
    <row r="578" spans="1:33" x14ac:dyDescent="0.3">
      <c r="A578">
        <f>COUNTIF($B$2:B578,B578)</f>
        <v>1</v>
      </c>
      <c r="B578">
        <v>19212969</v>
      </c>
      <c r="C578" t="s">
        <v>710</v>
      </c>
      <c r="D578" t="s">
        <v>711</v>
      </c>
      <c r="E578" t="s">
        <v>712</v>
      </c>
      <c r="F578" t="s">
        <v>198</v>
      </c>
      <c r="G578" t="s">
        <v>207</v>
      </c>
      <c r="H578" t="s">
        <v>204</v>
      </c>
      <c r="I578" s="49">
        <v>45242</v>
      </c>
      <c r="J578" s="49">
        <v>45246</v>
      </c>
      <c r="K578" t="s">
        <v>713</v>
      </c>
      <c r="L578" s="49">
        <v>45246</v>
      </c>
      <c r="M578" s="49">
        <v>45246</v>
      </c>
      <c r="N578" t="s">
        <v>116</v>
      </c>
      <c r="O578" t="s">
        <v>107</v>
      </c>
      <c r="P578">
        <f>VLOOKUP(N578,[1]ID_Cidades!$A$1:$E$5900,2,FALSE)</f>
        <v>295778</v>
      </c>
      <c r="Q578">
        <f>VLOOKUP(O578,[1]ID_Cidades!$A$1:$E$5900,2,FALSE)</f>
        <v>295765</v>
      </c>
      <c r="R578">
        <f t="shared" ref="R578:R641" si="18">P578*Q578</f>
        <v>87480780170</v>
      </c>
      <c r="S578" s="42">
        <f>VLOOKUP(R578,'[1]GCD base'!$A$1:$M$200,7,FALSE)</f>
        <v>1961.5007860000001</v>
      </c>
      <c r="T578" t="s">
        <v>109</v>
      </c>
      <c r="U578" t="s">
        <v>201</v>
      </c>
      <c r="V578" t="s">
        <v>202</v>
      </c>
      <c r="W578" t="s">
        <v>203</v>
      </c>
      <c r="X578" t="s">
        <v>204</v>
      </c>
      <c r="Y578">
        <v>1720.4</v>
      </c>
      <c r="Z578">
        <v>0</v>
      </c>
      <c r="AA578">
        <v>906.7</v>
      </c>
      <c r="AB578">
        <v>0</v>
      </c>
      <c r="AC578" s="49">
        <v>45163</v>
      </c>
      <c r="AD578" s="116" t="s">
        <v>10</v>
      </c>
      <c r="AE578" s="113" t="str" cm="1">
        <f t="array" ref="AE578">_xlfn.IFS(S578&lt;=Constantes!$G$2,"Muito Curta (evitável)",S578&lt;=Constantes!$H$2,"Curta Distância",S578&gt;Constantes!$H$2,"Longa Distância")</f>
        <v>Curta Distância</v>
      </c>
      <c r="AF578" s="114">
        <f>IFERROR(VLOOKUP(AE578,Constantes!$A$1:$E$5,MATCH(AD578,Constantes!$A$1:$E$1,0),0),"")</f>
        <v>0.18286935436241611</v>
      </c>
      <c r="AG578" s="115">
        <f t="shared" si="17"/>
        <v>358.69838231719172</v>
      </c>
    </row>
    <row r="579" spans="1:33" x14ac:dyDescent="0.3">
      <c r="A579">
        <f>COUNTIF($B$2:B579,B579)</f>
        <v>2</v>
      </c>
      <c r="B579">
        <v>19212969</v>
      </c>
      <c r="C579" t="s">
        <v>710</v>
      </c>
      <c r="D579" t="s">
        <v>711</v>
      </c>
      <c r="E579" t="s">
        <v>712</v>
      </c>
      <c r="F579" t="s">
        <v>198</v>
      </c>
      <c r="G579" t="s">
        <v>207</v>
      </c>
      <c r="H579" t="s">
        <v>204</v>
      </c>
      <c r="I579" s="49">
        <v>45242</v>
      </c>
      <c r="J579" s="49">
        <v>45246</v>
      </c>
      <c r="K579" t="s">
        <v>713</v>
      </c>
      <c r="L579" s="49">
        <v>45242</v>
      </c>
      <c r="M579" s="49">
        <v>45246</v>
      </c>
      <c r="N579" t="s">
        <v>107</v>
      </c>
      <c r="O579" t="s">
        <v>116</v>
      </c>
      <c r="P579">
        <f>VLOOKUP(N579,[1]ID_Cidades!$A$1:$E$5900,2,FALSE)</f>
        <v>295765</v>
      </c>
      <c r="Q579">
        <f>VLOOKUP(O579,[1]ID_Cidades!$A$1:$E$5900,2,FALSE)</f>
        <v>295778</v>
      </c>
      <c r="R579">
        <f t="shared" si="18"/>
        <v>87480780170</v>
      </c>
      <c r="S579" s="42">
        <f>VLOOKUP(R579,'[1]GCD base'!$A$1:$M$200,7,FALSE)</f>
        <v>1961.5007860000001</v>
      </c>
      <c r="T579" t="s">
        <v>109</v>
      </c>
      <c r="U579" t="s">
        <v>205</v>
      </c>
      <c r="V579" t="s">
        <v>202</v>
      </c>
      <c r="W579" t="s">
        <v>203</v>
      </c>
      <c r="X579" t="s">
        <v>204</v>
      </c>
      <c r="Y579">
        <v>0</v>
      </c>
      <c r="Z579">
        <v>0</v>
      </c>
      <c r="AA579">
        <v>819.99</v>
      </c>
      <c r="AB579">
        <v>0</v>
      </c>
      <c r="AC579" s="49">
        <v>45163</v>
      </c>
      <c r="AD579" s="116" t="s">
        <v>10</v>
      </c>
      <c r="AE579" s="113" t="str" cm="1">
        <f t="array" ref="AE579">_xlfn.IFS(S579&lt;=Constantes!$G$2,"Muito Curta (evitável)",S579&lt;=Constantes!$H$2,"Curta Distância",S579&gt;Constantes!$H$2,"Longa Distância")</f>
        <v>Curta Distância</v>
      </c>
      <c r="AF579" s="114">
        <f>IFERROR(VLOOKUP(AE579,Constantes!$A$1:$E$5,MATCH(AD579,Constantes!$A$1:$E$1,0),0),"")</f>
        <v>0.18286935436241611</v>
      </c>
      <c r="AG579" s="115">
        <f t="shared" ref="AG579:AG642" si="19">AF579*S579</f>
        <v>358.69838231719172</v>
      </c>
    </row>
    <row r="580" spans="1:33" x14ac:dyDescent="0.3">
      <c r="A580">
        <f>COUNTIF($B$2:B580,B580)</f>
        <v>1</v>
      </c>
      <c r="B580">
        <v>19254569</v>
      </c>
      <c r="C580" t="s">
        <v>893</v>
      </c>
      <c r="D580" t="s">
        <v>894</v>
      </c>
      <c r="E580" t="s">
        <v>895</v>
      </c>
      <c r="F580" t="s">
        <v>198</v>
      </c>
      <c r="G580" t="s">
        <v>211</v>
      </c>
      <c r="H580" t="s">
        <v>211</v>
      </c>
      <c r="I580" s="49">
        <v>45242</v>
      </c>
      <c r="J580" s="49">
        <v>45255</v>
      </c>
      <c r="K580" t="s">
        <v>896</v>
      </c>
      <c r="L580" s="49">
        <v>45242</v>
      </c>
      <c r="M580" s="49">
        <v>45255</v>
      </c>
      <c r="N580" t="s">
        <v>897</v>
      </c>
      <c r="O580" t="s">
        <v>107</v>
      </c>
      <c r="P580">
        <f>VLOOKUP(N580,[1]ID_Cidades!$A$1:$E$5900,2,FALSE)</f>
        <v>301766</v>
      </c>
      <c r="Q580">
        <f>VLOOKUP(O580,[1]ID_Cidades!$A$1:$E$5900,2,FALSE)</f>
        <v>295765</v>
      </c>
      <c r="R580">
        <f t="shared" si="18"/>
        <v>89251820990</v>
      </c>
      <c r="S580" s="42">
        <f>VLOOKUP(R580,'[1]GCD base'!$A$1:$M$200,7,FALSE)</f>
        <v>1127.266077</v>
      </c>
      <c r="T580" t="s">
        <v>109</v>
      </c>
      <c r="U580" t="s">
        <v>205</v>
      </c>
      <c r="V580" t="s">
        <v>202</v>
      </c>
      <c r="W580" t="s">
        <v>203</v>
      </c>
      <c r="X580" t="s">
        <v>204</v>
      </c>
      <c r="Y580">
        <v>4429.58</v>
      </c>
      <c r="Z580">
        <v>0</v>
      </c>
      <c r="AA580">
        <v>870.79</v>
      </c>
      <c r="AB580">
        <v>0</v>
      </c>
      <c r="AC580" s="49">
        <v>45180</v>
      </c>
      <c r="AD580" s="116" t="s">
        <v>10</v>
      </c>
      <c r="AE580" s="113" t="str" cm="1">
        <f t="array" ref="AE580">_xlfn.IFS(S580&lt;=Constantes!$G$2,"Muito Curta (evitável)",S580&lt;=Constantes!$H$2,"Curta Distância",S580&gt;Constantes!$H$2,"Longa Distância")</f>
        <v>Curta Distância</v>
      </c>
      <c r="AF580" s="114">
        <f>IFERROR(VLOOKUP(AE580,Constantes!$A$1:$E$5,MATCH(AD580,Constantes!$A$1:$E$1,0),0),"")</f>
        <v>0.18286935436241611</v>
      </c>
      <c r="AG580" s="115">
        <f t="shared" si="19"/>
        <v>206.14241969564364</v>
      </c>
    </row>
    <row r="581" spans="1:33" x14ac:dyDescent="0.3">
      <c r="A581">
        <f>COUNTIF($B$2:B581,B581)</f>
        <v>2</v>
      </c>
      <c r="B581">
        <v>19254569</v>
      </c>
      <c r="C581" t="s">
        <v>893</v>
      </c>
      <c r="D581" t="s">
        <v>894</v>
      </c>
      <c r="E581" t="s">
        <v>895</v>
      </c>
      <c r="F581" t="s">
        <v>198</v>
      </c>
      <c r="G581" t="s">
        <v>211</v>
      </c>
      <c r="H581" t="s">
        <v>211</v>
      </c>
      <c r="I581" s="49">
        <v>45242</v>
      </c>
      <c r="J581" s="49">
        <v>45255</v>
      </c>
      <c r="K581" t="s">
        <v>896</v>
      </c>
      <c r="L581" s="49">
        <v>45255</v>
      </c>
      <c r="M581" s="49">
        <v>45255</v>
      </c>
      <c r="N581" t="s">
        <v>107</v>
      </c>
      <c r="O581" t="s">
        <v>897</v>
      </c>
      <c r="P581">
        <f>VLOOKUP(N581,[1]ID_Cidades!$A$1:$E$5900,2,FALSE)</f>
        <v>295765</v>
      </c>
      <c r="Q581">
        <f>VLOOKUP(O581,[1]ID_Cidades!$A$1:$E$5900,2,FALSE)</f>
        <v>301766</v>
      </c>
      <c r="R581">
        <f t="shared" si="18"/>
        <v>89251820990</v>
      </c>
      <c r="S581" s="42">
        <f>VLOOKUP(R581,'[1]GCD base'!$A$1:$M$200,7,FALSE)</f>
        <v>1127.266077</v>
      </c>
      <c r="T581" t="s">
        <v>109</v>
      </c>
      <c r="U581" t="s">
        <v>201</v>
      </c>
      <c r="V581" t="s">
        <v>202</v>
      </c>
      <c r="W581" t="s">
        <v>203</v>
      </c>
      <c r="X581" t="s">
        <v>204</v>
      </c>
      <c r="Y581">
        <v>0</v>
      </c>
      <c r="Z581">
        <v>0</v>
      </c>
      <c r="AA581">
        <v>1221.93</v>
      </c>
      <c r="AB581">
        <v>0</v>
      </c>
      <c r="AC581" s="49">
        <v>45180</v>
      </c>
      <c r="AD581" s="116" t="s">
        <v>10</v>
      </c>
      <c r="AE581" s="113" t="str" cm="1">
        <f t="array" ref="AE581">_xlfn.IFS(S581&lt;=Constantes!$G$2,"Muito Curta (evitável)",S581&lt;=Constantes!$H$2,"Curta Distância",S581&gt;Constantes!$H$2,"Longa Distância")</f>
        <v>Curta Distância</v>
      </c>
      <c r="AF581" s="114">
        <f>IFERROR(VLOOKUP(AE581,Constantes!$A$1:$E$5,MATCH(AD581,Constantes!$A$1:$E$1,0),0),"")</f>
        <v>0.18286935436241611</v>
      </c>
      <c r="AG581" s="115">
        <f t="shared" si="19"/>
        <v>206.14241969564364</v>
      </c>
    </row>
    <row r="582" spans="1:33" x14ac:dyDescent="0.3">
      <c r="A582">
        <f>COUNTIF($B$2:B582,B582)</f>
        <v>1</v>
      </c>
      <c r="B582">
        <v>19283835</v>
      </c>
      <c r="C582" t="s">
        <v>988</v>
      </c>
      <c r="D582" t="s">
        <v>517</v>
      </c>
      <c r="E582" t="s">
        <v>518</v>
      </c>
      <c r="F582" t="s">
        <v>198</v>
      </c>
      <c r="G582" t="s">
        <v>233</v>
      </c>
      <c r="H582" t="s">
        <v>233</v>
      </c>
      <c r="I582" s="49">
        <v>45242</v>
      </c>
      <c r="J582" s="49">
        <v>45245</v>
      </c>
      <c r="K582" t="s">
        <v>989</v>
      </c>
      <c r="L582" s="49">
        <v>45242</v>
      </c>
      <c r="M582" s="49">
        <v>45245</v>
      </c>
      <c r="N582" t="s">
        <v>107</v>
      </c>
      <c r="O582" t="s">
        <v>110</v>
      </c>
      <c r="P582">
        <f>VLOOKUP(N582,[1]ID_Cidades!$A$1:$E$5900,2,FALSE)</f>
        <v>295765</v>
      </c>
      <c r="Q582">
        <f>VLOOKUP(O582,[1]ID_Cidades!$A$1:$E$5900,2,FALSE)</f>
        <v>295763</v>
      </c>
      <c r="R582">
        <f t="shared" si="18"/>
        <v>87476343695</v>
      </c>
      <c r="S582" s="42">
        <f>VLOOKUP(R582,'[1]GCD base'!$A$1:$M$200,7,FALSE)</f>
        <v>1713.419991</v>
      </c>
      <c r="T582" t="s">
        <v>109</v>
      </c>
      <c r="U582" t="s">
        <v>205</v>
      </c>
      <c r="V582" t="s">
        <v>202</v>
      </c>
      <c r="W582" t="s">
        <v>203</v>
      </c>
      <c r="X582" t="s">
        <v>204</v>
      </c>
      <c r="Y582">
        <v>1369.17</v>
      </c>
      <c r="Z582">
        <v>0</v>
      </c>
      <c r="AA582">
        <v>1675.01</v>
      </c>
      <c r="AB582">
        <v>0</v>
      </c>
      <c r="AC582" s="49">
        <v>45198</v>
      </c>
      <c r="AD582" s="116" t="s">
        <v>10</v>
      </c>
      <c r="AE582" s="113" t="str" cm="1">
        <f t="array" ref="AE582">_xlfn.IFS(S582&lt;=Constantes!$G$2,"Muito Curta (evitável)",S582&lt;=Constantes!$H$2,"Curta Distância",S582&gt;Constantes!$H$2,"Longa Distância")</f>
        <v>Curta Distância</v>
      </c>
      <c r="AF582" s="114">
        <f>IFERROR(VLOOKUP(AE582,Constantes!$A$1:$E$5,MATCH(AD582,Constantes!$A$1:$E$1,0),0),"")</f>
        <v>0.18286935436241611</v>
      </c>
      <c r="AG582" s="115">
        <f t="shared" si="19"/>
        <v>313.33200750582682</v>
      </c>
    </row>
    <row r="583" spans="1:33" x14ac:dyDescent="0.3">
      <c r="A583">
        <f>COUNTIF($B$2:B583,B583)</f>
        <v>2</v>
      </c>
      <c r="B583">
        <v>19283835</v>
      </c>
      <c r="C583" t="s">
        <v>988</v>
      </c>
      <c r="D583" t="s">
        <v>517</v>
      </c>
      <c r="E583" t="s">
        <v>518</v>
      </c>
      <c r="F583" t="s">
        <v>198</v>
      </c>
      <c r="G583" t="s">
        <v>233</v>
      </c>
      <c r="H583" t="s">
        <v>233</v>
      </c>
      <c r="I583" s="49">
        <v>45242</v>
      </c>
      <c r="J583" s="49">
        <v>45245</v>
      </c>
      <c r="K583" t="s">
        <v>989</v>
      </c>
      <c r="L583" s="49">
        <v>45245</v>
      </c>
      <c r="M583" s="49">
        <v>45245</v>
      </c>
      <c r="N583" t="s">
        <v>110</v>
      </c>
      <c r="O583" t="s">
        <v>107</v>
      </c>
      <c r="P583">
        <f>VLOOKUP(N583,[1]ID_Cidades!$A$1:$E$5900,2,FALSE)</f>
        <v>295763</v>
      </c>
      <c r="Q583">
        <f>VLOOKUP(O583,[1]ID_Cidades!$A$1:$E$5900,2,FALSE)</f>
        <v>295765</v>
      </c>
      <c r="R583">
        <f t="shared" si="18"/>
        <v>87476343695</v>
      </c>
      <c r="S583" s="42">
        <f>VLOOKUP(R583,'[1]GCD base'!$A$1:$M$200,7,FALSE)</f>
        <v>1713.419991</v>
      </c>
      <c r="T583" t="s">
        <v>109</v>
      </c>
      <c r="U583" t="s">
        <v>201</v>
      </c>
      <c r="V583" t="s">
        <v>202</v>
      </c>
      <c r="W583" t="s">
        <v>203</v>
      </c>
      <c r="X583" t="s">
        <v>204</v>
      </c>
      <c r="Y583">
        <v>0</v>
      </c>
      <c r="Z583">
        <v>0</v>
      </c>
      <c r="AA583">
        <v>927.89</v>
      </c>
      <c r="AB583">
        <v>0</v>
      </c>
      <c r="AC583" s="49">
        <v>45198</v>
      </c>
      <c r="AD583" s="116" t="s">
        <v>10</v>
      </c>
      <c r="AE583" s="113" t="str" cm="1">
        <f t="array" ref="AE583">_xlfn.IFS(S583&lt;=Constantes!$G$2,"Muito Curta (evitável)",S583&lt;=Constantes!$H$2,"Curta Distância",S583&gt;Constantes!$H$2,"Longa Distância")</f>
        <v>Curta Distância</v>
      </c>
      <c r="AF583" s="114">
        <f>IFERROR(VLOOKUP(AE583,Constantes!$A$1:$E$5,MATCH(AD583,Constantes!$A$1:$E$1,0),0),"")</f>
        <v>0.18286935436241611</v>
      </c>
      <c r="AG583" s="115">
        <f t="shared" si="19"/>
        <v>313.33200750582682</v>
      </c>
    </row>
    <row r="584" spans="1:33" x14ac:dyDescent="0.3">
      <c r="A584">
        <f>COUNTIF($B$2:B584,B584)</f>
        <v>1</v>
      </c>
      <c r="B584">
        <v>19332583</v>
      </c>
      <c r="C584" t="s">
        <v>1253</v>
      </c>
      <c r="D584" t="s">
        <v>1254</v>
      </c>
      <c r="E584" t="s">
        <v>1255</v>
      </c>
      <c r="F584" t="s">
        <v>198</v>
      </c>
      <c r="G584" t="s">
        <v>233</v>
      </c>
      <c r="H584" t="s">
        <v>233</v>
      </c>
      <c r="I584" s="49">
        <v>45242</v>
      </c>
      <c r="J584" s="49">
        <v>45245</v>
      </c>
      <c r="K584" t="s">
        <v>1256</v>
      </c>
      <c r="L584" s="49">
        <v>45242</v>
      </c>
      <c r="M584" s="49">
        <v>45245</v>
      </c>
      <c r="N584" t="s">
        <v>107</v>
      </c>
      <c r="O584" t="s">
        <v>110</v>
      </c>
      <c r="P584">
        <f>VLOOKUP(N584,[1]ID_Cidades!$A$1:$E$5900,2,FALSE)</f>
        <v>295765</v>
      </c>
      <c r="Q584">
        <f>VLOOKUP(O584,[1]ID_Cidades!$A$1:$E$5900,2,FALSE)</f>
        <v>295763</v>
      </c>
      <c r="R584">
        <f t="shared" si="18"/>
        <v>87476343695</v>
      </c>
      <c r="S584" s="42">
        <f>VLOOKUP(R584,'[1]GCD base'!$A$1:$M$200,7,FALSE)</f>
        <v>1713.419991</v>
      </c>
      <c r="T584" t="s">
        <v>109</v>
      </c>
      <c r="U584" t="s">
        <v>205</v>
      </c>
      <c r="V584" t="s">
        <v>202</v>
      </c>
      <c r="W584" t="s">
        <v>203</v>
      </c>
      <c r="X584" t="s">
        <v>204</v>
      </c>
      <c r="Y584">
        <v>1369.17</v>
      </c>
      <c r="Z584">
        <v>0</v>
      </c>
      <c r="AA584">
        <v>1630.01</v>
      </c>
      <c r="AB584">
        <v>0</v>
      </c>
      <c r="AC584" s="49">
        <v>45210</v>
      </c>
      <c r="AD584" s="116" t="s">
        <v>10</v>
      </c>
      <c r="AE584" s="113" t="str" cm="1">
        <f t="array" ref="AE584">_xlfn.IFS(S584&lt;=Constantes!$G$2,"Muito Curta (evitável)",S584&lt;=Constantes!$H$2,"Curta Distância",S584&gt;Constantes!$H$2,"Longa Distância")</f>
        <v>Curta Distância</v>
      </c>
      <c r="AF584" s="114">
        <f>IFERROR(VLOOKUP(AE584,Constantes!$A$1:$E$5,MATCH(AD584,Constantes!$A$1:$E$1,0),0),"")</f>
        <v>0.18286935436241611</v>
      </c>
      <c r="AG584" s="115">
        <f t="shared" si="19"/>
        <v>313.33200750582682</v>
      </c>
    </row>
    <row r="585" spans="1:33" x14ac:dyDescent="0.3">
      <c r="A585">
        <f>COUNTIF($B$2:B585,B585)</f>
        <v>2</v>
      </c>
      <c r="B585">
        <v>19332583</v>
      </c>
      <c r="C585" t="s">
        <v>1253</v>
      </c>
      <c r="D585" t="s">
        <v>1254</v>
      </c>
      <c r="E585" t="s">
        <v>1255</v>
      </c>
      <c r="F585" t="s">
        <v>198</v>
      </c>
      <c r="G585" t="s">
        <v>233</v>
      </c>
      <c r="H585" t="s">
        <v>233</v>
      </c>
      <c r="I585" s="49">
        <v>45242</v>
      </c>
      <c r="J585" s="49">
        <v>45245</v>
      </c>
      <c r="K585" t="s">
        <v>1256</v>
      </c>
      <c r="L585" s="49">
        <v>45245</v>
      </c>
      <c r="M585" s="49">
        <v>45245</v>
      </c>
      <c r="N585" t="s">
        <v>110</v>
      </c>
      <c r="O585" t="s">
        <v>107</v>
      </c>
      <c r="P585">
        <f>VLOOKUP(N585,[1]ID_Cidades!$A$1:$E$5900,2,FALSE)</f>
        <v>295763</v>
      </c>
      <c r="Q585">
        <f>VLOOKUP(O585,[1]ID_Cidades!$A$1:$E$5900,2,FALSE)</f>
        <v>295765</v>
      </c>
      <c r="R585">
        <f t="shared" si="18"/>
        <v>87476343695</v>
      </c>
      <c r="S585" s="42">
        <f>VLOOKUP(R585,'[1]GCD base'!$A$1:$M$200,7,FALSE)</f>
        <v>1713.419991</v>
      </c>
      <c r="T585" t="s">
        <v>109</v>
      </c>
      <c r="U585" t="s">
        <v>201</v>
      </c>
      <c r="V585" t="s">
        <v>202</v>
      </c>
      <c r="W585" t="s">
        <v>203</v>
      </c>
      <c r="X585" t="s">
        <v>204</v>
      </c>
      <c r="Y585">
        <v>0</v>
      </c>
      <c r="Z585">
        <v>0</v>
      </c>
      <c r="AA585">
        <v>795.89</v>
      </c>
      <c r="AB585">
        <v>0</v>
      </c>
      <c r="AC585" s="49">
        <v>45210</v>
      </c>
      <c r="AD585" s="116" t="s">
        <v>10</v>
      </c>
      <c r="AE585" s="113" t="str" cm="1">
        <f t="array" ref="AE585">_xlfn.IFS(S585&lt;=Constantes!$G$2,"Muito Curta (evitável)",S585&lt;=Constantes!$H$2,"Curta Distância",S585&gt;Constantes!$H$2,"Longa Distância")</f>
        <v>Curta Distância</v>
      </c>
      <c r="AF585" s="114">
        <f>IFERROR(VLOOKUP(AE585,Constantes!$A$1:$E$5,MATCH(AD585,Constantes!$A$1:$E$1,0),0),"")</f>
        <v>0.18286935436241611</v>
      </c>
      <c r="AG585" s="115">
        <f t="shared" si="19"/>
        <v>313.33200750582682</v>
      </c>
    </row>
    <row r="586" spans="1:33" x14ac:dyDescent="0.3">
      <c r="A586">
        <f>COUNTIF($B$2:B586,B586)</f>
        <v>1</v>
      </c>
      <c r="B586">
        <v>19338561</v>
      </c>
      <c r="C586" t="s">
        <v>1257</v>
      </c>
      <c r="D586" t="s">
        <v>1258</v>
      </c>
      <c r="E586" t="s">
        <v>1259</v>
      </c>
      <c r="F586" t="s">
        <v>198</v>
      </c>
      <c r="G586" t="s">
        <v>233</v>
      </c>
      <c r="H586" t="s">
        <v>233</v>
      </c>
      <c r="I586" s="49">
        <v>45242</v>
      </c>
      <c r="J586" s="49">
        <v>45244</v>
      </c>
      <c r="K586" t="s">
        <v>1260</v>
      </c>
      <c r="L586" s="49">
        <v>45244</v>
      </c>
      <c r="M586" s="49">
        <v>45244</v>
      </c>
      <c r="N586" t="s">
        <v>110</v>
      </c>
      <c r="O586" t="s">
        <v>107</v>
      </c>
      <c r="P586">
        <f>VLOOKUP(N586,[1]ID_Cidades!$A$1:$E$5900,2,FALSE)</f>
        <v>295763</v>
      </c>
      <c r="Q586">
        <f>VLOOKUP(O586,[1]ID_Cidades!$A$1:$E$5900,2,FALSE)</f>
        <v>295765</v>
      </c>
      <c r="R586">
        <f t="shared" si="18"/>
        <v>87476343695</v>
      </c>
      <c r="S586" s="42">
        <f>VLOOKUP(R586,'[1]GCD base'!$A$1:$M$200,7,FALSE)</f>
        <v>1713.419991</v>
      </c>
      <c r="T586" t="s">
        <v>109</v>
      </c>
      <c r="U586" t="s">
        <v>201</v>
      </c>
      <c r="V586" t="s">
        <v>202</v>
      </c>
      <c r="W586" t="s">
        <v>203</v>
      </c>
      <c r="X586" t="s">
        <v>204</v>
      </c>
      <c r="Y586">
        <v>988.03</v>
      </c>
      <c r="Z586">
        <v>0</v>
      </c>
      <c r="AA586">
        <v>1189.4100000000001</v>
      </c>
      <c r="AB586">
        <v>0</v>
      </c>
      <c r="AC586" s="49">
        <v>45202</v>
      </c>
      <c r="AD586" s="116" t="s">
        <v>10</v>
      </c>
      <c r="AE586" s="113" t="str" cm="1">
        <f t="array" ref="AE586">_xlfn.IFS(S586&lt;=Constantes!$G$2,"Muito Curta (evitável)",S586&lt;=Constantes!$H$2,"Curta Distância",S586&gt;Constantes!$H$2,"Longa Distância")</f>
        <v>Curta Distância</v>
      </c>
      <c r="AF586" s="114">
        <f>IFERROR(VLOOKUP(AE586,Constantes!$A$1:$E$5,MATCH(AD586,Constantes!$A$1:$E$1,0),0),"")</f>
        <v>0.18286935436241611</v>
      </c>
      <c r="AG586" s="115">
        <f t="shared" si="19"/>
        <v>313.33200750582682</v>
      </c>
    </row>
    <row r="587" spans="1:33" x14ac:dyDescent="0.3">
      <c r="A587">
        <f>COUNTIF($B$2:B587,B587)</f>
        <v>2</v>
      </c>
      <c r="B587">
        <v>19338561</v>
      </c>
      <c r="C587" t="s">
        <v>1257</v>
      </c>
      <c r="D587" t="s">
        <v>1258</v>
      </c>
      <c r="E587" t="s">
        <v>1259</v>
      </c>
      <c r="F587" t="s">
        <v>198</v>
      </c>
      <c r="G587" t="s">
        <v>233</v>
      </c>
      <c r="H587" t="s">
        <v>233</v>
      </c>
      <c r="I587" s="49">
        <v>45242</v>
      </c>
      <c r="J587" s="49">
        <v>45244</v>
      </c>
      <c r="K587" t="s">
        <v>1260</v>
      </c>
      <c r="L587" s="49">
        <v>45242</v>
      </c>
      <c r="M587" s="49">
        <v>45244</v>
      </c>
      <c r="N587" t="s">
        <v>107</v>
      </c>
      <c r="O587" t="s">
        <v>110</v>
      </c>
      <c r="P587">
        <f>VLOOKUP(N587,[1]ID_Cidades!$A$1:$E$5900,2,FALSE)</f>
        <v>295765</v>
      </c>
      <c r="Q587">
        <f>VLOOKUP(O587,[1]ID_Cidades!$A$1:$E$5900,2,FALSE)</f>
        <v>295763</v>
      </c>
      <c r="R587">
        <f t="shared" si="18"/>
        <v>87476343695</v>
      </c>
      <c r="S587" s="42">
        <f>VLOOKUP(R587,'[1]GCD base'!$A$1:$M$200,7,FALSE)</f>
        <v>1713.419991</v>
      </c>
      <c r="T587" t="s">
        <v>109</v>
      </c>
      <c r="U587" t="s">
        <v>205</v>
      </c>
      <c r="V587" t="s">
        <v>202</v>
      </c>
      <c r="W587" t="s">
        <v>203</v>
      </c>
      <c r="X587" t="s">
        <v>204</v>
      </c>
      <c r="Y587">
        <v>0</v>
      </c>
      <c r="Z587">
        <v>0</v>
      </c>
      <c r="AA587">
        <v>927.89</v>
      </c>
      <c r="AB587">
        <v>0</v>
      </c>
      <c r="AC587" s="49">
        <v>45202</v>
      </c>
      <c r="AD587" s="116" t="s">
        <v>10</v>
      </c>
      <c r="AE587" s="113" t="str" cm="1">
        <f t="array" ref="AE587">_xlfn.IFS(S587&lt;=Constantes!$G$2,"Muito Curta (evitável)",S587&lt;=Constantes!$H$2,"Curta Distância",S587&gt;Constantes!$H$2,"Longa Distância")</f>
        <v>Curta Distância</v>
      </c>
      <c r="AF587" s="114">
        <f>IFERROR(VLOOKUP(AE587,Constantes!$A$1:$E$5,MATCH(AD587,Constantes!$A$1:$E$1,0),0),"")</f>
        <v>0.18286935436241611</v>
      </c>
      <c r="AG587" s="115">
        <f t="shared" si="19"/>
        <v>313.33200750582682</v>
      </c>
    </row>
    <row r="588" spans="1:33" x14ac:dyDescent="0.3">
      <c r="A588">
        <f>COUNTIF($B$2:B588,B588)</f>
        <v>1</v>
      </c>
      <c r="B588">
        <v>19377521</v>
      </c>
      <c r="C588" t="s">
        <v>1416</v>
      </c>
      <c r="D588" t="s">
        <v>1417</v>
      </c>
      <c r="E588" t="s">
        <v>1418</v>
      </c>
      <c r="F588" t="s">
        <v>198</v>
      </c>
      <c r="G588" t="s">
        <v>207</v>
      </c>
      <c r="H588" t="s">
        <v>204</v>
      </c>
      <c r="I588" s="49">
        <v>45242</v>
      </c>
      <c r="J588" s="49">
        <v>45255</v>
      </c>
      <c r="K588" t="s">
        <v>1419</v>
      </c>
      <c r="L588" s="49">
        <v>45255</v>
      </c>
      <c r="M588" s="49">
        <v>45255</v>
      </c>
      <c r="N588" t="s">
        <v>107</v>
      </c>
      <c r="O588" t="s">
        <v>496</v>
      </c>
      <c r="P588">
        <f>VLOOKUP(N588,[1]ID_Cidades!$A$1:$E$5900,2,FALSE)</f>
        <v>295765</v>
      </c>
      <c r="Q588">
        <f>VLOOKUP(O588,[1]ID_Cidades!$A$1:$E$5900,2,FALSE)</f>
        <v>295769</v>
      </c>
      <c r="R588">
        <f t="shared" si="18"/>
        <v>87478118285</v>
      </c>
      <c r="S588" s="42">
        <f>VLOOKUP(R588,'[1]GCD base'!$A$1:$M$200,7,FALSE)</f>
        <v>486.73466200000001</v>
      </c>
      <c r="T588" t="s">
        <v>109</v>
      </c>
      <c r="U588" t="s">
        <v>201</v>
      </c>
      <c r="V588" t="s">
        <v>202</v>
      </c>
      <c r="W588" t="s">
        <v>203</v>
      </c>
      <c r="X588" t="s">
        <v>204</v>
      </c>
      <c r="Y588">
        <v>4429.58</v>
      </c>
      <c r="Z588">
        <v>0</v>
      </c>
      <c r="AA588">
        <v>779.27</v>
      </c>
      <c r="AB588">
        <v>0</v>
      </c>
      <c r="AC588" s="49">
        <v>45209</v>
      </c>
      <c r="AD588" s="116" t="s">
        <v>10</v>
      </c>
      <c r="AE588" s="113" t="str" cm="1">
        <f t="array" ref="AE588">_xlfn.IFS(S588&lt;=Constantes!$G$2,"Muito Curta (evitável)",S588&lt;=Constantes!$H$2,"Curta Distância",S588&gt;Constantes!$H$2,"Longa Distância")</f>
        <v>Muito Curta (evitável)</v>
      </c>
      <c r="AF588" s="114">
        <f>IFERROR(VLOOKUP(AE588,Constantes!$A$1:$E$5,MATCH(AD588,Constantes!$A$1:$E$1,0),0),"")</f>
        <v>0.27257678523489931</v>
      </c>
      <c r="AG588" s="115">
        <f t="shared" si="19"/>
        <v>132.67256943035531</v>
      </c>
    </row>
    <row r="589" spans="1:33" x14ac:dyDescent="0.3">
      <c r="A589">
        <f>COUNTIF($B$2:B589,B589)</f>
        <v>2</v>
      </c>
      <c r="B589">
        <v>19377521</v>
      </c>
      <c r="C589" t="s">
        <v>1416</v>
      </c>
      <c r="D589" t="s">
        <v>1417</v>
      </c>
      <c r="E589" t="s">
        <v>1418</v>
      </c>
      <c r="F589" t="s">
        <v>198</v>
      </c>
      <c r="G589" t="s">
        <v>207</v>
      </c>
      <c r="H589" t="s">
        <v>204</v>
      </c>
      <c r="I589" s="49">
        <v>45242</v>
      </c>
      <c r="J589" s="49">
        <v>45255</v>
      </c>
      <c r="K589" t="s">
        <v>1419</v>
      </c>
      <c r="L589" s="49">
        <v>45242</v>
      </c>
      <c r="M589" s="49">
        <v>45255</v>
      </c>
      <c r="N589" t="s">
        <v>496</v>
      </c>
      <c r="O589" t="s">
        <v>107</v>
      </c>
      <c r="P589">
        <f>VLOOKUP(N589,[1]ID_Cidades!$A$1:$E$5900,2,FALSE)</f>
        <v>295769</v>
      </c>
      <c r="Q589">
        <f>VLOOKUP(O589,[1]ID_Cidades!$A$1:$E$5900,2,FALSE)</f>
        <v>295765</v>
      </c>
      <c r="R589">
        <f t="shared" si="18"/>
        <v>87478118285</v>
      </c>
      <c r="S589" s="42">
        <f>VLOOKUP(R589,'[1]GCD base'!$A$1:$M$200,7,FALSE)</f>
        <v>486.73466200000001</v>
      </c>
      <c r="T589" t="s">
        <v>109</v>
      </c>
      <c r="U589" t="s">
        <v>205</v>
      </c>
      <c r="V589" t="s">
        <v>202</v>
      </c>
      <c r="W589" t="s">
        <v>203</v>
      </c>
      <c r="X589" t="s">
        <v>204</v>
      </c>
      <c r="Y589">
        <v>0</v>
      </c>
      <c r="Z589">
        <v>0</v>
      </c>
      <c r="AA589">
        <v>841.89</v>
      </c>
      <c r="AB589">
        <v>0</v>
      </c>
      <c r="AC589" s="49">
        <v>45209</v>
      </c>
      <c r="AD589" s="116" t="s">
        <v>10</v>
      </c>
      <c r="AE589" s="113" t="str" cm="1">
        <f t="array" ref="AE589">_xlfn.IFS(S589&lt;=Constantes!$G$2,"Muito Curta (evitável)",S589&lt;=Constantes!$H$2,"Curta Distância",S589&gt;Constantes!$H$2,"Longa Distância")</f>
        <v>Muito Curta (evitável)</v>
      </c>
      <c r="AF589" s="114">
        <f>IFERROR(VLOOKUP(AE589,Constantes!$A$1:$E$5,MATCH(AD589,Constantes!$A$1:$E$1,0),0),"")</f>
        <v>0.27257678523489931</v>
      </c>
      <c r="AG589" s="115">
        <f t="shared" si="19"/>
        <v>132.67256943035531</v>
      </c>
    </row>
    <row r="590" spans="1:33" x14ac:dyDescent="0.3">
      <c r="A590">
        <f>COUNTIF($B$2:B590,B590)</f>
        <v>1</v>
      </c>
      <c r="B590">
        <v>19261039</v>
      </c>
      <c r="C590" t="s">
        <v>907</v>
      </c>
      <c r="D590" t="s">
        <v>908</v>
      </c>
      <c r="E590" t="s">
        <v>909</v>
      </c>
      <c r="F590" t="s">
        <v>198</v>
      </c>
      <c r="G590" t="s">
        <v>207</v>
      </c>
      <c r="H590" t="s">
        <v>204</v>
      </c>
      <c r="I590" s="49">
        <v>45243</v>
      </c>
      <c r="J590" s="49">
        <v>45255</v>
      </c>
      <c r="K590" t="s">
        <v>910</v>
      </c>
      <c r="L590" s="49">
        <v>45243</v>
      </c>
      <c r="M590" s="49">
        <v>45255</v>
      </c>
      <c r="N590" t="s">
        <v>116</v>
      </c>
      <c r="O590" t="s">
        <v>107</v>
      </c>
      <c r="P590">
        <f>VLOOKUP(N590,[1]ID_Cidades!$A$1:$E$5900,2,FALSE)</f>
        <v>295778</v>
      </c>
      <c r="Q590">
        <f>VLOOKUP(O590,[1]ID_Cidades!$A$1:$E$5900,2,FALSE)</f>
        <v>295765</v>
      </c>
      <c r="R590">
        <f t="shared" si="18"/>
        <v>87480780170</v>
      </c>
      <c r="S590" s="42">
        <f>VLOOKUP(R590,'[1]GCD base'!$A$1:$M$200,7,FALSE)</f>
        <v>1961.5007860000001</v>
      </c>
      <c r="T590" t="s">
        <v>109</v>
      </c>
      <c r="U590" t="s">
        <v>205</v>
      </c>
      <c r="V590" t="s">
        <v>202</v>
      </c>
      <c r="W590" t="s">
        <v>203</v>
      </c>
      <c r="X590" t="s">
        <v>204</v>
      </c>
      <c r="Y590">
        <v>4088.56</v>
      </c>
      <c r="Z590">
        <v>0</v>
      </c>
      <c r="AA590">
        <v>899.49</v>
      </c>
      <c r="AB590">
        <v>0</v>
      </c>
      <c r="AC590" s="49">
        <v>45175</v>
      </c>
      <c r="AD590" s="116" t="s">
        <v>10</v>
      </c>
      <c r="AE590" s="113" t="str" cm="1">
        <f t="array" ref="AE590">_xlfn.IFS(S590&lt;=Constantes!$G$2,"Muito Curta (evitável)",S590&lt;=Constantes!$H$2,"Curta Distância",S590&gt;Constantes!$H$2,"Longa Distância")</f>
        <v>Curta Distância</v>
      </c>
      <c r="AF590" s="114">
        <f>IFERROR(VLOOKUP(AE590,Constantes!$A$1:$E$5,MATCH(AD590,Constantes!$A$1:$E$1,0),0),"")</f>
        <v>0.18286935436241611</v>
      </c>
      <c r="AG590" s="115">
        <f t="shared" si="19"/>
        <v>358.69838231719172</v>
      </c>
    </row>
    <row r="591" spans="1:33" x14ac:dyDescent="0.3">
      <c r="A591">
        <f>COUNTIF($B$2:B591,B591)</f>
        <v>2</v>
      </c>
      <c r="B591">
        <v>19261039</v>
      </c>
      <c r="C591" t="s">
        <v>907</v>
      </c>
      <c r="D591" t="s">
        <v>908</v>
      </c>
      <c r="E591" t="s">
        <v>909</v>
      </c>
      <c r="F591" t="s">
        <v>198</v>
      </c>
      <c r="G591" t="s">
        <v>207</v>
      </c>
      <c r="H591" t="s">
        <v>204</v>
      </c>
      <c r="I591" s="49">
        <v>45243</v>
      </c>
      <c r="J591" s="49">
        <v>45255</v>
      </c>
      <c r="K591" t="s">
        <v>910</v>
      </c>
      <c r="L591" s="49">
        <v>45255</v>
      </c>
      <c r="M591" s="49">
        <v>45255</v>
      </c>
      <c r="N591" t="s">
        <v>107</v>
      </c>
      <c r="O591" t="s">
        <v>116</v>
      </c>
      <c r="P591">
        <f>VLOOKUP(N591,[1]ID_Cidades!$A$1:$E$5900,2,FALSE)</f>
        <v>295765</v>
      </c>
      <c r="Q591">
        <f>VLOOKUP(O591,[1]ID_Cidades!$A$1:$E$5900,2,FALSE)</f>
        <v>295778</v>
      </c>
      <c r="R591">
        <f t="shared" si="18"/>
        <v>87480780170</v>
      </c>
      <c r="S591" s="42">
        <f>VLOOKUP(R591,'[1]GCD base'!$A$1:$M$200,7,FALSE)</f>
        <v>1961.5007860000001</v>
      </c>
      <c r="T591" t="s">
        <v>109</v>
      </c>
      <c r="U591" t="s">
        <v>201</v>
      </c>
      <c r="V591" t="s">
        <v>202</v>
      </c>
      <c r="W591" t="s">
        <v>203</v>
      </c>
      <c r="X591" t="s">
        <v>204</v>
      </c>
      <c r="Y591">
        <v>0</v>
      </c>
      <c r="Z591">
        <v>0</v>
      </c>
      <c r="AA591">
        <v>1011</v>
      </c>
      <c r="AB591">
        <v>0</v>
      </c>
      <c r="AC591" s="49">
        <v>45175</v>
      </c>
      <c r="AD591" s="116" t="s">
        <v>10</v>
      </c>
      <c r="AE591" s="113" t="str" cm="1">
        <f t="array" ref="AE591">_xlfn.IFS(S591&lt;=Constantes!$G$2,"Muito Curta (evitável)",S591&lt;=Constantes!$H$2,"Curta Distância",S591&gt;Constantes!$H$2,"Longa Distância")</f>
        <v>Curta Distância</v>
      </c>
      <c r="AF591" s="114">
        <f>IFERROR(VLOOKUP(AE591,Constantes!$A$1:$E$5,MATCH(AD591,Constantes!$A$1:$E$1,0),0),"")</f>
        <v>0.18286935436241611</v>
      </c>
      <c r="AG591" s="115">
        <f t="shared" si="19"/>
        <v>358.69838231719172</v>
      </c>
    </row>
    <row r="592" spans="1:33" x14ac:dyDescent="0.3">
      <c r="A592">
        <f>COUNTIF($B$2:B592,B592)</f>
        <v>1</v>
      </c>
      <c r="B592">
        <v>19241806</v>
      </c>
      <c r="C592" t="s">
        <v>806</v>
      </c>
      <c r="D592" t="s">
        <v>807</v>
      </c>
      <c r="E592" t="s">
        <v>808</v>
      </c>
      <c r="F592" t="s">
        <v>198</v>
      </c>
      <c r="G592" t="s">
        <v>207</v>
      </c>
      <c r="H592" t="s">
        <v>204</v>
      </c>
      <c r="I592" s="49">
        <v>45244</v>
      </c>
      <c r="J592" s="49">
        <v>45249</v>
      </c>
      <c r="K592" t="s">
        <v>809</v>
      </c>
      <c r="L592" s="49">
        <v>45244</v>
      </c>
      <c r="M592" s="49">
        <v>45245</v>
      </c>
      <c r="N592" t="s">
        <v>107</v>
      </c>
      <c r="O592" t="s">
        <v>126</v>
      </c>
      <c r="P592">
        <f>VLOOKUP(N592,[1]ID_Cidades!$A$1:$E$5900,2,FALSE)</f>
        <v>295765</v>
      </c>
      <c r="Q592">
        <f>VLOOKUP(O592,[1]ID_Cidades!$A$1:$E$5900,2,FALSE)</f>
        <v>303652</v>
      </c>
      <c r="R592">
        <f t="shared" si="18"/>
        <v>89809633780</v>
      </c>
      <c r="S592" s="42">
        <f>VLOOKUP(R592,'[1]GCD base'!$A$1:$M$200,7,FALSE)</f>
        <v>2193.8649999999998</v>
      </c>
      <c r="T592" t="s">
        <v>109</v>
      </c>
      <c r="U592" t="s">
        <v>205</v>
      </c>
      <c r="V592" t="s">
        <v>202</v>
      </c>
      <c r="W592" t="s">
        <v>203</v>
      </c>
      <c r="X592" t="s">
        <v>204</v>
      </c>
      <c r="Y592">
        <v>1660.22</v>
      </c>
      <c r="Z592">
        <v>0</v>
      </c>
      <c r="AA592">
        <v>683.19</v>
      </c>
      <c r="AB592">
        <v>0</v>
      </c>
      <c r="AC592" s="49">
        <v>45191</v>
      </c>
      <c r="AD592" s="116" t="s">
        <v>10</v>
      </c>
      <c r="AE592" s="113" t="str" cm="1">
        <f t="array" ref="AE592">_xlfn.IFS(S592&lt;=Constantes!$G$2,"Muito Curta (evitável)",S592&lt;=Constantes!$H$2,"Curta Distância",S592&gt;Constantes!$H$2,"Longa Distância")</f>
        <v>Curta Distância</v>
      </c>
      <c r="AF592" s="114">
        <f>IFERROR(VLOOKUP(AE592,Constantes!$A$1:$E$5,MATCH(AD592,Constantes!$A$1:$E$1,0),0),"")</f>
        <v>0.18286935436241611</v>
      </c>
      <c r="AG592" s="115">
        <f t="shared" si="19"/>
        <v>401.190676108302</v>
      </c>
    </row>
    <row r="593" spans="1:33" x14ac:dyDescent="0.3">
      <c r="A593">
        <f>COUNTIF($B$2:B593,B593)</f>
        <v>2</v>
      </c>
      <c r="B593">
        <v>19241806</v>
      </c>
      <c r="C593" t="s">
        <v>806</v>
      </c>
      <c r="D593" t="s">
        <v>807</v>
      </c>
      <c r="E593" t="s">
        <v>808</v>
      </c>
      <c r="F593" t="s">
        <v>198</v>
      </c>
      <c r="G593" t="s">
        <v>207</v>
      </c>
      <c r="H593" t="s">
        <v>204</v>
      </c>
      <c r="I593" s="49">
        <v>45244</v>
      </c>
      <c r="J593" s="49">
        <v>45249</v>
      </c>
      <c r="K593" t="s">
        <v>809</v>
      </c>
      <c r="L593" s="49">
        <v>45249</v>
      </c>
      <c r="M593" s="49">
        <v>45249</v>
      </c>
      <c r="N593" t="s">
        <v>126</v>
      </c>
      <c r="O593" t="s">
        <v>107</v>
      </c>
      <c r="P593">
        <f>VLOOKUP(N593,[1]ID_Cidades!$A$1:$E$5900,2,FALSE)</f>
        <v>303652</v>
      </c>
      <c r="Q593">
        <f>VLOOKUP(O593,[1]ID_Cidades!$A$1:$E$5900,2,FALSE)</f>
        <v>295765</v>
      </c>
      <c r="R593">
        <f t="shared" si="18"/>
        <v>89809633780</v>
      </c>
      <c r="S593" s="42">
        <f>VLOOKUP(R593,'[1]GCD base'!$A$1:$M$200,7,FALSE)</f>
        <v>2193.8649999999998</v>
      </c>
      <c r="T593" t="s">
        <v>109</v>
      </c>
      <c r="U593" t="s">
        <v>201</v>
      </c>
      <c r="V593" t="s">
        <v>202</v>
      </c>
      <c r="W593" t="s">
        <v>203</v>
      </c>
      <c r="X593" t="s">
        <v>204</v>
      </c>
      <c r="Y593">
        <v>0</v>
      </c>
      <c r="Z593">
        <v>0</v>
      </c>
      <c r="AA593">
        <v>1256.3499999999999</v>
      </c>
      <c r="AB593">
        <v>0</v>
      </c>
      <c r="AC593" s="49">
        <v>45191</v>
      </c>
      <c r="AD593" s="116" t="s">
        <v>10</v>
      </c>
      <c r="AE593" s="113" t="str" cm="1">
        <f t="array" ref="AE593">_xlfn.IFS(S593&lt;=Constantes!$G$2,"Muito Curta (evitável)",S593&lt;=Constantes!$H$2,"Curta Distância",S593&gt;Constantes!$H$2,"Longa Distância")</f>
        <v>Curta Distância</v>
      </c>
      <c r="AF593" s="114">
        <f>IFERROR(VLOOKUP(AE593,Constantes!$A$1:$E$5,MATCH(AD593,Constantes!$A$1:$E$1,0),0),"")</f>
        <v>0.18286935436241611</v>
      </c>
      <c r="AG593" s="115">
        <f t="shared" si="19"/>
        <v>401.190676108302</v>
      </c>
    </row>
    <row r="594" spans="1:33" x14ac:dyDescent="0.3">
      <c r="A594">
        <f>COUNTIF($B$2:B594,B594)</f>
        <v>1</v>
      </c>
      <c r="B594">
        <v>19373884</v>
      </c>
      <c r="C594" t="s">
        <v>1400</v>
      </c>
      <c r="D594" t="s">
        <v>1401</v>
      </c>
      <c r="E594" t="s">
        <v>1402</v>
      </c>
      <c r="F594" t="s">
        <v>198</v>
      </c>
      <c r="G594" t="s">
        <v>207</v>
      </c>
      <c r="H594" t="s">
        <v>204</v>
      </c>
      <c r="I594" s="49">
        <v>45244</v>
      </c>
      <c r="J594" s="49">
        <v>45248</v>
      </c>
      <c r="K594" t="s">
        <v>1403</v>
      </c>
      <c r="L594" s="49">
        <v>45248</v>
      </c>
      <c r="M594" s="49">
        <v>45248</v>
      </c>
      <c r="N594" t="s">
        <v>121</v>
      </c>
      <c r="O594" t="s">
        <v>107</v>
      </c>
      <c r="P594">
        <f>VLOOKUP(N594,[1]ID_Cidades!$A$1:$E$5900,2,FALSE)</f>
        <v>314439</v>
      </c>
      <c r="Q594">
        <f>VLOOKUP(O594,[1]ID_Cidades!$A$1:$E$5900,2,FALSE)</f>
        <v>295765</v>
      </c>
      <c r="R594">
        <f t="shared" si="18"/>
        <v>93000050835</v>
      </c>
      <c r="S594" s="42">
        <f>VLOOKUP(R594,'[1]GCD base'!$A$1:$M$200,7,FALSE)</f>
        <v>546.23643000000004</v>
      </c>
      <c r="T594" t="s">
        <v>109</v>
      </c>
      <c r="U594" t="s">
        <v>201</v>
      </c>
      <c r="V594" t="s">
        <v>202</v>
      </c>
      <c r="W594" t="s">
        <v>203</v>
      </c>
      <c r="X594" t="s">
        <v>204</v>
      </c>
      <c r="Y594">
        <v>1539.86</v>
      </c>
      <c r="Z594">
        <v>0</v>
      </c>
      <c r="AA594">
        <v>869.53</v>
      </c>
      <c r="AB594">
        <v>0</v>
      </c>
      <c r="AC594" s="49">
        <v>45205</v>
      </c>
      <c r="AD594" s="116" t="s">
        <v>10</v>
      </c>
      <c r="AE594" s="113" t="str" cm="1">
        <f t="array" ref="AE594">_xlfn.IFS(S594&lt;=Constantes!$G$2,"Muito Curta (evitável)",S594&lt;=Constantes!$H$2,"Curta Distância",S594&gt;Constantes!$H$2,"Longa Distância")</f>
        <v>Muito Curta (evitável)</v>
      </c>
      <c r="AF594" s="114">
        <f>IFERROR(VLOOKUP(AE594,Constantes!$A$1:$E$5,MATCH(AD594,Constantes!$A$1:$E$1,0),0),"")</f>
        <v>0.27257678523489931</v>
      </c>
      <c r="AG594" s="115">
        <f t="shared" si="19"/>
        <v>148.89137006758813</v>
      </c>
    </row>
    <row r="595" spans="1:33" x14ac:dyDescent="0.3">
      <c r="A595">
        <f>COUNTIF($B$2:B595,B595)</f>
        <v>2</v>
      </c>
      <c r="B595">
        <v>19373884</v>
      </c>
      <c r="C595" t="s">
        <v>1400</v>
      </c>
      <c r="D595" t="s">
        <v>1401</v>
      </c>
      <c r="E595" t="s">
        <v>1402</v>
      </c>
      <c r="F595" t="s">
        <v>198</v>
      </c>
      <c r="G595" t="s">
        <v>207</v>
      </c>
      <c r="H595" t="s">
        <v>204</v>
      </c>
      <c r="I595" s="49">
        <v>45244</v>
      </c>
      <c r="J595" s="49">
        <v>45248</v>
      </c>
      <c r="K595" t="s">
        <v>1403</v>
      </c>
      <c r="L595" s="49">
        <v>45244</v>
      </c>
      <c r="M595" s="49">
        <v>45248</v>
      </c>
      <c r="N595" t="s">
        <v>107</v>
      </c>
      <c r="O595" t="s">
        <v>121</v>
      </c>
      <c r="P595">
        <f>VLOOKUP(N595,[1]ID_Cidades!$A$1:$E$5900,2,FALSE)</f>
        <v>295765</v>
      </c>
      <c r="Q595">
        <f>VLOOKUP(O595,[1]ID_Cidades!$A$1:$E$5900,2,FALSE)</f>
        <v>314439</v>
      </c>
      <c r="R595">
        <f t="shared" si="18"/>
        <v>93000050835</v>
      </c>
      <c r="S595" s="42">
        <f>VLOOKUP(R595,'[1]GCD base'!$A$1:$M$200,7,FALSE)</f>
        <v>546.23643000000004</v>
      </c>
      <c r="T595" t="s">
        <v>109</v>
      </c>
      <c r="U595" t="s">
        <v>205</v>
      </c>
      <c r="V595" t="s">
        <v>202</v>
      </c>
      <c r="W595" t="s">
        <v>203</v>
      </c>
      <c r="X595" t="s">
        <v>204</v>
      </c>
      <c r="Y595">
        <v>0</v>
      </c>
      <c r="Z595">
        <v>0</v>
      </c>
      <c r="AA595">
        <v>863.69</v>
      </c>
      <c r="AB595">
        <v>0</v>
      </c>
      <c r="AC595" s="49">
        <v>45205</v>
      </c>
      <c r="AD595" s="116" t="s">
        <v>10</v>
      </c>
      <c r="AE595" s="113" t="str" cm="1">
        <f t="array" ref="AE595">_xlfn.IFS(S595&lt;=Constantes!$G$2,"Muito Curta (evitável)",S595&lt;=Constantes!$H$2,"Curta Distância",S595&gt;Constantes!$H$2,"Longa Distância")</f>
        <v>Muito Curta (evitável)</v>
      </c>
      <c r="AF595" s="114">
        <f>IFERROR(VLOOKUP(AE595,Constantes!$A$1:$E$5,MATCH(AD595,Constantes!$A$1:$E$1,0),0),"")</f>
        <v>0.27257678523489931</v>
      </c>
      <c r="AG595" s="115">
        <f t="shared" si="19"/>
        <v>148.89137006758813</v>
      </c>
    </row>
    <row r="596" spans="1:33" x14ac:dyDescent="0.3">
      <c r="A596">
        <f>COUNTIF($B$2:B596,B596)</f>
        <v>1</v>
      </c>
      <c r="B596">
        <v>19374948</v>
      </c>
      <c r="C596" t="s">
        <v>1410</v>
      </c>
      <c r="D596" t="s">
        <v>1411</v>
      </c>
      <c r="E596" t="s">
        <v>1412</v>
      </c>
      <c r="F596" t="s">
        <v>198</v>
      </c>
      <c r="G596" t="s">
        <v>207</v>
      </c>
      <c r="H596" t="s">
        <v>204</v>
      </c>
      <c r="I596" s="49">
        <v>45244</v>
      </c>
      <c r="J596" s="49">
        <v>45248</v>
      </c>
      <c r="K596" t="s">
        <v>1403</v>
      </c>
      <c r="L596" s="49">
        <v>45244</v>
      </c>
      <c r="M596" s="49">
        <v>45248</v>
      </c>
      <c r="N596" t="s">
        <v>107</v>
      </c>
      <c r="O596" t="s">
        <v>121</v>
      </c>
      <c r="P596">
        <f>VLOOKUP(N596,[1]ID_Cidades!$A$1:$E$5900,2,FALSE)</f>
        <v>295765</v>
      </c>
      <c r="Q596">
        <f>VLOOKUP(O596,[1]ID_Cidades!$A$1:$E$5900,2,FALSE)</f>
        <v>314439</v>
      </c>
      <c r="R596">
        <f t="shared" si="18"/>
        <v>93000050835</v>
      </c>
      <c r="S596" s="42">
        <f>VLOOKUP(R596,'[1]GCD base'!$A$1:$M$200,7,FALSE)</f>
        <v>546.23643000000004</v>
      </c>
      <c r="T596" t="s">
        <v>109</v>
      </c>
      <c r="U596" t="s">
        <v>205</v>
      </c>
      <c r="V596" t="s">
        <v>202</v>
      </c>
      <c r="W596" t="s">
        <v>203</v>
      </c>
      <c r="X596" t="s">
        <v>204</v>
      </c>
      <c r="Y596">
        <v>1539.86</v>
      </c>
      <c r="Z596">
        <v>0</v>
      </c>
      <c r="AA596">
        <v>948.59</v>
      </c>
      <c r="AB596">
        <v>0</v>
      </c>
      <c r="AC596" s="49">
        <v>45208</v>
      </c>
      <c r="AD596" s="116" t="s">
        <v>10</v>
      </c>
      <c r="AE596" s="113" t="str" cm="1">
        <f t="array" ref="AE596">_xlfn.IFS(S596&lt;=Constantes!$G$2,"Muito Curta (evitável)",S596&lt;=Constantes!$H$2,"Curta Distância",S596&gt;Constantes!$H$2,"Longa Distância")</f>
        <v>Muito Curta (evitável)</v>
      </c>
      <c r="AF596" s="114">
        <f>IFERROR(VLOOKUP(AE596,Constantes!$A$1:$E$5,MATCH(AD596,Constantes!$A$1:$E$1,0),0),"")</f>
        <v>0.27257678523489931</v>
      </c>
      <c r="AG596" s="115">
        <f t="shared" si="19"/>
        <v>148.89137006758813</v>
      </c>
    </row>
    <row r="597" spans="1:33" x14ac:dyDescent="0.3">
      <c r="A597">
        <f>COUNTIF($B$2:B597,B597)</f>
        <v>2</v>
      </c>
      <c r="B597">
        <v>19374948</v>
      </c>
      <c r="C597" t="s">
        <v>1410</v>
      </c>
      <c r="D597" t="s">
        <v>1411</v>
      </c>
      <c r="E597" t="s">
        <v>1412</v>
      </c>
      <c r="F597" t="s">
        <v>198</v>
      </c>
      <c r="G597" t="s">
        <v>207</v>
      </c>
      <c r="H597" t="s">
        <v>204</v>
      </c>
      <c r="I597" s="49">
        <v>45244</v>
      </c>
      <c r="J597" s="49">
        <v>45248</v>
      </c>
      <c r="K597" t="s">
        <v>1403</v>
      </c>
      <c r="L597" s="49">
        <v>45248</v>
      </c>
      <c r="M597" s="49">
        <v>45248</v>
      </c>
      <c r="N597" t="s">
        <v>121</v>
      </c>
      <c r="O597" t="s">
        <v>107</v>
      </c>
      <c r="P597">
        <f>VLOOKUP(N597,[1]ID_Cidades!$A$1:$E$5900,2,FALSE)</f>
        <v>314439</v>
      </c>
      <c r="Q597">
        <f>VLOOKUP(O597,[1]ID_Cidades!$A$1:$E$5900,2,FALSE)</f>
        <v>295765</v>
      </c>
      <c r="R597">
        <f t="shared" si="18"/>
        <v>93000050835</v>
      </c>
      <c r="S597" s="42">
        <f>VLOOKUP(R597,'[1]GCD base'!$A$1:$M$200,7,FALSE)</f>
        <v>546.23643000000004</v>
      </c>
      <c r="T597" t="s">
        <v>109</v>
      </c>
      <c r="U597" t="s">
        <v>201</v>
      </c>
      <c r="V597" t="s">
        <v>202</v>
      </c>
      <c r="W597" t="s">
        <v>203</v>
      </c>
      <c r="X597" t="s">
        <v>204</v>
      </c>
      <c r="Y597">
        <v>0</v>
      </c>
      <c r="Z597">
        <v>0</v>
      </c>
      <c r="AA597">
        <v>743.33</v>
      </c>
      <c r="AB597">
        <v>0</v>
      </c>
      <c r="AC597" s="49">
        <v>45208</v>
      </c>
      <c r="AD597" s="116" t="s">
        <v>10</v>
      </c>
      <c r="AE597" s="113" t="str" cm="1">
        <f t="array" ref="AE597">_xlfn.IFS(S597&lt;=Constantes!$G$2,"Muito Curta (evitável)",S597&lt;=Constantes!$H$2,"Curta Distância",S597&gt;Constantes!$H$2,"Longa Distância")</f>
        <v>Muito Curta (evitável)</v>
      </c>
      <c r="AF597" s="114">
        <f>IFERROR(VLOOKUP(AE597,Constantes!$A$1:$E$5,MATCH(AD597,Constantes!$A$1:$E$1,0),0),"")</f>
        <v>0.27257678523489931</v>
      </c>
      <c r="AG597" s="115">
        <f t="shared" si="19"/>
        <v>148.89137006758813</v>
      </c>
    </row>
    <row r="598" spans="1:33" x14ac:dyDescent="0.3">
      <c r="A598">
        <f>COUNTIF($B$2:B598,B598)</f>
        <v>1</v>
      </c>
      <c r="B598">
        <v>19383124</v>
      </c>
      <c r="C598" t="s">
        <v>1446</v>
      </c>
      <c r="D598" t="s">
        <v>1447</v>
      </c>
      <c r="E598" t="s">
        <v>1448</v>
      </c>
      <c r="F598" t="s">
        <v>198</v>
      </c>
      <c r="G598" t="s">
        <v>207</v>
      </c>
      <c r="H598" t="s">
        <v>204</v>
      </c>
      <c r="I598" s="49">
        <v>45244</v>
      </c>
      <c r="J598" s="49">
        <v>45248</v>
      </c>
      <c r="K598" t="s">
        <v>1403</v>
      </c>
      <c r="L598" s="49">
        <v>45248</v>
      </c>
      <c r="M598" s="49">
        <v>45248</v>
      </c>
      <c r="N598" t="s">
        <v>121</v>
      </c>
      <c r="O598" t="s">
        <v>112</v>
      </c>
      <c r="P598">
        <f>VLOOKUP(N598,[1]ID_Cidades!$A$1:$E$5900,2,FALSE)</f>
        <v>314439</v>
      </c>
      <c r="Q598">
        <f>VLOOKUP(O598,[1]ID_Cidades!$A$1:$E$5900,2,FALSE)</f>
        <v>295766</v>
      </c>
      <c r="R598">
        <f t="shared" si="18"/>
        <v>93000365274</v>
      </c>
      <c r="S598" s="42">
        <f>VLOOKUP(R598,'[1]GCD base'!$A$1:$M$200,7,FALSE)</f>
        <v>627.62636250000003</v>
      </c>
      <c r="T598" t="s">
        <v>109</v>
      </c>
      <c r="U598" t="s">
        <v>201</v>
      </c>
      <c r="V598" t="s">
        <v>202</v>
      </c>
      <c r="W598" t="s">
        <v>203</v>
      </c>
      <c r="X598" t="s">
        <v>204</v>
      </c>
      <c r="Y598">
        <v>1539.86</v>
      </c>
      <c r="Z598">
        <v>0</v>
      </c>
      <c r="AA598">
        <v>374.83</v>
      </c>
      <c r="AB598">
        <v>0</v>
      </c>
      <c r="AC598" s="49">
        <v>45208</v>
      </c>
      <c r="AD598" s="116" t="s">
        <v>10</v>
      </c>
      <c r="AE598" s="113" t="str" cm="1">
        <f t="array" ref="AE598">_xlfn.IFS(S598&lt;=Constantes!$G$2,"Muito Curta (evitável)",S598&lt;=Constantes!$H$2,"Curta Distância",S598&gt;Constantes!$H$2,"Longa Distância")</f>
        <v>Curta Distância</v>
      </c>
      <c r="AF598" s="114">
        <f>IFERROR(VLOOKUP(AE598,Constantes!$A$1:$E$5,MATCH(AD598,Constantes!$A$1:$E$1,0),0),"")</f>
        <v>0.18286935436241611</v>
      </c>
      <c r="AG598" s="115">
        <f t="shared" si="19"/>
        <v>114.77362769120674</v>
      </c>
    </row>
    <row r="599" spans="1:33" x14ac:dyDescent="0.3">
      <c r="A599">
        <f>COUNTIF($B$2:B599,B599)</f>
        <v>2</v>
      </c>
      <c r="B599">
        <v>19383124</v>
      </c>
      <c r="C599" t="s">
        <v>1446</v>
      </c>
      <c r="D599" t="s">
        <v>1447</v>
      </c>
      <c r="E599" t="s">
        <v>1448</v>
      </c>
      <c r="F599" t="s">
        <v>198</v>
      </c>
      <c r="G599" t="s">
        <v>207</v>
      </c>
      <c r="H599" t="s">
        <v>204</v>
      </c>
      <c r="I599" s="49">
        <v>45244</v>
      </c>
      <c r="J599" s="49">
        <v>45248</v>
      </c>
      <c r="K599" t="s">
        <v>1403</v>
      </c>
      <c r="L599" s="49">
        <v>45244</v>
      </c>
      <c r="M599" s="49">
        <v>45248</v>
      </c>
      <c r="N599" t="s">
        <v>112</v>
      </c>
      <c r="O599" t="s">
        <v>121</v>
      </c>
      <c r="P599">
        <f>VLOOKUP(N599,[1]ID_Cidades!$A$1:$E$5900,2,FALSE)</f>
        <v>295766</v>
      </c>
      <c r="Q599">
        <f>VLOOKUP(O599,[1]ID_Cidades!$A$1:$E$5900,2,FALSE)</f>
        <v>314439</v>
      </c>
      <c r="R599">
        <f t="shared" si="18"/>
        <v>93000365274</v>
      </c>
      <c r="S599" s="42">
        <f>VLOOKUP(R599,'[1]GCD base'!$A$1:$M$200,7,FALSE)</f>
        <v>627.62636250000003</v>
      </c>
      <c r="T599" t="s">
        <v>109</v>
      </c>
      <c r="U599" t="s">
        <v>205</v>
      </c>
      <c r="V599" t="s">
        <v>202</v>
      </c>
      <c r="W599" t="s">
        <v>203</v>
      </c>
      <c r="X599" t="s">
        <v>204</v>
      </c>
      <c r="Y599">
        <v>0</v>
      </c>
      <c r="Z599">
        <v>0</v>
      </c>
      <c r="AA599">
        <v>603.34</v>
      </c>
      <c r="AB599">
        <v>0</v>
      </c>
      <c r="AC599" s="49">
        <v>45208</v>
      </c>
      <c r="AD599" s="116" t="s">
        <v>10</v>
      </c>
      <c r="AE599" s="113" t="str" cm="1">
        <f t="array" ref="AE599">_xlfn.IFS(S599&lt;=Constantes!$G$2,"Muito Curta (evitável)",S599&lt;=Constantes!$H$2,"Curta Distância",S599&gt;Constantes!$H$2,"Longa Distância")</f>
        <v>Curta Distância</v>
      </c>
      <c r="AF599" s="114">
        <f>IFERROR(VLOOKUP(AE599,Constantes!$A$1:$E$5,MATCH(AD599,Constantes!$A$1:$E$1,0),0),"")</f>
        <v>0.18286935436241611</v>
      </c>
      <c r="AG599" s="115">
        <f t="shared" si="19"/>
        <v>114.77362769120674</v>
      </c>
    </row>
    <row r="600" spans="1:33" x14ac:dyDescent="0.3">
      <c r="A600">
        <f>COUNTIF($B$2:B600,B600)</f>
        <v>1</v>
      </c>
      <c r="B600">
        <v>19418973</v>
      </c>
      <c r="C600" t="s">
        <v>1533</v>
      </c>
      <c r="D600" t="s">
        <v>218</v>
      </c>
      <c r="E600" t="s">
        <v>1534</v>
      </c>
      <c r="F600" t="s">
        <v>218</v>
      </c>
      <c r="G600" t="s">
        <v>207</v>
      </c>
      <c r="H600" t="s">
        <v>204</v>
      </c>
      <c r="I600" s="49">
        <v>45244</v>
      </c>
      <c r="J600" s="49">
        <v>45248</v>
      </c>
      <c r="K600" t="s">
        <v>1403</v>
      </c>
      <c r="L600" s="49">
        <v>45248</v>
      </c>
      <c r="M600" s="49">
        <v>45248</v>
      </c>
      <c r="N600" t="s">
        <v>121</v>
      </c>
      <c r="O600" t="s">
        <v>107</v>
      </c>
      <c r="P600">
        <f>VLOOKUP(N600,[1]ID_Cidades!$A$1:$E$5900,2,FALSE)</f>
        <v>314439</v>
      </c>
      <c r="Q600">
        <f>VLOOKUP(O600,[1]ID_Cidades!$A$1:$E$5900,2,FALSE)</f>
        <v>295765</v>
      </c>
      <c r="R600">
        <f t="shared" si="18"/>
        <v>93000050835</v>
      </c>
      <c r="S600" s="42">
        <f>VLOOKUP(R600,'[1]GCD base'!$A$1:$M$200,7,FALSE)</f>
        <v>546.23643000000004</v>
      </c>
      <c r="T600" t="s">
        <v>109</v>
      </c>
      <c r="U600" t="s">
        <v>201</v>
      </c>
      <c r="V600" t="s">
        <v>202</v>
      </c>
      <c r="W600" t="s">
        <v>203</v>
      </c>
      <c r="X600" t="s">
        <v>204</v>
      </c>
      <c r="Y600">
        <v>0</v>
      </c>
      <c r="Z600">
        <v>0</v>
      </c>
      <c r="AA600">
        <v>1133.8900000000001</v>
      </c>
      <c r="AB600">
        <v>0</v>
      </c>
      <c r="AC600" s="49">
        <v>45219</v>
      </c>
      <c r="AD600" s="116" t="s">
        <v>10</v>
      </c>
      <c r="AE600" s="113" t="str" cm="1">
        <f t="array" ref="AE600">_xlfn.IFS(S600&lt;=Constantes!$G$2,"Muito Curta (evitável)",S600&lt;=Constantes!$H$2,"Curta Distância",S600&gt;Constantes!$H$2,"Longa Distância")</f>
        <v>Muito Curta (evitável)</v>
      </c>
      <c r="AF600" s="114">
        <f>IFERROR(VLOOKUP(AE600,Constantes!$A$1:$E$5,MATCH(AD600,Constantes!$A$1:$E$1,0),0),"")</f>
        <v>0.27257678523489931</v>
      </c>
      <c r="AG600" s="115">
        <f t="shared" si="19"/>
        <v>148.89137006758813</v>
      </c>
    </row>
    <row r="601" spans="1:33" x14ac:dyDescent="0.3">
      <c r="A601">
        <f>COUNTIF($B$2:B601,B601)</f>
        <v>2</v>
      </c>
      <c r="B601">
        <v>19418973</v>
      </c>
      <c r="C601" t="s">
        <v>1533</v>
      </c>
      <c r="D601" t="s">
        <v>218</v>
      </c>
      <c r="E601" t="s">
        <v>1534</v>
      </c>
      <c r="F601" t="s">
        <v>218</v>
      </c>
      <c r="G601" t="s">
        <v>207</v>
      </c>
      <c r="H601" t="s">
        <v>204</v>
      </c>
      <c r="I601" s="49">
        <v>45244</v>
      </c>
      <c r="J601" s="49">
        <v>45248</v>
      </c>
      <c r="K601" t="s">
        <v>1403</v>
      </c>
      <c r="L601" s="49">
        <v>45244</v>
      </c>
      <c r="M601" s="49">
        <v>45248</v>
      </c>
      <c r="N601" t="s">
        <v>107</v>
      </c>
      <c r="O601" t="s">
        <v>121</v>
      </c>
      <c r="P601">
        <f>VLOOKUP(N601,[1]ID_Cidades!$A$1:$E$5900,2,FALSE)</f>
        <v>295765</v>
      </c>
      <c r="Q601">
        <f>VLOOKUP(O601,[1]ID_Cidades!$A$1:$E$5900,2,FALSE)</f>
        <v>314439</v>
      </c>
      <c r="R601">
        <f t="shared" si="18"/>
        <v>93000050835</v>
      </c>
      <c r="S601" s="42">
        <f>VLOOKUP(R601,'[1]GCD base'!$A$1:$M$200,7,FALSE)</f>
        <v>546.23643000000004</v>
      </c>
      <c r="T601" t="s">
        <v>109</v>
      </c>
      <c r="U601" t="s">
        <v>205</v>
      </c>
      <c r="V601" t="s">
        <v>202</v>
      </c>
      <c r="W601" t="s">
        <v>203</v>
      </c>
      <c r="X601" t="s">
        <v>204</v>
      </c>
      <c r="Y601">
        <v>0</v>
      </c>
      <c r="Z601">
        <v>0</v>
      </c>
      <c r="AA601">
        <v>1243.73</v>
      </c>
      <c r="AB601">
        <v>0</v>
      </c>
      <c r="AC601" s="49">
        <v>45223</v>
      </c>
      <c r="AD601" s="116" t="s">
        <v>10</v>
      </c>
      <c r="AE601" s="113" t="str" cm="1">
        <f t="array" ref="AE601">_xlfn.IFS(S601&lt;=Constantes!$G$2,"Muito Curta (evitável)",S601&lt;=Constantes!$H$2,"Curta Distância",S601&gt;Constantes!$H$2,"Longa Distância")</f>
        <v>Muito Curta (evitável)</v>
      </c>
      <c r="AF601" s="114">
        <f>IFERROR(VLOOKUP(AE601,Constantes!$A$1:$E$5,MATCH(AD601,Constantes!$A$1:$E$1,0),0),"")</f>
        <v>0.27257678523489931</v>
      </c>
      <c r="AG601" s="115">
        <f t="shared" si="19"/>
        <v>148.89137006758813</v>
      </c>
    </row>
    <row r="602" spans="1:33" x14ac:dyDescent="0.3">
      <c r="A602">
        <f>COUNTIF($B$2:B602,B602)</f>
        <v>1</v>
      </c>
      <c r="B602">
        <v>19428443</v>
      </c>
      <c r="C602" t="s">
        <v>1546</v>
      </c>
      <c r="D602" t="s">
        <v>218</v>
      </c>
      <c r="E602" t="s">
        <v>1547</v>
      </c>
      <c r="F602" t="s">
        <v>218</v>
      </c>
      <c r="G602" t="s">
        <v>207</v>
      </c>
      <c r="H602" t="s">
        <v>204</v>
      </c>
      <c r="I602" s="49">
        <v>45244</v>
      </c>
      <c r="J602" s="49">
        <v>45250</v>
      </c>
      <c r="K602" t="s">
        <v>1548</v>
      </c>
      <c r="L602" s="49">
        <v>45244</v>
      </c>
      <c r="M602" s="49">
        <v>45249</v>
      </c>
      <c r="N602" t="s">
        <v>107</v>
      </c>
      <c r="O602" t="s">
        <v>130</v>
      </c>
      <c r="P602">
        <f>VLOOKUP(N602,[1]ID_Cidades!$A$1:$E$5900,2,FALSE)</f>
        <v>295765</v>
      </c>
      <c r="Q602">
        <f>VLOOKUP(O602,[1]ID_Cidades!$A$1:$E$5900,2,FALSE)</f>
        <v>303669</v>
      </c>
      <c r="R602">
        <f t="shared" si="18"/>
        <v>89814661785</v>
      </c>
      <c r="S602" s="42">
        <f>VLOOKUP(R602,'[1]GCD base'!$A$1:$M$200,7,FALSE)</f>
        <v>2079.6042189999998</v>
      </c>
      <c r="T602" t="s">
        <v>109</v>
      </c>
      <c r="U602" t="s">
        <v>205</v>
      </c>
      <c r="V602" t="s">
        <v>202</v>
      </c>
      <c r="W602" t="s">
        <v>203</v>
      </c>
      <c r="X602" t="s">
        <v>204</v>
      </c>
      <c r="Y602">
        <v>0</v>
      </c>
      <c r="Z602">
        <v>0</v>
      </c>
      <c r="AA602">
        <v>2634.27</v>
      </c>
      <c r="AB602">
        <v>0</v>
      </c>
      <c r="AC602" s="49">
        <v>45225</v>
      </c>
      <c r="AD602" s="116" t="s">
        <v>10</v>
      </c>
      <c r="AE602" s="113" t="str" cm="1">
        <f t="array" ref="AE602">_xlfn.IFS(S602&lt;=Constantes!$G$2,"Muito Curta (evitável)",S602&lt;=Constantes!$H$2,"Curta Distância",S602&gt;Constantes!$H$2,"Longa Distância")</f>
        <v>Curta Distância</v>
      </c>
      <c r="AF602" s="114">
        <f>IFERROR(VLOOKUP(AE602,Constantes!$A$1:$E$5,MATCH(AD602,Constantes!$A$1:$E$1,0),0),"")</f>
        <v>0.18286935436241611</v>
      </c>
      <c r="AG602" s="115">
        <f t="shared" si="19"/>
        <v>380.29588085788657</v>
      </c>
    </row>
    <row r="603" spans="1:33" x14ac:dyDescent="0.3">
      <c r="A603">
        <f>COUNTIF($B$2:B603,B603)</f>
        <v>2</v>
      </c>
      <c r="B603">
        <v>19428443</v>
      </c>
      <c r="C603" t="s">
        <v>1546</v>
      </c>
      <c r="D603" t="s">
        <v>218</v>
      </c>
      <c r="E603" t="s">
        <v>1547</v>
      </c>
      <c r="F603" t="s">
        <v>218</v>
      </c>
      <c r="G603" t="s">
        <v>207</v>
      </c>
      <c r="H603" t="s">
        <v>204</v>
      </c>
      <c r="I603" s="49">
        <v>45244</v>
      </c>
      <c r="J603" s="49">
        <v>45250</v>
      </c>
      <c r="K603" t="s">
        <v>1548</v>
      </c>
      <c r="L603" s="49">
        <v>45249</v>
      </c>
      <c r="M603" s="49">
        <v>45250</v>
      </c>
      <c r="N603" t="s">
        <v>130</v>
      </c>
      <c r="O603" t="s">
        <v>107</v>
      </c>
      <c r="P603">
        <f>VLOOKUP(N603,[1]ID_Cidades!$A$1:$E$5900,2,FALSE)</f>
        <v>303669</v>
      </c>
      <c r="Q603">
        <f>VLOOKUP(O603,[1]ID_Cidades!$A$1:$E$5900,2,FALSE)</f>
        <v>295765</v>
      </c>
      <c r="R603">
        <f t="shared" si="18"/>
        <v>89814661785</v>
      </c>
      <c r="S603" s="42">
        <f>VLOOKUP(R603,'[1]GCD base'!$A$1:$M$200,7,FALSE)</f>
        <v>2079.6042189999998</v>
      </c>
      <c r="T603" t="s">
        <v>109</v>
      </c>
      <c r="U603" t="s">
        <v>201</v>
      </c>
      <c r="V603" t="s">
        <v>202</v>
      </c>
      <c r="W603" t="s">
        <v>203</v>
      </c>
      <c r="X603" t="s">
        <v>204</v>
      </c>
      <c r="Y603">
        <v>0</v>
      </c>
      <c r="Z603">
        <v>0</v>
      </c>
      <c r="AA603">
        <v>2043.99</v>
      </c>
      <c r="AB603">
        <v>0</v>
      </c>
      <c r="AC603" s="49">
        <v>45225</v>
      </c>
      <c r="AD603" s="116" t="s">
        <v>10</v>
      </c>
      <c r="AE603" s="113" t="str" cm="1">
        <f t="array" ref="AE603">_xlfn.IFS(S603&lt;=Constantes!$G$2,"Muito Curta (evitável)",S603&lt;=Constantes!$H$2,"Curta Distância",S603&gt;Constantes!$H$2,"Longa Distância")</f>
        <v>Curta Distância</v>
      </c>
      <c r="AF603" s="114">
        <f>IFERROR(VLOOKUP(AE603,Constantes!$A$1:$E$5,MATCH(AD603,Constantes!$A$1:$E$1,0),0),"")</f>
        <v>0.18286935436241611</v>
      </c>
      <c r="AG603" s="115">
        <f t="shared" si="19"/>
        <v>380.29588085788657</v>
      </c>
    </row>
    <row r="604" spans="1:33" x14ac:dyDescent="0.3">
      <c r="A604">
        <f>COUNTIF($B$2:B604,B604)</f>
        <v>1</v>
      </c>
      <c r="B604">
        <v>19174177</v>
      </c>
      <c r="C604" t="s">
        <v>612</v>
      </c>
      <c r="D604" t="s">
        <v>613</v>
      </c>
      <c r="E604" t="s">
        <v>614</v>
      </c>
      <c r="F604" t="s">
        <v>198</v>
      </c>
      <c r="G604" t="s">
        <v>233</v>
      </c>
      <c r="H604" t="s">
        <v>233</v>
      </c>
      <c r="I604" s="49">
        <v>45245</v>
      </c>
      <c r="J604" s="49">
        <v>45248</v>
      </c>
      <c r="K604" t="s">
        <v>615</v>
      </c>
      <c r="L604" s="49">
        <v>45248</v>
      </c>
      <c r="M604" s="49">
        <v>45248</v>
      </c>
      <c r="N604" t="s">
        <v>110</v>
      </c>
      <c r="O604" t="s">
        <v>107</v>
      </c>
      <c r="P604">
        <f>VLOOKUP(N604,[1]ID_Cidades!$A$1:$E$5900,2,FALSE)</f>
        <v>295763</v>
      </c>
      <c r="Q604">
        <f>VLOOKUP(O604,[1]ID_Cidades!$A$1:$E$5900,2,FALSE)</f>
        <v>295765</v>
      </c>
      <c r="R604">
        <f t="shared" si="18"/>
        <v>87476343695</v>
      </c>
      <c r="S604" s="42">
        <f>VLOOKUP(R604,'[1]GCD base'!$A$1:$M$200,7,FALSE)</f>
        <v>1713.419991</v>
      </c>
      <c r="T604" t="s">
        <v>109</v>
      </c>
      <c r="U604" t="s">
        <v>201</v>
      </c>
      <c r="V604" t="s">
        <v>202</v>
      </c>
      <c r="W604" t="s">
        <v>203</v>
      </c>
      <c r="X604" t="s">
        <v>204</v>
      </c>
      <c r="Y604">
        <v>1369.17</v>
      </c>
      <c r="Z604">
        <v>0</v>
      </c>
      <c r="AA604">
        <v>1959.59</v>
      </c>
      <c r="AB604">
        <v>0</v>
      </c>
      <c r="AC604" s="49">
        <v>45173</v>
      </c>
      <c r="AD604" s="116" t="s">
        <v>10</v>
      </c>
      <c r="AE604" s="113" t="str" cm="1">
        <f t="array" ref="AE604">_xlfn.IFS(S604&lt;=Constantes!$G$2,"Muito Curta (evitável)",S604&lt;=Constantes!$H$2,"Curta Distância",S604&gt;Constantes!$H$2,"Longa Distância")</f>
        <v>Curta Distância</v>
      </c>
      <c r="AF604" s="114">
        <f>IFERROR(VLOOKUP(AE604,Constantes!$A$1:$E$5,MATCH(AD604,Constantes!$A$1:$E$1,0),0),"")</f>
        <v>0.18286935436241611</v>
      </c>
      <c r="AG604" s="115">
        <f t="shared" si="19"/>
        <v>313.33200750582682</v>
      </c>
    </row>
    <row r="605" spans="1:33" x14ac:dyDescent="0.3">
      <c r="A605">
        <f>COUNTIF($B$2:B605,B605)</f>
        <v>2</v>
      </c>
      <c r="B605">
        <v>19174177</v>
      </c>
      <c r="C605" t="s">
        <v>612</v>
      </c>
      <c r="D605" t="s">
        <v>613</v>
      </c>
      <c r="E605" t="s">
        <v>614</v>
      </c>
      <c r="F605" t="s">
        <v>198</v>
      </c>
      <c r="G605" t="s">
        <v>233</v>
      </c>
      <c r="H605" t="s">
        <v>233</v>
      </c>
      <c r="I605" s="49">
        <v>45245</v>
      </c>
      <c r="J605" s="49">
        <v>45248</v>
      </c>
      <c r="K605" t="s">
        <v>615</v>
      </c>
      <c r="L605" s="49">
        <v>45245</v>
      </c>
      <c r="M605" s="49">
        <v>45248</v>
      </c>
      <c r="N605" t="s">
        <v>107</v>
      </c>
      <c r="O605" t="s">
        <v>110</v>
      </c>
      <c r="P605">
        <f>VLOOKUP(N605,[1]ID_Cidades!$A$1:$E$5900,2,FALSE)</f>
        <v>295765</v>
      </c>
      <c r="Q605">
        <f>VLOOKUP(O605,[1]ID_Cidades!$A$1:$E$5900,2,FALSE)</f>
        <v>295763</v>
      </c>
      <c r="R605">
        <f t="shared" si="18"/>
        <v>87476343695</v>
      </c>
      <c r="S605" s="42">
        <f>VLOOKUP(R605,'[1]GCD base'!$A$1:$M$200,7,FALSE)</f>
        <v>1713.419991</v>
      </c>
      <c r="T605" t="s">
        <v>109</v>
      </c>
      <c r="U605" t="s">
        <v>205</v>
      </c>
      <c r="V605" t="s">
        <v>202</v>
      </c>
      <c r="W605" t="s">
        <v>203</v>
      </c>
      <c r="X605" t="s">
        <v>204</v>
      </c>
      <c r="Y605">
        <v>0</v>
      </c>
      <c r="Z605">
        <v>0</v>
      </c>
      <c r="AA605">
        <v>1009.61</v>
      </c>
      <c r="AB605">
        <v>0</v>
      </c>
      <c r="AC605" s="49">
        <v>45173</v>
      </c>
      <c r="AD605" s="116" t="s">
        <v>10</v>
      </c>
      <c r="AE605" s="113" t="str" cm="1">
        <f t="array" ref="AE605">_xlfn.IFS(S605&lt;=Constantes!$G$2,"Muito Curta (evitável)",S605&lt;=Constantes!$H$2,"Curta Distância",S605&gt;Constantes!$H$2,"Longa Distância")</f>
        <v>Curta Distância</v>
      </c>
      <c r="AF605" s="114">
        <f>IFERROR(VLOOKUP(AE605,Constantes!$A$1:$E$5,MATCH(AD605,Constantes!$A$1:$E$1,0),0),"")</f>
        <v>0.18286935436241611</v>
      </c>
      <c r="AG605" s="115">
        <f t="shared" si="19"/>
        <v>313.33200750582682</v>
      </c>
    </row>
    <row r="606" spans="1:33" x14ac:dyDescent="0.3">
      <c r="A606">
        <f>COUNTIF($B$2:B606,B606)</f>
        <v>1</v>
      </c>
      <c r="B606">
        <v>19186885</v>
      </c>
      <c r="C606" t="s">
        <v>639</v>
      </c>
      <c r="D606" t="s">
        <v>640</v>
      </c>
      <c r="E606" t="s">
        <v>641</v>
      </c>
      <c r="F606" t="s">
        <v>198</v>
      </c>
      <c r="G606" t="s">
        <v>207</v>
      </c>
      <c r="H606" t="s">
        <v>204</v>
      </c>
      <c r="I606" s="49">
        <v>45245</v>
      </c>
      <c r="J606" s="49">
        <v>45248</v>
      </c>
      <c r="K606" t="s">
        <v>642</v>
      </c>
      <c r="L606" s="49">
        <v>45248</v>
      </c>
      <c r="M606" s="49">
        <v>45248</v>
      </c>
      <c r="N606" t="s">
        <v>110</v>
      </c>
      <c r="O606" t="s">
        <v>107</v>
      </c>
      <c r="P606">
        <f>VLOOKUP(N606,[1]ID_Cidades!$A$1:$E$5900,2,FALSE)</f>
        <v>295763</v>
      </c>
      <c r="Q606">
        <f>VLOOKUP(O606,[1]ID_Cidades!$A$1:$E$5900,2,FALSE)</f>
        <v>295765</v>
      </c>
      <c r="R606">
        <f t="shared" si="18"/>
        <v>87476343695</v>
      </c>
      <c r="S606" s="42">
        <f>VLOOKUP(R606,'[1]GCD base'!$A$1:$M$200,7,FALSE)</f>
        <v>1713.419991</v>
      </c>
      <c r="T606" t="s">
        <v>109</v>
      </c>
      <c r="U606" t="s">
        <v>201</v>
      </c>
      <c r="V606" t="s">
        <v>202</v>
      </c>
      <c r="W606" t="s">
        <v>203</v>
      </c>
      <c r="X606" t="s">
        <v>204</v>
      </c>
      <c r="Y606">
        <v>1369.17</v>
      </c>
      <c r="Z606">
        <v>0</v>
      </c>
      <c r="AA606">
        <v>1605.59</v>
      </c>
      <c r="AB606">
        <v>0</v>
      </c>
      <c r="AC606" s="49">
        <v>45181</v>
      </c>
      <c r="AD606" s="116" t="s">
        <v>10</v>
      </c>
      <c r="AE606" s="113" t="str" cm="1">
        <f t="array" ref="AE606">_xlfn.IFS(S606&lt;=Constantes!$G$2,"Muito Curta (evitável)",S606&lt;=Constantes!$H$2,"Curta Distância",S606&gt;Constantes!$H$2,"Longa Distância")</f>
        <v>Curta Distância</v>
      </c>
      <c r="AF606" s="114">
        <f>IFERROR(VLOOKUP(AE606,Constantes!$A$1:$E$5,MATCH(AD606,Constantes!$A$1:$E$1,0),0),"")</f>
        <v>0.18286935436241611</v>
      </c>
      <c r="AG606" s="115">
        <f t="shared" si="19"/>
        <v>313.33200750582682</v>
      </c>
    </row>
    <row r="607" spans="1:33" x14ac:dyDescent="0.3">
      <c r="A607">
        <f>COUNTIF($B$2:B607,B607)</f>
        <v>2</v>
      </c>
      <c r="B607">
        <v>19186885</v>
      </c>
      <c r="C607" t="s">
        <v>639</v>
      </c>
      <c r="D607" t="s">
        <v>640</v>
      </c>
      <c r="E607" t="s">
        <v>641</v>
      </c>
      <c r="F607" t="s">
        <v>198</v>
      </c>
      <c r="G607" t="s">
        <v>207</v>
      </c>
      <c r="H607" t="s">
        <v>204</v>
      </c>
      <c r="I607" s="49">
        <v>45245</v>
      </c>
      <c r="J607" s="49">
        <v>45248</v>
      </c>
      <c r="K607" t="s">
        <v>642</v>
      </c>
      <c r="L607" s="49">
        <v>45245</v>
      </c>
      <c r="M607" s="49">
        <v>45245</v>
      </c>
      <c r="N607" t="s">
        <v>107</v>
      </c>
      <c r="O607" t="s">
        <v>110</v>
      </c>
      <c r="P607">
        <f>VLOOKUP(N607,[1]ID_Cidades!$A$1:$E$5900,2,FALSE)</f>
        <v>295765</v>
      </c>
      <c r="Q607">
        <f>VLOOKUP(O607,[1]ID_Cidades!$A$1:$E$5900,2,FALSE)</f>
        <v>295763</v>
      </c>
      <c r="R607">
        <f t="shared" si="18"/>
        <v>87476343695</v>
      </c>
      <c r="S607" s="42">
        <f>VLOOKUP(R607,'[1]GCD base'!$A$1:$M$200,7,FALSE)</f>
        <v>1713.419991</v>
      </c>
      <c r="T607" t="s">
        <v>109</v>
      </c>
      <c r="U607" t="s">
        <v>201</v>
      </c>
      <c r="V607" t="s">
        <v>202</v>
      </c>
      <c r="W607" t="s">
        <v>203</v>
      </c>
      <c r="X607" t="s">
        <v>204</v>
      </c>
      <c r="Y607">
        <v>0</v>
      </c>
      <c r="Z607">
        <v>0</v>
      </c>
      <c r="AA607">
        <v>1106.81</v>
      </c>
      <c r="AB607">
        <v>0</v>
      </c>
      <c r="AC607" s="49">
        <v>45181</v>
      </c>
      <c r="AD607" s="116" t="s">
        <v>10</v>
      </c>
      <c r="AE607" s="113" t="str" cm="1">
        <f t="array" ref="AE607">_xlfn.IFS(S607&lt;=Constantes!$G$2,"Muito Curta (evitável)",S607&lt;=Constantes!$H$2,"Curta Distância",S607&gt;Constantes!$H$2,"Longa Distância")</f>
        <v>Curta Distância</v>
      </c>
      <c r="AF607" s="114">
        <f>IFERROR(VLOOKUP(AE607,Constantes!$A$1:$E$5,MATCH(AD607,Constantes!$A$1:$E$1,0),0),"")</f>
        <v>0.18286935436241611</v>
      </c>
      <c r="AG607" s="115">
        <f t="shared" si="19"/>
        <v>313.33200750582682</v>
      </c>
    </row>
    <row r="608" spans="1:33" x14ac:dyDescent="0.3">
      <c r="A608">
        <f>COUNTIF($B$2:B608,B608)</f>
        <v>1</v>
      </c>
      <c r="B608">
        <v>19215547</v>
      </c>
      <c r="C608" t="s">
        <v>718</v>
      </c>
      <c r="D608" t="s">
        <v>719</v>
      </c>
      <c r="E608" t="s">
        <v>720</v>
      </c>
      <c r="F608" t="s">
        <v>198</v>
      </c>
      <c r="G608" t="s">
        <v>233</v>
      </c>
      <c r="H608" t="s">
        <v>233</v>
      </c>
      <c r="I608" s="49">
        <v>45245</v>
      </c>
      <c r="J608" s="49">
        <v>45247</v>
      </c>
      <c r="K608" t="s">
        <v>721</v>
      </c>
      <c r="L608" s="49">
        <v>45247</v>
      </c>
      <c r="M608" s="49">
        <v>45247</v>
      </c>
      <c r="N608" t="s">
        <v>110</v>
      </c>
      <c r="O608" t="s">
        <v>107</v>
      </c>
      <c r="P608">
        <f>VLOOKUP(N608,[1]ID_Cidades!$A$1:$E$5900,2,FALSE)</f>
        <v>295763</v>
      </c>
      <c r="Q608">
        <f>VLOOKUP(O608,[1]ID_Cidades!$A$1:$E$5900,2,FALSE)</f>
        <v>295765</v>
      </c>
      <c r="R608">
        <f t="shared" si="18"/>
        <v>87476343695</v>
      </c>
      <c r="S608" s="42">
        <f>VLOOKUP(R608,'[1]GCD base'!$A$1:$M$200,7,FALSE)</f>
        <v>1713.419991</v>
      </c>
      <c r="T608" t="s">
        <v>109</v>
      </c>
      <c r="U608" t="s">
        <v>201</v>
      </c>
      <c r="V608" t="s">
        <v>202</v>
      </c>
      <c r="W608" t="s">
        <v>203</v>
      </c>
      <c r="X608" t="s">
        <v>204</v>
      </c>
      <c r="Y608">
        <v>988.03</v>
      </c>
      <c r="Z608">
        <v>0</v>
      </c>
      <c r="AA608">
        <v>1777.79</v>
      </c>
      <c r="AB608">
        <v>0</v>
      </c>
      <c r="AC608" s="49">
        <v>45191</v>
      </c>
      <c r="AD608" s="116" t="s">
        <v>10</v>
      </c>
      <c r="AE608" s="113" t="str" cm="1">
        <f t="array" ref="AE608">_xlfn.IFS(S608&lt;=Constantes!$G$2,"Muito Curta (evitável)",S608&lt;=Constantes!$H$2,"Curta Distância",S608&gt;Constantes!$H$2,"Longa Distância")</f>
        <v>Curta Distância</v>
      </c>
      <c r="AF608" s="114">
        <f>IFERROR(VLOOKUP(AE608,Constantes!$A$1:$E$5,MATCH(AD608,Constantes!$A$1:$E$1,0),0),"")</f>
        <v>0.18286935436241611</v>
      </c>
      <c r="AG608" s="115">
        <f t="shared" si="19"/>
        <v>313.33200750582682</v>
      </c>
    </row>
    <row r="609" spans="1:33" x14ac:dyDescent="0.3">
      <c r="A609">
        <f>COUNTIF($B$2:B609,B609)</f>
        <v>2</v>
      </c>
      <c r="B609">
        <v>19215547</v>
      </c>
      <c r="C609" t="s">
        <v>718</v>
      </c>
      <c r="D609" t="s">
        <v>719</v>
      </c>
      <c r="E609" t="s">
        <v>720</v>
      </c>
      <c r="F609" t="s">
        <v>198</v>
      </c>
      <c r="G609" t="s">
        <v>233</v>
      </c>
      <c r="H609" t="s">
        <v>233</v>
      </c>
      <c r="I609" s="49">
        <v>45245</v>
      </c>
      <c r="J609" s="49">
        <v>45247</v>
      </c>
      <c r="K609" t="s">
        <v>721</v>
      </c>
      <c r="L609" s="49">
        <v>45245</v>
      </c>
      <c r="M609" s="49">
        <v>45247</v>
      </c>
      <c r="N609" t="s">
        <v>107</v>
      </c>
      <c r="O609" t="s">
        <v>110</v>
      </c>
      <c r="P609">
        <f>VLOOKUP(N609,[1]ID_Cidades!$A$1:$E$5900,2,FALSE)</f>
        <v>295765</v>
      </c>
      <c r="Q609">
        <f>VLOOKUP(O609,[1]ID_Cidades!$A$1:$E$5900,2,FALSE)</f>
        <v>295763</v>
      </c>
      <c r="R609">
        <f t="shared" si="18"/>
        <v>87476343695</v>
      </c>
      <c r="S609" s="42">
        <f>VLOOKUP(R609,'[1]GCD base'!$A$1:$M$200,7,FALSE)</f>
        <v>1713.419991</v>
      </c>
      <c r="T609" t="s">
        <v>109</v>
      </c>
      <c r="U609" t="s">
        <v>205</v>
      </c>
      <c r="V609" t="s">
        <v>202</v>
      </c>
      <c r="W609" t="s">
        <v>203</v>
      </c>
      <c r="X609" t="s">
        <v>204</v>
      </c>
      <c r="Y609">
        <v>0</v>
      </c>
      <c r="Z609">
        <v>0</v>
      </c>
      <c r="AA609">
        <v>804.71</v>
      </c>
      <c r="AB609">
        <v>0</v>
      </c>
      <c r="AC609" s="49">
        <v>45191</v>
      </c>
      <c r="AD609" s="116" t="s">
        <v>10</v>
      </c>
      <c r="AE609" s="113" t="str" cm="1">
        <f t="array" ref="AE609">_xlfn.IFS(S609&lt;=Constantes!$G$2,"Muito Curta (evitável)",S609&lt;=Constantes!$H$2,"Curta Distância",S609&gt;Constantes!$H$2,"Longa Distância")</f>
        <v>Curta Distância</v>
      </c>
      <c r="AF609" s="114">
        <f>IFERROR(VLOOKUP(AE609,Constantes!$A$1:$E$5,MATCH(AD609,Constantes!$A$1:$E$1,0),0),"")</f>
        <v>0.18286935436241611</v>
      </c>
      <c r="AG609" s="115">
        <f t="shared" si="19"/>
        <v>313.33200750582682</v>
      </c>
    </row>
    <row r="610" spans="1:33" x14ac:dyDescent="0.3">
      <c r="A610">
        <f>COUNTIF($B$2:B610,B610)</f>
        <v>1</v>
      </c>
      <c r="B610">
        <v>19269173</v>
      </c>
      <c r="C610" t="s">
        <v>925</v>
      </c>
      <c r="D610" t="s">
        <v>802</v>
      </c>
      <c r="E610" t="s">
        <v>803</v>
      </c>
      <c r="F610" t="s">
        <v>198</v>
      </c>
      <c r="G610" t="s">
        <v>233</v>
      </c>
      <c r="H610" t="s">
        <v>233</v>
      </c>
      <c r="I610" s="49">
        <v>45245</v>
      </c>
      <c r="J610" s="49">
        <v>45248</v>
      </c>
      <c r="K610" t="s">
        <v>926</v>
      </c>
      <c r="L610" s="49">
        <v>45245</v>
      </c>
      <c r="M610" s="49">
        <v>45248</v>
      </c>
      <c r="N610" t="s">
        <v>107</v>
      </c>
      <c r="O610" t="s">
        <v>110</v>
      </c>
      <c r="P610">
        <f>VLOOKUP(N610,[1]ID_Cidades!$A$1:$E$5900,2,FALSE)</f>
        <v>295765</v>
      </c>
      <c r="Q610">
        <f>VLOOKUP(O610,[1]ID_Cidades!$A$1:$E$5900,2,FALSE)</f>
        <v>295763</v>
      </c>
      <c r="R610">
        <f t="shared" si="18"/>
        <v>87476343695</v>
      </c>
      <c r="S610" s="42">
        <f>VLOOKUP(R610,'[1]GCD base'!$A$1:$M$200,7,FALSE)</f>
        <v>1713.419991</v>
      </c>
      <c r="T610" t="s">
        <v>109</v>
      </c>
      <c r="U610" t="s">
        <v>205</v>
      </c>
      <c r="V610" t="s">
        <v>202</v>
      </c>
      <c r="W610" t="s">
        <v>203</v>
      </c>
      <c r="X610" t="s">
        <v>204</v>
      </c>
      <c r="Y610">
        <v>1369.17</v>
      </c>
      <c r="Z610">
        <v>0</v>
      </c>
      <c r="AA610">
        <v>853.29</v>
      </c>
      <c r="AB610">
        <v>0</v>
      </c>
      <c r="AC610" s="49">
        <v>45181</v>
      </c>
      <c r="AD610" s="116" t="s">
        <v>10</v>
      </c>
      <c r="AE610" s="113" t="str" cm="1">
        <f t="array" ref="AE610">_xlfn.IFS(S610&lt;=Constantes!$G$2,"Muito Curta (evitável)",S610&lt;=Constantes!$H$2,"Curta Distância",S610&gt;Constantes!$H$2,"Longa Distância")</f>
        <v>Curta Distância</v>
      </c>
      <c r="AF610" s="114">
        <f>IFERROR(VLOOKUP(AE610,Constantes!$A$1:$E$5,MATCH(AD610,Constantes!$A$1:$E$1,0),0),"")</f>
        <v>0.18286935436241611</v>
      </c>
      <c r="AG610" s="115">
        <f t="shared" si="19"/>
        <v>313.33200750582682</v>
      </c>
    </row>
    <row r="611" spans="1:33" x14ac:dyDescent="0.3">
      <c r="A611">
        <f>COUNTIF($B$2:B611,B611)</f>
        <v>2</v>
      </c>
      <c r="B611">
        <v>19269173</v>
      </c>
      <c r="C611" t="s">
        <v>925</v>
      </c>
      <c r="D611" t="s">
        <v>802</v>
      </c>
      <c r="E611" t="s">
        <v>803</v>
      </c>
      <c r="F611" t="s">
        <v>198</v>
      </c>
      <c r="G611" t="s">
        <v>233</v>
      </c>
      <c r="H611" t="s">
        <v>233</v>
      </c>
      <c r="I611" s="49">
        <v>45245</v>
      </c>
      <c r="J611" s="49">
        <v>45248</v>
      </c>
      <c r="K611" t="s">
        <v>926</v>
      </c>
      <c r="L611" s="49">
        <v>45248</v>
      </c>
      <c r="M611" s="49">
        <v>45248</v>
      </c>
      <c r="N611" t="s">
        <v>110</v>
      </c>
      <c r="O611" t="s">
        <v>107</v>
      </c>
      <c r="P611">
        <f>VLOOKUP(N611,[1]ID_Cidades!$A$1:$E$5900,2,FALSE)</f>
        <v>295763</v>
      </c>
      <c r="Q611">
        <f>VLOOKUP(O611,[1]ID_Cidades!$A$1:$E$5900,2,FALSE)</f>
        <v>295765</v>
      </c>
      <c r="R611">
        <f t="shared" si="18"/>
        <v>87476343695</v>
      </c>
      <c r="S611" s="42">
        <f>VLOOKUP(R611,'[1]GCD base'!$A$1:$M$200,7,FALSE)</f>
        <v>1713.419991</v>
      </c>
      <c r="T611" t="s">
        <v>109</v>
      </c>
      <c r="U611" t="s">
        <v>201</v>
      </c>
      <c r="V611" t="s">
        <v>202</v>
      </c>
      <c r="W611" t="s">
        <v>203</v>
      </c>
      <c r="X611" t="s">
        <v>204</v>
      </c>
      <c r="Y611">
        <v>0</v>
      </c>
      <c r="Z611">
        <v>0</v>
      </c>
      <c r="AA611">
        <v>1226.4100000000001</v>
      </c>
      <c r="AB611">
        <v>0</v>
      </c>
      <c r="AC611" s="49">
        <v>45181</v>
      </c>
      <c r="AD611" s="116" t="s">
        <v>10</v>
      </c>
      <c r="AE611" s="113" t="str" cm="1">
        <f t="array" ref="AE611">_xlfn.IFS(S611&lt;=Constantes!$G$2,"Muito Curta (evitável)",S611&lt;=Constantes!$H$2,"Curta Distância",S611&gt;Constantes!$H$2,"Longa Distância")</f>
        <v>Curta Distância</v>
      </c>
      <c r="AF611" s="114">
        <f>IFERROR(VLOOKUP(AE611,Constantes!$A$1:$E$5,MATCH(AD611,Constantes!$A$1:$E$1,0),0),"")</f>
        <v>0.18286935436241611</v>
      </c>
      <c r="AG611" s="115">
        <f t="shared" si="19"/>
        <v>313.33200750582682</v>
      </c>
    </row>
    <row r="612" spans="1:33" x14ac:dyDescent="0.3">
      <c r="A612">
        <f>COUNTIF($B$2:B612,B612)</f>
        <v>1</v>
      </c>
      <c r="B612">
        <v>19387545</v>
      </c>
      <c r="C612" t="s">
        <v>1462</v>
      </c>
      <c r="D612" t="s">
        <v>218</v>
      </c>
      <c r="E612" t="s">
        <v>1463</v>
      </c>
      <c r="F612" t="s">
        <v>218</v>
      </c>
      <c r="G612" t="s">
        <v>207</v>
      </c>
      <c r="H612" t="s">
        <v>204</v>
      </c>
      <c r="I612" s="49">
        <v>45245</v>
      </c>
      <c r="J612" s="49">
        <v>45248</v>
      </c>
      <c r="K612" t="s">
        <v>1464</v>
      </c>
      <c r="L612" s="49">
        <v>45245</v>
      </c>
      <c r="M612" s="49">
        <v>45248</v>
      </c>
      <c r="N612" t="s">
        <v>116</v>
      </c>
      <c r="O612" t="s">
        <v>107</v>
      </c>
      <c r="P612">
        <f>VLOOKUP(N612,[1]ID_Cidades!$A$1:$E$5900,2,FALSE)</f>
        <v>295778</v>
      </c>
      <c r="Q612">
        <f>VLOOKUP(O612,[1]ID_Cidades!$A$1:$E$5900,2,FALSE)</f>
        <v>295765</v>
      </c>
      <c r="R612">
        <f t="shared" si="18"/>
        <v>87480780170</v>
      </c>
      <c r="S612" s="42">
        <f>VLOOKUP(R612,'[1]GCD base'!$A$1:$M$200,7,FALSE)</f>
        <v>1961.5007860000001</v>
      </c>
      <c r="T612" t="s">
        <v>109</v>
      </c>
      <c r="U612" t="s">
        <v>205</v>
      </c>
      <c r="V612" t="s">
        <v>202</v>
      </c>
      <c r="W612" t="s">
        <v>203</v>
      </c>
      <c r="X612" t="s">
        <v>204</v>
      </c>
      <c r="Y612">
        <v>1288.57</v>
      </c>
      <c r="Z612">
        <v>0</v>
      </c>
      <c r="AA612">
        <v>1201.3</v>
      </c>
      <c r="AB612">
        <v>0</v>
      </c>
      <c r="AC612" s="49">
        <v>45210</v>
      </c>
      <c r="AD612" s="116" t="s">
        <v>10</v>
      </c>
      <c r="AE612" s="113" t="str" cm="1">
        <f t="array" ref="AE612">_xlfn.IFS(S612&lt;=Constantes!$G$2,"Muito Curta (evitável)",S612&lt;=Constantes!$H$2,"Curta Distância",S612&gt;Constantes!$H$2,"Longa Distância")</f>
        <v>Curta Distância</v>
      </c>
      <c r="AF612" s="114">
        <f>IFERROR(VLOOKUP(AE612,Constantes!$A$1:$E$5,MATCH(AD612,Constantes!$A$1:$E$1,0),0),"")</f>
        <v>0.18286935436241611</v>
      </c>
      <c r="AG612" s="115">
        <f t="shared" si="19"/>
        <v>358.69838231719172</v>
      </c>
    </row>
    <row r="613" spans="1:33" x14ac:dyDescent="0.3">
      <c r="A613">
        <f>COUNTIF($B$2:B613,B613)</f>
        <v>2</v>
      </c>
      <c r="B613">
        <v>19387545</v>
      </c>
      <c r="C613" t="s">
        <v>1462</v>
      </c>
      <c r="D613" t="s">
        <v>218</v>
      </c>
      <c r="E613" t="s">
        <v>1463</v>
      </c>
      <c r="F613" t="s">
        <v>218</v>
      </c>
      <c r="G613" t="s">
        <v>207</v>
      </c>
      <c r="H613" t="s">
        <v>204</v>
      </c>
      <c r="I613" s="49">
        <v>45245</v>
      </c>
      <c r="J613" s="49">
        <v>45248</v>
      </c>
      <c r="K613" t="s">
        <v>1464</v>
      </c>
      <c r="L613" s="49">
        <v>45248</v>
      </c>
      <c r="M613" s="49">
        <v>45248</v>
      </c>
      <c r="N613" t="s">
        <v>107</v>
      </c>
      <c r="O613" t="s">
        <v>116</v>
      </c>
      <c r="P613">
        <f>VLOOKUP(N613,[1]ID_Cidades!$A$1:$E$5900,2,FALSE)</f>
        <v>295765</v>
      </c>
      <c r="Q613">
        <f>VLOOKUP(O613,[1]ID_Cidades!$A$1:$E$5900,2,FALSE)</f>
        <v>295778</v>
      </c>
      <c r="R613">
        <f t="shared" si="18"/>
        <v>87480780170</v>
      </c>
      <c r="S613" s="42">
        <f>VLOOKUP(R613,'[1]GCD base'!$A$1:$M$200,7,FALSE)</f>
        <v>1961.5007860000001</v>
      </c>
      <c r="T613" t="s">
        <v>109</v>
      </c>
      <c r="U613" t="s">
        <v>201</v>
      </c>
      <c r="V613" t="s">
        <v>202</v>
      </c>
      <c r="W613" t="s">
        <v>203</v>
      </c>
      <c r="X613" t="s">
        <v>204</v>
      </c>
      <c r="Y613">
        <v>0</v>
      </c>
      <c r="Z613">
        <v>0</v>
      </c>
      <c r="AA613">
        <v>839.59</v>
      </c>
      <c r="AB613">
        <v>0</v>
      </c>
      <c r="AC613" s="49">
        <v>45210</v>
      </c>
      <c r="AD613" s="116" t="s">
        <v>10</v>
      </c>
      <c r="AE613" s="113" t="str" cm="1">
        <f t="array" ref="AE613">_xlfn.IFS(S613&lt;=Constantes!$G$2,"Muito Curta (evitável)",S613&lt;=Constantes!$H$2,"Curta Distância",S613&gt;Constantes!$H$2,"Longa Distância")</f>
        <v>Curta Distância</v>
      </c>
      <c r="AF613" s="114">
        <f>IFERROR(VLOOKUP(AE613,Constantes!$A$1:$E$5,MATCH(AD613,Constantes!$A$1:$E$1,0),0),"")</f>
        <v>0.18286935436241611</v>
      </c>
      <c r="AG613" s="115">
        <f t="shared" si="19"/>
        <v>358.69838231719172</v>
      </c>
    </row>
    <row r="614" spans="1:33" x14ac:dyDescent="0.3">
      <c r="A614">
        <f>COUNTIF($B$2:B614,B614)</f>
        <v>1</v>
      </c>
      <c r="B614">
        <v>19428594</v>
      </c>
      <c r="C614" t="s">
        <v>1549</v>
      </c>
      <c r="D614" t="s">
        <v>218</v>
      </c>
      <c r="E614" t="s">
        <v>1550</v>
      </c>
      <c r="F614" t="s">
        <v>218</v>
      </c>
      <c r="G614" t="s">
        <v>207</v>
      </c>
      <c r="H614" t="s">
        <v>204</v>
      </c>
      <c r="I614" s="49">
        <v>45245</v>
      </c>
      <c r="J614" s="49">
        <v>45248</v>
      </c>
      <c r="K614" t="s">
        <v>1551</v>
      </c>
      <c r="L614" s="49">
        <v>45245</v>
      </c>
      <c r="M614" s="49">
        <v>45248</v>
      </c>
      <c r="N614" t="s">
        <v>107</v>
      </c>
      <c r="O614" t="s">
        <v>115</v>
      </c>
      <c r="P614">
        <f>VLOOKUP(N614,[1]ID_Cidades!$A$1:$E$5900,2,FALSE)</f>
        <v>295765</v>
      </c>
      <c r="Q614">
        <f>VLOOKUP(O614,[1]ID_Cidades!$A$1:$E$5900,2,FALSE)</f>
        <v>295770</v>
      </c>
      <c r="R614">
        <f t="shared" si="18"/>
        <v>87478414050</v>
      </c>
      <c r="S614" s="42">
        <f>VLOOKUP(R614,'[1]GCD base'!$A$1:$M$200,7,FALSE)</f>
        <v>741.11941309999997</v>
      </c>
      <c r="T614" t="s">
        <v>109</v>
      </c>
      <c r="U614" t="s">
        <v>205</v>
      </c>
      <c r="V614" t="s">
        <v>202</v>
      </c>
      <c r="W614" t="s">
        <v>203</v>
      </c>
      <c r="X614" t="s">
        <v>204</v>
      </c>
      <c r="Y614">
        <v>0</v>
      </c>
      <c r="Z614">
        <v>0</v>
      </c>
      <c r="AA614">
        <v>1295.0899999999999</v>
      </c>
      <c r="AB614">
        <v>0</v>
      </c>
      <c r="AC614" s="49">
        <v>45224</v>
      </c>
      <c r="AD614" s="116" t="s">
        <v>10</v>
      </c>
      <c r="AE614" s="113" t="str" cm="1">
        <f t="array" ref="AE614">_xlfn.IFS(S614&lt;=Constantes!$G$2,"Muito Curta (evitável)",S614&lt;=Constantes!$H$2,"Curta Distância",S614&gt;Constantes!$H$2,"Longa Distância")</f>
        <v>Curta Distância</v>
      </c>
      <c r="AF614" s="114">
        <f>IFERROR(VLOOKUP(AE614,Constantes!$A$1:$E$5,MATCH(AD614,Constantes!$A$1:$E$1,0),0),"")</f>
        <v>0.18286935436241611</v>
      </c>
      <c r="AG614" s="115">
        <f t="shared" si="19"/>
        <v>135.52802857904976</v>
      </c>
    </row>
    <row r="615" spans="1:33" x14ac:dyDescent="0.3">
      <c r="A615">
        <f>COUNTIF($B$2:B615,B615)</f>
        <v>2</v>
      </c>
      <c r="B615">
        <v>19428594</v>
      </c>
      <c r="C615" t="s">
        <v>1549</v>
      </c>
      <c r="D615" t="s">
        <v>218</v>
      </c>
      <c r="E615" t="s">
        <v>1550</v>
      </c>
      <c r="F615" t="s">
        <v>218</v>
      </c>
      <c r="G615" t="s">
        <v>207</v>
      </c>
      <c r="H615" t="s">
        <v>204</v>
      </c>
      <c r="I615" s="49">
        <v>45245</v>
      </c>
      <c r="J615" s="49">
        <v>45248</v>
      </c>
      <c r="K615" t="s">
        <v>1551</v>
      </c>
      <c r="L615" s="49">
        <v>45248</v>
      </c>
      <c r="M615" s="49">
        <v>45248</v>
      </c>
      <c r="N615" t="s">
        <v>115</v>
      </c>
      <c r="O615" t="s">
        <v>107</v>
      </c>
      <c r="P615">
        <f>VLOOKUP(N615,[1]ID_Cidades!$A$1:$E$5900,2,FALSE)</f>
        <v>295770</v>
      </c>
      <c r="Q615">
        <f>VLOOKUP(O615,[1]ID_Cidades!$A$1:$E$5900,2,FALSE)</f>
        <v>295765</v>
      </c>
      <c r="R615">
        <f t="shared" si="18"/>
        <v>87478414050</v>
      </c>
      <c r="S615" s="42">
        <f>VLOOKUP(R615,'[1]GCD base'!$A$1:$M$200,7,FALSE)</f>
        <v>741.11941309999997</v>
      </c>
      <c r="T615" t="s">
        <v>109</v>
      </c>
      <c r="U615" t="s">
        <v>201</v>
      </c>
      <c r="V615" t="s">
        <v>202</v>
      </c>
      <c r="W615" t="s">
        <v>203</v>
      </c>
      <c r="X615" t="s">
        <v>204</v>
      </c>
      <c r="Y615">
        <v>0</v>
      </c>
      <c r="Z615">
        <v>0</v>
      </c>
      <c r="AA615">
        <v>934.39</v>
      </c>
      <c r="AB615">
        <v>0</v>
      </c>
      <c r="AC615" s="49">
        <v>45224</v>
      </c>
      <c r="AD615" s="116" t="s">
        <v>10</v>
      </c>
      <c r="AE615" s="113" t="str" cm="1">
        <f t="array" ref="AE615">_xlfn.IFS(S615&lt;=Constantes!$G$2,"Muito Curta (evitável)",S615&lt;=Constantes!$H$2,"Curta Distância",S615&gt;Constantes!$H$2,"Longa Distância")</f>
        <v>Curta Distância</v>
      </c>
      <c r="AF615" s="114">
        <f>IFERROR(VLOOKUP(AE615,Constantes!$A$1:$E$5,MATCH(AD615,Constantes!$A$1:$E$1,0),0),"")</f>
        <v>0.18286935436241611</v>
      </c>
      <c r="AG615" s="115">
        <f t="shared" si="19"/>
        <v>135.52802857904976</v>
      </c>
    </row>
    <row r="616" spans="1:33" x14ac:dyDescent="0.3">
      <c r="A616">
        <f>COUNTIF($B$2:B616,B616)</f>
        <v>1</v>
      </c>
      <c r="B616">
        <v>19507583</v>
      </c>
      <c r="C616" t="s">
        <v>1648</v>
      </c>
      <c r="D616" t="s">
        <v>1649</v>
      </c>
      <c r="E616" t="s">
        <v>1650</v>
      </c>
      <c r="F616" t="s">
        <v>198</v>
      </c>
      <c r="G616" t="s">
        <v>233</v>
      </c>
      <c r="H616" t="s">
        <v>233</v>
      </c>
      <c r="I616" s="49">
        <v>45245</v>
      </c>
      <c r="J616" s="49">
        <v>45248</v>
      </c>
      <c r="K616" t="s">
        <v>1651</v>
      </c>
      <c r="L616" s="49">
        <v>45245</v>
      </c>
      <c r="M616" s="49">
        <v>45248</v>
      </c>
      <c r="N616" t="s">
        <v>1508</v>
      </c>
      <c r="O616" t="s">
        <v>110</v>
      </c>
      <c r="P616">
        <f>VLOOKUP(N616,[1]ID_Cidades!$A$1:$E$5900,2,FALSE)</f>
        <v>300632</v>
      </c>
      <c r="Q616">
        <f>VLOOKUP(O616,[1]ID_Cidades!$A$1:$E$5900,2,FALSE)</f>
        <v>295763</v>
      </c>
      <c r="R616">
        <f t="shared" si="18"/>
        <v>88915822216</v>
      </c>
      <c r="S616" s="42">
        <f>VLOOKUP(R616,'[1]GCD base'!$A$1:$M$200,7,FALSE)</f>
        <v>1621.2666830000001</v>
      </c>
      <c r="T616" t="s">
        <v>109</v>
      </c>
      <c r="U616" t="s">
        <v>205</v>
      </c>
      <c r="V616" t="s">
        <v>202</v>
      </c>
      <c r="W616" t="s">
        <v>210</v>
      </c>
      <c r="X616" t="s">
        <v>1652</v>
      </c>
      <c r="Y616">
        <v>1351.01</v>
      </c>
      <c r="Z616">
        <v>0</v>
      </c>
      <c r="AA616">
        <v>681.76</v>
      </c>
      <c r="AB616">
        <v>0</v>
      </c>
      <c r="AC616" s="49">
        <v>45240</v>
      </c>
      <c r="AD616" s="116" t="s">
        <v>10</v>
      </c>
      <c r="AE616" s="113" t="str" cm="1">
        <f t="array" ref="AE616">_xlfn.IFS(S616&lt;=Constantes!$G$2,"Muito Curta (evitável)",S616&lt;=Constantes!$H$2,"Curta Distância",S616&gt;Constantes!$H$2,"Longa Distância")</f>
        <v>Curta Distância</v>
      </c>
      <c r="AF616" s="114">
        <f>IFERROR(VLOOKUP(AE616,Constantes!$A$1:$E$5,MATCH(AD616,Constantes!$A$1:$E$1,0),0),"")</f>
        <v>0.18286935436241611</v>
      </c>
      <c r="AG616" s="115">
        <f t="shared" si="19"/>
        <v>296.47999156950596</v>
      </c>
    </row>
    <row r="617" spans="1:33" x14ac:dyDescent="0.3">
      <c r="A617">
        <f>COUNTIF($B$2:B617,B617)</f>
        <v>2</v>
      </c>
      <c r="B617">
        <v>19507583</v>
      </c>
      <c r="C617" t="s">
        <v>1648</v>
      </c>
      <c r="D617" t="s">
        <v>1649</v>
      </c>
      <c r="E617" t="s">
        <v>1650</v>
      </c>
      <c r="F617" t="s">
        <v>198</v>
      </c>
      <c r="G617" t="s">
        <v>233</v>
      </c>
      <c r="H617" t="s">
        <v>233</v>
      </c>
      <c r="I617" s="49">
        <v>45245</v>
      </c>
      <c r="J617" s="49">
        <v>45248</v>
      </c>
      <c r="K617" t="s">
        <v>1651</v>
      </c>
      <c r="L617" s="49">
        <v>45248</v>
      </c>
      <c r="M617" s="49">
        <v>45248</v>
      </c>
      <c r="N617" t="s">
        <v>110</v>
      </c>
      <c r="O617" t="s">
        <v>107</v>
      </c>
      <c r="P617">
        <f>VLOOKUP(N617,[1]ID_Cidades!$A$1:$E$5900,2,FALSE)</f>
        <v>295763</v>
      </c>
      <c r="Q617">
        <f>VLOOKUP(O617,[1]ID_Cidades!$A$1:$E$5900,2,FALSE)</f>
        <v>295765</v>
      </c>
      <c r="R617">
        <f t="shared" si="18"/>
        <v>87476343695</v>
      </c>
      <c r="S617" s="42">
        <f>VLOOKUP(R617,'[1]GCD base'!$A$1:$M$200,7,FALSE)</f>
        <v>1713.419991</v>
      </c>
      <c r="T617" t="s">
        <v>109</v>
      </c>
      <c r="U617" t="s">
        <v>201</v>
      </c>
      <c r="V617" t="s">
        <v>202</v>
      </c>
      <c r="W617" t="s">
        <v>210</v>
      </c>
      <c r="X617" t="s">
        <v>1652</v>
      </c>
      <c r="Y617">
        <v>0</v>
      </c>
      <c r="Z617">
        <v>0</v>
      </c>
      <c r="AA617">
        <v>1503.11</v>
      </c>
      <c r="AB617">
        <v>0</v>
      </c>
      <c r="AC617" s="49">
        <v>45240</v>
      </c>
      <c r="AD617" s="116" t="s">
        <v>10</v>
      </c>
      <c r="AE617" s="113" t="str" cm="1">
        <f t="array" ref="AE617">_xlfn.IFS(S617&lt;=Constantes!$G$2,"Muito Curta (evitável)",S617&lt;=Constantes!$H$2,"Curta Distância",S617&gt;Constantes!$H$2,"Longa Distância")</f>
        <v>Curta Distância</v>
      </c>
      <c r="AF617" s="114">
        <f>IFERROR(VLOOKUP(AE617,Constantes!$A$1:$E$5,MATCH(AD617,Constantes!$A$1:$E$1,0),0),"")</f>
        <v>0.18286935436241611</v>
      </c>
      <c r="AG617" s="115">
        <f t="shared" si="19"/>
        <v>313.33200750582682</v>
      </c>
    </row>
    <row r="618" spans="1:33" x14ac:dyDescent="0.3">
      <c r="A618">
        <f>COUNTIF($B$2:B618,B618)</f>
        <v>1</v>
      </c>
      <c r="B618">
        <v>19316258</v>
      </c>
      <c r="C618" t="s">
        <v>1171</v>
      </c>
      <c r="D618" t="s">
        <v>218</v>
      </c>
      <c r="E618" t="s">
        <v>1172</v>
      </c>
      <c r="F618" t="s">
        <v>198</v>
      </c>
      <c r="G618" t="s">
        <v>207</v>
      </c>
      <c r="H618" t="s">
        <v>204</v>
      </c>
      <c r="I618" s="49">
        <v>45246</v>
      </c>
      <c r="J618" s="49">
        <v>45259</v>
      </c>
      <c r="K618" t="s">
        <v>1173</v>
      </c>
      <c r="L618" s="49">
        <v>45259</v>
      </c>
      <c r="M618" s="49">
        <v>45259</v>
      </c>
      <c r="N618" t="s">
        <v>107</v>
      </c>
      <c r="O618" t="s">
        <v>1174</v>
      </c>
      <c r="P618">
        <f>VLOOKUP(N618,[1]ID_Cidades!$A$1:$E$5900,2,FALSE)</f>
        <v>295765</v>
      </c>
      <c r="Q618">
        <f>VLOOKUP(O618,[1]ID_Cidades!$A$1:$E$5900,2,FALSE)</f>
        <v>295772</v>
      </c>
      <c r="R618">
        <f t="shared" si="18"/>
        <v>87479005580</v>
      </c>
      <c r="S618" s="42">
        <f>VLOOKUP(R618,'[1]GCD base'!$A$1:$M$200,7,FALSE)</f>
        <v>901.24066259999995</v>
      </c>
      <c r="T618" t="s">
        <v>109</v>
      </c>
      <c r="U618" t="s">
        <v>201</v>
      </c>
      <c r="V618" t="s">
        <v>202</v>
      </c>
      <c r="W618" t="s">
        <v>203</v>
      </c>
      <c r="X618" t="s">
        <v>204</v>
      </c>
      <c r="Y618">
        <v>4399.67</v>
      </c>
      <c r="Z618">
        <v>0</v>
      </c>
      <c r="AA618">
        <v>1201.0899999999999</v>
      </c>
      <c r="AB618">
        <v>0</v>
      </c>
      <c r="AC618" s="49">
        <v>45190</v>
      </c>
      <c r="AD618" s="116" t="s">
        <v>10</v>
      </c>
      <c r="AE618" s="113" t="str" cm="1">
        <f t="array" ref="AE618">_xlfn.IFS(S618&lt;=Constantes!$G$2,"Muito Curta (evitável)",S618&lt;=Constantes!$H$2,"Curta Distância",S618&gt;Constantes!$H$2,"Longa Distância")</f>
        <v>Curta Distância</v>
      </c>
      <c r="AF618" s="114">
        <f>IFERROR(VLOOKUP(AE618,Constantes!$A$1:$E$5,MATCH(AD618,Constantes!$A$1:$E$1,0),0),"")</f>
        <v>0.18286935436241611</v>
      </c>
      <c r="AG618" s="115">
        <f t="shared" si="19"/>
        <v>164.80929809481808</v>
      </c>
    </row>
    <row r="619" spans="1:33" x14ac:dyDescent="0.3">
      <c r="A619">
        <f>COUNTIF($B$2:B619,B619)</f>
        <v>2</v>
      </c>
      <c r="B619">
        <v>19316258</v>
      </c>
      <c r="C619" t="s">
        <v>1171</v>
      </c>
      <c r="D619" t="s">
        <v>218</v>
      </c>
      <c r="E619" t="s">
        <v>1172</v>
      </c>
      <c r="F619" t="s">
        <v>198</v>
      </c>
      <c r="G619" t="s">
        <v>207</v>
      </c>
      <c r="H619" t="s">
        <v>204</v>
      </c>
      <c r="I619" s="49">
        <v>45246</v>
      </c>
      <c r="J619" s="49">
        <v>45259</v>
      </c>
      <c r="K619" t="s">
        <v>1173</v>
      </c>
      <c r="L619" s="49">
        <v>45246</v>
      </c>
      <c r="M619" s="49">
        <v>45259</v>
      </c>
      <c r="N619" t="s">
        <v>1174</v>
      </c>
      <c r="O619" t="s">
        <v>107</v>
      </c>
      <c r="P619">
        <f>VLOOKUP(N619,[1]ID_Cidades!$A$1:$E$5900,2,FALSE)</f>
        <v>295772</v>
      </c>
      <c r="Q619">
        <f>VLOOKUP(O619,[1]ID_Cidades!$A$1:$E$5900,2,FALSE)</f>
        <v>295765</v>
      </c>
      <c r="R619">
        <f t="shared" si="18"/>
        <v>87479005580</v>
      </c>
      <c r="S619" s="42">
        <f>VLOOKUP(R619,'[1]GCD base'!$A$1:$M$200,7,FALSE)</f>
        <v>901.24066259999995</v>
      </c>
      <c r="T619" t="s">
        <v>109</v>
      </c>
      <c r="U619" t="s">
        <v>205</v>
      </c>
      <c r="V619" t="s">
        <v>202</v>
      </c>
      <c r="W619" t="s">
        <v>203</v>
      </c>
      <c r="X619" t="s">
        <v>204</v>
      </c>
      <c r="Y619">
        <v>0</v>
      </c>
      <c r="Z619">
        <v>0</v>
      </c>
      <c r="AA619">
        <v>1464.14</v>
      </c>
      <c r="AB619">
        <v>0</v>
      </c>
      <c r="AC619" s="49">
        <v>45190</v>
      </c>
      <c r="AD619" s="116" t="s">
        <v>10</v>
      </c>
      <c r="AE619" s="113" t="str" cm="1">
        <f t="array" ref="AE619">_xlfn.IFS(S619&lt;=Constantes!$G$2,"Muito Curta (evitável)",S619&lt;=Constantes!$H$2,"Curta Distância",S619&gt;Constantes!$H$2,"Longa Distância")</f>
        <v>Curta Distância</v>
      </c>
      <c r="AF619" s="114">
        <f>IFERROR(VLOOKUP(AE619,Constantes!$A$1:$E$5,MATCH(AD619,Constantes!$A$1:$E$1,0),0),"")</f>
        <v>0.18286935436241611</v>
      </c>
      <c r="AG619" s="115">
        <f t="shared" si="19"/>
        <v>164.80929809481808</v>
      </c>
    </row>
    <row r="620" spans="1:33" x14ac:dyDescent="0.3">
      <c r="A620">
        <f>COUNTIF($B$2:B620,B620)</f>
        <v>1</v>
      </c>
      <c r="B620">
        <v>19316531</v>
      </c>
      <c r="C620" t="s">
        <v>1175</v>
      </c>
      <c r="D620" t="s">
        <v>1176</v>
      </c>
      <c r="E620" t="s">
        <v>1177</v>
      </c>
      <c r="F620" t="s">
        <v>198</v>
      </c>
      <c r="G620" t="s">
        <v>207</v>
      </c>
      <c r="H620" t="s">
        <v>204</v>
      </c>
      <c r="I620" s="49">
        <v>45246</v>
      </c>
      <c r="J620" s="49">
        <v>45259</v>
      </c>
      <c r="K620" t="s">
        <v>1178</v>
      </c>
      <c r="L620" s="49">
        <v>45246</v>
      </c>
      <c r="M620" s="49">
        <v>45259</v>
      </c>
      <c r="N620" t="s">
        <v>124</v>
      </c>
      <c r="O620" t="s">
        <v>107</v>
      </c>
      <c r="P620">
        <f>VLOOKUP(N620,[1]ID_Cidades!$A$1:$E$5900,2,FALSE)</f>
        <v>295776</v>
      </c>
      <c r="Q620">
        <f>VLOOKUP(O620,[1]ID_Cidades!$A$1:$E$5900,2,FALSE)</f>
        <v>295765</v>
      </c>
      <c r="R620">
        <f t="shared" si="18"/>
        <v>87480188640</v>
      </c>
      <c r="S620" s="42">
        <f>VLOOKUP(R620,'[1]GCD base'!$A$1:$M$200,7,FALSE)</f>
        <v>1568.389426</v>
      </c>
      <c r="T620" t="s">
        <v>109</v>
      </c>
      <c r="U620" t="s">
        <v>205</v>
      </c>
      <c r="V620" t="s">
        <v>202</v>
      </c>
      <c r="W620" t="s">
        <v>210</v>
      </c>
      <c r="X620" t="s">
        <v>1179</v>
      </c>
      <c r="Y620">
        <v>4399.67</v>
      </c>
      <c r="Z620">
        <v>0</v>
      </c>
      <c r="AA620">
        <v>1018.09</v>
      </c>
      <c r="AB620">
        <v>0</v>
      </c>
      <c r="AC620" s="49">
        <v>45190</v>
      </c>
      <c r="AD620" s="116" t="s">
        <v>10</v>
      </c>
      <c r="AE620" s="113" t="str" cm="1">
        <f t="array" ref="AE620">_xlfn.IFS(S620&lt;=Constantes!$G$2,"Muito Curta (evitável)",S620&lt;=Constantes!$H$2,"Curta Distância",S620&gt;Constantes!$H$2,"Longa Distância")</f>
        <v>Curta Distância</v>
      </c>
      <c r="AF620" s="114">
        <f>IFERROR(VLOOKUP(AE620,Constantes!$A$1:$E$5,MATCH(AD620,Constantes!$A$1:$E$1,0),0),"")</f>
        <v>0.18286935436241611</v>
      </c>
      <c r="AG620" s="115">
        <f t="shared" si="19"/>
        <v>286.81036172146037</v>
      </c>
    </row>
    <row r="621" spans="1:33" x14ac:dyDescent="0.3">
      <c r="A621">
        <f>COUNTIF($B$2:B621,B621)</f>
        <v>2</v>
      </c>
      <c r="B621">
        <v>19316531</v>
      </c>
      <c r="C621" t="s">
        <v>1175</v>
      </c>
      <c r="D621" t="s">
        <v>1176</v>
      </c>
      <c r="E621" t="s">
        <v>1177</v>
      </c>
      <c r="F621" t="s">
        <v>198</v>
      </c>
      <c r="G621" t="s">
        <v>207</v>
      </c>
      <c r="H621" t="s">
        <v>204</v>
      </c>
      <c r="I621" s="49">
        <v>45246</v>
      </c>
      <c r="J621" s="49">
        <v>45259</v>
      </c>
      <c r="K621" t="s">
        <v>1178</v>
      </c>
      <c r="L621" s="49">
        <v>45259</v>
      </c>
      <c r="M621" s="49">
        <v>45259</v>
      </c>
      <c r="N621" t="s">
        <v>107</v>
      </c>
      <c r="O621" t="s">
        <v>124</v>
      </c>
      <c r="P621">
        <f>VLOOKUP(N621,[1]ID_Cidades!$A$1:$E$5900,2,FALSE)</f>
        <v>295765</v>
      </c>
      <c r="Q621">
        <f>VLOOKUP(O621,[1]ID_Cidades!$A$1:$E$5900,2,FALSE)</f>
        <v>295776</v>
      </c>
      <c r="R621">
        <f t="shared" si="18"/>
        <v>87480188640</v>
      </c>
      <c r="S621" s="42">
        <f>VLOOKUP(R621,'[1]GCD base'!$A$1:$M$200,7,FALSE)</f>
        <v>1568.389426</v>
      </c>
      <c r="T621" t="s">
        <v>109</v>
      </c>
      <c r="U621" t="s">
        <v>201</v>
      </c>
      <c r="V621" t="s">
        <v>202</v>
      </c>
      <c r="W621" t="s">
        <v>210</v>
      </c>
      <c r="X621" t="s">
        <v>1179</v>
      </c>
      <c r="Y621">
        <v>0</v>
      </c>
      <c r="Z621">
        <v>0</v>
      </c>
      <c r="AA621">
        <v>1384.15</v>
      </c>
      <c r="AB621">
        <v>0</v>
      </c>
      <c r="AC621" s="49">
        <v>45190</v>
      </c>
      <c r="AD621" s="116" t="s">
        <v>10</v>
      </c>
      <c r="AE621" s="113" t="str" cm="1">
        <f t="array" ref="AE621">_xlfn.IFS(S621&lt;=Constantes!$G$2,"Muito Curta (evitável)",S621&lt;=Constantes!$H$2,"Curta Distância",S621&gt;Constantes!$H$2,"Longa Distância")</f>
        <v>Curta Distância</v>
      </c>
      <c r="AF621" s="114">
        <f>IFERROR(VLOOKUP(AE621,Constantes!$A$1:$E$5,MATCH(AD621,Constantes!$A$1:$E$1,0),0),"")</f>
        <v>0.18286935436241611</v>
      </c>
      <c r="AG621" s="115">
        <f t="shared" si="19"/>
        <v>286.81036172146037</v>
      </c>
    </row>
    <row r="622" spans="1:33" x14ac:dyDescent="0.3">
      <c r="A622">
        <f>COUNTIF($B$2:B622,B622)</f>
        <v>1</v>
      </c>
      <c r="B622">
        <v>19133964</v>
      </c>
      <c r="C622" t="s">
        <v>497</v>
      </c>
      <c r="D622" t="s">
        <v>498</v>
      </c>
      <c r="E622" t="s">
        <v>499</v>
      </c>
      <c r="F622" t="s">
        <v>198</v>
      </c>
      <c r="G622" t="s">
        <v>207</v>
      </c>
      <c r="H622" t="s">
        <v>204</v>
      </c>
      <c r="I622" s="49">
        <v>45248</v>
      </c>
      <c r="J622" s="49">
        <v>45255</v>
      </c>
      <c r="K622" t="s">
        <v>500</v>
      </c>
      <c r="L622" s="49">
        <v>45255</v>
      </c>
      <c r="M622" s="49">
        <v>45255</v>
      </c>
      <c r="N622" t="s">
        <v>496</v>
      </c>
      <c r="O622" t="s">
        <v>107</v>
      </c>
      <c r="P622">
        <f>VLOOKUP(N622,[1]ID_Cidades!$A$1:$E$5900,2,FALSE)</f>
        <v>295769</v>
      </c>
      <c r="Q622">
        <f>VLOOKUP(O622,[1]ID_Cidades!$A$1:$E$5900,2,FALSE)</f>
        <v>295765</v>
      </c>
      <c r="R622">
        <f t="shared" si="18"/>
        <v>87478118285</v>
      </c>
      <c r="S622" s="42">
        <f>VLOOKUP(R622,'[1]GCD base'!$A$1:$M$200,7,FALSE)</f>
        <v>486.73466200000001</v>
      </c>
      <c r="T622" t="s">
        <v>109</v>
      </c>
      <c r="U622" t="s">
        <v>201</v>
      </c>
      <c r="V622" t="s">
        <v>202</v>
      </c>
      <c r="W622" t="s">
        <v>203</v>
      </c>
      <c r="X622" t="s">
        <v>204</v>
      </c>
      <c r="Y622">
        <v>2503.1</v>
      </c>
      <c r="Z622">
        <v>0</v>
      </c>
      <c r="AA622">
        <v>986.27</v>
      </c>
      <c r="AB622">
        <v>0</v>
      </c>
      <c r="AC622" s="49">
        <v>45155</v>
      </c>
      <c r="AD622" s="116" t="s">
        <v>10</v>
      </c>
      <c r="AE622" s="113" t="str" cm="1">
        <f t="array" ref="AE622">_xlfn.IFS(S622&lt;=Constantes!$G$2,"Muito Curta (evitável)",S622&lt;=Constantes!$H$2,"Curta Distância",S622&gt;Constantes!$H$2,"Longa Distância")</f>
        <v>Muito Curta (evitável)</v>
      </c>
      <c r="AF622" s="114">
        <f>IFERROR(VLOOKUP(AE622,Constantes!$A$1:$E$5,MATCH(AD622,Constantes!$A$1:$E$1,0),0),"")</f>
        <v>0.27257678523489931</v>
      </c>
      <c r="AG622" s="115">
        <f t="shared" si="19"/>
        <v>132.67256943035531</v>
      </c>
    </row>
    <row r="623" spans="1:33" x14ac:dyDescent="0.3">
      <c r="A623">
        <f>COUNTIF($B$2:B623,B623)</f>
        <v>2</v>
      </c>
      <c r="B623">
        <v>19133964</v>
      </c>
      <c r="C623" t="s">
        <v>497</v>
      </c>
      <c r="D623" t="s">
        <v>498</v>
      </c>
      <c r="E623" t="s">
        <v>499</v>
      </c>
      <c r="F623" t="s">
        <v>198</v>
      </c>
      <c r="G623" t="s">
        <v>207</v>
      </c>
      <c r="H623" t="s">
        <v>204</v>
      </c>
      <c r="I623" s="49">
        <v>45248</v>
      </c>
      <c r="J623" s="49">
        <v>45255</v>
      </c>
      <c r="K623" t="s">
        <v>500</v>
      </c>
      <c r="L623" s="49">
        <v>45248</v>
      </c>
      <c r="M623" s="49">
        <v>45255</v>
      </c>
      <c r="N623" t="s">
        <v>107</v>
      </c>
      <c r="O623" t="s">
        <v>496</v>
      </c>
      <c r="P623">
        <f>VLOOKUP(N623,[1]ID_Cidades!$A$1:$E$5900,2,FALSE)</f>
        <v>295765</v>
      </c>
      <c r="Q623">
        <f>VLOOKUP(O623,[1]ID_Cidades!$A$1:$E$5900,2,FALSE)</f>
        <v>295769</v>
      </c>
      <c r="R623">
        <f t="shared" si="18"/>
        <v>87478118285</v>
      </c>
      <c r="S623" s="42">
        <f>VLOOKUP(R623,'[1]GCD base'!$A$1:$M$200,7,FALSE)</f>
        <v>486.73466200000001</v>
      </c>
      <c r="T623" t="s">
        <v>109</v>
      </c>
      <c r="U623" t="s">
        <v>205</v>
      </c>
      <c r="V623" t="s">
        <v>202</v>
      </c>
      <c r="W623" t="s">
        <v>203</v>
      </c>
      <c r="X623" t="s">
        <v>204</v>
      </c>
      <c r="Y623">
        <v>0</v>
      </c>
      <c r="Z623">
        <v>0</v>
      </c>
      <c r="AA623">
        <v>1430.89</v>
      </c>
      <c r="AB623">
        <v>0</v>
      </c>
      <c r="AC623" s="49">
        <v>45155</v>
      </c>
      <c r="AD623" s="116" t="s">
        <v>10</v>
      </c>
      <c r="AE623" s="113" t="str" cm="1">
        <f t="array" ref="AE623">_xlfn.IFS(S623&lt;=Constantes!$G$2,"Muito Curta (evitável)",S623&lt;=Constantes!$H$2,"Curta Distância",S623&gt;Constantes!$H$2,"Longa Distância")</f>
        <v>Muito Curta (evitável)</v>
      </c>
      <c r="AF623" s="114">
        <f>IFERROR(VLOOKUP(AE623,Constantes!$A$1:$E$5,MATCH(AD623,Constantes!$A$1:$E$1,0),0),"")</f>
        <v>0.27257678523489931</v>
      </c>
      <c r="AG623" s="115">
        <f t="shared" si="19"/>
        <v>132.67256943035531</v>
      </c>
    </row>
    <row r="624" spans="1:33" x14ac:dyDescent="0.3">
      <c r="A624">
        <f>COUNTIF($B$2:B624,B624)</f>
        <v>1</v>
      </c>
      <c r="B624">
        <v>19208009</v>
      </c>
      <c r="C624" t="s">
        <v>702</v>
      </c>
      <c r="D624" t="s">
        <v>703</v>
      </c>
      <c r="E624" t="s">
        <v>704</v>
      </c>
      <c r="F624" t="s">
        <v>198</v>
      </c>
      <c r="G624" t="s">
        <v>211</v>
      </c>
      <c r="H624" t="s">
        <v>211</v>
      </c>
      <c r="I624" s="49">
        <v>45248</v>
      </c>
      <c r="J624" s="49">
        <v>45255</v>
      </c>
      <c r="K624" t="s">
        <v>705</v>
      </c>
      <c r="L624" s="49">
        <v>45255</v>
      </c>
      <c r="M624" s="49">
        <v>45255</v>
      </c>
      <c r="N624" t="s">
        <v>496</v>
      </c>
      <c r="O624" t="s">
        <v>107</v>
      </c>
      <c r="P624">
        <f>VLOOKUP(N624,[1]ID_Cidades!$A$1:$E$5900,2,FALSE)</f>
        <v>295769</v>
      </c>
      <c r="Q624">
        <f>VLOOKUP(O624,[1]ID_Cidades!$A$1:$E$5900,2,FALSE)</f>
        <v>295765</v>
      </c>
      <c r="R624">
        <f t="shared" si="18"/>
        <v>87478118285</v>
      </c>
      <c r="S624" s="42">
        <f>VLOOKUP(R624,'[1]GCD base'!$A$1:$M$200,7,FALSE)</f>
        <v>486.73466200000001</v>
      </c>
      <c r="T624" t="s">
        <v>109</v>
      </c>
      <c r="U624" t="s">
        <v>201</v>
      </c>
      <c r="V624" t="s">
        <v>202</v>
      </c>
      <c r="W624" t="s">
        <v>203</v>
      </c>
      <c r="X624" t="s">
        <v>204</v>
      </c>
      <c r="Y624">
        <v>2503.1</v>
      </c>
      <c r="Z624">
        <v>0</v>
      </c>
      <c r="AA624">
        <v>1827.99</v>
      </c>
      <c r="AB624">
        <v>0</v>
      </c>
      <c r="AC624" s="49">
        <v>45168</v>
      </c>
      <c r="AD624" s="116" t="s">
        <v>10</v>
      </c>
      <c r="AE624" s="113" t="str" cm="1">
        <f t="array" ref="AE624">_xlfn.IFS(S624&lt;=Constantes!$G$2,"Muito Curta (evitável)",S624&lt;=Constantes!$H$2,"Curta Distância",S624&gt;Constantes!$H$2,"Longa Distância")</f>
        <v>Muito Curta (evitável)</v>
      </c>
      <c r="AF624" s="114">
        <f>IFERROR(VLOOKUP(AE624,Constantes!$A$1:$E$5,MATCH(AD624,Constantes!$A$1:$E$1,0),0),"")</f>
        <v>0.27257678523489931</v>
      </c>
      <c r="AG624" s="115">
        <f t="shared" si="19"/>
        <v>132.67256943035531</v>
      </c>
    </row>
    <row r="625" spans="1:33" x14ac:dyDescent="0.3">
      <c r="A625">
        <f>COUNTIF($B$2:B625,B625)</f>
        <v>2</v>
      </c>
      <c r="B625">
        <v>19208009</v>
      </c>
      <c r="C625" t="s">
        <v>702</v>
      </c>
      <c r="D625" t="s">
        <v>703</v>
      </c>
      <c r="E625" t="s">
        <v>704</v>
      </c>
      <c r="F625" t="s">
        <v>198</v>
      </c>
      <c r="G625" t="s">
        <v>211</v>
      </c>
      <c r="H625" t="s">
        <v>211</v>
      </c>
      <c r="I625" s="49">
        <v>45248</v>
      </c>
      <c r="J625" s="49">
        <v>45255</v>
      </c>
      <c r="K625" t="s">
        <v>705</v>
      </c>
      <c r="L625" s="49">
        <v>45248</v>
      </c>
      <c r="M625" s="49">
        <v>45255</v>
      </c>
      <c r="N625" t="s">
        <v>107</v>
      </c>
      <c r="O625" t="s">
        <v>496</v>
      </c>
      <c r="P625">
        <f>VLOOKUP(N625,[1]ID_Cidades!$A$1:$E$5900,2,FALSE)</f>
        <v>295765</v>
      </c>
      <c r="Q625">
        <f>VLOOKUP(O625,[1]ID_Cidades!$A$1:$E$5900,2,FALSE)</f>
        <v>295769</v>
      </c>
      <c r="R625">
        <f t="shared" si="18"/>
        <v>87478118285</v>
      </c>
      <c r="S625" s="42">
        <f>VLOOKUP(R625,'[1]GCD base'!$A$1:$M$200,7,FALSE)</f>
        <v>486.73466200000001</v>
      </c>
      <c r="T625" t="s">
        <v>109</v>
      </c>
      <c r="U625" t="s">
        <v>205</v>
      </c>
      <c r="V625" t="s">
        <v>202</v>
      </c>
      <c r="W625" t="s">
        <v>203</v>
      </c>
      <c r="X625" t="s">
        <v>204</v>
      </c>
      <c r="Y625">
        <v>0</v>
      </c>
      <c r="Z625">
        <v>0</v>
      </c>
      <c r="AA625">
        <v>1373.37</v>
      </c>
      <c r="AB625">
        <v>0</v>
      </c>
      <c r="AC625" s="49">
        <v>45168</v>
      </c>
      <c r="AD625" s="116" t="s">
        <v>10</v>
      </c>
      <c r="AE625" s="113" t="str" cm="1">
        <f t="array" ref="AE625">_xlfn.IFS(S625&lt;=Constantes!$G$2,"Muito Curta (evitável)",S625&lt;=Constantes!$H$2,"Curta Distância",S625&gt;Constantes!$H$2,"Longa Distância")</f>
        <v>Muito Curta (evitável)</v>
      </c>
      <c r="AF625" s="114">
        <f>IFERROR(VLOOKUP(AE625,Constantes!$A$1:$E$5,MATCH(AD625,Constantes!$A$1:$E$1,0),0),"")</f>
        <v>0.27257678523489931</v>
      </c>
      <c r="AG625" s="115">
        <f t="shared" si="19"/>
        <v>132.67256943035531</v>
      </c>
    </row>
    <row r="626" spans="1:33" x14ac:dyDescent="0.3">
      <c r="A626">
        <f>COUNTIF($B$2:B626,B626)</f>
        <v>1</v>
      </c>
      <c r="B626">
        <v>19217117</v>
      </c>
      <c r="C626" t="s">
        <v>724</v>
      </c>
      <c r="D626" t="s">
        <v>725</v>
      </c>
      <c r="E626" t="s">
        <v>726</v>
      </c>
      <c r="F626" t="s">
        <v>198</v>
      </c>
      <c r="G626" t="s">
        <v>207</v>
      </c>
      <c r="H626" t="s">
        <v>204</v>
      </c>
      <c r="I626" s="49">
        <v>45248</v>
      </c>
      <c r="J626" s="49">
        <v>45254</v>
      </c>
      <c r="K626" t="s">
        <v>727</v>
      </c>
      <c r="L626" s="49">
        <v>45248</v>
      </c>
      <c r="M626" s="49">
        <v>45254</v>
      </c>
      <c r="N626" t="s">
        <v>107</v>
      </c>
      <c r="O626" t="s">
        <v>496</v>
      </c>
      <c r="P626">
        <f>VLOOKUP(N626,[1]ID_Cidades!$A$1:$E$5900,2,FALSE)</f>
        <v>295765</v>
      </c>
      <c r="Q626">
        <f>VLOOKUP(O626,[1]ID_Cidades!$A$1:$E$5900,2,FALSE)</f>
        <v>295769</v>
      </c>
      <c r="R626">
        <f t="shared" si="18"/>
        <v>87478118285</v>
      </c>
      <c r="S626" s="42">
        <f>VLOOKUP(R626,'[1]GCD base'!$A$1:$M$200,7,FALSE)</f>
        <v>486.73466200000001</v>
      </c>
      <c r="T626" t="s">
        <v>109</v>
      </c>
      <c r="U626" t="s">
        <v>205</v>
      </c>
      <c r="V626" t="s">
        <v>202</v>
      </c>
      <c r="W626" t="s">
        <v>203</v>
      </c>
      <c r="X626" t="s">
        <v>204</v>
      </c>
      <c r="Y626">
        <v>2162.08</v>
      </c>
      <c r="Z626">
        <v>0</v>
      </c>
      <c r="AA626">
        <v>1698.99</v>
      </c>
      <c r="AB626">
        <v>0</v>
      </c>
      <c r="AC626" s="49">
        <v>45167</v>
      </c>
      <c r="AD626" s="116" t="s">
        <v>10</v>
      </c>
      <c r="AE626" s="113" t="str" cm="1">
        <f t="array" ref="AE626">_xlfn.IFS(S626&lt;=Constantes!$G$2,"Muito Curta (evitável)",S626&lt;=Constantes!$H$2,"Curta Distância",S626&gt;Constantes!$H$2,"Longa Distância")</f>
        <v>Muito Curta (evitável)</v>
      </c>
      <c r="AF626" s="114">
        <f>IFERROR(VLOOKUP(AE626,Constantes!$A$1:$E$5,MATCH(AD626,Constantes!$A$1:$E$1,0),0),"")</f>
        <v>0.27257678523489931</v>
      </c>
      <c r="AG626" s="115">
        <f t="shared" si="19"/>
        <v>132.67256943035531</v>
      </c>
    </row>
    <row r="627" spans="1:33" x14ac:dyDescent="0.3">
      <c r="A627">
        <f>COUNTIF($B$2:B627,B627)</f>
        <v>2</v>
      </c>
      <c r="B627">
        <v>19217117</v>
      </c>
      <c r="C627" t="s">
        <v>724</v>
      </c>
      <c r="D627" t="s">
        <v>725</v>
      </c>
      <c r="E627" t="s">
        <v>726</v>
      </c>
      <c r="F627" t="s">
        <v>198</v>
      </c>
      <c r="G627" t="s">
        <v>207</v>
      </c>
      <c r="H627" t="s">
        <v>204</v>
      </c>
      <c r="I627" s="49">
        <v>45248</v>
      </c>
      <c r="J627" s="49">
        <v>45254</v>
      </c>
      <c r="K627" t="s">
        <v>727</v>
      </c>
      <c r="L627" s="49">
        <v>45254</v>
      </c>
      <c r="M627" s="49">
        <v>45254</v>
      </c>
      <c r="N627" t="s">
        <v>496</v>
      </c>
      <c r="O627" t="s">
        <v>107</v>
      </c>
      <c r="P627">
        <f>VLOOKUP(N627,[1]ID_Cidades!$A$1:$E$5900,2,FALSE)</f>
        <v>295769</v>
      </c>
      <c r="Q627">
        <f>VLOOKUP(O627,[1]ID_Cidades!$A$1:$E$5900,2,FALSE)</f>
        <v>295765</v>
      </c>
      <c r="R627">
        <f t="shared" si="18"/>
        <v>87478118285</v>
      </c>
      <c r="S627" s="42">
        <f>VLOOKUP(R627,'[1]GCD base'!$A$1:$M$200,7,FALSE)</f>
        <v>486.73466200000001</v>
      </c>
      <c r="T627" t="s">
        <v>109</v>
      </c>
      <c r="U627" t="s">
        <v>201</v>
      </c>
      <c r="V627" t="s">
        <v>202</v>
      </c>
      <c r="W627" t="s">
        <v>203</v>
      </c>
      <c r="X627" t="s">
        <v>204</v>
      </c>
      <c r="Y627">
        <v>0</v>
      </c>
      <c r="Z627">
        <v>0</v>
      </c>
      <c r="AA627">
        <v>1243.97</v>
      </c>
      <c r="AB627">
        <v>0</v>
      </c>
      <c r="AC627" s="49">
        <v>45167</v>
      </c>
      <c r="AD627" s="116" t="s">
        <v>10</v>
      </c>
      <c r="AE627" s="113" t="str" cm="1">
        <f t="array" ref="AE627">_xlfn.IFS(S627&lt;=Constantes!$G$2,"Muito Curta (evitável)",S627&lt;=Constantes!$H$2,"Curta Distância",S627&gt;Constantes!$H$2,"Longa Distância")</f>
        <v>Muito Curta (evitável)</v>
      </c>
      <c r="AF627" s="114">
        <f>IFERROR(VLOOKUP(AE627,Constantes!$A$1:$E$5,MATCH(AD627,Constantes!$A$1:$E$1,0),0),"")</f>
        <v>0.27257678523489931</v>
      </c>
      <c r="AG627" s="115">
        <f t="shared" si="19"/>
        <v>132.67256943035531</v>
      </c>
    </row>
    <row r="628" spans="1:33" x14ac:dyDescent="0.3">
      <c r="A628">
        <f>COUNTIF($B$2:B628,B628)</f>
        <v>1</v>
      </c>
      <c r="B628">
        <v>19277981</v>
      </c>
      <c r="C628" t="s">
        <v>958</v>
      </c>
      <c r="D628" t="s">
        <v>912</v>
      </c>
      <c r="E628" t="s">
        <v>913</v>
      </c>
      <c r="F628" t="s">
        <v>198</v>
      </c>
      <c r="G628" t="s">
        <v>207</v>
      </c>
      <c r="H628" t="s">
        <v>204</v>
      </c>
      <c r="I628" s="49">
        <v>45249</v>
      </c>
      <c r="J628" s="49">
        <v>45255</v>
      </c>
      <c r="K628" t="s">
        <v>959</v>
      </c>
      <c r="L628" s="49">
        <v>45255</v>
      </c>
      <c r="M628" s="49">
        <v>45255</v>
      </c>
      <c r="N628" t="s">
        <v>110</v>
      </c>
      <c r="O628" t="s">
        <v>107</v>
      </c>
      <c r="P628">
        <f>VLOOKUP(N628,[1]ID_Cidades!$A$1:$E$5900,2,FALSE)</f>
        <v>295763</v>
      </c>
      <c r="Q628">
        <f>VLOOKUP(O628,[1]ID_Cidades!$A$1:$E$5900,2,FALSE)</f>
        <v>295765</v>
      </c>
      <c r="R628">
        <f t="shared" si="18"/>
        <v>87476343695</v>
      </c>
      <c r="S628" s="42">
        <f>VLOOKUP(R628,'[1]GCD base'!$A$1:$M$200,7,FALSE)</f>
        <v>1713.419991</v>
      </c>
      <c r="T628" t="s">
        <v>109</v>
      </c>
      <c r="U628" t="s">
        <v>201</v>
      </c>
      <c r="V628" t="s">
        <v>202</v>
      </c>
      <c r="W628" t="s">
        <v>203</v>
      </c>
      <c r="X628" t="s">
        <v>204</v>
      </c>
      <c r="Y628">
        <v>2422.86</v>
      </c>
      <c r="Z628">
        <v>0</v>
      </c>
      <c r="AA628">
        <v>823.61</v>
      </c>
      <c r="AB628">
        <v>0</v>
      </c>
      <c r="AC628" s="49">
        <v>45182</v>
      </c>
      <c r="AD628" s="116" t="s">
        <v>10</v>
      </c>
      <c r="AE628" s="113" t="str" cm="1">
        <f t="array" ref="AE628">_xlfn.IFS(S628&lt;=Constantes!$G$2,"Muito Curta (evitável)",S628&lt;=Constantes!$H$2,"Curta Distância",S628&gt;Constantes!$H$2,"Longa Distância")</f>
        <v>Curta Distância</v>
      </c>
      <c r="AF628" s="114">
        <f>IFERROR(VLOOKUP(AE628,Constantes!$A$1:$E$5,MATCH(AD628,Constantes!$A$1:$E$1,0),0),"")</f>
        <v>0.18286935436241611</v>
      </c>
      <c r="AG628" s="115">
        <f t="shared" si="19"/>
        <v>313.33200750582682</v>
      </c>
    </row>
    <row r="629" spans="1:33" x14ac:dyDescent="0.3">
      <c r="A629">
        <f>COUNTIF($B$2:B629,B629)</f>
        <v>2</v>
      </c>
      <c r="B629">
        <v>19277981</v>
      </c>
      <c r="C629" t="s">
        <v>958</v>
      </c>
      <c r="D629" t="s">
        <v>912</v>
      </c>
      <c r="E629" t="s">
        <v>913</v>
      </c>
      <c r="F629" t="s">
        <v>198</v>
      </c>
      <c r="G629" t="s">
        <v>207</v>
      </c>
      <c r="H629" t="s">
        <v>204</v>
      </c>
      <c r="I629" s="49">
        <v>45249</v>
      </c>
      <c r="J629" s="49">
        <v>45255</v>
      </c>
      <c r="K629" t="s">
        <v>959</v>
      </c>
      <c r="L629" s="49">
        <v>45249</v>
      </c>
      <c r="M629" s="49">
        <v>45255</v>
      </c>
      <c r="N629" t="s">
        <v>107</v>
      </c>
      <c r="O629" t="s">
        <v>110</v>
      </c>
      <c r="P629">
        <f>VLOOKUP(N629,[1]ID_Cidades!$A$1:$E$5900,2,FALSE)</f>
        <v>295765</v>
      </c>
      <c r="Q629">
        <f>VLOOKUP(O629,[1]ID_Cidades!$A$1:$E$5900,2,FALSE)</f>
        <v>295763</v>
      </c>
      <c r="R629">
        <f t="shared" si="18"/>
        <v>87476343695</v>
      </c>
      <c r="S629" s="42">
        <f>VLOOKUP(R629,'[1]GCD base'!$A$1:$M$200,7,FALSE)</f>
        <v>1713.419991</v>
      </c>
      <c r="T629" t="s">
        <v>109</v>
      </c>
      <c r="U629" t="s">
        <v>205</v>
      </c>
      <c r="V629" t="s">
        <v>202</v>
      </c>
      <c r="W629" t="s">
        <v>203</v>
      </c>
      <c r="X629" t="s">
        <v>204</v>
      </c>
      <c r="Y629">
        <v>0</v>
      </c>
      <c r="Z629">
        <v>0</v>
      </c>
      <c r="AA629">
        <v>1275.49</v>
      </c>
      <c r="AB629">
        <v>0</v>
      </c>
      <c r="AC629" s="49">
        <v>45182</v>
      </c>
      <c r="AD629" s="116" t="s">
        <v>10</v>
      </c>
      <c r="AE629" s="113" t="str" cm="1">
        <f t="array" ref="AE629">_xlfn.IFS(S629&lt;=Constantes!$G$2,"Muito Curta (evitável)",S629&lt;=Constantes!$H$2,"Curta Distância",S629&gt;Constantes!$H$2,"Longa Distância")</f>
        <v>Curta Distância</v>
      </c>
      <c r="AF629" s="114">
        <f>IFERROR(VLOOKUP(AE629,Constantes!$A$1:$E$5,MATCH(AD629,Constantes!$A$1:$E$1,0),0),"")</f>
        <v>0.18286935436241611</v>
      </c>
      <c r="AG629" s="115">
        <f t="shared" si="19"/>
        <v>313.33200750582682</v>
      </c>
    </row>
    <row r="630" spans="1:33" x14ac:dyDescent="0.3">
      <c r="A630">
        <f>COUNTIF($B$2:B630,B630)</f>
        <v>1</v>
      </c>
      <c r="B630">
        <v>19283968</v>
      </c>
      <c r="C630" t="s">
        <v>990</v>
      </c>
      <c r="D630" t="s">
        <v>991</v>
      </c>
      <c r="E630" t="s">
        <v>992</v>
      </c>
      <c r="F630" t="s">
        <v>198</v>
      </c>
      <c r="G630" t="s">
        <v>207</v>
      </c>
      <c r="H630" t="s">
        <v>204</v>
      </c>
      <c r="I630" s="49">
        <v>45249</v>
      </c>
      <c r="J630" s="49">
        <v>45257</v>
      </c>
      <c r="K630" t="s">
        <v>993</v>
      </c>
      <c r="L630" s="49">
        <v>45249</v>
      </c>
      <c r="M630" s="49">
        <v>45256</v>
      </c>
      <c r="N630" t="s">
        <v>107</v>
      </c>
      <c r="O630" t="s">
        <v>122</v>
      </c>
      <c r="P630">
        <f>VLOOKUP(N630,[1]ID_Cidades!$A$1:$E$5900,2,FALSE)</f>
        <v>295765</v>
      </c>
      <c r="Q630">
        <f>VLOOKUP(O630,[1]ID_Cidades!$A$1:$E$5900,2,FALSE)</f>
        <v>295781</v>
      </c>
      <c r="R630">
        <f t="shared" si="18"/>
        <v>87481667465</v>
      </c>
      <c r="S630" s="42">
        <f>VLOOKUP(R630,'[1]GCD base'!$A$1:$M$200,7,FALSE)</f>
        <v>2695.5823350000001</v>
      </c>
      <c r="T630" t="s">
        <v>109</v>
      </c>
      <c r="U630" t="s">
        <v>205</v>
      </c>
      <c r="V630" t="s">
        <v>202</v>
      </c>
      <c r="W630" t="s">
        <v>210</v>
      </c>
      <c r="X630" t="s">
        <v>994</v>
      </c>
      <c r="Y630">
        <v>2814.21</v>
      </c>
      <c r="Z630">
        <v>0</v>
      </c>
      <c r="AA630">
        <v>2129.19</v>
      </c>
      <c r="AB630">
        <v>0</v>
      </c>
      <c r="AC630" s="49">
        <v>45237</v>
      </c>
      <c r="AD630" s="116" t="s">
        <v>10</v>
      </c>
      <c r="AE630" s="113" t="str" cm="1">
        <f t="array" ref="AE630">_xlfn.IFS(S630&lt;=Constantes!$G$2,"Muito Curta (evitável)",S630&lt;=Constantes!$H$2,"Curta Distância",S630&gt;Constantes!$H$2,"Longa Distância")</f>
        <v>Curta Distância</v>
      </c>
      <c r="AF630" s="114">
        <f>IFERROR(VLOOKUP(AE630,Constantes!$A$1:$E$5,MATCH(AD630,Constantes!$A$1:$E$1,0),0),"")</f>
        <v>0.18286935436241611</v>
      </c>
      <c r="AG630" s="115">
        <f t="shared" si="19"/>
        <v>492.93940123218408</v>
      </c>
    </row>
    <row r="631" spans="1:33" x14ac:dyDescent="0.3">
      <c r="A631">
        <f>COUNTIF($B$2:B631,B631)</f>
        <v>2</v>
      </c>
      <c r="B631">
        <v>19283968</v>
      </c>
      <c r="C631" t="s">
        <v>990</v>
      </c>
      <c r="D631" t="s">
        <v>991</v>
      </c>
      <c r="E631" t="s">
        <v>992</v>
      </c>
      <c r="F631" t="s">
        <v>198</v>
      </c>
      <c r="G631" t="s">
        <v>207</v>
      </c>
      <c r="H631" t="s">
        <v>204</v>
      </c>
      <c r="I631" s="49">
        <v>45249</v>
      </c>
      <c r="J631" s="49">
        <v>45257</v>
      </c>
      <c r="K631" t="s">
        <v>993</v>
      </c>
      <c r="L631" s="49">
        <v>45256</v>
      </c>
      <c r="M631" s="49">
        <v>45257</v>
      </c>
      <c r="N631" t="s">
        <v>122</v>
      </c>
      <c r="O631" t="s">
        <v>107</v>
      </c>
      <c r="P631">
        <f>VLOOKUP(N631,[1]ID_Cidades!$A$1:$E$5900,2,FALSE)</f>
        <v>295781</v>
      </c>
      <c r="Q631">
        <f>VLOOKUP(O631,[1]ID_Cidades!$A$1:$E$5900,2,FALSE)</f>
        <v>295765</v>
      </c>
      <c r="R631">
        <f t="shared" si="18"/>
        <v>87481667465</v>
      </c>
      <c r="S631" s="42">
        <f>VLOOKUP(R631,'[1]GCD base'!$A$1:$M$200,7,FALSE)</f>
        <v>2695.5823350000001</v>
      </c>
      <c r="T631" t="s">
        <v>109</v>
      </c>
      <c r="U631" t="s">
        <v>201</v>
      </c>
      <c r="V631" t="s">
        <v>202</v>
      </c>
      <c r="W631" t="s">
        <v>210</v>
      </c>
      <c r="X631" t="s">
        <v>994</v>
      </c>
      <c r="Y631">
        <v>0</v>
      </c>
      <c r="Z631">
        <v>0</v>
      </c>
      <c r="AA631">
        <v>2329.1</v>
      </c>
      <c r="AB631">
        <v>0</v>
      </c>
      <c r="AC631" s="49">
        <v>45237</v>
      </c>
      <c r="AD631" s="116" t="s">
        <v>10</v>
      </c>
      <c r="AE631" s="113" t="str" cm="1">
        <f t="array" ref="AE631">_xlfn.IFS(S631&lt;=Constantes!$G$2,"Muito Curta (evitável)",S631&lt;=Constantes!$H$2,"Curta Distância",S631&gt;Constantes!$H$2,"Longa Distância")</f>
        <v>Curta Distância</v>
      </c>
      <c r="AF631" s="114">
        <f>IFERROR(VLOOKUP(AE631,Constantes!$A$1:$E$5,MATCH(AD631,Constantes!$A$1:$E$1,0),0),"")</f>
        <v>0.18286935436241611</v>
      </c>
      <c r="AG631" s="115">
        <f t="shared" si="19"/>
        <v>492.93940123218408</v>
      </c>
    </row>
    <row r="632" spans="1:33" x14ac:dyDescent="0.3">
      <c r="A632">
        <f>COUNTIF($B$2:B632,B632)</f>
        <v>1</v>
      </c>
      <c r="B632">
        <v>19323094</v>
      </c>
      <c r="C632" t="s">
        <v>1212</v>
      </c>
      <c r="D632" t="s">
        <v>511</v>
      </c>
      <c r="E632" t="s">
        <v>512</v>
      </c>
      <c r="F632" t="s">
        <v>198</v>
      </c>
      <c r="G632" t="s">
        <v>207</v>
      </c>
      <c r="H632" t="s">
        <v>204</v>
      </c>
      <c r="I632" s="49">
        <v>45249</v>
      </c>
      <c r="J632" s="49">
        <v>45256</v>
      </c>
      <c r="K632" t="s">
        <v>1213</v>
      </c>
      <c r="L632" s="49">
        <v>45249</v>
      </c>
      <c r="M632" s="49">
        <v>45256</v>
      </c>
      <c r="N632" t="s">
        <v>107</v>
      </c>
      <c r="O632" t="s">
        <v>122</v>
      </c>
      <c r="P632">
        <f>VLOOKUP(N632,[1]ID_Cidades!$A$1:$E$5900,2,FALSE)</f>
        <v>295765</v>
      </c>
      <c r="Q632">
        <f>VLOOKUP(O632,[1]ID_Cidades!$A$1:$E$5900,2,FALSE)</f>
        <v>295781</v>
      </c>
      <c r="R632">
        <f t="shared" si="18"/>
        <v>87481667465</v>
      </c>
      <c r="S632" s="42">
        <f>VLOOKUP(R632,'[1]GCD base'!$A$1:$M$200,7,FALSE)</f>
        <v>2695.5823350000001</v>
      </c>
      <c r="T632" t="s">
        <v>109</v>
      </c>
      <c r="U632" t="s">
        <v>205</v>
      </c>
      <c r="V632" t="s">
        <v>202</v>
      </c>
      <c r="W632" t="s">
        <v>203</v>
      </c>
      <c r="X632" t="s">
        <v>204</v>
      </c>
      <c r="Y632">
        <v>2503.1</v>
      </c>
      <c r="Z632">
        <v>0</v>
      </c>
      <c r="AA632">
        <v>1268.3</v>
      </c>
      <c r="AB632">
        <v>0</v>
      </c>
      <c r="AC632" s="49">
        <v>45196</v>
      </c>
      <c r="AD632" s="116" t="s">
        <v>10</v>
      </c>
      <c r="AE632" s="113" t="str" cm="1">
        <f t="array" ref="AE632">_xlfn.IFS(S632&lt;=Constantes!$G$2,"Muito Curta (evitável)",S632&lt;=Constantes!$H$2,"Curta Distância",S632&gt;Constantes!$H$2,"Longa Distância")</f>
        <v>Curta Distância</v>
      </c>
      <c r="AF632" s="114">
        <f>IFERROR(VLOOKUP(AE632,Constantes!$A$1:$E$5,MATCH(AD632,Constantes!$A$1:$E$1,0),0),"")</f>
        <v>0.18286935436241611</v>
      </c>
      <c r="AG632" s="115">
        <f t="shared" si="19"/>
        <v>492.93940123218408</v>
      </c>
    </row>
    <row r="633" spans="1:33" x14ac:dyDescent="0.3">
      <c r="A633">
        <f>COUNTIF($B$2:B633,B633)</f>
        <v>2</v>
      </c>
      <c r="B633">
        <v>19323094</v>
      </c>
      <c r="C633" t="s">
        <v>1212</v>
      </c>
      <c r="D633" t="s">
        <v>511</v>
      </c>
      <c r="E633" t="s">
        <v>512</v>
      </c>
      <c r="F633" t="s">
        <v>198</v>
      </c>
      <c r="G633" t="s">
        <v>207</v>
      </c>
      <c r="H633" t="s">
        <v>204</v>
      </c>
      <c r="I633" s="49">
        <v>45249</v>
      </c>
      <c r="J633" s="49">
        <v>45256</v>
      </c>
      <c r="K633" t="s">
        <v>1213</v>
      </c>
      <c r="L633" s="49">
        <v>45256</v>
      </c>
      <c r="M633" s="49">
        <v>45256</v>
      </c>
      <c r="N633" t="s">
        <v>122</v>
      </c>
      <c r="O633" t="s">
        <v>107</v>
      </c>
      <c r="P633">
        <f>VLOOKUP(N633,[1]ID_Cidades!$A$1:$E$5900,2,FALSE)</f>
        <v>295781</v>
      </c>
      <c r="Q633">
        <f>VLOOKUP(O633,[1]ID_Cidades!$A$1:$E$5900,2,FALSE)</f>
        <v>295765</v>
      </c>
      <c r="R633">
        <f t="shared" si="18"/>
        <v>87481667465</v>
      </c>
      <c r="S633" s="42">
        <f>VLOOKUP(R633,'[1]GCD base'!$A$1:$M$200,7,FALSE)</f>
        <v>2695.5823350000001</v>
      </c>
      <c r="T633" t="s">
        <v>109</v>
      </c>
      <c r="U633" t="s">
        <v>201</v>
      </c>
      <c r="V633" t="s">
        <v>202</v>
      </c>
      <c r="W633" t="s">
        <v>203</v>
      </c>
      <c r="X633" t="s">
        <v>204</v>
      </c>
      <c r="Y633">
        <v>0</v>
      </c>
      <c r="Z633">
        <v>0</v>
      </c>
      <c r="AA633">
        <v>2094.19</v>
      </c>
      <c r="AB633">
        <v>0</v>
      </c>
      <c r="AC633" s="49">
        <v>45196</v>
      </c>
      <c r="AD633" s="116" t="s">
        <v>10</v>
      </c>
      <c r="AE633" s="113" t="str" cm="1">
        <f t="array" ref="AE633">_xlfn.IFS(S633&lt;=Constantes!$G$2,"Muito Curta (evitável)",S633&lt;=Constantes!$H$2,"Curta Distância",S633&gt;Constantes!$H$2,"Longa Distância")</f>
        <v>Curta Distância</v>
      </c>
      <c r="AF633" s="114">
        <f>IFERROR(VLOOKUP(AE633,Constantes!$A$1:$E$5,MATCH(AD633,Constantes!$A$1:$E$1,0),0),"")</f>
        <v>0.18286935436241611</v>
      </c>
      <c r="AG633" s="115">
        <f t="shared" si="19"/>
        <v>492.93940123218408</v>
      </c>
    </row>
    <row r="634" spans="1:33" x14ac:dyDescent="0.3">
      <c r="A634">
        <f>COUNTIF($B$2:B634,B634)</f>
        <v>1</v>
      </c>
      <c r="B634">
        <v>19479618</v>
      </c>
      <c r="C634" t="s">
        <v>1640</v>
      </c>
      <c r="D634" t="s">
        <v>1641</v>
      </c>
      <c r="E634" t="s">
        <v>1642</v>
      </c>
      <c r="F634" t="s">
        <v>198</v>
      </c>
      <c r="G634" t="s">
        <v>233</v>
      </c>
      <c r="H634" t="s">
        <v>233</v>
      </c>
      <c r="I634" s="49">
        <v>45249</v>
      </c>
      <c r="J634" s="49">
        <v>45254</v>
      </c>
      <c r="K634" t="s">
        <v>1643</v>
      </c>
      <c r="L634" s="49">
        <v>45254</v>
      </c>
      <c r="M634" s="49">
        <v>45254</v>
      </c>
      <c r="N634" t="s">
        <v>116</v>
      </c>
      <c r="O634" t="s">
        <v>107</v>
      </c>
      <c r="P634">
        <f>VLOOKUP(N634,[1]ID_Cidades!$A$1:$E$5900,2,FALSE)</f>
        <v>295778</v>
      </c>
      <c r="Q634">
        <f>VLOOKUP(O634,[1]ID_Cidades!$A$1:$E$5900,2,FALSE)</f>
        <v>295765</v>
      </c>
      <c r="R634">
        <f t="shared" si="18"/>
        <v>87480780170</v>
      </c>
      <c r="S634" s="42">
        <f>VLOOKUP(R634,'[1]GCD base'!$A$1:$M$200,7,FALSE)</f>
        <v>1961.5007860000001</v>
      </c>
      <c r="T634" t="s">
        <v>109</v>
      </c>
      <c r="U634" t="s">
        <v>201</v>
      </c>
      <c r="V634" t="s">
        <v>202</v>
      </c>
      <c r="W634" t="s">
        <v>210</v>
      </c>
      <c r="X634" t="s">
        <v>1644</v>
      </c>
      <c r="Y634">
        <v>0</v>
      </c>
      <c r="Z634">
        <v>0</v>
      </c>
      <c r="AA634">
        <v>1483.49</v>
      </c>
      <c r="AB634">
        <v>0</v>
      </c>
      <c r="AC634" s="49">
        <v>45236</v>
      </c>
      <c r="AD634" s="116" t="s">
        <v>10</v>
      </c>
      <c r="AE634" s="113" t="str" cm="1">
        <f t="array" ref="AE634">_xlfn.IFS(S634&lt;=Constantes!$G$2,"Muito Curta (evitável)",S634&lt;=Constantes!$H$2,"Curta Distância",S634&gt;Constantes!$H$2,"Longa Distância")</f>
        <v>Curta Distância</v>
      </c>
      <c r="AF634" s="114">
        <f>IFERROR(VLOOKUP(AE634,Constantes!$A$1:$E$5,MATCH(AD634,Constantes!$A$1:$E$1,0),0),"")</f>
        <v>0.18286935436241611</v>
      </c>
      <c r="AG634" s="115">
        <f t="shared" si="19"/>
        <v>358.69838231719172</v>
      </c>
    </row>
    <row r="635" spans="1:33" x14ac:dyDescent="0.3">
      <c r="A635">
        <f>COUNTIF($B$2:B635,B635)</f>
        <v>2</v>
      </c>
      <c r="B635">
        <v>19479618</v>
      </c>
      <c r="C635" t="s">
        <v>1640</v>
      </c>
      <c r="D635" t="s">
        <v>1641</v>
      </c>
      <c r="E635" t="s">
        <v>1642</v>
      </c>
      <c r="F635" t="s">
        <v>198</v>
      </c>
      <c r="G635" t="s">
        <v>233</v>
      </c>
      <c r="H635" t="s">
        <v>233</v>
      </c>
      <c r="I635" s="49">
        <v>45249</v>
      </c>
      <c r="J635" s="49">
        <v>45254</v>
      </c>
      <c r="K635" t="s">
        <v>1643</v>
      </c>
      <c r="L635" s="49">
        <v>45249</v>
      </c>
      <c r="M635" s="49">
        <v>45254</v>
      </c>
      <c r="N635" t="s">
        <v>107</v>
      </c>
      <c r="O635" t="s">
        <v>116</v>
      </c>
      <c r="P635">
        <f>VLOOKUP(N635,[1]ID_Cidades!$A$1:$E$5900,2,FALSE)</f>
        <v>295765</v>
      </c>
      <c r="Q635">
        <f>VLOOKUP(O635,[1]ID_Cidades!$A$1:$E$5900,2,FALSE)</f>
        <v>295778</v>
      </c>
      <c r="R635">
        <f t="shared" si="18"/>
        <v>87480780170</v>
      </c>
      <c r="S635" s="42">
        <f>VLOOKUP(R635,'[1]GCD base'!$A$1:$M$200,7,FALSE)</f>
        <v>1961.5007860000001</v>
      </c>
      <c r="T635" t="s">
        <v>109</v>
      </c>
      <c r="U635" t="s">
        <v>205</v>
      </c>
      <c r="V635" t="s">
        <v>202</v>
      </c>
      <c r="W635" t="s">
        <v>210</v>
      </c>
      <c r="X635" t="s">
        <v>1644</v>
      </c>
      <c r="Y635">
        <v>0</v>
      </c>
      <c r="Z635">
        <v>0</v>
      </c>
      <c r="AA635">
        <v>1179.8</v>
      </c>
      <c r="AB635">
        <v>0</v>
      </c>
      <c r="AC635" s="49">
        <v>45236</v>
      </c>
      <c r="AD635" s="116" t="s">
        <v>10</v>
      </c>
      <c r="AE635" s="113" t="str" cm="1">
        <f t="array" ref="AE635">_xlfn.IFS(S635&lt;=Constantes!$G$2,"Muito Curta (evitável)",S635&lt;=Constantes!$H$2,"Curta Distância",S635&gt;Constantes!$H$2,"Longa Distância")</f>
        <v>Curta Distância</v>
      </c>
      <c r="AF635" s="114">
        <f>IFERROR(VLOOKUP(AE635,Constantes!$A$1:$E$5,MATCH(AD635,Constantes!$A$1:$E$1,0),0),"")</f>
        <v>0.18286935436241611</v>
      </c>
      <c r="AG635" s="115">
        <f t="shared" si="19"/>
        <v>358.69838231719172</v>
      </c>
    </row>
    <row r="636" spans="1:33" x14ac:dyDescent="0.3">
      <c r="A636">
        <f>COUNTIF($B$2:B636,B636)</f>
        <v>1</v>
      </c>
      <c r="B636">
        <v>19489218</v>
      </c>
      <c r="C636" t="s">
        <v>1645</v>
      </c>
      <c r="D636" t="s">
        <v>206</v>
      </c>
      <c r="E636" t="s">
        <v>134</v>
      </c>
      <c r="F636" t="s">
        <v>198</v>
      </c>
      <c r="G636" t="s">
        <v>207</v>
      </c>
      <c r="H636" t="s">
        <v>204</v>
      </c>
      <c r="I636" s="49">
        <v>45249</v>
      </c>
      <c r="J636" s="49">
        <v>45254</v>
      </c>
      <c r="K636" t="s">
        <v>1646</v>
      </c>
      <c r="L636" s="49">
        <v>45254</v>
      </c>
      <c r="M636" s="49">
        <v>45254</v>
      </c>
      <c r="N636" t="s">
        <v>110</v>
      </c>
      <c r="O636" t="s">
        <v>107</v>
      </c>
      <c r="P636">
        <f>VLOOKUP(N636,[1]ID_Cidades!$A$1:$E$5900,2,FALSE)</f>
        <v>295763</v>
      </c>
      <c r="Q636">
        <f>VLOOKUP(O636,[1]ID_Cidades!$A$1:$E$5900,2,FALSE)</f>
        <v>295765</v>
      </c>
      <c r="R636">
        <f t="shared" si="18"/>
        <v>87476343695</v>
      </c>
      <c r="S636" s="42">
        <f>VLOOKUP(R636,'[1]GCD base'!$A$1:$M$200,7,FALSE)</f>
        <v>1713.419991</v>
      </c>
      <c r="T636" t="s">
        <v>109</v>
      </c>
      <c r="U636" t="s">
        <v>201</v>
      </c>
      <c r="V636" t="s">
        <v>202</v>
      </c>
      <c r="W636" t="s">
        <v>210</v>
      </c>
      <c r="X636" t="s">
        <v>1647</v>
      </c>
      <c r="Y636">
        <v>2041.72</v>
      </c>
      <c r="Z636">
        <v>0</v>
      </c>
      <c r="AA636">
        <v>1426.99</v>
      </c>
      <c r="AB636">
        <v>0</v>
      </c>
      <c r="AC636" s="49">
        <v>45237</v>
      </c>
      <c r="AD636" s="116" t="s">
        <v>10</v>
      </c>
      <c r="AE636" s="113" t="str" cm="1">
        <f t="array" ref="AE636">_xlfn.IFS(S636&lt;=Constantes!$G$2,"Muito Curta (evitável)",S636&lt;=Constantes!$H$2,"Curta Distância",S636&gt;Constantes!$H$2,"Longa Distância")</f>
        <v>Curta Distância</v>
      </c>
      <c r="AF636" s="114">
        <f>IFERROR(VLOOKUP(AE636,Constantes!$A$1:$E$5,MATCH(AD636,Constantes!$A$1:$E$1,0),0),"")</f>
        <v>0.18286935436241611</v>
      </c>
      <c r="AG636" s="115">
        <f t="shared" si="19"/>
        <v>313.33200750582682</v>
      </c>
    </row>
    <row r="637" spans="1:33" x14ac:dyDescent="0.3">
      <c r="A637">
        <f>COUNTIF($B$2:B637,B637)</f>
        <v>2</v>
      </c>
      <c r="B637">
        <v>19489218</v>
      </c>
      <c r="C637" t="s">
        <v>1645</v>
      </c>
      <c r="D637" t="s">
        <v>206</v>
      </c>
      <c r="E637" t="s">
        <v>134</v>
      </c>
      <c r="F637" t="s">
        <v>198</v>
      </c>
      <c r="G637" t="s">
        <v>207</v>
      </c>
      <c r="H637" t="s">
        <v>204</v>
      </c>
      <c r="I637" s="49">
        <v>45249</v>
      </c>
      <c r="J637" s="49">
        <v>45254</v>
      </c>
      <c r="K637" t="s">
        <v>1646</v>
      </c>
      <c r="L637" s="49">
        <v>45249</v>
      </c>
      <c r="M637" s="49">
        <v>45254</v>
      </c>
      <c r="N637" t="s">
        <v>107</v>
      </c>
      <c r="O637" t="s">
        <v>110</v>
      </c>
      <c r="P637">
        <f>VLOOKUP(N637,[1]ID_Cidades!$A$1:$E$5900,2,FALSE)</f>
        <v>295765</v>
      </c>
      <c r="Q637">
        <f>VLOOKUP(O637,[1]ID_Cidades!$A$1:$E$5900,2,FALSE)</f>
        <v>295763</v>
      </c>
      <c r="R637">
        <f t="shared" si="18"/>
        <v>87476343695</v>
      </c>
      <c r="S637" s="42">
        <f>VLOOKUP(R637,'[1]GCD base'!$A$1:$M$200,7,FALSE)</f>
        <v>1713.419991</v>
      </c>
      <c r="T637" t="s">
        <v>109</v>
      </c>
      <c r="U637" t="s">
        <v>205</v>
      </c>
      <c r="V637" t="s">
        <v>202</v>
      </c>
      <c r="W637" t="s">
        <v>210</v>
      </c>
      <c r="X637" t="s">
        <v>1647</v>
      </c>
      <c r="Y637">
        <v>0</v>
      </c>
      <c r="Z637">
        <v>0</v>
      </c>
      <c r="AA637">
        <v>995.41</v>
      </c>
      <c r="AB637">
        <v>0</v>
      </c>
      <c r="AC637" s="49">
        <v>45237</v>
      </c>
      <c r="AD637" s="116" t="s">
        <v>10</v>
      </c>
      <c r="AE637" s="113" t="str" cm="1">
        <f t="array" ref="AE637">_xlfn.IFS(S637&lt;=Constantes!$G$2,"Muito Curta (evitável)",S637&lt;=Constantes!$H$2,"Curta Distância",S637&gt;Constantes!$H$2,"Longa Distância")</f>
        <v>Curta Distância</v>
      </c>
      <c r="AF637" s="114">
        <f>IFERROR(VLOOKUP(AE637,Constantes!$A$1:$E$5,MATCH(AD637,Constantes!$A$1:$E$1,0),0),"")</f>
        <v>0.18286935436241611</v>
      </c>
      <c r="AG637" s="115">
        <f t="shared" si="19"/>
        <v>313.33200750582682</v>
      </c>
    </row>
    <row r="638" spans="1:33" x14ac:dyDescent="0.3">
      <c r="A638">
        <f>COUNTIF($B$2:B638,B638)</f>
        <v>1</v>
      </c>
      <c r="B638">
        <v>19133755</v>
      </c>
      <c r="C638" t="s">
        <v>492</v>
      </c>
      <c r="D638" t="s">
        <v>493</v>
      </c>
      <c r="E638" t="s">
        <v>494</v>
      </c>
      <c r="F638" t="s">
        <v>198</v>
      </c>
      <c r="G638" t="s">
        <v>207</v>
      </c>
      <c r="H638" t="s">
        <v>204</v>
      </c>
      <c r="I638" s="49">
        <v>45250</v>
      </c>
      <c r="J638" s="49">
        <v>45254</v>
      </c>
      <c r="K638" t="s">
        <v>495</v>
      </c>
      <c r="L638" s="49">
        <v>45250</v>
      </c>
      <c r="M638" s="49">
        <v>45254</v>
      </c>
      <c r="N638" t="s">
        <v>107</v>
      </c>
      <c r="O638" t="s">
        <v>496</v>
      </c>
      <c r="P638">
        <f>VLOOKUP(N638,[1]ID_Cidades!$A$1:$E$5900,2,FALSE)</f>
        <v>295765</v>
      </c>
      <c r="Q638">
        <f>VLOOKUP(O638,[1]ID_Cidades!$A$1:$E$5900,2,FALSE)</f>
        <v>295769</v>
      </c>
      <c r="R638">
        <f t="shared" si="18"/>
        <v>87478118285</v>
      </c>
      <c r="S638" s="42">
        <f>VLOOKUP(R638,'[1]GCD base'!$A$1:$M$200,7,FALSE)</f>
        <v>486.73466200000001</v>
      </c>
      <c r="T638" t="s">
        <v>109</v>
      </c>
      <c r="U638" t="s">
        <v>205</v>
      </c>
      <c r="V638" t="s">
        <v>202</v>
      </c>
      <c r="W638" t="s">
        <v>203</v>
      </c>
      <c r="X638" t="s">
        <v>204</v>
      </c>
      <c r="Y638">
        <v>1480.04</v>
      </c>
      <c r="Z638">
        <v>0</v>
      </c>
      <c r="AA638">
        <v>1280.27</v>
      </c>
      <c r="AB638">
        <v>0</v>
      </c>
      <c r="AC638" s="49">
        <v>45148</v>
      </c>
      <c r="AD638" s="116" t="s">
        <v>10</v>
      </c>
      <c r="AE638" s="113" t="str" cm="1">
        <f t="array" ref="AE638">_xlfn.IFS(S638&lt;=Constantes!$G$2,"Muito Curta (evitável)",S638&lt;=Constantes!$H$2,"Curta Distância",S638&gt;Constantes!$H$2,"Longa Distância")</f>
        <v>Muito Curta (evitável)</v>
      </c>
      <c r="AF638" s="114">
        <f>IFERROR(VLOOKUP(AE638,Constantes!$A$1:$E$5,MATCH(AD638,Constantes!$A$1:$E$1,0),0),"")</f>
        <v>0.27257678523489931</v>
      </c>
      <c r="AG638" s="115">
        <f t="shared" si="19"/>
        <v>132.67256943035531</v>
      </c>
    </row>
    <row r="639" spans="1:33" x14ac:dyDescent="0.3">
      <c r="A639">
        <f>COUNTIF($B$2:B639,B639)</f>
        <v>2</v>
      </c>
      <c r="B639">
        <v>19133755</v>
      </c>
      <c r="C639" t="s">
        <v>492</v>
      </c>
      <c r="D639" t="s">
        <v>493</v>
      </c>
      <c r="E639" t="s">
        <v>494</v>
      </c>
      <c r="F639" t="s">
        <v>198</v>
      </c>
      <c r="G639" t="s">
        <v>207</v>
      </c>
      <c r="H639" t="s">
        <v>204</v>
      </c>
      <c r="I639" s="49">
        <v>45250</v>
      </c>
      <c r="J639" s="49">
        <v>45254</v>
      </c>
      <c r="K639" t="s">
        <v>495</v>
      </c>
      <c r="L639" s="49">
        <v>45254</v>
      </c>
      <c r="M639" s="49">
        <v>45254</v>
      </c>
      <c r="N639" t="s">
        <v>496</v>
      </c>
      <c r="O639" t="s">
        <v>107</v>
      </c>
      <c r="P639">
        <f>VLOOKUP(N639,[1]ID_Cidades!$A$1:$E$5900,2,FALSE)</f>
        <v>295769</v>
      </c>
      <c r="Q639">
        <f>VLOOKUP(O639,[1]ID_Cidades!$A$1:$E$5900,2,FALSE)</f>
        <v>295765</v>
      </c>
      <c r="R639">
        <f t="shared" si="18"/>
        <v>87478118285</v>
      </c>
      <c r="S639" s="42">
        <f>VLOOKUP(R639,'[1]GCD base'!$A$1:$M$200,7,FALSE)</f>
        <v>486.73466200000001</v>
      </c>
      <c r="T639" t="s">
        <v>109</v>
      </c>
      <c r="U639" t="s">
        <v>201</v>
      </c>
      <c r="V639" t="s">
        <v>202</v>
      </c>
      <c r="W639" t="s">
        <v>203</v>
      </c>
      <c r="X639" t="s">
        <v>204</v>
      </c>
      <c r="Y639">
        <v>0</v>
      </c>
      <c r="Z639">
        <v>0</v>
      </c>
      <c r="AA639">
        <v>1496.09</v>
      </c>
      <c r="AB639">
        <v>0</v>
      </c>
      <c r="AC639" s="49">
        <v>45148</v>
      </c>
      <c r="AD639" s="116" t="s">
        <v>10</v>
      </c>
      <c r="AE639" s="113" t="str" cm="1">
        <f t="array" ref="AE639">_xlfn.IFS(S639&lt;=Constantes!$G$2,"Muito Curta (evitável)",S639&lt;=Constantes!$H$2,"Curta Distância",S639&gt;Constantes!$H$2,"Longa Distância")</f>
        <v>Muito Curta (evitável)</v>
      </c>
      <c r="AF639" s="114">
        <f>IFERROR(VLOOKUP(AE639,Constantes!$A$1:$E$5,MATCH(AD639,Constantes!$A$1:$E$1,0),0),"")</f>
        <v>0.27257678523489931</v>
      </c>
      <c r="AG639" s="115">
        <f t="shared" si="19"/>
        <v>132.67256943035531</v>
      </c>
    </row>
    <row r="640" spans="1:33" x14ac:dyDescent="0.3">
      <c r="A640">
        <f>COUNTIF($B$2:B640,B640)</f>
        <v>1</v>
      </c>
      <c r="B640">
        <v>19245814</v>
      </c>
      <c r="C640" t="s">
        <v>833</v>
      </c>
      <c r="D640" t="s">
        <v>272</v>
      </c>
      <c r="E640" t="s">
        <v>273</v>
      </c>
      <c r="F640" t="s">
        <v>198</v>
      </c>
      <c r="G640" t="s">
        <v>211</v>
      </c>
      <c r="H640" t="s">
        <v>211</v>
      </c>
      <c r="I640" s="49">
        <v>45250</v>
      </c>
      <c r="J640" s="49">
        <v>45255</v>
      </c>
      <c r="K640" t="s">
        <v>834</v>
      </c>
      <c r="L640" s="49">
        <v>45250</v>
      </c>
      <c r="M640" s="49">
        <v>45255</v>
      </c>
      <c r="N640" t="s">
        <v>107</v>
      </c>
      <c r="O640" t="s">
        <v>315</v>
      </c>
      <c r="P640">
        <f>VLOOKUP(N640,[1]ID_Cidades!$A$1:$E$5900,2,FALSE)</f>
        <v>295765</v>
      </c>
      <c r="Q640">
        <f>VLOOKUP(O640,[1]ID_Cidades!$A$1:$E$5900,2,FALSE)</f>
        <v>300439</v>
      </c>
      <c r="R640">
        <f t="shared" si="18"/>
        <v>88859340835</v>
      </c>
      <c r="S640" s="42">
        <f>VLOOKUP(R640,'[1]GCD base'!$A$1:$M$200,7,FALSE)</f>
        <v>1631.4561289999999</v>
      </c>
      <c r="T640" t="s">
        <v>109</v>
      </c>
      <c r="U640" t="s">
        <v>205</v>
      </c>
      <c r="V640" t="s">
        <v>202</v>
      </c>
      <c r="W640" t="s">
        <v>203</v>
      </c>
      <c r="X640" t="s">
        <v>204</v>
      </c>
      <c r="Y640">
        <v>1821.06</v>
      </c>
      <c r="Z640">
        <v>0</v>
      </c>
      <c r="AA640">
        <v>1641.89</v>
      </c>
      <c r="AB640">
        <v>0</v>
      </c>
      <c r="AC640" s="49">
        <v>45178</v>
      </c>
      <c r="AD640" s="116" t="s">
        <v>10</v>
      </c>
      <c r="AE640" s="113" t="str" cm="1">
        <f t="array" ref="AE640">_xlfn.IFS(S640&lt;=Constantes!$G$2,"Muito Curta (evitável)",S640&lt;=Constantes!$H$2,"Curta Distância",S640&gt;Constantes!$H$2,"Longa Distância")</f>
        <v>Curta Distância</v>
      </c>
      <c r="AF640" s="114">
        <f>IFERROR(VLOOKUP(AE640,Constantes!$A$1:$E$5,MATCH(AD640,Constantes!$A$1:$E$1,0),0),"")</f>
        <v>0.18286935436241611</v>
      </c>
      <c r="AG640" s="115">
        <f t="shared" si="19"/>
        <v>298.34332898083665</v>
      </c>
    </row>
    <row r="641" spans="1:33" x14ac:dyDescent="0.3">
      <c r="A641">
        <f>COUNTIF($B$2:B641,B641)</f>
        <v>2</v>
      </c>
      <c r="B641">
        <v>19245814</v>
      </c>
      <c r="C641" t="s">
        <v>833</v>
      </c>
      <c r="D641" t="s">
        <v>272</v>
      </c>
      <c r="E641" t="s">
        <v>273</v>
      </c>
      <c r="F641" t="s">
        <v>198</v>
      </c>
      <c r="G641" t="s">
        <v>211</v>
      </c>
      <c r="H641" t="s">
        <v>211</v>
      </c>
      <c r="I641" s="49">
        <v>45250</v>
      </c>
      <c r="J641" s="49">
        <v>45255</v>
      </c>
      <c r="K641" t="s">
        <v>834</v>
      </c>
      <c r="L641" s="49">
        <v>45255</v>
      </c>
      <c r="M641" s="49">
        <v>45255</v>
      </c>
      <c r="N641" t="s">
        <v>315</v>
      </c>
      <c r="O641" t="s">
        <v>107</v>
      </c>
      <c r="P641">
        <f>VLOOKUP(N641,[1]ID_Cidades!$A$1:$E$5900,2,FALSE)</f>
        <v>300439</v>
      </c>
      <c r="Q641">
        <f>VLOOKUP(O641,[1]ID_Cidades!$A$1:$E$5900,2,FALSE)</f>
        <v>295765</v>
      </c>
      <c r="R641">
        <f t="shared" si="18"/>
        <v>88859340835</v>
      </c>
      <c r="S641" s="42">
        <f>VLOOKUP(R641,'[1]GCD base'!$A$1:$M$200,7,FALSE)</f>
        <v>1631.4561289999999</v>
      </c>
      <c r="T641" t="s">
        <v>109</v>
      </c>
      <c r="U641" t="s">
        <v>201</v>
      </c>
      <c r="V641" t="s">
        <v>202</v>
      </c>
      <c r="W641" t="s">
        <v>203</v>
      </c>
      <c r="X641" t="s">
        <v>204</v>
      </c>
      <c r="Y641">
        <v>0</v>
      </c>
      <c r="Z641">
        <v>0</v>
      </c>
      <c r="AA641">
        <v>978.89</v>
      </c>
      <c r="AB641">
        <v>0</v>
      </c>
      <c r="AC641" s="49">
        <v>45178</v>
      </c>
      <c r="AD641" s="116" t="s">
        <v>10</v>
      </c>
      <c r="AE641" s="113" t="str" cm="1">
        <f t="array" ref="AE641">_xlfn.IFS(S641&lt;=Constantes!$G$2,"Muito Curta (evitável)",S641&lt;=Constantes!$H$2,"Curta Distância",S641&gt;Constantes!$H$2,"Longa Distância")</f>
        <v>Curta Distância</v>
      </c>
      <c r="AF641" s="114">
        <f>IFERROR(VLOOKUP(AE641,Constantes!$A$1:$E$5,MATCH(AD641,Constantes!$A$1:$E$1,0),0),"")</f>
        <v>0.18286935436241611</v>
      </c>
      <c r="AG641" s="115">
        <f t="shared" si="19"/>
        <v>298.34332898083665</v>
      </c>
    </row>
    <row r="642" spans="1:33" x14ac:dyDescent="0.3">
      <c r="A642">
        <f>COUNTIF($B$2:B642,B642)</f>
        <v>1</v>
      </c>
      <c r="B642">
        <v>19161960</v>
      </c>
      <c r="C642" t="s">
        <v>550</v>
      </c>
      <c r="D642" t="s">
        <v>551</v>
      </c>
      <c r="E642" t="s">
        <v>552</v>
      </c>
      <c r="F642" t="s">
        <v>198</v>
      </c>
      <c r="G642" t="s">
        <v>211</v>
      </c>
      <c r="H642" t="s">
        <v>211</v>
      </c>
      <c r="I642" s="49">
        <v>45251</v>
      </c>
      <c r="J642" s="49">
        <v>45256</v>
      </c>
      <c r="K642" t="s">
        <v>553</v>
      </c>
      <c r="L642" s="49">
        <v>45256</v>
      </c>
      <c r="M642" s="49">
        <v>45256</v>
      </c>
      <c r="N642" t="s">
        <v>116</v>
      </c>
      <c r="O642" t="s">
        <v>107</v>
      </c>
      <c r="P642">
        <f>VLOOKUP(N642,[1]ID_Cidades!$A$1:$E$5900,2,FALSE)</f>
        <v>295778</v>
      </c>
      <c r="Q642">
        <f>VLOOKUP(O642,[1]ID_Cidades!$A$1:$E$5900,2,FALSE)</f>
        <v>295765</v>
      </c>
      <c r="R642">
        <f t="shared" ref="R642:R705" si="20">P642*Q642</f>
        <v>87480780170</v>
      </c>
      <c r="S642" s="42">
        <f>VLOOKUP(R642,'[1]GCD base'!$A$1:$M$200,7,FALSE)</f>
        <v>1961.5007860000001</v>
      </c>
      <c r="T642" t="s">
        <v>109</v>
      </c>
      <c r="U642" t="s">
        <v>201</v>
      </c>
      <c r="V642" t="s">
        <v>202</v>
      </c>
      <c r="W642" t="s">
        <v>203</v>
      </c>
      <c r="X642" t="s">
        <v>204</v>
      </c>
      <c r="Y642">
        <v>2071.63</v>
      </c>
      <c r="Z642">
        <v>0</v>
      </c>
      <c r="AA642">
        <v>882.19</v>
      </c>
      <c r="AB642">
        <v>0</v>
      </c>
      <c r="AC642" s="49">
        <v>45163</v>
      </c>
      <c r="AD642" s="116" t="s">
        <v>10</v>
      </c>
      <c r="AE642" s="113" t="str" cm="1">
        <f t="array" ref="AE642">_xlfn.IFS(S642&lt;=Constantes!$G$2,"Muito Curta (evitável)",S642&lt;=Constantes!$H$2,"Curta Distância",S642&gt;Constantes!$H$2,"Longa Distância")</f>
        <v>Curta Distância</v>
      </c>
      <c r="AF642" s="114">
        <f>IFERROR(VLOOKUP(AE642,Constantes!$A$1:$E$5,MATCH(AD642,Constantes!$A$1:$E$1,0),0),"")</f>
        <v>0.18286935436241611</v>
      </c>
      <c r="AG642" s="115">
        <f t="shared" si="19"/>
        <v>358.69838231719172</v>
      </c>
    </row>
    <row r="643" spans="1:33" x14ac:dyDescent="0.3">
      <c r="A643">
        <f>COUNTIF($B$2:B643,B643)</f>
        <v>2</v>
      </c>
      <c r="B643">
        <v>19161960</v>
      </c>
      <c r="C643" t="s">
        <v>550</v>
      </c>
      <c r="D643" t="s">
        <v>551</v>
      </c>
      <c r="E643" t="s">
        <v>552</v>
      </c>
      <c r="F643" t="s">
        <v>198</v>
      </c>
      <c r="G643" t="s">
        <v>211</v>
      </c>
      <c r="H643" t="s">
        <v>211</v>
      </c>
      <c r="I643" s="49">
        <v>45251</v>
      </c>
      <c r="J643" s="49">
        <v>45256</v>
      </c>
      <c r="K643" t="s">
        <v>553</v>
      </c>
      <c r="L643" s="49">
        <v>45251</v>
      </c>
      <c r="M643" s="49">
        <v>45256</v>
      </c>
      <c r="N643" t="s">
        <v>107</v>
      </c>
      <c r="O643" t="s">
        <v>116</v>
      </c>
      <c r="P643">
        <f>VLOOKUP(N643,[1]ID_Cidades!$A$1:$E$5900,2,FALSE)</f>
        <v>295765</v>
      </c>
      <c r="Q643">
        <f>VLOOKUP(O643,[1]ID_Cidades!$A$1:$E$5900,2,FALSE)</f>
        <v>295778</v>
      </c>
      <c r="R643">
        <f t="shared" si="20"/>
        <v>87480780170</v>
      </c>
      <c r="S643" s="42">
        <f>VLOOKUP(R643,'[1]GCD base'!$A$1:$M$200,7,FALSE)</f>
        <v>1961.5007860000001</v>
      </c>
      <c r="T643" t="s">
        <v>109</v>
      </c>
      <c r="U643" t="s">
        <v>205</v>
      </c>
      <c r="V643" t="s">
        <v>202</v>
      </c>
      <c r="W643" t="s">
        <v>203</v>
      </c>
      <c r="X643" t="s">
        <v>204</v>
      </c>
      <c r="Y643">
        <v>0</v>
      </c>
      <c r="Z643">
        <v>0</v>
      </c>
      <c r="AA643">
        <v>746.9</v>
      </c>
      <c r="AB643">
        <v>0</v>
      </c>
      <c r="AC643" s="49">
        <v>45163</v>
      </c>
      <c r="AD643" s="116" t="s">
        <v>10</v>
      </c>
      <c r="AE643" s="113" t="str" cm="1">
        <f t="array" ref="AE643">_xlfn.IFS(S643&lt;=Constantes!$G$2,"Muito Curta (evitável)",S643&lt;=Constantes!$H$2,"Curta Distância",S643&gt;Constantes!$H$2,"Longa Distância")</f>
        <v>Curta Distância</v>
      </c>
      <c r="AF643" s="114">
        <f>IFERROR(VLOOKUP(AE643,Constantes!$A$1:$E$5,MATCH(AD643,Constantes!$A$1:$E$1,0),0),"")</f>
        <v>0.18286935436241611</v>
      </c>
      <c r="AG643" s="115">
        <f t="shared" ref="AG643:AG706" si="21">AF643*S643</f>
        <v>358.69838231719172</v>
      </c>
    </row>
    <row r="644" spans="1:33" x14ac:dyDescent="0.3">
      <c r="A644">
        <f>COUNTIF($B$2:B644,B644)</f>
        <v>1</v>
      </c>
      <c r="B644">
        <v>19328308</v>
      </c>
      <c r="C644" t="s">
        <v>1222</v>
      </c>
      <c r="D644" t="s">
        <v>1223</v>
      </c>
      <c r="E644" t="s">
        <v>1224</v>
      </c>
      <c r="F644" t="s">
        <v>198</v>
      </c>
      <c r="G644" t="s">
        <v>207</v>
      </c>
      <c r="H644" t="s">
        <v>204</v>
      </c>
      <c r="I644" s="49">
        <v>45251</v>
      </c>
      <c r="J644" s="49">
        <v>45255</v>
      </c>
      <c r="K644" t="s">
        <v>1225</v>
      </c>
      <c r="L644" s="49">
        <v>45251</v>
      </c>
      <c r="M644" s="49">
        <v>45254</v>
      </c>
      <c r="N644" t="s">
        <v>107</v>
      </c>
      <c r="O644" t="s">
        <v>122</v>
      </c>
      <c r="P644">
        <f>VLOOKUP(N644,[1]ID_Cidades!$A$1:$E$5900,2,FALSE)</f>
        <v>295765</v>
      </c>
      <c r="Q644">
        <f>VLOOKUP(O644,[1]ID_Cidades!$A$1:$E$5900,2,FALSE)</f>
        <v>295781</v>
      </c>
      <c r="R644">
        <f t="shared" si="20"/>
        <v>87481667465</v>
      </c>
      <c r="S644" s="42">
        <f>VLOOKUP(R644,'[1]GCD base'!$A$1:$M$200,7,FALSE)</f>
        <v>2695.5823350000001</v>
      </c>
      <c r="T644" t="s">
        <v>109</v>
      </c>
      <c r="U644" t="s">
        <v>205</v>
      </c>
      <c r="V644" t="s">
        <v>202</v>
      </c>
      <c r="W644" t="s">
        <v>203</v>
      </c>
      <c r="X644" t="s">
        <v>204</v>
      </c>
      <c r="Y644">
        <v>1339.44</v>
      </c>
      <c r="Z644">
        <v>0</v>
      </c>
      <c r="AA644">
        <v>2268.09</v>
      </c>
      <c r="AB644">
        <v>0</v>
      </c>
      <c r="AC644" s="49">
        <v>45198</v>
      </c>
      <c r="AD644" s="116" t="s">
        <v>10</v>
      </c>
      <c r="AE644" s="113" t="str" cm="1">
        <f t="array" ref="AE644">_xlfn.IFS(S644&lt;=Constantes!$G$2,"Muito Curta (evitável)",S644&lt;=Constantes!$H$2,"Curta Distância",S644&gt;Constantes!$H$2,"Longa Distância")</f>
        <v>Curta Distância</v>
      </c>
      <c r="AF644" s="114">
        <f>IFERROR(VLOOKUP(AE644,Constantes!$A$1:$E$5,MATCH(AD644,Constantes!$A$1:$E$1,0),0),"")</f>
        <v>0.18286935436241611</v>
      </c>
      <c r="AG644" s="115">
        <f t="shared" si="21"/>
        <v>492.93940123218408</v>
      </c>
    </row>
    <row r="645" spans="1:33" x14ac:dyDescent="0.3">
      <c r="A645">
        <f>COUNTIF($B$2:B645,B645)</f>
        <v>2</v>
      </c>
      <c r="B645">
        <v>19328308</v>
      </c>
      <c r="C645" t="s">
        <v>1222</v>
      </c>
      <c r="D645" t="s">
        <v>1223</v>
      </c>
      <c r="E645" t="s">
        <v>1224</v>
      </c>
      <c r="F645" t="s">
        <v>198</v>
      </c>
      <c r="G645" t="s">
        <v>207</v>
      </c>
      <c r="H645" t="s">
        <v>204</v>
      </c>
      <c r="I645" s="49">
        <v>45251</v>
      </c>
      <c r="J645" s="49">
        <v>45255</v>
      </c>
      <c r="K645" t="s">
        <v>1225</v>
      </c>
      <c r="L645" s="49">
        <v>45254</v>
      </c>
      <c r="M645" s="49">
        <v>45255</v>
      </c>
      <c r="N645" t="s">
        <v>122</v>
      </c>
      <c r="O645" t="s">
        <v>107</v>
      </c>
      <c r="P645">
        <f>VLOOKUP(N645,[1]ID_Cidades!$A$1:$E$5900,2,FALSE)</f>
        <v>295781</v>
      </c>
      <c r="Q645">
        <f>VLOOKUP(O645,[1]ID_Cidades!$A$1:$E$5900,2,FALSE)</f>
        <v>295765</v>
      </c>
      <c r="R645">
        <f t="shared" si="20"/>
        <v>87481667465</v>
      </c>
      <c r="S645" s="42">
        <f>VLOOKUP(R645,'[1]GCD base'!$A$1:$M$200,7,FALSE)</f>
        <v>2695.5823350000001</v>
      </c>
      <c r="T645" t="s">
        <v>109</v>
      </c>
      <c r="U645" t="s">
        <v>201</v>
      </c>
      <c r="V645" t="s">
        <v>202</v>
      </c>
      <c r="W645" t="s">
        <v>203</v>
      </c>
      <c r="X645" t="s">
        <v>204</v>
      </c>
      <c r="Y645">
        <v>0</v>
      </c>
      <c r="Z645">
        <v>0</v>
      </c>
      <c r="AA645">
        <v>1412.2</v>
      </c>
      <c r="AB645">
        <v>0</v>
      </c>
      <c r="AC645" s="49">
        <v>45198</v>
      </c>
      <c r="AD645" s="116" t="s">
        <v>10</v>
      </c>
      <c r="AE645" s="113" t="str" cm="1">
        <f t="array" ref="AE645">_xlfn.IFS(S645&lt;=Constantes!$G$2,"Muito Curta (evitável)",S645&lt;=Constantes!$H$2,"Curta Distância",S645&gt;Constantes!$H$2,"Longa Distância")</f>
        <v>Curta Distância</v>
      </c>
      <c r="AF645" s="114">
        <f>IFERROR(VLOOKUP(AE645,Constantes!$A$1:$E$5,MATCH(AD645,Constantes!$A$1:$E$1,0),0),"")</f>
        <v>0.18286935436241611</v>
      </c>
      <c r="AG645" s="115">
        <f t="shared" si="21"/>
        <v>492.93940123218408</v>
      </c>
    </row>
    <row r="646" spans="1:33" x14ac:dyDescent="0.3">
      <c r="A646">
        <f>COUNTIF($B$2:B646,B646)</f>
        <v>1</v>
      </c>
      <c r="B646">
        <v>19373725</v>
      </c>
      <c r="C646" t="s">
        <v>1391</v>
      </c>
      <c r="D646" t="s">
        <v>1392</v>
      </c>
      <c r="E646" t="s">
        <v>1393</v>
      </c>
      <c r="F646" t="s">
        <v>198</v>
      </c>
      <c r="G646" t="s">
        <v>233</v>
      </c>
      <c r="H646" t="s">
        <v>233</v>
      </c>
      <c r="I646" s="49">
        <v>45251</v>
      </c>
      <c r="J646" s="49">
        <v>45254</v>
      </c>
      <c r="K646" t="s">
        <v>1394</v>
      </c>
      <c r="L646" s="49">
        <v>45251</v>
      </c>
      <c r="M646" s="49">
        <v>45254</v>
      </c>
      <c r="N646" t="s">
        <v>116</v>
      </c>
      <c r="O646" t="s">
        <v>107</v>
      </c>
      <c r="P646">
        <f>VLOOKUP(N646,[1]ID_Cidades!$A$1:$E$5900,2,FALSE)</f>
        <v>295778</v>
      </c>
      <c r="Q646">
        <f>VLOOKUP(O646,[1]ID_Cidades!$A$1:$E$5900,2,FALSE)</f>
        <v>295765</v>
      </c>
      <c r="R646">
        <f t="shared" si="20"/>
        <v>87480780170</v>
      </c>
      <c r="S646" s="42">
        <f>VLOOKUP(R646,'[1]GCD base'!$A$1:$M$200,7,FALSE)</f>
        <v>1961.5007860000001</v>
      </c>
      <c r="T646" t="s">
        <v>109</v>
      </c>
      <c r="U646" t="s">
        <v>205</v>
      </c>
      <c r="V646" t="s">
        <v>202</v>
      </c>
      <c r="W646" t="s">
        <v>203</v>
      </c>
      <c r="X646" t="s">
        <v>204</v>
      </c>
      <c r="Y646">
        <v>1168.93</v>
      </c>
      <c r="Z646">
        <v>0</v>
      </c>
      <c r="AA646">
        <v>1194.7</v>
      </c>
      <c r="AB646">
        <v>0</v>
      </c>
      <c r="AC646" s="49">
        <v>45205</v>
      </c>
      <c r="AD646" s="116" t="s">
        <v>10</v>
      </c>
      <c r="AE646" s="113" t="str" cm="1">
        <f t="array" ref="AE646">_xlfn.IFS(S646&lt;=Constantes!$G$2,"Muito Curta (evitável)",S646&lt;=Constantes!$H$2,"Curta Distância",S646&gt;Constantes!$H$2,"Longa Distância")</f>
        <v>Curta Distância</v>
      </c>
      <c r="AF646" s="114">
        <f>IFERROR(VLOOKUP(AE646,Constantes!$A$1:$E$5,MATCH(AD646,Constantes!$A$1:$E$1,0),0),"")</f>
        <v>0.18286935436241611</v>
      </c>
      <c r="AG646" s="115">
        <f t="shared" si="21"/>
        <v>358.69838231719172</v>
      </c>
    </row>
    <row r="647" spans="1:33" x14ac:dyDescent="0.3">
      <c r="A647">
        <f>COUNTIF($B$2:B647,B647)</f>
        <v>2</v>
      </c>
      <c r="B647">
        <v>19373725</v>
      </c>
      <c r="C647" t="s">
        <v>1391</v>
      </c>
      <c r="D647" t="s">
        <v>1392</v>
      </c>
      <c r="E647" t="s">
        <v>1393</v>
      </c>
      <c r="F647" t="s">
        <v>198</v>
      </c>
      <c r="G647" t="s">
        <v>233</v>
      </c>
      <c r="H647" t="s">
        <v>233</v>
      </c>
      <c r="I647" s="49">
        <v>45251</v>
      </c>
      <c r="J647" s="49">
        <v>45254</v>
      </c>
      <c r="K647" t="s">
        <v>1394</v>
      </c>
      <c r="L647" s="49">
        <v>45254</v>
      </c>
      <c r="M647" s="49">
        <v>45254</v>
      </c>
      <c r="N647" t="s">
        <v>107</v>
      </c>
      <c r="O647" t="s">
        <v>116</v>
      </c>
      <c r="P647">
        <f>VLOOKUP(N647,[1]ID_Cidades!$A$1:$E$5900,2,FALSE)</f>
        <v>295765</v>
      </c>
      <c r="Q647">
        <f>VLOOKUP(O647,[1]ID_Cidades!$A$1:$E$5900,2,FALSE)</f>
        <v>295778</v>
      </c>
      <c r="R647">
        <f t="shared" si="20"/>
        <v>87480780170</v>
      </c>
      <c r="S647" s="42">
        <f>VLOOKUP(R647,'[1]GCD base'!$A$1:$M$200,7,FALSE)</f>
        <v>1961.5007860000001</v>
      </c>
      <c r="T647" t="s">
        <v>109</v>
      </c>
      <c r="U647" t="s">
        <v>201</v>
      </c>
      <c r="V647" t="s">
        <v>202</v>
      </c>
      <c r="W647" t="s">
        <v>203</v>
      </c>
      <c r="X647" t="s">
        <v>204</v>
      </c>
      <c r="Y647">
        <v>0</v>
      </c>
      <c r="Z647">
        <v>0</v>
      </c>
      <c r="AA647">
        <v>838.19</v>
      </c>
      <c r="AB647">
        <v>0</v>
      </c>
      <c r="AC647" s="49">
        <v>45205</v>
      </c>
      <c r="AD647" s="116" t="s">
        <v>10</v>
      </c>
      <c r="AE647" s="113" t="str" cm="1">
        <f t="array" ref="AE647">_xlfn.IFS(S647&lt;=Constantes!$G$2,"Muito Curta (evitável)",S647&lt;=Constantes!$H$2,"Curta Distância",S647&gt;Constantes!$H$2,"Longa Distância")</f>
        <v>Curta Distância</v>
      </c>
      <c r="AF647" s="114">
        <f>IFERROR(VLOOKUP(AE647,Constantes!$A$1:$E$5,MATCH(AD647,Constantes!$A$1:$E$1,0),0),"")</f>
        <v>0.18286935436241611</v>
      </c>
      <c r="AG647" s="115">
        <f t="shared" si="21"/>
        <v>358.69838231719172</v>
      </c>
    </row>
    <row r="648" spans="1:33" x14ac:dyDescent="0.3">
      <c r="A648">
        <f>COUNTIF($B$2:B648,B648)</f>
        <v>1</v>
      </c>
      <c r="B648">
        <v>19379035</v>
      </c>
      <c r="C648" t="s">
        <v>1427</v>
      </c>
      <c r="D648" t="s">
        <v>1428</v>
      </c>
      <c r="E648" t="s">
        <v>1429</v>
      </c>
      <c r="F648" t="s">
        <v>198</v>
      </c>
      <c r="G648" t="s">
        <v>215</v>
      </c>
      <c r="H648" t="s">
        <v>200</v>
      </c>
      <c r="I648" s="49">
        <v>45251</v>
      </c>
      <c r="J648" s="49">
        <v>45255</v>
      </c>
      <c r="K648" t="s">
        <v>1430</v>
      </c>
      <c r="L648" s="49">
        <v>45251</v>
      </c>
      <c r="M648" s="49">
        <v>45255</v>
      </c>
      <c r="N648" t="s">
        <v>107</v>
      </c>
      <c r="O648" t="s">
        <v>117</v>
      </c>
      <c r="P648">
        <f>VLOOKUP(N648,[1]ID_Cidades!$A$1:$E$5900,2,FALSE)</f>
        <v>295765</v>
      </c>
      <c r="Q648">
        <f>VLOOKUP(O648,[1]ID_Cidades!$A$1:$E$5900,2,FALSE)</f>
        <v>295779</v>
      </c>
      <c r="R648">
        <f t="shared" si="20"/>
        <v>87481075935</v>
      </c>
      <c r="S648" s="42">
        <f>VLOOKUP(R648,'[1]GCD base'!$A$1:$M$200,7,FALSE)</f>
        <v>2189.9742419999998</v>
      </c>
      <c r="T648" t="s">
        <v>109</v>
      </c>
      <c r="U648" t="s">
        <v>205</v>
      </c>
      <c r="V648" t="s">
        <v>202</v>
      </c>
      <c r="W648" t="s">
        <v>203</v>
      </c>
      <c r="X648" t="s">
        <v>204</v>
      </c>
      <c r="Y648">
        <v>1926.06</v>
      </c>
      <c r="Z648">
        <v>0</v>
      </c>
      <c r="AA648">
        <v>870.99</v>
      </c>
      <c r="AB648">
        <v>0</v>
      </c>
      <c r="AC648" s="49">
        <v>45225</v>
      </c>
      <c r="AD648" s="116" t="s">
        <v>10</v>
      </c>
      <c r="AE648" s="113" t="str" cm="1">
        <f t="array" ref="AE648">_xlfn.IFS(S648&lt;=Constantes!$G$2,"Muito Curta (evitável)",S648&lt;=Constantes!$H$2,"Curta Distância",S648&gt;Constantes!$H$2,"Longa Distância")</f>
        <v>Curta Distância</v>
      </c>
      <c r="AF648" s="114">
        <f>IFERROR(VLOOKUP(AE648,Constantes!$A$1:$E$5,MATCH(AD648,Constantes!$A$1:$E$1,0),0),"")</f>
        <v>0.18286935436241611</v>
      </c>
      <c r="AG648" s="115">
        <f t="shared" si="21"/>
        <v>400.47917570486158</v>
      </c>
    </row>
    <row r="649" spans="1:33" x14ac:dyDescent="0.3">
      <c r="A649">
        <f>COUNTIF($B$2:B649,B649)</f>
        <v>2</v>
      </c>
      <c r="B649">
        <v>19379035</v>
      </c>
      <c r="C649" t="s">
        <v>1427</v>
      </c>
      <c r="D649" t="s">
        <v>1428</v>
      </c>
      <c r="E649" t="s">
        <v>1429</v>
      </c>
      <c r="F649" t="s">
        <v>198</v>
      </c>
      <c r="G649" t="s">
        <v>215</v>
      </c>
      <c r="H649" t="s">
        <v>200</v>
      </c>
      <c r="I649" s="49">
        <v>45251</v>
      </c>
      <c r="J649" s="49">
        <v>45255</v>
      </c>
      <c r="K649" t="s">
        <v>1430</v>
      </c>
      <c r="L649" s="49">
        <v>45255</v>
      </c>
      <c r="M649" s="49">
        <v>45255</v>
      </c>
      <c r="N649" t="s">
        <v>117</v>
      </c>
      <c r="O649" t="s">
        <v>107</v>
      </c>
      <c r="P649">
        <f>VLOOKUP(N649,[1]ID_Cidades!$A$1:$E$5900,2,FALSE)</f>
        <v>295779</v>
      </c>
      <c r="Q649">
        <f>VLOOKUP(O649,[1]ID_Cidades!$A$1:$E$5900,2,FALSE)</f>
        <v>295765</v>
      </c>
      <c r="R649">
        <f t="shared" si="20"/>
        <v>87481075935</v>
      </c>
      <c r="S649" s="42">
        <f>VLOOKUP(R649,'[1]GCD base'!$A$1:$M$200,7,FALSE)</f>
        <v>2189.9742419999998</v>
      </c>
      <c r="T649" t="s">
        <v>109</v>
      </c>
      <c r="U649" t="s">
        <v>201</v>
      </c>
      <c r="V649" t="s">
        <v>202</v>
      </c>
      <c r="W649" t="s">
        <v>203</v>
      </c>
      <c r="X649" t="s">
        <v>204</v>
      </c>
      <c r="Y649">
        <v>0</v>
      </c>
      <c r="Z649">
        <v>0</v>
      </c>
      <c r="AA649">
        <v>503.55</v>
      </c>
      <c r="AB649">
        <v>0</v>
      </c>
      <c r="AC649" s="49">
        <v>45225</v>
      </c>
      <c r="AD649" s="116" t="s">
        <v>10</v>
      </c>
      <c r="AE649" s="113" t="str" cm="1">
        <f t="array" ref="AE649">_xlfn.IFS(S649&lt;=Constantes!$G$2,"Muito Curta (evitável)",S649&lt;=Constantes!$H$2,"Curta Distância",S649&gt;Constantes!$H$2,"Longa Distância")</f>
        <v>Curta Distância</v>
      </c>
      <c r="AF649" s="114">
        <f>IFERROR(VLOOKUP(AE649,Constantes!$A$1:$E$5,MATCH(AD649,Constantes!$A$1:$E$1,0),0),"")</f>
        <v>0.18286935436241611</v>
      </c>
      <c r="AG649" s="115">
        <f t="shared" si="21"/>
        <v>400.47917570486158</v>
      </c>
    </row>
    <row r="650" spans="1:33" x14ac:dyDescent="0.3">
      <c r="A650">
        <f>COUNTIF($B$2:B650,B650)</f>
        <v>1</v>
      </c>
      <c r="B650">
        <v>19525156</v>
      </c>
      <c r="C650" t="s">
        <v>1668</v>
      </c>
      <c r="D650" t="s">
        <v>208</v>
      </c>
      <c r="E650" t="s">
        <v>132</v>
      </c>
      <c r="F650" t="s">
        <v>198</v>
      </c>
      <c r="G650" t="s">
        <v>209</v>
      </c>
      <c r="H650" t="s">
        <v>200</v>
      </c>
      <c r="I650" s="49">
        <v>45251</v>
      </c>
      <c r="J650" s="49">
        <v>45254</v>
      </c>
      <c r="K650" t="s">
        <v>1669</v>
      </c>
      <c r="L650" s="49">
        <v>45251</v>
      </c>
      <c r="M650" s="49">
        <v>45254</v>
      </c>
      <c r="N650" t="s">
        <v>107</v>
      </c>
      <c r="O650" t="s">
        <v>110</v>
      </c>
      <c r="P650">
        <f>VLOOKUP(N650,[1]ID_Cidades!$A$1:$E$5900,2,FALSE)</f>
        <v>295765</v>
      </c>
      <c r="Q650">
        <f>VLOOKUP(O650,[1]ID_Cidades!$A$1:$E$5900,2,FALSE)</f>
        <v>295763</v>
      </c>
      <c r="R650">
        <f t="shared" si="20"/>
        <v>87476343695</v>
      </c>
      <c r="S650" s="42">
        <f>VLOOKUP(R650,'[1]GCD base'!$A$1:$M$200,7,FALSE)</f>
        <v>1713.419991</v>
      </c>
      <c r="T650" t="s">
        <v>109</v>
      </c>
      <c r="U650" t="s">
        <v>205</v>
      </c>
      <c r="V650" t="s">
        <v>202</v>
      </c>
      <c r="W650" t="s">
        <v>210</v>
      </c>
      <c r="X650" t="s">
        <v>1670</v>
      </c>
      <c r="Y650">
        <v>1492.57</v>
      </c>
      <c r="Z650">
        <v>0</v>
      </c>
      <c r="AA650">
        <v>2111.9899999999998</v>
      </c>
      <c r="AB650">
        <v>0</v>
      </c>
      <c r="AC650" s="49">
        <v>45246</v>
      </c>
      <c r="AD650" s="116" t="s">
        <v>10</v>
      </c>
      <c r="AE650" s="113" t="str" cm="1">
        <f t="array" ref="AE650">_xlfn.IFS(S650&lt;=Constantes!$G$2,"Muito Curta (evitável)",S650&lt;=Constantes!$H$2,"Curta Distância",S650&gt;Constantes!$H$2,"Longa Distância")</f>
        <v>Curta Distância</v>
      </c>
      <c r="AF650" s="114">
        <f>IFERROR(VLOOKUP(AE650,Constantes!$A$1:$E$5,MATCH(AD650,Constantes!$A$1:$E$1,0),0),"")</f>
        <v>0.18286935436241611</v>
      </c>
      <c r="AG650" s="115">
        <f t="shared" si="21"/>
        <v>313.33200750582682</v>
      </c>
    </row>
    <row r="651" spans="1:33" x14ac:dyDescent="0.3">
      <c r="A651">
        <f>COUNTIF($B$2:B651,B651)</f>
        <v>2</v>
      </c>
      <c r="B651">
        <v>19525156</v>
      </c>
      <c r="C651" t="s">
        <v>1668</v>
      </c>
      <c r="D651" t="s">
        <v>208</v>
      </c>
      <c r="E651" t="s">
        <v>132</v>
      </c>
      <c r="F651" t="s">
        <v>198</v>
      </c>
      <c r="G651" t="s">
        <v>209</v>
      </c>
      <c r="H651" t="s">
        <v>200</v>
      </c>
      <c r="I651" s="49">
        <v>45251</v>
      </c>
      <c r="J651" s="49">
        <v>45254</v>
      </c>
      <c r="K651" t="s">
        <v>1669</v>
      </c>
      <c r="L651" s="49">
        <v>45254</v>
      </c>
      <c r="M651" s="49">
        <v>45254</v>
      </c>
      <c r="N651" t="s">
        <v>110</v>
      </c>
      <c r="O651" t="s">
        <v>107</v>
      </c>
      <c r="P651">
        <f>VLOOKUP(N651,[1]ID_Cidades!$A$1:$E$5900,2,FALSE)</f>
        <v>295763</v>
      </c>
      <c r="Q651">
        <f>VLOOKUP(O651,[1]ID_Cidades!$A$1:$E$5900,2,FALSE)</f>
        <v>295765</v>
      </c>
      <c r="R651">
        <f t="shared" si="20"/>
        <v>87476343695</v>
      </c>
      <c r="S651" s="42">
        <f>VLOOKUP(R651,'[1]GCD base'!$A$1:$M$200,7,FALSE)</f>
        <v>1713.419991</v>
      </c>
      <c r="T651" t="s">
        <v>109</v>
      </c>
      <c r="U651" t="s">
        <v>201</v>
      </c>
      <c r="V651" t="s">
        <v>202</v>
      </c>
      <c r="W651" t="s">
        <v>210</v>
      </c>
      <c r="X651" t="s">
        <v>1670</v>
      </c>
      <c r="Y651">
        <v>0</v>
      </c>
      <c r="Z651">
        <v>0</v>
      </c>
      <c r="AA651">
        <v>1586.81</v>
      </c>
      <c r="AB651">
        <v>0</v>
      </c>
      <c r="AC651" s="49">
        <v>45246</v>
      </c>
      <c r="AD651" s="116" t="s">
        <v>10</v>
      </c>
      <c r="AE651" s="113" t="str" cm="1">
        <f t="array" ref="AE651">_xlfn.IFS(S651&lt;=Constantes!$G$2,"Muito Curta (evitável)",S651&lt;=Constantes!$H$2,"Curta Distância",S651&gt;Constantes!$H$2,"Longa Distância")</f>
        <v>Curta Distância</v>
      </c>
      <c r="AF651" s="114">
        <f>IFERROR(VLOOKUP(AE651,Constantes!$A$1:$E$5,MATCH(AD651,Constantes!$A$1:$E$1,0),0),"")</f>
        <v>0.18286935436241611</v>
      </c>
      <c r="AG651" s="115">
        <f t="shared" si="21"/>
        <v>313.33200750582682</v>
      </c>
    </row>
    <row r="652" spans="1:33" x14ac:dyDescent="0.3">
      <c r="A652">
        <f>COUNTIF($B$2:B652,B652)</f>
        <v>1</v>
      </c>
      <c r="B652">
        <v>19537594</v>
      </c>
      <c r="C652" t="s">
        <v>1684</v>
      </c>
      <c r="D652" t="s">
        <v>213</v>
      </c>
      <c r="E652" t="s">
        <v>125</v>
      </c>
      <c r="F652" t="s">
        <v>214</v>
      </c>
      <c r="G652" t="s">
        <v>215</v>
      </c>
      <c r="H652" t="s">
        <v>200</v>
      </c>
      <c r="I652" s="49">
        <v>45251</v>
      </c>
      <c r="J652" s="49">
        <v>45254</v>
      </c>
      <c r="K652" t="s">
        <v>1685</v>
      </c>
      <c r="L652" s="49">
        <v>45254</v>
      </c>
      <c r="M652" s="49">
        <v>45254</v>
      </c>
      <c r="N652" t="s">
        <v>110</v>
      </c>
      <c r="O652" t="s">
        <v>107</v>
      </c>
      <c r="P652">
        <f>VLOOKUP(N652,[1]ID_Cidades!$A$1:$E$5900,2,FALSE)</f>
        <v>295763</v>
      </c>
      <c r="Q652">
        <f>VLOOKUP(O652,[1]ID_Cidades!$A$1:$E$5900,2,FALSE)</f>
        <v>295765</v>
      </c>
      <c r="R652">
        <f t="shared" si="20"/>
        <v>87476343695</v>
      </c>
      <c r="S652" s="42">
        <f>VLOOKUP(R652,'[1]GCD base'!$A$1:$M$200,7,FALSE)</f>
        <v>1713.419991</v>
      </c>
      <c r="T652" t="s">
        <v>109</v>
      </c>
      <c r="U652" t="s">
        <v>201</v>
      </c>
      <c r="V652" t="s">
        <v>202</v>
      </c>
      <c r="W652" t="s">
        <v>210</v>
      </c>
      <c r="X652" t="s">
        <v>1686</v>
      </c>
      <c r="Y652">
        <v>1492.57</v>
      </c>
      <c r="Z652">
        <v>0</v>
      </c>
      <c r="AA652">
        <v>1597.81</v>
      </c>
      <c r="AB652">
        <v>0</v>
      </c>
      <c r="AC652" s="49">
        <v>45247</v>
      </c>
      <c r="AD652" s="116" t="s">
        <v>10</v>
      </c>
      <c r="AE652" s="113" t="str" cm="1">
        <f t="array" ref="AE652">_xlfn.IFS(S652&lt;=Constantes!$G$2,"Muito Curta (evitável)",S652&lt;=Constantes!$H$2,"Curta Distância",S652&gt;Constantes!$H$2,"Longa Distância")</f>
        <v>Curta Distância</v>
      </c>
      <c r="AF652" s="114">
        <f>IFERROR(VLOOKUP(AE652,Constantes!$A$1:$E$5,MATCH(AD652,Constantes!$A$1:$E$1,0),0),"")</f>
        <v>0.18286935436241611</v>
      </c>
      <c r="AG652" s="115">
        <f t="shared" si="21"/>
        <v>313.33200750582682</v>
      </c>
    </row>
    <row r="653" spans="1:33" x14ac:dyDescent="0.3">
      <c r="A653">
        <f>COUNTIF($B$2:B653,B653)</f>
        <v>2</v>
      </c>
      <c r="B653">
        <v>19537594</v>
      </c>
      <c r="C653" t="s">
        <v>1684</v>
      </c>
      <c r="D653" t="s">
        <v>213</v>
      </c>
      <c r="E653" t="s">
        <v>125</v>
      </c>
      <c r="F653" t="s">
        <v>214</v>
      </c>
      <c r="G653" t="s">
        <v>215</v>
      </c>
      <c r="H653" t="s">
        <v>200</v>
      </c>
      <c r="I653" s="49">
        <v>45251</v>
      </c>
      <c r="J653" s="49">
        <v>45254</v>
      </c>
      <c r="K653" t="s">
        <v>1685</v>
      </c>
      <c r="L653" s="49">
        <v>45251</v>
      </c>
      <c r="M653" s="49">
        <v>45254</v>
      </c>
      <c r="N653" t="s">
        <v>107</v>
      </c>
      <c r="O653" t="s">
        <v>110</v>
      </c>
      <c r="P653">
        <f>VLOOKUP(N653,[1]ID_Cidades!$A$1:$E$5900,2,FALSE)</f>
        <v>295765</v>
      </c>
      <c r="Q653">
        <f>VLOOKUP(O653,[1]ID_Cidades!$A$1:$E$5900,2,FALSE)</f>
        <v>295763</v>
      </c>
      <c r="R653">
        <f t="shared" si="20"/>
        <v>87476343695</v>
      </c>
      <c r="S653" s="42">
        <f>VLOOKUP(R653,'[1]GCD base'!$A$1:$M$200,7,FALSE)</f>
        <v>1713.419991</v>
      </c>
      <c r="T653" t="s">
        <v>109</v>
      </c>
      <c r="U653" t="s">
        <v>205</v>
      </c>
      <c r="V653" t="s">
        <v>202</v>
      </c>
      <c r="W653" t="s">
        <v>210</v>
      </c>
      <c r="X653" t="s">
        <v>1686</v>
      </c>
      <c r="Y653">
        <v>0</v>
      </c>
      <c r="Z653">
        <v>0</v>
      </c>
      <c r="AA653">
        <v>2111.9899999999998</v>
      </c>
      <c r="AB653">
        <v>0</v>
      </c>
      <c r="AC653" s="49">
        <v>45247</v>
      </c>
      <c r="AD653" s="116" t="s">
        <v>10</v>
      </c>
      <c r="AE653" s="113" t="str" cm="1">
        <f t="array" ref="AE653">_xlfn.IFS(S653&lt;=Constantes!$G$2,"Muito Curta (evitável)",S653&lt;=Constantes!$H$2,"Curta Distância",S653&gt;Constantes!$H$2,"Longa Distância")</f>
        <v>Curta Distância</v>
      </c>
      <c r="AF653" s="114">
        <f>IFERROR(VLOOKUP(AE653,Constantes!$A$1:$E$5,MATCH(AD653,Constantes!$A$1:$E$1,0),0),"")</f>
        <v>0.18286935436241611</v>
      </c>
      <c r="AG653" s="115">
        <f t="shared" si="21"/>
        <v>313.33200750582682</v>
      </c>
    </row>
    <row r="654" spans="1:33" x14ac:dyDescent="0.3">
      <c r="A654">
        <f>COUNTIF($B$2:B654,B654)</f>
        <v>1</v>
      </c>
      <c r="B654">
        <v>19223541</v>
      </c>
      <c r="C654" t="s">
        <v>743</v>
      </c>
      <c r="D654" t="s">
        <v>218</v>
      </c>
      <c r="E654" t="s">
        <v>744</v>
      </c>
      <c r="F654" t="s">
        <v>218</v>
      </c>
      <c r="G654" t="s">
        <v>207</v>
      </c>
      <c r="H654" t="s">
        <v>204</v>
      </c>
      <c r="I654" s="49">
        <v>45252</v>
      </c>
      <c r="J654" s="49">
        <v>45256</v>
      </c>
      <c r="K654" t="s">
        <v>745</v>
      </c>
      <c r="L654" s="49">
        <v>45252</v>
      </c>
      <c r="M654" s="49">
        <v>45256</v>
      </c>
      <c r="N654" t="s">
        <v>107</v>
      </c>
      <c r="O654" t="s">
        <v>117</v>
      </c>
      <c r="P654">
        <f>VLOOKUP(N654,[1]ID_Cidades!$A$1:$E$5900,2,FALSE)</f>
        <v>295765</v>
      </c>
      <c r="Q654">
        <f>VLOOKUP(O654,[1]ID_Cidades!$A$1:$E$5900,2,FALSE)</f>
        <v>295779</v>
      </c>
      <c r="R654">
        <f t="shared" si="20"/>
        <v>87481075935</v>
      </c>
      <c r="S654" s="42">
        <f>VLOOKUP(R654,'[1]GCD base'!$A$1:$M$200,7,FALSE)</f>
        <v>2189.9742419999998</v>
      </c>
      <c r="T654" t="s">
        <v>109</v>
      </c>
      <c r="U654" t="s">
        <v>205</v>
      </c>
      <c r="V654" t="s">
        <v>202</v>
      </c>
      <c r="W654" t="s">
        <v>203</v>
      </c>
      <c r="X654" t="s">
        <v>204</v>
      </c>
      <c r="Y654">
        <v>0</v>
      </c>
      <c r="Z654">
        <v>0</v>
      </c>
      <c r="AA654">
        <v>777.79</v>
      </c>
      <c r="AB654">
        <v>0</v>
      </c>
      <c r="AC654" s="49">
        <v>45167</v>
      </c>
      <c r="AD654" s="116" t="s">
        <v>10</v>
      </c>
      <c r="AE654" s="113" t="str" cm="1">
        <f t="array" ref="AE654">_xlfn.IFS(S654&lt;=Constantes!$G$2,"Muito Curta (evitável)",S654&lt;=Constantes!$H$2,"Curta Distância",S654&gt;Constantes!$H$2,"Longa Distância")</f>
        <v>Curta Distância</v>
      </c>
      <c r="AF654" s="114">
        <f>IFERROR(VLOOKUP(AE654,Constantes!$A$1:$E$5,MATCH(AD654,Constantes!$A$1:$E$1,0),0),"")</f>
        <v>0.18286935436241611</v>
      </c>
      <c r="AG654" s="115">
        <f t="shared" si="21"/>
        <v>400.47917570486158</v>
      </c>
    </row>
    <row r="655" spans="1:33" x14ac:dyDescent="0.3">
      <c r="A655">
        <f>COUNTIF($B$2:B655,B655)</f>
        <v>2</v>
      </c>
      <c r="B655">
        <v>19223541</v>
      </c>
      <c r="C655" t="s">
        <v>743</v>
      </c>
      <c r="D655" t="s">
        <v>218</v>
      </c>
      <c r="E655" t="s">
        <v>744</v>
      </c>
      <c r="F655" t="s">
        <v>218</v>
      </c>
      <c r="G655" t="s">
        <v>207</v>
      </c>
      <c r="H655" t="s">
        <v>204</v>
      </c>
      <c r="I655" s="49">
        <v>45252</v>
      </c>
      <c r="J655" s="49">
        <v>45256</v>
      </c>
      <c r="K655" t="s">
        <v>745</v>
      </c>
      <c r="L655" s="49">
        <v>45256</v>
      </c>
      <c r="M655" s="49">
        <v>45256</v>
      </c>
      <c r="N655" t="s">
        <v>117</v>
      </c>
      <c r="O655" t="s">
        <v>107</v>
      </c>
      <c r="P655">
        <f>VLOOKUP(N655,[1]ID_Cidades!$A$1:$E$5900,2,FALSE)</f>
        <v>295779</v>
      </c>
      <c r="Q655">
        <f>VLOOKUP(O655,[1]ID_Cidades!$A$1:$E$5900,2,FALSE)</f>
        <v>295765</v>
      </c>
      <c r="R655">
        <f t="shared" si="20"/>
        <v>87481075935</v>
      </c>
      <c r="S655" s="42">
        <f>VLOOKUP(R655,'[1]GCD base'!$A$1:$M$200,7,FALSE)</f>
        <v>2189.9742419999998</v>
      </c>
      <c r="T655" t="s">
        <v>109</v>
      </c>
      <c r="U655" t="s">
        <v>201</v>
      </c>
      <c r="V655" t="s">
        <v>202</v>
      </c>
      <c r="W655" t="s">
        <v>203</v>
      </c>
      <c r="X655" t="s">
        <v>204</v>
      </c>
      <c r="Y655">
        <v>0</v>
      </c>
      <c r="Z655">
        <v>0</v>
      </c>
      <c r="AA655">
        <v>959.55</v>
      </c>
      <c r="AB655">
        <v>0</v>
      </c>
      <c r="AC655" s="49">
        <v>45167</v>
      </c>
      <c r="AD655" s="116" t="s">
        <v>10</v>
      </c>
      <c r="AE655" s="113" t="str" cm="1">
        <f t="array" ref="AE655">_xlfn.IFS(S655&lt;=Constantes!$G$2,"Muito Curta (evitável)",S655&lt;=Constantes!$H$2,"Curta Distância",S655&gt;Constantes!$H$2,"Longa Distância")</f>
        <v>Curta Distância</v>
      </c>
      <c r="AF655" s="114">
        <f>IFERROR(VLOOKUP(AE655,Constantes!$A$1:$E$5,MATCH(AD655,Constantes!$A$1:$E$1,0),0),"")</f>
        <v>0.18286935436241611</v>
      </c>
      <c r="AG655" s="115">
        <f t="shared" si="21"/>
        <v>400.47917570486158</v>
      </c>
    </row>
    <row r="656" spans="1:33" x14ac:dyDescent="0.3">
      <c r="A656">
        <f>COUNTIF($B$2:B656,B656)</f>
        <v>1</v>
      </c>
      <c r="B656">
        <v>19223661</v>
      </c>
      <c r="C656" t="s">
        <v>746</v>
      </c>
      <c r="D656" t="s">
        <v>218</v>
      </c>
      <c r="E656" t="s">
        <v>747</v>
      </c>
      <c r="F656" t="s">
        <v>218</v>
      </c>
      <c r="G656" t="s">
        <v>207</v>
      </c>
      <c r="H656" t="s">
        <v>204</v>
      </c>
      <c r="I656" s="49">
        <v>45252</v>
      </c>
      <c r="J656" s="49">
        <v>45256</v>
      </c>
      <c r="K656" t="s">
        <v>748</v>
      </c>
      <c r="L656" s="49">
        <v>45256</v>
      </c>
      <c r="M656" s="49">
        <v>45256</v>
      </c>
      <c r="N656" t="s">
        <v>117</v>
      </c>
      <c r="O656" t="s">
        <v>107</v>
      </c>
      <c r="P656">
        <f>VLOOKUP(N656,[1]ID_Cidades!$A$1:$E$5900,2,FALSE)</f>
        <v>295779</v>
      </c>
      <c r="Q656">
        <f>VLOOKUP(O656,[1]ID_Cidades!$A$1:$E$5900,2,FALSE)</f>
        <v>295765</v>
      </c>
      <c r="R656">
        <f t="shared" si="20"/>
        <v>87481075935</v>
      </c>
      <c r="S656" s="42">
        <f>VLOOKUP(R656,'[1]GCD base'!$A$1:$M$200,7,FALSE)</f>
        <v>2189.9742419999998</v>
      </c>
      <c r="T656" t="s">
        <v>109</v>
      </c>
      <c r="U656" t="s">
        <v>201</v>
      </c>
      <c r="V656" t="s">
        <v>202</v>
      </c>
      <c r="W656" t="s">
        <v>203</v>
      </c>
      <c r="X656" t="s">
        <v>204</v>
      </c>
      <c r="Y656">
        <v>0</v>
      </c>
      <c r="Z656">
        <v>0</v>
      </c>
      <c r="AA656">
        <v>777.79</v>
      </c>
      <c r="AB656">
        <v>0</v>
      </c>
      <c r="AC656" s="49">
        <v>45167</v>
      </c>
      <c r="AD656" s="116" t="s">
        <v>10</v>
      </c>
      <c r="AE656" s="113" t="str" cm="1">
        <f t="array" ref="AE656">_xlfn.IFS(S656&lt;=Constantes!$G$2,"Muito Curta (evitável)",S656&lt;=Constantes!$H$2,"Curta Distância",S656&gt;Constantes!$H$2,"Longa Distância")</f>
        <v>Curta Distância</v>
      </c>
      <c r="AF656" s="114">
        <f>IFERROR(VLOOKUP(AE656,Constantes!$A$1:$E$5,MATCH(AD656,Constantes!$A$1:$E$1,0),0),"")</f>
        <v>0.18286935436241611</v>
      </c>
      <c r="AG656" s="115">
        <f t="shared" si="21"/>
        <v>400.47917570486158</v>
      </c>
    </row>
    <row r="657" spans="1:33" x14ac:dyDescent="0.3">
      <c r="A657">
        <f>COUNTIF($B$2:B657,B657)</f>
        <v>2</v>
      </c>
      <c r="B657">
        <v>19223661</v>
      </c>
      <c r="C657" t="s">
        <v>746</v>
      </c>
      <c r="D657" t="s">
        <v>218</v>
      </c>
      <c r="E657" t="s">
        <v>747</v>
      </c>
      <c r="F657" t="s">
        <v>218</v>
      </c>
      <c r="G657" t="s">
        <v>207</v>
      </c>
      <c r="H657" t="s">
        <v>204</v>
      </c>
      <c r="I657" s="49">
        <v>45252</v>
      </c>
      <c r="J657" s="49">
        <v>45256</v>
      </c>
      <c r="K657" t="s">
        <v>748</v>
      </c>
      <c r="L657" s="49">
        <v>45252</v>
      </c>
      <c r="M657" s="49">
        <v>45256</v>
      </c>
      <c r="N657" t="s">
        <v>107</v>
      </c>
      <c r="O657" t="s">
        <v>117</v>
      </c>
      <c r="P657">
        <f>VLOOKUP(N657,[1]ID_Cidades!$A$1:$E$5900,2,FALSE)</f>
        <v>295765</v>
      </c>
      <c r="Q657">
        <f>VLOOKUP(O657,[1]ID_Cidades!$A$1:$E$5900,2,FALSE)</f>
        <v>295779</v>
      </c>
      <c r="R657">
        <f t="shared" si="20"/>
        <v>87481075935</v>
      </c>
      <c r="S657" s="42">
        <f>VLOOKUP(R657,'[1]GCD base'!$A$1:$M$200,7,FALSE)</f>
        <v>2189.9742419999998</v>
      </c>
      <c r="T657" t="s">
        <v>109</v>
      </c>
      <c r="U657" t="s">
        <v>205</v>
      </c>
      <c r="V657" t="s">
        <v>202</v>
      </c>
      <c r="W657" t="s">
        <v>203</v>
      </c>
      <c r="X657" t="s">
        <v>204</v>
      </c>
      <c r="Y657">
        <v>0</v>
      </c>
      <c r="Z657">
        <v>0</v>
      </c>
      <c r="AA657">
        <v>959.55</v>
      </c>
      <c r="AB657">
        <v>0</v>
      </c>
      <c r="AC657" s="49">
        <v>45167</v>
      </c>
      <c r="AD657" s="116" t="s">
        <v>10</v>
      </c>
      <c r="AE657" s="113" t="str" cm="1">
        <f t="array" ref="AE657">_xlfn.IFS(S657&lt;=Constantes!$G$2,"Muito Curta (evitável)",S657&lt;=Constantes!$H$2,"Curta Distância",S657&gt;Constantes!$H$2,"Longa Distância")</f>
        <v>Curta Distância</v>
      </c>
      <c r="AF657" s="114">
        <f>IFERROR(VLOOKUP(AE657,Constantes!$A$1:$E$5,MATCH(AD657,Constantes!$A$1:$E$1,0),0),"")</f>
        <v>0.18286935436241611</v>
      </c>
      <c r="AG657" s="115">
        <f t="shared" si="21"/>
        <v>400.47917570486158</v>
      </c>
    </row>
    <row r="658" spans="1:33" x14ac:dyDescent="0.3">
      <c r="A658">
        <f>COUNTIF($B$2:B658,B658)</f>
        <v>1</v>
      </c>
      <c r="B658">
        <v>19341809</v>
      </c>
      <c r="C658" t="s">
        <v>1279</v>
      </c>
      <c r="D658" t="s">
        <v>1280</v>
      </c>
      <c r="E658" t="s">
        <v>1281</v>
      </c>
      <c r="F658" t="s">
        <v>218</v>
      </c>
      <c r="G658" t="s">
        <v>207</v>
      </c>
      <c r="H658" t="s">
        <v>204</v>
      </c>
      <c r="I658" s="49">
        <v>45252</v>
      </c>
      <c r="J658" s="49">
        <v>45254</v>
      </c>
      <c r="K658" t="s">
        <v>1282</v>
      </c>
      <c r="L658" s="49">
        <v>45252</v>
      </c>
      <c r="M658" s="49">
        <v>45254</v>
      </c>
      <c r="N658" t="s">
        <v>129</v>
      </c>
      <c r="O658" t="s">
        <v>107</v>
      </c>
      <c r="P658">
        <f>VLOOKUP(N658,[1]ID_Cidades!$A$1:$E$5900,2,FALSE)</f>
        <v>303939</v>
      </c>
      <c r="Q658">
        <f>VLOOKUP(O658,[1]ID_Cidades!$A$1:$E$5900,2,FALSE)</f>
        <v>295765</v>
      </c>
      <c r="R658">
        <f t="shared" si="20"/>
        <v>89894518335</v>
      </c>
      <c r="S658" s="42">
        <f>VLOOKUP(R658,'[1]GCD base'!$A$1:$M$200,7,FALSE)</f>
        <v>2189.9742419999998</v>
      </c>
      <c r="T658" t="s">
        <v>109</v>
      </c>
      <c r="U658" t="s">
        <v>205</v>
      </c>
      <c r="V658" t="s">
        <v>202</v>
      </c>
      <c r="W658" t="s">
        <v>203</v>
      </c>
      <c r="X658" t="s">
        <v>204</v>
      </c>
      <c r="Y658">
        <v>947.55</v>
      </c>
      <c r="Z658">
        <v>0</v>
      </c>
      <c r="AA658">
        <v>871.69</v>
      </c>
      <c r="AB658">
        <v>0</v>
      </c>
      <c r="AC658" s="49">
        <v>45201</v>
      </c>
      <c r="AD658" s="116" t="s">
        <v>10</v>
      </c>
      <c r="AE658" s="113" t="str" cm="1">
        <f t="array" ref="AE658">_xlfn.IFS(S658&lt;=Constantes!$G$2,"Muito Curta (evitável)",S658&lt;=Constantes!$H$2,"Curta Distância",S658&gt;Constantes!$H$2,"Longa Distância")</f>
        <v>Curta Distância</v>
      </c>
      <c r="AF658" s="114">
        <f>IFERROR(VLOOKUP(AE658,Constantes!$A$1:$E$5,MATCH(AD658,Constantes!$A$1:$E$1,0),0),"")</f>
        <v>0.18286935436241611</v>
      </c>
      <c r="AG658" s="115">
        <f t="shared" si="21"/>
        <v>400.47917570486158</v>
      </c>
    </row>
    <row r="659" spans="1:33" x14ac:dyDescent="0.3">
      <c r="A659">
        <f>COUNTIF($B$2:B659,B659)</f>
        <v>2</v>
      </c>
      <c r="B659">
        <v>19341809</v>
      </c>
      <c r="C659" t="s">
        <v>1279</v>
      </c>
      <c r="D659" t="s">
        <v>1280</v>
      </c>
      <c r="E659" t="s">
        <v>1281</v>
      </c>
      <c r="F659" t="s">
        <v>218</v>
      </c>
      <c r="G659" t="s">
        <v>207</v>
      </c>
      <c r="H659" t="s">
        <v>204</v>
      </c>
      <c r="I659" s="49">
        <v>45252</v>
      </c>
      <c r="J659" s="49">
        <v>45254</v>
      </c>
      <c r="K659" t="s">
        <v>1282</v>
      </c>
      <c r="L659" s="49">
        <v>45254</v>
      </c>
      <c r="M659" s="49">
        <v>45254</v>
      </c>
      <c r="N659" t="s">
        <v>107</v>
      </c>
      <c r="O659" t="s">
        <v>129</v>
      </c>
      <c r="P659">
        <f>VLOOKUP(N659,[1]ID_Cidades!$A$1:$E$5900,2,FALSE)</f>
        <v>295765</v>
      </c>
      <c r="Q659">
        <f>VLOOKUP(O659,[1]ID_Cidades!$A$1:$E$5900,2,FALSE)</f>
        <v>303939</v>
      </c>
      <c r="R659">
        <f t="shared" si="20"/>
        <v>89894518335</v>
      </c>
      <c r="S659" s="42">
        <f>VLOOKUP(R659,'[1]GCD base'!$A$1:$M$200,7,FALSE)</f>
        <v>2189.9742419999998</v>
      </c>
      <c r="T659" t="s">
        <v>109</v>
      </c>
      <c r="U659" t="s">
        <v>201</v>
      </c>
      <c r="V659" t="s">
        <v>202</v>
      </c>
      <c r="W659" t="s">
        <v>203</v>
      </c>
      <c r="X659" t="s">
        <v>204</v>
      </c>
      <c r="Y659">
        <v>0</v>
      </c>
      <c r="Z659">
        <v>0</v>
      </c>
      <c r="AA659">
        <v>857.25</v>
      </c>
      <c r="AB659">
        <v>0</v>
      </c>
      <c r="AC659" s="49">
        <v>45201</v>
      </c>
      <c r="AD659" s="116" t="s">
        <v>10</v>
      </c>
      <c r="AE659" s="113" t="str" cm="1">
        <f t="array" ref="AE659">_xlfn.IFS(S659&lt;=Constantes!$G$2,"Muito Curta (evitável)",S659&lt;=Constantes!$H$2,"Curta Distância",S659&gt;Constantes!$H$2,"Longa Distância")</f>
        <v>Curta Distância</v>
      </c>
      <c r="AF659" s="114">
        <f>IFERROR(VLOOKUP(AE659,Constantes!$A$1:$E$5,MATCH(AD659,Constantes!$A$1:$E$1,0),0),"")</f>
        <v>0.18286935436241611</v>
      </c>
      <c r="AG659" s="115">
        <f t="shared" si="21"/>
        <v>400.47917570486158</v>
      </c>
    </row>
    <row r="660" spans="1:33" x14ac:dyDescent="0.3">
      <c r="A660">
        <f>COUNTIF($B$2:B660,B660)</f>
        <v>1</v>
      </c>
      <c r="B660">
        <v>19430980</v>
      </c>
      <c r="C660" t="s">
        <v>1561</v>
      </c>
      <c r="D660" t="s">
        <v>1048</v>
      </c>
      <c r="E660" t="s">
        <v>1049</v>
      </c>
      <c r="F660" t="s">
        <v>198</v>
      </c>
      <c r="G660" t="s">
        <v>221</v>
      </c>
      <c r="H660" t="s">
        <v>200</v>
      </c>
      <c r="I660" s="49">
        <v>45252</v>
      </c>
      <c r="J660" s="49">
        <v>45255</v>
      </c>
      <c r="K660" t="s">
        <v>1562</v>
      </c>
      <c r="L660" s="49">
        <v>45255</v>
      </c>
      <c r="M660" s="49">
        <v>45255</v>
      </c>
      <c r="N660" t="s">
        <v>116</v>
      </c>
      <c r="O660" t="s">
        <v>107</v>
      </c>
      <c r="P660">
        <f>VLOOKUP(N660,[1]ID_Cidades!$A$1:$E$5900,2,FALSE)</f>
        <v>295778</v>
      </c>
      <c r="Q660">
        <f>VLOOKUP(O660,[1]ID_Cidades!$A$1:$E$5900,2,FALSE)</f>
        <v>295765</v>
      </c>
      <c r="R660">
        <f t="shared" si="20"/>
        <v>87480780170</v>
      </c>
      <c r="S660" s="42">
        <f>VLOOKUP(R660,'[1]GCD base'!$A$1:$M$200,7,FALSE)</f>
        <v>1961.5007860000001</v>
      </c>
      <c r="T660" t="s">
        <v>109</v>
      </c>
      <c r="U660" t="s">
        <v>201</v>
      </c>
      <c r="V660" t="s">
        <v>202</v>
      </c>
      <c r="W660" t="s">
        <v>203</v>
      </c>
      <c r="X660" t="s">
        <v>204</v>
      </c>
      <c r="Y660">
        <v>1339.26</v>
      </c>
      <c r="Z660">
        <v>0</v>
      </c>
      <c r="AA660">
        <v>725.19</v>
      </c>
      <c r="AB660">
        <v>0</v>
      </c>
      <c r="AC660" s="49">
        <v>45225</v>
      </c>
      <c r="AD660" s="116" t="s">
        <v>10</v>
      </c>
      <c r="AE660" s="113" t="str" cm="1">
        <f t="array" ref="AE660">_xlfn.IFS(S660&lt;=Constantes!$G$2,"Muito Curta (evitável)",S660&lt;=Constantes!$H$2,"Curta Distância",S660&gt;Constantes!$H$2,"Longa Distância")</f>
        <v>Curta Distância</v>
      </c>
      <c r="AF660" s="114">
        <f>IFERROR(VLOOKUP(AE660,Constantes!$A$1:$E$5,MATCH(AD660,Constantes!$A$1:$E$1,0),0),"")</f>
        <v>0.18286935436241611</v>
      </c>
      <c r="AG660" s="115">
        <f t="shared" si="21"/>
        <v>358.69838231719172</v>
      </c>
    </row>
    <row r="661" spans="1:33" x14ac:dyDescent="0.3">
      <c r="A661">
        <f>COUNTIF($B$2:B661,B661)</f>
        <v>2</v>
      </c>
      <c r="B661">
        <v>19430980</v>
      </c>
      <c r="C661" t="s">
        <v>1561</v>
      </c>
      <c r="D661" t="s">
        <v>1048</v>
      </c>
      <c r="E661" t="s">
        <v>1049</v>
      </c>
      <c r="F661" t="s">
        <v>198</v>
      </c>
      <c r="G661" t="s">
        <v>221</v>
      </c>
      <c r="H661" t="s">
        <v>200</v>
      </c>
      <c r="I661" s="49">
        <v>45252</v>
      </c>
      <c r="J661" s="49">
        <v>45255</v>
      </c>
      <c r="K661" t="s">
        <v>1562</v>
      </c>
      <c r="L661" s="49">
        <v>45252</v>
      </c>
      <c r="M661" s="49">
        <v>45255</v>
      </c>
      <c r="N661" t="s">
        <v>107</v>
      </c>
      <c r="O661" t="s">
        <v>116</v>
      </c>
      <c r="P661">
        <f>VLOOKUP(N661,[1]ID_Cidades!$A$1:$E$5900,2,FALSE)</f>
        <v>295765</v>
      </c>
      <c r="Q661">
        <f>VLOOKUP(O661,[1]ID_Cidades!$A$1:$E$5900,2,FALSE)</f>
        <v>295778</v>
      </c>
      <c r="R661">
        <f t="shared" si="20"/>
        <v>87480780170</v>
      </c>
      <c r="S661" s="42">
        <f>VLOOKUP(R661,'[1]GCD base'!$A$1:$M$200,7,FALSE)</f>
        <v>1961.5007860000001</v>
      </c>
      <c r="T661" t="s">
        <v>109</v>
      </c>
      <c r="U661" t="s">
        <v>205</v>
      </c>
      <c r="V661" t="s">
        <v>202</v>
      </c>
      <c r="W661" t="s">
        <v>203</v>
      </c>
      <c r="X661" t="s">
        <v>204</v>
      </c>
      <c r="Y661">
        <v>0</v>
      </c>
      <c r="Z661">
        <v>0</v>
      </c>
      <c r="AA661">
        <v>925.3</v>
      </c>
      <c r="AB661">
        <v>0</v>
      </c>
      <c r="AC661" s="49">
        <v>45225</v>
      </c>
      <c r="AD661" s="116" t="s">
        <v>10</v>
      </c>
      <c r="AE661" s="113" t="str" cm="1">
        <f t="array" ref="AE661">_xlfn.IFS(S661&lt;=Constantes!$G$2,"Muito Curta (evitável)",S661&lt;=Constantes!$H$2,"Curta Distância",S661&gt;Constantes!$H$2,"Longa Distância")</f>
        <v>Curta Distância</v>
      </c>
      <c r="AF661" s="114">
        <f>IFERROR(VLOOKUP(AE661,Constantes!$A$1:$E$5,MATCH(AD661,Constantes!$A$1:$E$1,0),0),"")</f>
        <v>0.18286935436241611</v>
      </c>
      <c r="AG661" s="115">
        <f t="shared" si="21"/>
        <v>358.69838231719172</v>
      </c>
    </row>
    <row r="662" spans="1:33" x14ac:dyDescent="0.3">
      <c r="A662">
        <f>COUNTIF($B$2:B662,B662)</f>
        <v>1</v>
      </c>
      <c r="B662">
        <v>19340929</v>
      </c>
      <c r="C662" t="s">
        <v>1275</v>
      </c>
      <c r="D662" t="s">
        <v>1276</v>
      </c>
      <c r="E662" t="s">
        <v>1277</v>
      </c>
      <c r="F662" t="s">
        <v>198</v>
      </c>
      <c r="G662" t="s">
        <v>207</v>
      </c>
      <c r="H662" t="s">
        <v>204</v>
      </c>
      <c r="I662" s="49">
        <v>45253</v>
      </c>
      <c r="J662" s="49">
        <v>45256</v>
      </c>
      <c r="K662" t="s">
        <v>1278</v>
      </c>
      <c r="L662" s="49">
        <v>45253</v>
      </c>
      <c r="M662" s="49">
        <v>45256</v>
      </c>
      <c r="N662" t="s">
        <v>107</v>
      </c>
      <c r="O662" t="s">
        <v>115</v>
      </c>
      <c r="P662">
        <f>VLOOKUP(N662,[1]ID_Cidades!$A$1:$E$5900,2,FALSE)</f>
        <v>295765</v>
      </c>
      <c r="Q662">
        <f>VLOOKUP(O662,[1]ID_Cidades!$A$1:$E$5900,2,FALSE)</f>
        <v>295770</v>
      </c>
      <c r="R662">
        <f t="shared" si="20"/>
        <v>87478414050</v>
      </c>
      <c r="S662" s="42">
        <f>VLOOKUP(R662,'[1]GCD base'!$A$1:$M$200,7,FALSE)</f>
        <v>741.11941309999997</v>
      </c>
      <c r="T662" t="s">
        <v>109</v>
      </c>
      <c r="U662" t="s">
        <v>205</v>
      </c>
      <c r="V662" t="s">
        <v>202</v>
      </c>
      <c r="W662" t="s">
        <v>203</v>
      </c>
      <c r="X662" t="s">
        <v>204</v>
      </c>
      <c r="Y662">
        <v>1228.75</v>
      </c>
      <c r="Z662">
        <v>0</v>
      </c>
      <c r="AA662">
        <v>1140.28</v>
      </c>
      <c r="AB662">
        <v>0</v>
      </c>
      <c r="AC662" s="49">
        <v>45217</v>
      </c>
      <c r="AD662" s="116" t="s">
        <v>10</v>
      </c>
      <c r="AE662" s="113" t="str" cm="1">
        <f t="array" ref="AE662">_xlfn.IFS(S662&lt;=Constantes!$G$2,"Muito Curta (evitável)",S662&lt;=Constantes!$H$2,"Curta Distância",S662&gt;Constantes!$H$2,"Longa Distância")</f>
        <v>Curta Distância</v>
      </c>
      <c r="AF662" s="114">
        <f>IFERROR(VLOOKUP(AE662,Constantes!$A$1:$E$5,MATCH(AD662,Constantes!$A$1:$E$1,0),0),"")</f>
        <v>0.18286935436241611</v>
      </c>
      <c r="AG662" s="115">
        <f t="shared" si="21"/>
        <v>135.52802857904976</v>
      </c>
    </row>
    <row r="663" spans="1:33" x14ac:dyDescent="0.3">
      <c r="A663">
        <f>COUNTIF($B$2:B663,B663)</f>
        <v>2</v>
      </c>
      <c r="B663">
        <v>19340929</v>
      </c>
      <c r="C663" t="s">
        <v>1275</v>
      </c>
      <c r="D663" t="s">
        <v>1276</v>
      </c>
      <c r="E663" t="s">
        <v>1277</v>
      </c>
      <c r="F663" t="s">
        <v>198</v>
      </c>
      <c r="G663" t="s">
        <v>207</v>
      </c>
      <c r="H663" t="s">
        <v>204</v>
      </c>
      <c r="I663" s="49">
        <v>45253</v>
      </c>
      <c r="J663" s="49">
        <v>45256</v>
      </c>
      <c r="K663" t="s">
        <v>1278</v>
      </c>
      <c r="L663" s="49">
        <v>45256</v>
      </c>
      <c r="M663" s="49">
        <v>45256</v>
      </c>
      <c r="N663" t="s">
        <v>115</v>
      </c>
      <c r="O663" t="s">
        <v>107</v>
      </c>
      <c r="P663">
        <f>VLOOKUP(N663,[1]ID_Cidades!$A$1:$E$5900,2,FALSE)</f>
        <v>295770</v>
      </c>
      <c r="Q663">
        <f>VLOOKUP(O663,[1]ID_Cidades!$A$1:$E$5900,2,FALSE)</f>
        <v>295765</v>
      </c>
      <c r="R663">
        <f t="shared" si="20"/>
        <v>87478414050</v>
      </c>
      <c r="S663" s="42">
        <f>VLOOKUP(R663,'[1]GCD base'!$A$1:$M$200,7,FALSE)</f>
        <v>741.11941309999997</v>
      </c>
      <c r="T663" t="s">
        <v>109</v>
      </c>
      <c r="U663" t="s">
        <v>201</v>
      </c>
      <c r="V663" t="s">
        <v>202</v>
      </c>
      <c r="W663" t="s">
        <v>203</v>
      </c>
      <c r="X663" t="s">
        <v>204</v>
      </c>
      <c r="Y663">
        <v>0</v>
      </c>
      <c r="Z663">
        <v>0</v>
      </c>
      <c r="AA663">
        <v>0</v>
      </c>
      <c r="AB663">
        <v>0</v>
      </c>
      <c r="AC663">
        <v>0</v>
      </c>
      <c r="AD663" s="116" t="s">
        <v>10</v>
      </c>
      <c r="AE663" s="113" t="str" cm="1">
        <f t="array" ref="AE663">_xlfn.IFS(S663&lt;=Constantes!$G$2,"Muito Curta (evitável)",S663&lt;=Constantes!$H$2,"Curta Distância",S663&gt;Constantes!$H$2,"Longa Distância")</f>
        <v>Curta Distância</v>
      </c>
      <c r="AF663" s="114">
        <f>IFERROR(VLOOKUP(AE663,Constantes!$A$1:$E$5,MATCH(AD663,Constantes!$A$1:$E$1,0),0),"")</f>
        <v>0.18286935436241611</v>
      </c>
      <c r="AG663" s="115">
        <f t="shared" si="21"/>
        <v>135.52802857904976</v>
      </c>
    </row>
    <row r="664" spans="1:33" x14ac:dyDescent="0.3">
      <c r="A664">
        <f>COUNTIF($B$2:B664,B664)</f>
        <v>1</v>
      </c>
      <c r="B664">
        <v>19574908</v>
      </c>
      <c r="C664" t="s">
        <v>1743</v>
      </c>
      <c r="D664" t="s">
        <v>218</v>
      </c>
      <c r="E664" t="s">
        <v>1744</v>
      </c>
      <c r="F664" t="s">
        <v>218</v>
      </c>
      <c r="G664" t="s">
        <v>207</v>
      </c>
      <c r="H664" t="s">
        <v>204</v>
      </c>
      <c r="I664" s="49">
        <v>45254</v>
      </c>
      <c r="J664" s="49">
        <v>45267</v>
      </c>
      <c r="K664" t="s">
        <v>1745</v>
      </c>
      <c r="L664" s="49">
        <v>45254</v>
      </c>
      <c r="M664" s="49">
        <v>45254</v>
      </c>
      <c r="N664" t="s">
        <v>116</v>
      </c>
      <c r="O664" t="s">
        <v>509</v>
      </c>
      <c r="P664">
        <f>VLOOKUP(N664,[1]ID_Cidades!$A$1:$E$5900,2,FALSE)</f>
        <v>295778</v>
      </c>
      <c r="Q664">
        <f>VLOOKUP(O664,[1]ID_Cidades!$A$1:$E$5900,2,FALSE)</f>
        <v>295764</v>
      </c>
      <c r="R664">
        <f t="shared" si="20"/>
        <v>87480484392</v>
      </c>
      <c r="S664" s="42">
        <f>VLOOKUP(R664,'[1]GCD base'!$A$1:$M$200,7,FALSE)</f>
        <v>2082.3368770000002</v>
      </c>
      <c r="T664" t="s">
        <v>109</v>
      </c>
      <c r="U664" t="s">
        <v>201</v>
      </c>
      <c r="V664" t="s">
        <v>202</v>
      </c>
      <c r="W664" t="s">
        <v>210</v>
      </c>
      <c r="X664" t="s">
        <v>1746</v>
      </c>
      <c r="Y664">
        <v>0</v>
      </c>
      <c r="Z664">
        <v>0</v>
      </c>
      <c r="AA664">
        <v>1431.79</v>
      </c>
      <c r="AB664">
        <v>0</v>
      </c>
      <c r="AC664" s="49">
        <v>45257</v>
      </c>
      <c r="AD664" s="116" t="s">
        <v>10</v>
      </c>
      <c r="AE664" s="113" t="str" cm="1">
        <f t="array" ref="AE664">_xlfn.IFS(S664&lt;=Constantes!$G$2,"Muito Curta (evitável)",S664&lt;=Constantes!$H$2,"Curta Distância",S664&gt;Constantes!$H$2,"Longa Distância")</f>
        <v>Curta Distância</v>
      </c>
      <c r="AF664" s="114">
        <f>IFERROR(VLOOKUP(AE664,Constantes!$A$1:$E$5,MATCH(AD664,Constantes!$A$1:$E$1,0),0),"")</f>
        <v>0.18286935436241611</v>
      </c>
      <c r="AG664" s="115">
        <f t="shared" si="21"/>
        <v>380.7956002620399</v>
      </c>
    </row>
    <row r="665" spans="1:33" x14ac:dyDescent="0.3">
      <c r="A665">
        <f>COUNTIF($B$2:B665,B665)</f>
        <v>2</v>
      </c>
      <c r="B665">
        <v>19574908</v>
      </c>
      <c r="C665" t="s">
        <v>1743</v>
      </c>
      <c r="D665" t="s">
        <v>218</v>
      </c>
      <c r="E665" t="s">
        <v>1744</v>
      </c>
      <c r="F665" t="s">
        <v>218</v>
      </c>
      <c r="G665" t="s">
        <v>207</v>
      </c>
      <c r="H665" t="s">
        <v>204</v>
      </c>
      <c r="I665" s="49">
        <v>45254</v>
      </c>
      <c r="J665" s="49">
        <v>45267</v>
      </c>
      <c r="K665" t="s">
        <v>1745</v>
      </c>
      <c r="L665" s="49">
        <v>45267</v>
      </c>
      <c r="M665" s="49">
        <v>45267</v>
      </c>
      <c r="N665" t="s">
        <v>107</v>
      </c>
      <c r="O665" t="s">
        <v>116</v>
      </c>
      <c r="P665">
        <f>VLOOKUP(N665,[1]ID_Cidades!$A$1:$E$5900,2,FALSE)</f>
        <v>295765</v>
      </c>
      <c r="Q665">
        <f>VLOOKUP(O665,[1]ID_Cidades!$A$1:$E$5900,2,FALSE)</f>
        <v>295778</v>
      </c>
      <c r="R665">
        <f t="shared" si="20"/>
        <v>87480780170</v>
      </c>
      <c r="S665" s="42">
        <f>VLOOKUP(R665,'[1]GCD base'!$A$1:$M$200,7,FALSE)</f>
        <v>1961.5007860000001</v>
      </c>
      <c r="T665" t="s">
        <v>109</v>
      </c>
      <c r="U665" t="s">
        <v>201</v>
      </c>
      <c r="V665" t="s">
        <v>202</v>
      </c>
      <c r="W665" t="s">
        <v>210</v>
      </c>
      <c r="X665" t="s">
        <v>1746</v>
      </c>
      <c r="Y665">
        <v>0</v>
      </c>
      <c r="Z665">
        <v>0</v>
      </c>
      <c r="AA665">
        <v>0</v>
      </c>
      <c r="AB665">
        <v>0</v>
      </c>
      <c r="AC665">
        <v>0</v>
      </c>
      <c r="AD665" s="116" t="s">
        <v>10</v>
      </c>
      <c r="AE665" s="113" t="str" cm="1">
        <f t="array" ref="AE665">_xlfn.IFS(S665&lt;=Constantes!$G$2,"Muito Curta (evitável)",S665&lt;=Constantes!$H$2,"Curta Distância",S665&gt;Constantes!$H$2,"Longa Distância")</f>
        <v>Curta Distância</v>
      </c>
      <c r="AF665" s="114">
        <f>IFERROR(VLOOKUP(AE665,Constantes!$A$1:$E$5,MATCH(AD665,Constantes!$A$1:$E$1,0),0),"")</f>
        <v>0.18286935436241611</v>
      </c>
      <c r="AG665" s="115">
        <f t="shared" si="21"/>
        <v>358.69838231719172</v>
      </c>
    </row>
    <row r="666" spans="1:33" x14ac:dyDescent="0.3">
      <c r="A666">
        <f>COUNTIF($B$2:B666,B666)</f>
        <v>1</v>
      </c>
      <c r="B666">
        <v>19584704</v>
      </c>
      <c r="C666" t="s">
        <v>1749</v>
      </c>
      <c r="D666" t="s">
        <v>1750</v>
      </c>
      <c r="E666" t="s">
        <v>1751</v>
      </c>
      <c r="F666" t="s">
        <v>218</v>
      </c>
      <c r="G666" t="s">
        <v>207</v>
      </c>
      <c r="H666" t="s">
        <v>204</v>
      </c>
      <c r="I666" s="49">
        <v>45254</v>
      </c>
      <c r="J666" s="49">
        <v>45267</v>
      </c>
      <c r="K666" t="s">
        <v>1752</v>
      </c>
      <c r="L666" s="49">
        <v>45267</v>
      </c>
      <c r="M666" s="49">
        <v>45267</v>
      </c>
      <c r="N666" t="s">
        <v>107</v>
      </c>
      <c r="O666" t="s">
        <v>117</v>
      </c>
      <c r="P666">
        <f>VLOOKUP(N666,[1]ID_Cidades!$A$1:$E$5900,2,FALSE)</f>
        <v>295765</v>
      </c>
      <c r="Q666">
        <f>VLOOKUP(O666,[1]ID_Cidades!$A$1:$E$5900,2,FALSE)</f>
        <v>295779</v>
      </c>
      <c r="R666">
        <f t="shared" si="20"/>
        <v>87481075935</v>
      </c>
      <c r="S666" s="42">
        <f>VLOOKUP(R666,'[1]GCD base'!$A$1:$M$200,7,FALSE)</f>
        <v>2189.9742419999998</v>
      </c>
      <c r="T666" t="s">
        <v>109</v>
      </c>
      <c r="U666" t="s">
        <v>201</v>
      </c>
      <c r="V666" t="s">
        <v>202</v>
      </c>
      <c r="W666" t="s">
        <v>210</v>
      </c>
      <c r="X666" t="s">
        <v>1753</v>
      </c>
      <c r="Y666">
        <v>0</v>
      </c>
      <c r="Z666">
        <v>0</v>
      </c>
      <c r="AA666">
        <v>1072.99</v>
      </c>
      <c r="AB666">
        <v>0</v>
      </c>
      <c r="AC666" s="49">
        <v>45259</v>
      </c>
      <c r="AD666" s="116" t="s">
        <v>10</v>
      </c>
      <c r="AE666" s="113" t="str" cm="1">
        <f t="array" ref="AE666">_xlfn.IFS(S666&lt;=Constantes!$G$2,"Muito Curta (evitável)",S666&lt;=Constantes!$H$2,"Curta Distância",S666&gt;Constantes!$H$2,"Longa Distância")</f>
        <v>Curta Distância</v>
      </c>
      <c r="AF666" s="114">
        <f>IFERROR(VLOOKUP(AE666,Constantes!$A$1:$E$5,MATCH(AD666,Constantes!$A$1:$E$1,0),0),"")</f>
        <v>0.18286935436241611</v>
      </c>
      <c r="AG666" s="115">
        <f t="shared" si="21"/>
        <v>400.47917570486158</v>
      </c>
    </row>
    <row r="667" spans="1:33" x14ac:dyDescent="0.3">
      <c r="A667">
        <f>COUNTIF($B$2:B667,B667)</f>
        <v>2</v>
      </c>
      <c r="B667">
        <v>19584704</v>
      </c>
      <c r="C667" t="s">
        <v>1749</v>
      </c>
      <c r="D667" t="s">
        <v>1750</v>
      </c>
      <c r="E667" t="s">
        <v>1751</v>
      </c>
      <c r="F667" t="s">
        <v>218</v>
      </c>
      <c r="G667" t="s">
        <v>207</v>
      </c>
      <c r="H667" t="s">
        <v>204</v>
      </c>
      <c r="I667" s="49">
        <v>45254</v>
      </c>
      <c r="J667" s="49">
        <v>45267</v>
      </c>
      <c r="K667" t="s">
        <v>1752</v>
      </c>
      <c r="L667" s="49">
        <v>45254</v>
      </c>
      <c r="M667" s="49">
        <v>45254</v>
      </c>
      <c r="N667" t="s">
        <v>117</v>
      </c>
      <c r="O667" t="s">
        <v>509</v>
      </c>
      <c r="P667">
        <f>VLOOKUP(N667,[1]ID_Cidades!$A$1:$E$5900,2,FALSE)</f>
        <v>295779</v>
      </c>
      <c r="Q667">
        <f>VLOOKUP(O667,[1]ID_Cidades!$A$1:$E$5900,2,FALSE)</f>
        <v>295764</v>
      </c>
      <c r="R667">
        <f t="shared" si="20"/>
        <v>87480780156</v>
      </c>
      <c r="S667" s="42">
        <f>VLOOKUP(R667,'[1]GCD base'!$A$1:$M$200,7,FALSE)</f>
        <v>2296.6486289999998</v>
      </c>
      <c r="T667" t="s">
        <v>109</v>
      </c>
      <c r="U667" t="s">
        <v>201</v>
      </c>
      <c r="V667" t="s">
        <v>202</v>
      </c>
      <c r="W667" t="s">
        <v>210</v>
      </c>
      <c r="X667" t="s">
        <v>1753</v>
      </c>
      <c r="Y667">
        <v>0</v>
      </c>
      <c r="Z667">
        <v>0</v>
      </c>
      <c r="AA667">
        <v>0</v>
      </c>
      <c r="AB667">
        <v>0</v>
      </c>
      <c r="AC667">
        <v>0</v>
      </c>
      <c r="AD667" s="116" t="s">
        <v>10</v>
      </c>
      <c r="AE667" s="113" t="str" cm="1">
        <f t="array" ref="AE667">_xlfn.IFS(S667&lt;=Constantes!$G$2,"Muito Curta (evitável)",S667&lt;=Constantes!$H$2,"Curta Distância",S667&gt;Constantes!$H$2,"Longa Distância")</f>
        <v>Curta Distância</v>
      </c>
      <c r="AF667" s="114">
        <f>IFERROR(VLOOKUP(AE667,Constantes!$A$1:$E$5,MATCH(AD667,Constantes!$A$1:$E$1,0),0),"")</f>
        <v>0.18286935436241611</v>
      </c>
      <c r="AG667" s="115">
        <f t="shared" si="21"/>
        <v>419.9866519825581</v>
      </c>
    </row>
    <row r="668" spans="1:33" x14ac:dyDescent="0.3">
      <c r="A668">
        <f>COUNTIF($B$2:B668,B668)</f>
        <v>1</v>
      </c>
      <c r="B668">
        <v>19318403</v>
      </c>
      <c r="C668" t="s">
        <v>1187</v>
      </c>
      <c r="D668" t="s">
        <v>218</v>
      </c>
      <c r="E668" t="s">
        <v>1188</v>
      </c>
      <c r="F668" t="s">
        <v>218</v>
      </c>
      <c r="G668" t="s">
        <v>207</v>
      </c>
      <c r="H668" t="s">
        <v>204</v>
      </c>
      <c r="I668" s="49">
        <v>45255</v>
      </c>
      <c r="J668" s="49">
        <v>45260</v>
      </c>
      <c r="K668" t="s">
        <v>1189</v>
      </c>
      <c r="L668" s="49">
        <v>45260</v>
      </c>
      <c r="M668" s="49">
        <v>45260</v>
      </c>
      <c r="N668" t="s">
        <v>122</v>
      </c>
      <c r="O668" t="s">
        <v>107</v>
      </c>
      <c r="P668">
        <f>VLOOKUP(N668,[1]ID_Cidades!$A$1:$E$5900,2,FALSE)</f>
        <v>295781</v>
      </c>
      <c r="Q668">
        <f>VLOOKUP(O668,[1]ID_Cidades!$A$1:$E$5900,2,FALSE)</f>
        <v>295765</v>
      </c>
      <c r="R668">
        <f t="shared" si="20"/>
        <v>87481667465</v>
      </c>
      <c r="S668" s="42">
        <f>VLOOKUP(R668,'[1]GCD base'!$A$1:$M$200,7,FALSE)</f>
        <v>2695.5823350000001</v>
      </c>
      <c r="T668" t="s">
        <v>109</v>
      </c>
      <c r="U668" t="s">
        <v>201</v>
      </c>
      <c r="V668" t="s">
        <v>202</v>
      </c>
      <c r="W668" t="s">
        <v>210</v>
      </c>
      <c r="X668" t="s">
        <v>1190</v>
      </c>
      <c r="Y668">
        <v>95</v>
      </c>
      <c r="Z668">
        <v>0</v>
      </c>
      <c r="AA668">
        <v>2378.29</v>
      </c>
      <c r="AB668">
        <v>0</v>
      </c>
      <c r="AC668" s="49">
        <v>45190</v>
      </c>
      <c r="AD668" s="116" t="s">
        <v>10</v>
      </c>
      <c r="AE668" s="113" t="str" cm="1">
        <f t="array" ref="AE668">_xlfn.IFS(S668&lt;=Constantes!$G$2,"Muito Curta (evitável)",S668&lt;=Constantes!$H$2,"Curta Distância",S668&gt;Constantes!$H$2,"Longa Distância")</f>
        <v>Curta Distância</v>
      </c>
      <c r="AF668" s="114">
        <f>IFERROR(VLOOKUP(AE668,Constantes!$A$1:$E$5,MATCH(AD668,Constantes!$A$1:$E$1,0),0),"")</f>
        <v>0.18286935436241611</v>
      </c>
      <c r="AG668" s="115">
        <f t="shared" si="21"/>
        <v>492.93940123218408</v>
      </c>
    </row>
    <row r="669" spans="1:33" x14ac:dyDescent="0.3">
      <c r="A669">
        <f>COUNTIF($B$2:B669,B669)</f>
        <v>2</v>
      </c>
      <c r="B669">
        <v>19318403</v>
      </c>
      <c r="C669" t="s">
        <v>1187</v>
      </c>
      <c r="D669" t="s">
        <v>218</v>
      </c>
      <c r="E669" t="s">
        <v>1188</v>
      </c>
      <c r="F669" t="s">
        <v>218</v>
      </c>
      <c r="G669" t="s">
        <v>207</v>
      </c>
      <c r="H669" t="s">
        <v>204</v>
      </c>
      <c r="I669" s="49">
        <v>45255</v>
      </c>
      <c r="J669" s="49">
        <v>45260</v>
      </c>
      <c r="K669" t="s">
        <v>1189</v>
      </c>
      <c r="L669" s="49">
        <v>45255</v>
      </c>
      <c r="M669" s="49">
        <v>45260</v>
      </c>
      <c r="N669" t="s">
        <v>107</v>
      </c>
      <c r="O669" t="s">
        <v>122</v>
      </c>
      <c r="P669">
        <f>VLOOKUP(N669,[1]ID_Cidades!$A$1:$E$5900,2,FALSE)</f>
        <v>295765</v>
      </c>
      <c r="Q669">
        <f>VLOOKUP(O669,[1]ID_Cidades!$A$1:$E$5900,2,FALSE)</f>
        <v>295781</v>
      </c>
      <c r="R669">
        <f t="shared" si="20"/>
        <v>87481667465</v>
      </c>
      <c r="S669" s="42">
        <f>VLOOKUP(R669,'[1]GCD base'!$A$1:$M$200,7,FALSE)</f>
        <v>2695.5823350000001</v>
      </c>
      <c r="T669" t="s">
        <v>109</v>
      </c>
      <c r="U669" t="s">
        <v>205</v>
      </c>
      <c r="V669" t="s">
        <v>202</v>
      </c>
      <c r="W669" t="s">
        <v>210</v>
      </c>
      <c r="X669" t="s">
        <v>1190</v>
      </c>
      <c r="Y669">
        <v>0</v>
      </c>
      <c r="Z669">
        <v>0</v>
      </c>
      <c r="AA669">
        <v>0</v>
      </c>
      <c r="AB669">
        <v>0</v>
      </c>
      <c r="AC669">
        <v>0</v>
      </c>
      <c r="AD669" s="116" t="s">
        <v>10</v>
      </c>
      <c r="AE669" s="113" t="str" cm="1">
        <f t="array" ref="AE669">_xlfn.IFS(S669&lt;=Constantes!$G$2,"Muito Curta (evitável)",S669&lt;=Constantes!$H$2,"Curta Distância",S669&gt;Constantes!$H$2,"Longa Distância")</f>
        <v>Curta Distância</v>
      </c>
      <c r="AF669" s="114">
        <f>IFERROR(VLOOKUP(AE669,Constantes!$A$1:$E$5,MATCH(AD669,Constantes!$A$1:$E$1,0),0),"")</f>
        <v>0.18286935436241611</v>
      </c>
      <c r="AG669" s="115">
        <f t="shared" si="21"/>
        <v>492.93940123218408</v>
      </c>
    </row>
    <row r="670" spans="1:33" x14ac:dyDescent="0.3">
      <c r="A670">
        <f>COUNTIF($B$2:B670,B670)</f>
        <v>1</v>
      </c>
      <c r="B670">
        <v>19429781</v>
      </c>
      <c r="C670" t="s">
        <v>1558</v>
      </c>
      <c r="D670" t="s">
        <v>218</v>
      </c>
      <c r="E670" t="s">
        <v>1559</v>
      </c>
      <c r="F670" t="s">
        <v>218</v>
      </c>
      <c r="G670" t="s">
        <v>207</v>
      </c>
      <c r="H670" t="s">
        <v>204</v>
      </c>
      <c r="I670" s="49">
        <v>45255</v>
      </c>
      <c r="J670" s="49">
        <v>45260</v>
      </c>
      <c r="K670" t="s">
        <v>1560</v>
      </c>
      <c r="L670" s="49">
        <v>45260</v>
      </c>
      <c r="M670" s="49">
        <v>45260</v>
      </c>
      <c r="N670" t="s">
        <v>122</v>
      </c>
      <c r="O670" t="s">
        <v>107</v>
      </c>
      <c r="P670">
        <f>VLOOKUP(N670,[1]ID_Cidades!$A$1:$E$5900,2,FALSE)</f>
        <v>295781</v>
      </c>
      <c r="Q670">
        <f>VLOOKUP(O670,[1]ID_Cidades!$A$1:$E$5900,2,FALSE)</f>
        <v>295765</v>
      </c>
      <c r="R670">
        <f t="shared" si="20"/>
        <v>87481667465</v>
      </c>
      <c r="S670" s="42">
        <f>VLOOKUP(R670,'[1]GCD base'!$A$1:$M$200,7,FALSE)</f>
        <v>2695.5823350000001</v>
      </c>
      <c r="T670" t="s">
        <v>109</v>
      </c>
      <c r="U670" t="s">
        <v>201</v>
      </c>
      <c r="V670" t="s">
        <v>202</v>
      </c>
      <c r="W670" t="s">
        <v>203</v>
      </c>
      <c r="X670" t="s">
        <v>204</v>
      </c>
      <c r="Y670">
        <v>0</v>
      </c>
      <c r="Z670">
        <v>0</v>
      </c>
      <c r="AA670">
        <v>1376.6</v>
      </c>
      <c r="AB670">
        <v>0</v>
      </c>
      <c r="AC670" s="49">
        <v>45225</v>
      </c>
      <c r="AD670" s="116" t="s">
        <v>10</v>
      </c>
      <c r="AE670" s="113" t="str" cm="1">
        <f t="array" ref="AE670">_xlfn.IFS(S670&lt;=Constantes!$G$2,"Muito Curta (evitável)",S670&lt;=Constantes!$H$2,"Curta Distância",S670&gt;Constantes!$H$2,"Longa Distância")</f>
        <v>Curta Distância</v>
      </c>
      <c r="AF670" s="114">
        <f>IFERROR(VLOOKUP(AE670,Constantes!$A$1:$E$5,MATCH(AD670,Constantes!$A$1:$E$1,0),0),"")</f>
        <v>0.18286935436241611</v>
      </c>
      <c r="AG670" s="115">
        <f t="shared" si="21"/>
        <v>492.93940123218408</v>
      </c>
    </row>
    <row r="671" spans="1:33" x14ac:dyDescent="0.3">
      <c r="A671">
        <f>COUNTIF($B$2:B671,B671)</f>
        <v>2</v>
      </c>
      <c r="B671">
        <v>19429781</v>
      </c>
      <c r="C671" t="s">
        <v>1558</v>
      </c>
      <c r="D671" t="s">
        <v>218</v>
      </c>
      <c r="E671" t="s">
        <v>1559</v>
      </c>
      <c r="F671" t="s">
        <v>218</v>
      </c>
      <c r="G671" t="s">
        <v>207</v>
      </c>
      <c r="H671" t="s">
        <v>204</v>
      </c>
      <c r="I671" s="49">
        <v>45255</v>
      </c>
      <c r="J671" s="49">
        <v>45260</v>
      </c>
      <c r="K671" t="s">
        <v>1560</v>
      </c>
      <c r="L671" s="49">
        <v>45255</v>
      </c>
      <c r="M671" s="49">
        <v>45260</v>
      </c>
      <c r="N671" t="s">
        <v>107</v>
      </c>
      <c r="O671" t="s">
        <v>122</v>
      </c>
      <c r="P671">
        <f>VLOOKUP(N671,[1]ID_Cidades!$A$1:$E$5900,2,FALSE)</f>
        <v>295765</v>
      </c>
      <c r="Q671">
        <f>VLOOKUP(O671,[1]ID_Cidades!$A$1:$E$5900,2,FALSE)</f>
        <v>295781</v>
      </c>
      <c r="R671">
        <f t="shared" si="20"/>
        <v>87481667465</v>
      </c>
      <c r="S671" s="42">
        <f>VLOOKUP(R671,'[1]GCD base'!$A$1:$M$200,7,FALSE)</f>
        <v>2695.5823350000001</v>
      </c>
      <c r="T671" t="s">
        <v>109</v>
      </c>
      <c r="U671" t="s">
        <v>205</v>
      </c>
      <c r="V671" t="s">
        <v>202</v>
      </c>
      <c r="W671" t="s">
        <v>203</v>
      </c>
      <c r="X671" t="s">
        <v>204</v>
      </c>
      <c r="Y671">
        <v>0</v>
      </c>
      <c r="Z671">
        <v>0</v>
      </c>
      <c r="AA671">
        <v>1579.99</v>
      </c>
      <c r="AB671">
        <v>0</v>
      </c>
      <c r="AC671" s="49">
        <v>45225</v>
      </c>
      <c r="AD671" s="116" t="s">
        <v>10</v>
      </c>
      <c r="AE671" s="113" t="str" cm="1">
        <f t="array" ref="AE671">_xlfn.IFS(S671&lt;=Constantes!$G$2,"Muito Curta (evitável)",S671&lt;=Constantes!$H$2,"Curta Distância",S671&gt;Constantes!$H$2,"Longa Distância")</f>
        <v>Curta Distância</v>
      </c>
      <c r="AF671" s="114">
        <f>IFERROR(VLOOKUP(AE671,Constantes!$A$1:$E$5,MATCH(AD671,Constantes!$A$1:$E$1,0),0),"")</f>
        <v>0.18286935436241611</v>
      </c>
      <c r="AG671" s="115">
        <f t="shared" si="21"/>
        <v>492.93940123218408</v>
      </c>
    </row>
    <row r="672" spans="1:33" x14ac:dyDescent="0.3">
      <c r="A672">
        <f>COUNTIF($B$2:B672,B672)</f>
        <v>1</v>
      </c>
      <c r="B672">
        <v>19431948</v>
      </c>
      <c r="C672" t="s">
        <v>1563</v>
      </c>
      <c r="D672" t="s">
        <v>1564</v>
      </c>
      <c r="E672" t="s">
        <v>1565</v>
      </c>
      <c r="F672" t="s">
        <v>1566</v>
      </c>
      <c r="G672" t="s">
        <v>207</v>
      </c>
      <c r="H672" t="s">
        <v>204</v>
      </c>
      <c r="I672" s="49">
        <v>45255</v>
      </c>
      <c r="J672" s="49">
        <v>45260</v>
      </c>
      <c r="K672" t="s">
        <v>1567</v>
      </c>
      <c r="L672" s="49">
        <v>45255</v>
      </c>
      <c r="M672" s="49">
        <v>45260</v>
      </c>
      <c r="N672" t="s">
        <v>107</v>
      </c>
      <c r="O672" t="s">
        <v>122</v>
      </c>
      <c r="P672">
        <f>VLOOKUP(N672,[1]ID_Cidades!$A$1:$E$5900,2,FALSE)</f>
        <v>295765</v>
      </c>
      <c r="Q672">
        <f>VLOOKUP(O672,[1]ID_Cidades!$A$1:$E$5900,2,FALSE)</f>
        <v>295781</v>
      </c>
      <c r="R672">
        <f t="shared" si="20"/>
        <v>87481667465</v>
      </c>
      <c r="S672" s="42">
        <f>VLOOKUP(R672,'[1]GCD base'!$A$1:$M$200,7,FALSE)</f>
        <v>2695.5823350000001</v>
      </c>
      <c r="T672" t="s">
        <v>109</v>
      </c>
      <c r="U672" t="s">
        <v>205</v>
      </c>
      <c r="V672" t="s">
        <v>202</v>
      </c>
      <c r="W672" t="s">
        <v>203</v>
      </c>
      <c r="X672" t="s">
        <v>204</v>
      </c>
      <c r="Y672">
        <v>95</v>
      </c>
      <c r="Z672">
        <v>0</v>
      </c>
      <c r="AA672">
        <v>1664.79</v>
      </c>
      <c r="AB672">
        <v>0</v>
      </c>
      <c r="AC672" s="49">
        <v>45223</v>
      </c>
      <c r="AD672" s="116" t="s">
        <v>10</v>
      </c>
      <c r="AE672" s="113" t="str" cm="1">
        <f t="array" ref="AE672">_xlfn.IFS(S672&lt;=Constantes!$G$2,"Muito Curta (evitável)",S672&lt;=Constantes!$H$2,"Curta Distância",S672&gt;Constantes!$H$2,"Longa Distância")</f>
        <v>Curta Distância</v>
      </c>
      <c r="AF672" s="114">
        <f>IFERROR(VLOOKUP(AE672,Constantes!$A$1:$E$5,MATCH(AD672,Constantes!$A$1:$E$1,0),0),"")</f>
        <v>0.18286935436241611</v>
      </c>
      <c r="AG672" s="115">
        <f t="shared" si="21"/>
        <v>492.93940123218408</v>
      </c>
    </row>
    <row r="673" spans="1:33" x14ac:dyDescent="0.3">
      <c r="A673">
        <f>COUNTIF($B$2:B673,B673)</f>
        <v>2</v>
      </c>
      <c r="B673">
        <v>19431948</v>
      </c>
      <c r="C673" t="s">
        <v>1563</v>
      </c>
      <c r="D673" t="s">
        <v>1564</v>
      </c>
      <c r="E673" t="s">
        <v>1565</v>
      </c>
      <c r="F673" t="s">
        <v>1566</v>
      </c>
      <c r="G673" t="s">
        <v>207</v>
      </c>
      <c r="H673" t="s">
        <v>204</v>
      </c>
      <c r="I673" s="49">
        <v>45255</v>
      </c>
      <c r="J673" s="49">
        <v>45260</v>
      </c>
      <c r="K673" t="s">
        <v>1567</v>
      </c>
      <c r="L673" s="49">
        <v>45260</v>
      </c>
      <c r="M673" s="49">
        <v>45260</v>
      </c>
      <c r="N673" t="s">
        <v>122</v>
      </c>
      <c r="O673" t="s">
        <v>107</v>
      </c>
      <c r="P673">
        <f>VLOOKUP(N673,[1]ID_Cidades!$A$1:$E$5900,2,FALSE)</f>
        <v>295781</v>
      </c>
      <c r="Q673">
        <f>VLOOKUP(O673,[1]ID_Cidades!$A$1:$E$5900,2,FALSE)</f>
        <v>295765</v>
      </c>
      <c r="R673">
        <f t="shared" si="20"/>
        <v>87481667465</v>
      </c>
      <c r="S673" s="42">
        <f>VLOOKUP(R673,'[1]GCD base'!$A$1:$M$200,7,FALSE)</f>
        <v>2695.5823350000001</v>
      </c>
      <c r="T673" t="s">
        <v>109</v>
      </c>
      <c r="U673" t="s">
        <v>201</v>
      </c>
      <c r="V673" t="s">
        <v>202</v>
      </c>
      <c r="W673" t="s">
        <v>203</v>
      </c>
      <c r="X673" t="s">
        <v>204</v>
      </c>
      <c r="Y673">
        <v>0</v>
      </c>
      <c r="Z673">
        <v>0</v>
      </c>
      <c r="AA673">
        <v>1028.4000000000001</v>
      </c>
      <c r="AB673">
        <v>0</v>
      </c>
      <c r="AC673" s="49">
        <v>45223</v>
      </c>
      <c r="AD673" s="116" t="s">
        <v>10</v>
      </c>
      <c r="AE673" s="113" t="str" cm="1">
        <f t="array" ref="AE673">_xlfn.IFS(S673&lt;=Constantes!$G$2,"Muito Curta (evitável)",S673&lt;=Constantes!$H$2,"Curta Distância",S673&gt;Constantes!$H$2,"Longa Distância")</f>
        <v>Curta Distância</v>
      </c>
      <c r="AF673" s="114">
        <f>IFERROR(VLOOKUP(AE673,Constantes!$A$1:$E$5,MATCH(AD673,Constantes!$A$1:$E$1,0),0),"")</f>
        <v>0.18286935436241611</v>
      </c>
      <c r="AG673" s="115">
        <f t="shared" si="21"/>
        <v>492.93940123218408</v>
      </c>
    </row>
    <row r="674" spans="1:33" x14ac:dyDescent="0.3">
      <c r="A674">
        <f>COUNTIF($B$2:B674,B674)</f>
        <v>1</v>
      </c>
      <c r="B674">
        <v>19330579</v>
      </c>
      <c r="C674" t="s">
        <v>1236</v>
      </c>
      <c r="D674" t="s">
        <v>1237</v>
      </c>
      <c r="E674" t="s">
        <v>1238</v>
      </c>
      <c r="F674" t="s">
        <v>1239</v>
      </c>
      <c r="G674" t="s">
        <v>207</v>
      </c>
      <c r="H674" t="s">
        <v>204</v>
      </c>
      <c r="I674" s="49">
        <v>45256</v>
      </c>
      <c r="J674" s="49">
        <v>45262</v>
      </c>
      <c r="K674" t="s">
        <v>1240</v>
      </c>
      <c r="L674" s="49">
        <v>45262</v>
      </c>
      <c r="M674" s="49">
        <v>45262</v>
      </c>
      <c r="N674" t="s">
        <v>122</v>
      </c>
      <c r="O674" t="s">
        <v>107</v>
      </c>
      <c r="P674">
        <f>VLOOKUP(N674,[1]ID_Cidades!$A$1:$E$5900,2,FALSE)</f>
        <v>295781</v>
      </c>
      <c r="Q674">
        <f>VLOOKUP(O674,[1]ID_Cidades!$A$1:$E$5900,2,FALSE)</f>
        <v>295765</v>
      </c>
      <c r="R674">
        <f t="shared" si="20"/>
        <v>87481667465</v>
      </c>
      <c r="S674" s="42">
        <f>VLOOKUP(R674,'[1]GCD base'!$A$1:$M$200,7,FALSE)</f>
        <v>2695.5823350000001</v>
      </c>
      <c r="T674" t="s">
        <v>109</v>
      </c>
      <c r="U674" t="s">
        <v>201</v>
      </c>
      <c r="V674" t="s">
        <v>202</v>
      </c>
      <c r="W674" t="s">
        <v>203</v>
      </c>
      <c r="X674" t="s">
        <v>204</v>
      </c>
      <c r="Y674">
        <v>2162.08</v>
      </c>
      <c r="Z674">
        <v>0</v>
      </c>
      <c r="AA674">
        <v>1245.4000000000001</v>
      </c>
      <c r="AB674">
        <v>0</v>
      </c>
      <c r="AC674" s="49">
        <v>45239</v>
      </c>
      <c r="AD674" s="116" t="s">
        <v>10</v>
      </c>
      <c r="AE674" s="113" t="str" cm="1">
        <f t="array" ref="AE674">_xlfn.IFS(S674&lt;=Constantes!$G$2,"Muito Curta (evitável)",S674&lt;=Constantes!$H$2,"Curta Distância",S674&gt;Constantes!$H$2,"Longa Distância")</f>
        <v>Curta Distância</v>
      </c>
      <c r="AF674" s="114">
        <f>IFERROR(VLOOKUP(AE674,Constantes!$A$1:$E$5,MATCH(AD674,Constantes!$A$1:$E$1,0),0),"")</f>
        <v>0.18286935436241611</v>
      </c>
      <c r="AG674" s="115">
        <f t="shared" si="21"/>
        <v>492.93940123218408</v>
      </c>
    </row>
    <row r="675" spans="1:33" x14ac:dyDescent="0.3">
      <c r="A675">
        <f>COUNTIF($B$2:B675,B675)</f>
        <v>2</v>
      </c>
      <c r="B675">
        <v>19330579</v>
      </c>
      <c r="C675" t="s">
        <v>1236</v>
      </c>
      <c r="D675" t="s">
        <v>1237</v>
      </c>
      <c r="E675" t="s">
        <v>1238</v>
      </c>
      <c r="F675" t="s">
        <v>1239</v>
      </c>
      <c r="G675" t="s">
        <v>207</v>
      </c>
      <c r="H675" t="s">
        <v>204</v>
      </c>
      <c r="I675" s="49">
        <v>45256</v>
      </c>
      <c r="J675" s="49">
        <v>45262</v>
      </c>
      <c r="K675" t="s">
        <v>1240</v>
      </c>
      <c r="L675" s="49">
        <v>45256</v>
      </c>
      <c r="M675" s="49">
        <v>45262</v>
      </c>
      <c r="N675" t="s">
        <v>107</v>
      </c>
      <c r="O675" t="s">
        <v>122</v>
      </c>
      <c r="P675">
        <f>VLOOKUP(N675,[1]ID_Cidades!$A$1:$E$5900,2,FALSE)</f>
        <v>295765</v>
      </c>
      <c r="Q675">
        <f>VLOOKUP(O675,[1]ID_Cidades!$A$1:$E$5900,2,FALSE)</f>
        <v>295781</v>
      </c>
      <c r="R675">
        <f t="shared" si="20"/>
        <v>87481667465</v>
      </c>
      <c r="S675" s="42">
        <f>VLOOKUP(R675,'[1]GCD base'!$A$1:$M$200,7,FALSE)</f>
        <v>2695.5823350000001</v>
      </c>
      <c r="T675" t="s">
        <v>109</v>
      </c>
      <c r="U675" t="s">
        <v>205</v>
      </c>
      <c r="V675" t="s">
        <v>202</v>
      </c>
      <c r="W675" t="s">
        <v>203</v>
      </c>
      <c r="X675" t="s">
        <v>204</v>
      </c>
      <c r="Y675">
        <v>0</v>
      </c>
      <c r="Z675">
        <v>0</v>
      </c>
      <c r="AA675">
        <v>1755.09</v>
      </c>
      <c r="AB675">
        <v>0</v>
      </c>
      <c r="AC675" s="49">
        <v>45239</v>
      </c>
      <c r="AD675" s="116" t="s">
        <v>10</v>
      </c>
      <c r="AE675" s="113" t="str" cm="1">
        <f t="array" ref="AE675">_xlfn.IFS(S675&lt;=Constantes!$G$2,"Muito Curta (evitável)",S675&lt;=Constantes!$H$2,"Curta Distância",S675&gt;Constantes!$H$2,"Longa Distância")</f>
        <v>Curta Distância</v>
      </c>
      <c r="AF675" s="114">
        <f>IFERROR(VLOOKUP(AE675,Constantes!$A$1:$E$5,MATCH(AD675,Constantes!$A$1:$E$1,0),0),"")</f>
        <v>0.18286935436241611</v>
      </c>
      <c r="AG675" s="115">
        <f t="shared" si="21"/>
        <v>492.93940123218408</v>
      </c>
    </row>
    <row r="676" spans="1:33" x14ac:dyDescent="0.3">
      <c r="A676">
        <f>COUNTIF($B$2:B676,B676)</f>
        <v>1</v>
      </c>
      <c r="B676">
        <v>19342982</v>
      </c>
      <c r="C676" t="s">
        <v>1298</v>
      </c>
      <c r="D676" t="s">
        <v>1299</v>
      </c>
      <c r="E676" t="s">
        <v>1300</v>
      </c>
      <c r="F676" t="s">
        <v>1239</v>
      </c>
      <c r="G676" t="s">
        <v>207</v>
      </c>
      <c r="H676" t="s">
        <v>204</v>
      </c>
      <c r="I676" s="49">
        <v>45256</v>
      </c>
      <c r="J676" s="49">
        <v>45262</v>
      </c>
      <c r="K676" t="s">
        <v>1301</v>
      </c>
      <c r="L676" s="49">
        <v>45256</v>
      </c>
      <c r="M676" s="49">
        <v>45262</v>
      </c>
      <c r="N676" t="s">
        <v>107</v>
      </c>
      <c r="O676" t="s">
        <v>122</v>
      </c>
      <c r="P676">
        <f>VLOOKUP(N676,[1]ID_Cidades!$A$1:$E$5900,2,FALSE)</f>
        <v>295765</v>
      </c>
      <c r="Q676">
        <f>VLOOKUP(O676,[1]ID_Cidades!$A$1:$E$5900,2,FALSE)</f>
        <v>295781</v>
      </c>
      <c r="R676">
        <f t="shared" si="20"/>
        <v>87481667465</v>
      </c>
      <c r="S676" s="42">
        <f>VLOOKUP(R676,'[1]GCD base'!$A$1:$M$200,7,FALSE)</f>
        <v>2695.5823350000001</v>
      </c>
      <c r="T676" t="s">
        <v>109</v>
      </c>
      <c r="U676" t="s">
        <v>205</v>
      </c>
      <c r="V676" t="s">
        <v>202</v>
      </c>
      <c r="W676" t="s">
        <v>203</v>
      </c>
      <c r="X676" t="s">
        <v>204</v>
      </c>
      <c r="Y676">
        <v>2162.08</v>
      </c>
      <c r="Z676">
        <v>0</v>
      </c>
      <c r="AA676">
        <v>1730.69</v>
      </c>
      <c r="AB676">
        <v>0</v>
      </c>
      <c r="AC676" s="49">
        <v>45239</v>
      </c>
      <c r="AD676" s="116" t="s">
        <v>10</v>
      </c>
      <c r="AE676" s="113" t="str" cm="1">
        <f t="array" ref="AE676">_xlfn.IFS(S676&lt;=Constantes!$G$2,"Muito Curta (evitável)",S676&lt;=Constantes!$H$2,"Curta Distância",S676&gt;Constantes!$H$2,"Longa Distância")</f>
        <v>Curta Distância</v>
      </c>
      <c r="AF676" s="114">
        <f>IFERROR(VLOOKUP(AE676,Constantes!$A$1:$E$5,MATCH(AD676,Constantes!$A$1:$E$1,0),0),"")</f>
        <v>0.18286935436241611</v>
      </c>
      <c r="AG676" s="115">
        <f t="shared" si="21"/>
        <v>492.93940123218408</v>
      </c>
    </row>
    <row r="677" spans="1:33" x14ac:dyDescent="0.3">
      <c r="A677">
        <f>COUNTIF($B$2:B677,B677)</f>
        <v>2</v>
      </c>
      <c r="B677">
        <v>19342982</v>
      </c>
      <c r="C677" t="s">
        <v>1298</v>
      </c>
      <c r="D677" t="s">
        <v>1299</v>
      </c>
      <c r="E677" t="s">
        <v>1300</v>
      </c>
      <c r="F677" t="s">
        <v>1239</v>
      </c>
      <c r="G677" t="s">
        <v>207</v>
      </c>
      <c r="H677" t="s">
        <v>204</v>
      </c>
      <c r="I677" s="49">
        <v>45256</v>
      </c>
      <c r="J677" s="49">
        <v>45262</v>
      </c>
      <c r="K677" t="s">
        <v>1301</v>
      </c>
      <c r="L677" s="49">
        <v>45262</v>
      </c>
      <c r="M677" s="49">
        <v>45262</v>
      </c>
      <c r="N677" t="s">
        <v>122</v>
      </c>
      <c r="O677" t="s">
        <v>107</v>
      </c>
      <c r="P677">
        <f>VLOOKUP(N677,[1]ID_Cidades!$A$1:$E$5900,2,FALSE)</f>
        <v>295781</v>
      </c>
      <c r="Q677">
        <f>VLOOKUP(O677,[1]ID_Cidades!$A$1:$E$5900,2,FALSE)</f>
        <v>295765</v>
      </c>
      <c r="R677">
        <f t="shared" si="20"/>
        <v>87481667465</v>
      </c>
      <c r="S677" s="42">
        <f>VLOOKUP(R677,'[1]GCD base'!$A$1:$M$200,7,FALSE)</f>
        <v>2695.5823350000001</v>
      </c>
      <c r="T677" t="s">
        <v>109</v>
      </c>
      <c r="U677" t="s">
        <v>201</v>
      </c>
      <c r="V677" t="s">
        <v>202</v>
      </c>
      <c r="W677" t="s">
        <v>203</v>
      </c>
      <c r="X677" t="s">
        <v>204</v>
      </c>
      <c r="Y677">
        <v>0</v>
      </c>
      <c r="Z677">
        <v>0</v>
      </c>
      <c r="AA677">
        <v>1245.4000000000001</v>
      </c>
      <c r="AB677">
        <v>0</v>
      </c>
      <c r="AC677" s="49">
        <v>45239</v>
      </c>
      <c r="AD677" s="116" t="s">
        <v>10</v>
      </c>
      <c r="AE677" s="113" t="str" cm="1">
        <f t="array" ref="AE677">_xlfn.IFS(S677&lt;=Constantes!$G$2,"Muito Curta (evitável)",S677&lt;=Constantes!$H$2,"Curta Distância",S677&gt;Constantes!$H$2,"Longa Distância")</f>
        <v>Curta Distância</v>
      </c>
      <c r="AF677" s="114">
        <f>IFERROR(VLOOKUP(AE677,Constantes!$A$1:$E$5,MATCH(AD677,Constantes!$A$1:$E$1,0),0),"")</f>
        <v>0.18286935436241611</v>
      </c>
      <c r="AG677" s="115">
        <f t="shared" si="21"/>
        <v>492.93940123218408</v>
      </c>
    </row>
    <row r="678" spans="1:33" x14ac:dyDescent="0.3">
      <c r="A678">
        <f>COUNTIF($B$2:B678,B678)</f>
        <v>1</v>
      </c>
      <c r="B678">
        <v>19344229</v>
      </c>
      <c r="C678" t="s">
        <v>1302</v>
      </c>
      <c r="D678" t="s">
        <v>218</v>
      </c>
      <c r="E678" t="s">
        <v>1303</v>
      </c>
      <c r="F678" t="s">
        <v>1239</v>
      </c>
      <c r="G678" t="s">
        <v>207</v>
      </c>
      <c r="H678" t="s">
        <v>204</v>
      </c>
      <c r="I678" s="49">
        <v>45256</v>
      </c>
      <c r="J678" s="49">
        <v>45262</v>
      </c>
      <c r="K678" t="s">
        <v>1304</v>
      </c>
      <c r="L678" s="49">
        <v>45262</v>
      </c>
      <c r="M678" s="49">
        <v>45262</v>
      </c>
      <c r="N678" t="s">
        <v>122</v>
      </c>
      <c r="O678" t="s">
        <v>107</v>
      </c>
      <c r="P678">
        <f>VLOOKUP(N678,[1]ID_Cidades!$A$1:$E$5900,2,FALSE)</f>
        <v>295781</v>
      </c>
      <c r="Q678">
        <f>VLOOKUP(O678,[1]ID_Cidades!$A$1:$E$5900,2,FALSE)</f>
        <v>295765</v>
      </c>
      <c r="R678">
        <f t="shared" si="20"/>
        <v>87481667465</v>
      </c>
      <c r="S678" s="42">
        <f>VLOOKUP(R678,'[1]GCD base'!$A$1:$M$200,7,FALSE)</f>
        <v>2695.5823350000001</v>
      </c>
      <c r="T678" t="s">
        <v>109</v>
      </c>
      <c r="U678" t="s">
        <v>201</v>
      </c>
      <c r="V678" t="s">
        <v>202</v>
      </c>
      <c r="W678" t="s">
        <v>203</v>
      </c>
      <c r="X678" t="s">
        <v>204</v>
      </c>
      <c r="Y678">
        <v>2162.08</v>
      </c>
      <c r="Z678">
        <v>0</v>
      </c>
      <c r="AA678">
        <v>1245.4000000000001</v>
      </c>
      <c r="AB678">
        <v>0</v>
      </c>
      <c r="AC678" s="49">
        <v>45239</v>
      </c>
      <c r="AD678" s="116" t="s">
        <v>10</v>
      </c>
      <c r="AE678" s="113" t="str" cm="1">
        <f t="array" ref="AE678">_xlfn.IFS(S678&lt;=Constantes!$G$2,"Muito Curta (evitável)",S678&lt;=Constantes!$H$2,"Curta Distância",S678&gt;Constantes!$H$2,"Longa Distância")</f>
        <v>Curta Distância</v>
      </c>
      <c r="AF678" s="114">
        <f>IFERROR(VLOOKUP(AE678,Constantes!$A$1:$E$5,MATCH(AD678,Constantes!$A$1:$E$1,0),0),"")</f>
        <v>0.18286935436241611</v>
      </c>
      <c r="AG678" s="115">
        <f t="shared" si="21"/>
        <v>492.93940123218408</v>
      </c>
    </row>
    <row r="679" spans="1:33" x14ac:dyDescent="0.3">
      <c r="A679">
        <f>COUNTIF($B$2:B679,B679)</f>
        <v>2</v>
      </c>
      <c r="B679">
        <v>19344229</v>
      </c>
      <c r="C679" t="s">
        <v>1302</v>
      </c>
      <c r="D679" t="s">
        <v>218</v>
      </c>
      <c r="E679" t="s">
        <v>1303</v>
      </c>
      <c r="F679" t="s">
        <v>1239</v>
      </c>
      <c r="G679" t="s">
        <v>207</v>
      </c>
      <c r="H679" t="s">
        <v>204</v>
      </c>
      <c r="I679" s="49">
        <v>45256</v>
      </c>
      <c r="J679" s="49">
        <v>45262</v>
      </c>
      <c r="K679" t="s">
        <v>1304</v>
      </c>
      <c r="L679" s="49">
        <v>45256</v>
      </c>
      <c r="M679" s="49">
        <v>45262</v>
      </c>
      <c r="N679" t="s">
        <v>107</v>
      </c>
      <c r="O679" t="s">
        <v>122</v>
      </c>
      <c r="P679">
        <f>VLOOKUP(N679,[1]ID_Cidades!$A$1:$E$5900,2,FALSE)</f>
        <v>295765</v>
      </c>
      <c r="Q679">
        <f>VLOOKUP(O679,[1]ID_Cidades!$A$1:$E$5900,2,FALSE)</f>
        <v>295781</v>
      </c>
      <c r="R679">
        <f t="shared" si="20"/>
        <v>87481667465</v>
      </c>
      <c r="S679" s="42">
        <f>VLOOKUP(R679,'[1]GCD base'!$A$1:$M$200,7,FALSE)</f>
        <v>2695.5823350000001</v>
      </c>
      <c r="T679" t="s">
        <v>109</v>
      </c>
      <c r="U679" t="s">
        <v>205</v>
      </c>
      <c r="V679" t="s">
        <v>202</v>
      </c>
      <c r="W679" t="s">
        <v>203</v>
      </c>
      <c r="X679" t="s">
        <v>204</v>
      </c>
      <c r="Y679">
        <v>0</v>
      </c>
      <c r="Z679">
        <v>0</v>
      </c>
      <c r="AA679">
        <v>1755.09</v>
      </c>
      <c r="AB679">
        <v>0</v>
      </c>
      <c r="AC679" s="49">
        <v>45239</v>
      </c>
      <c r="AD679" s="116" t="s">
        <v>10</v>
      </c>
      <c r="AE679" s="113" t="str" cm="1">
        <f t="array" ref="AE679">_xlfn.IFS(S679&lt;=Constantes!$G$2,"Muito Curta (evitável)",S679&lt;=Constantes!$H$2,"Curta Distância",S679&gt;Constantes!$H$2,"Longa Distância")</f>
        <v>Curta Distância</v>
      </c>
      <c r="AF679" s="114">
        <f>IFERROR(VLOOKUP(AE679,Constantes!$A$1:$E$5,MATCH(AD679,Constantes!$A$1:$E$1,0),0),"")</f>
        <v>0.18286935436241611</v>
      </c>
      <c r="AG679" s="115">
        <f t="shared" si="21"/>
        <v>492.93940123218408</v>
      </c>
    </row>
    <row r="680" spans="1:33" x14ac:dyDescent="0.3">
      <c r="A680">
        <f>COUNTIF($B$2:B680,B680)</f>
        <v>1</v>
      </c>
      <c r="B680">
        <v>19349153</v>
      </c>
      <c r="C680" t="s">
        <v>1317</v>
      </c>
      <c r="D680" t="s">
        <v>1318</v>
      </c>
      <c r="E680" t="s">
        <v>1319</v>
      </c>
      <c r="F680" t="s">
        <v>1239</v>
      </c>
      <c r="G680" t="s">
        <v>207</v>
      </c>
      <c r="H680" t="s">
        <v>204</v>
      </c>
      <c r="I680" s="49">
        <v>45256</v>
      </c>
      <c r="J680" s="49">
        <v>45262</v>
      </c>
      <c r="K680" t="s">
        <v>1320</v>
      </c>
      <c r="L680" s="49">
        <v>45262</v>
      </c>
      <c r="M680" s="49">
        <v>45262</v>
      </c>
      <c r="N680" t="s">
        <v>122</v>
      </c>
      <c r="O680" t="s">
        <v>107</v>
      </c>
      <c r="P680">
        <f>VLOOKUP(N680,[1]ID_Cidades!$A$1:$E$5900,2,FALSE)</f>
        <v>295781</v>
      </c>
      <c r="Q680">
        <f>VLOOKUP(O680,[1]ID_Cidades!$A$1:$E$5900,2,FALSE)</f>
        <v>295765</v>
      </c>
      <c r="R680">
        <f t="shared" si="20"/>
        <v>87481667465</v>
      </c>
      <c r="S680" s="42">
        <f>VLOOKUP(R680,'[1]GCD base'!$A$1:$M$200,7,FALSE)</f>
        <v>2695.5823350000001</v>
      </c>
      <c r="T680" t="s">
        <v>109</v>
      </c>
      <c r="U680" t="s">
        <v>201</v>
      </c>
      <c r="V680" t="s">
        <v>202</v>
      </c>
      <c r="W680" t="s">
        <v>203</v>
      </c>
      <c r="X680" t="s">
        <v>204</v>
      </c>
      <c r="Y680">
        <v>2162.08</v>
      </c>
      <c r="Z680">
        <v>0</v>
      </c>
      <c r="AA680">
        <v>1016.2</v>
      </c>
      <c r="AB680">
        <v>0</v>
      </c>
      <c r="AC680" s="49">
        <v>45198</v>
      </c>
      <c r="AD680" s="116" t="s">
        <v>10</v>
      </c>
      <c r="AE680" s="113" t="str" cm="1">
        <f t="array" ref="AE680">_xlfn.IFS(S680&lt;=Constantes!$G$2,"Muito Curta (evitável)",S680&lt;=Constantes!$H$2,"Curta Distância",S680&gt;Constantes!$H$2,"Longa Distância")</f>
        <v>Curta Distância</v>
      </c>
      <c r="AF680" s="114">
        <f>IFERROR(VLOOKUP(AE680,Constantes!$A$1:$E$5,MATCH(AD680,Constantes!$A$1:$E$1,0),0),"")</f>
        <v>0.18286935436241611</v>
      </c>
      <c r="AG680" s="115">
        <f t="shared" si="21"/>
        <v>492.93940123218408</v>
      </c>
    </row>
    <row r="681" spans="1:33" x14ac:dyDescent="0.3">
      <c r="A681">
        <f>COUNTIF($B$2:B681,B681)</f>
        <v>2</v>
      </c>
      <c r="B681">
        <v>19349153</v>
      </c>
      <c r="C681" t="s">
        <v>1317</v>
      </c>
      <c r="D681" t="s">
        <v>1318</v>
      </c>
      <c r="E681" t="s">
        <v>1319</v>
      </c>
      <c r="F681" t="s">
        <v>1239</v>
      </c>
      <c r="G681" t="s">
        <v>207</v>
      </c>
      <c r="H681" t="s">
        <v>204</v>
      </c>
      <c r="I681" s="49">
        <v>45256</v>
      </c>
      <c r="J681" s="49">
        <v>45262</v>
      </c>
      <c r="K681" t="s">
        <v>1320</v>
      </c>
      <c r="L681" s="49">
        <v>45256</v>
      </c>
      <c r="M681" s="49">
        <v>45262</v>
      </c>
      <c r="N681" t="s">
        <v>107</v>
      </c>
      <c r="O681" t="s">
        <v>122</v>
      </c>
      <c r="P681">
        <f>VLOOKUP(N681,[1]ID_Cidades!$A$1:$E$5900,2,FALSE)</f>
        <v>295765</v>
      </c>
      <c r="Q681">
        <f>VLOOKUP(O681,[1]ID_Cidades!$A$1:$E$5900,2,FALSE)</f>
        <v>295781</v>
      </c>
      <c r="R681">
        <f t="shared" si="20"/>
        <v>87481667465</v>
      </c>
      <c r="S681" s="42">
        <f>VLOOKUP(R681,'[1]GCD base'!$A$1:$M$200,7,FALSE)</f>
        <v>2695.5823350000001</v>
      </c>
      <c r="T681" t="s">
        <v>109</v>
      </c>
      <c r="U681" t="s">
        <v>205</v>
      </c>
      <c r="V681" t="s">
        <v>202</v>
      </c>
      <c r="W681" t="s">
        <v>203</v>
      </c>
      <c r="X681" t="s">
        <v>204</v>
      </c>
      <c r="Y681">
        <v>0</v>
      </c>
      <c r="Z681">
        <v>0</v>
      </c>
      <c r="AA681">
        <v>1133.8900000000001</v>
      </c>
      <c r="AB681">
        <v>0</v>
      </c>
      <c r="AC681" s="49">
        <v>45198</v>
      </c>
      <c r="AD681" s="116" t="s">
        <v>10</v>
      </c>
      <c r="AE681" s="113" t="str" cm="1">
        <f t="array" ref="AE681">_xlfn.IFS(S681&lt;=Constantes!$G$2,"Muito Curta (evitável)",S681&lt;=Constantes!$H$2,"Curta Distância",S681&gt;Constantes!$H$2,"Longa Distância")</f>
        <v>Curta Distância</v>
      </c>
      <c r="AF681" s="114">
        <f>IFERROR(VLOOKUP(AE681,Constantes!$A$1:$E$5,MATCH(AD681,Constantes!$A$1:$E$1,0),0),"")</f>
        <v>0.18286935436241611</v>
      </c>
      <c r="AG681" s="115">
        <f t="shared" si="21"/>
        <v>492.93940123218408</v>
      </c>
    </row>
    <row r="682" spans="1:33" x14ac:dyDescent="0.3">
      <c r="A682">
        <f>COUNTIF($B$2:B682,B682)</f>
        <v>1</v>
      </c>
      <c r="B682">
        <v>19350753</v>
      </c>
      <c r="C682" t="s">
        <v>1321</v>
      </c>
      <c r="D682" t="s">
        <v>218</v>
      </c>
      <c r="E682" t="s">
        <v>1322</v>
      </c>
      <c r="F682" t="s">
        <v>1239</v>
      </c>
      <c r="G682" t="s">
        <v>207</v>
      </c>
      <c r="H682" t="s">
        <v>204</v>
      </c>
      <c r="I682" s="49">
        <v>45256</v>
      </c>
      <c r="J682" s="49">
        <v>45262</v>
      </c>
      <c r="K682" t="s">
        <v>1320</v>
      </c>
      <c r="L682" s="49">
        <v>45256</v>
      </c>
      <c r="M682" s="49">
        <v>45262</v>
      </c>
      <c r="N682" t="s">
        <v>107</v>
      </c>
      <c r="O682" t="s">
        <v>122</v>
      </c>
      <c r="P682">
        <f>VLOOKUP(N682,[1]ID_Cidades!$A$1:$E$5900,2,FALSE)</f>
        <v>295765</v>
      </c>
      <c r="Q682">
        <f>VLOOKUP(O682,[1]ID_Cidades!$A$1:$E$5900,2,FALSE)</f>
        <v>295781</v>
      </c>
      <c r="R682">
        <f t="shared" si="20"/>
        <v>87481667465</v>
      </c>
      <c r="S682" s="42">
        <f>VLOOKUP(R682,'[1]GCD base'!$A$1:$M$200,7,FALSE)</f>
        <v>2695.5823350000001</v>
      </c>
      <c r="T682" t="s">
        <v>109</v>
      </c>
      <c r="U682" t="s">
        <v>205</v>
      </c>
      <c r="V682" t="s">
        <v>202</v>
      </c>
      <c r="W682" t="s">
        <v>203</v>
      </c>
      <c r="X682" t="s">
        <v>204</v>
      </c>
      <c r="Y682">
        <v>2162.08</v>
      </c>
      <c r="Z682">
        <v>0</v>
      </c>
      <c r="AA682">
        <v>1016.2</v>
      </c>
      <c r="AB682">
        <v>0</v>
      </c>
      <c r="AC682" s="49">
        <v>45198</v>
      </c>
      <c r="AD682" s="116" t="s">
        <v>10</v>
      </c>
      <c r="AE682" s="113" t="str" cm="1">
        <f t="array" ref="AE682">_xlfn.IFS(S682&lt;=Constantes!$G$2,"Muito Curta (evitável)",S682&lt;=Constantes!$H$2,"Curta Distância",S682&gt;Constantes!$H$2,"Longa Distância")</f>
        <v>Curta Distância</v>
      </c>
      <c r="AF682" s="114">
        <f>IFERROR(VLOOKUP(AE682,Constantes!$A$1:$E$5,MATCH(AD682,Constantes!$A$1:$E$1,0),0),"")</f>
        <v>0.18286935436241611</v>
      </c>
      <c r="AG682" s="115">
        <f t="shared" si="21"/>
        <v>492.93940123218408</v>
      </c>
    </row>
    <row r="683" spans="1:33" x14ac:dyDescent="0.3">
      <c r="A683">
        <f>COUNTIF($B$2:B683,B683)</f>
        <v>2</v>
      </c>
      <c r="B683">
        <v>19350753</v>
      </c>
      <c r="C683" t="s">
        <v>1321</v>
      </c>
      <c r="D683" t="s">
        <v>218</v>
      </c>
      <c r="E683" t="s">
        <v>1322</v>
      </c>
      <c r="F683" t="s">
        <v>1239</v>
      </c>
      <c r="G683" t="s">
        <v>207</v>
      </c>
      <c r="H683" t="s">
        <v>204</v>
      </c>
      <c r="I683" s="49">
        <v>45256</v>
      </c>
      <c r="J683" s="49">
        <v>45262</v>
      </c>
      <c r="K683" t="s">
        <v>1320</v>
      </c>
      <c r="L683" s="49">
        <v>45262</v>
      </c>
      <c r="M683" s="49">
        <v>45262</v>
      </c>
      <c r="N683" t="s">
        <v>122</v>
      </c>
      <c r="O683" t="s">
        <v>107</v>
      </c>
      <c r="P683">
        <f>VLOOKUP(N683,[1]ID_Cidades!$A$1:$E$5900,2,FALSE)</f>
        <v>295781</v>
      </c>
      <c r="Q683">
        <f>VLOOKUP(O683,[1]ID_Cidades!$A$1:$E$5900,2,FALSE)</f>
        <v>295765</v>
      </c>
      <c r="R683">
        <f t="shared" si="20"/>
        <v>87481667465</v>
      </c>
      <c r="S683" s="42">
        <f>VLOOKUP(R683,'[1]GCD base'!$A$1:$M$200,7,FALSE)</f>
        <v>2695.5823350000001</v>
      </c>
      <c r="T683" t="s">
        <v>109</v>
      </c>
      <c r="U683" t="s">
        <v>201</v>
      </c>
      <c r="V683" t="s">
        <v>202</v>
      </c>
      <c r="W683" t="s">
        <v>203</v>
      </c>
      <c r="X683" t="s">
        <v>204</v>
      </c>
      <c r="Y683">
        <v>0</v>
      </c>
      <c r="Z683">
        <v>0</v>
      </c>
      <c r="AA683">
        <v>1133.8900000000001</v>
      </c>
      <c r="AB683">
        <v>0</v>
      </c>
      <c r="AC683" s="49">
        <v>45198</v>
      </c>
      <c r="AD683" s="116" t="s">
        <v>10</v>
      </c>
      <c r="AE683" s="113" t="str" cm="1">
        <f t="array" ref="AE683">_xlfn.IFS(S683&lt;=Constantes!$G$2,"Muito Curta (evitável)",S683&lt;=Constantes!$H$2,"Curta Distância",S683&gt;Constantes!$H$2,"Longa Distância")</f>
        <v>Curta Distância</v>
      </c>
      <c r="AF683" s="114">
        <f>IFERROR(VLOOKUP(AE683,Constantes!$A$1:$E$5,MATCH(AD683,Constantes!$A$1:$E$1,0),0),"")</f>
        <v>0.18286935436241611</v>
      </c>
      <c r="AG683" s="115">
        <f t="shared" si="21"/>
        <v>492.93940123218408</v>
      </c>
    </row>
    <row r="684" spans="1:33" x14ac:dyDescent="0.3">
      <c r="A684">
        <f>COUNTIF($B$2:B684,B684)</f>
        <v>1</v>
      </c>
      <c r="B684">
        <v>19409465</v>
      </c>
      <c r="C684" t="s">
        <v>1516</v>
      </c>
      <c r="D684" t="s">
        <v>1517</v>
      </c>
      <c r="E684" t="s">
        <v>1518</v>
      </c>
      <c r="F684" t="s">
        <v>1239</v>
      </c>
      <c r="G684" t="s">
        <v>207</v>
      </c>
      <c r="H684" t="s">
        <v>204</v>
      </c>
      <c r="I684" s="49">
        <v>45256</v>
      </c>
      <c r="J684" s="49">
        <v>45262</v>
      </c>
      <c r="K684" t="s">
        <v>1519</v>
      </c>
      <c r="L684" s="49">
        <v>45256</v>
      </c>
      <c r="M684" s="49">
        <v>45262</v>
      </c>
      <c r="N684" t="s">
        <v>107</v>
      </c>
      <c r="O684" t="s">
        <v>122</v>
      </c>
      <c r="P684">
        <f>VLOOKUP(N684,[1]ID_Cidades!$A$1:$E$5900,2,FALSE)</f>
        <v>295765</v>
      </c>
      <c r="Q684">
        <f>VLOOKUP(O684,[1]ID_Cidades!$A$1:$E$5900,2,FALSE)</f>
        <v>295781</v>
      </c>
      <c r="R684">
        <f t="shared" si="20"/>
        <v>87481667465</v>
      </c>
      <c r="S684" s="42">
        <f>VLOOKUP(R684,'[1]GCD base'!$A$1:$M$200,7,FALSE)</f>
        <v>2695.5823350000001</v>
      </c>
      <c r="T684" t="s">
        <v>109</v>
      </c>
      <c r="U684" t="s">
        <v>205</v>
      </c>
      <c r="V684" t="s">
        <v>202</v>
      </c>
      <c r="W684" t="s">
        <v>203</v>
      </c>
      <c r="X684" t="s">
        <v>204</v>
      </c>
      <c r="Y684">
        <v>0</v>
      </c>
      <c r="Z684">
        <v>0</v>
      </c>
      <c r="AA684">
        <v>1274.29</v>
      </c>
      <c r="AB684">
        <v>0</v>
      </c>
      <c r="AC684" s="49">
        <v>45217</v>
      </c>
      <c r="AD684" s="116" t="s">
        <v>10</v>
      </c>
      <c r="AE684" s="113" t="str" cm="1">
        <f t="array" ref="AE684">_xlfn.IFS(S684&lt;=Constantes!$G$2,"Muito Curta (evitável)",S684&lt;=Constantes!$H$2,"Curta Distância",S684&gt;Constantes!$H$2,"Longa Distância")</f>
        <v>Curta Distância</v>
      </c>
      <c r="AF684" s="114">
        <f>IFERROR(VLOOKUP(AE684,Constantes!$A$1:$E$5,MATCH(AD684,Constantes!$A$1:$E$1,0),0),"")</f>
        <v>0.18286935436241611</v>
      </c>
      <c r="AG684" s="115">
        <f t="shared" si="21"/>
        <v>492.93940123218408</v>
      </c>
    </row>
    <row r="685" spans="1:33" x14ac:dyDescent="0.3">
      <c r="A685">
        <f>COUNTIF($B$2:B685,B685)</f>
        <v>2</v>
      </c>
      <c r="B685">
        <v>19409465</v>
      </c>
      <c r="C685" t="s">
        <v>1516</v>
      </c>
      <c r="D685" t="s">
        <v>1517</v>
      </c>
      <c r="E685" t="s">
        <v>1518</v>
      </c>
      <c r="F685" t="s">
        <v>1239</v>
      </c>
      <c r="G685" t="s">
        <v>207</v>
      </c>
      <c r="H685" t="s">
        <v>204</v>
      </c>
      <c r="I685" s="49">
        <v>45256</v>
      </c>
      <c r="J685" s="49">
        <v>45262</v>
      </c>
      <c r="K685" t="s">
        <v>1519</v>
      </c>
      <c r="L685" s="49">
        <v>45262</v>
      </c>
      <c r="M685" s="49">
        <v>45262</v>
      </c>
      <c r="N685" t="s">
        <v>122</v>
      </c>
      <c r="O685" t="s">
        <v>107</v>
      </c>
      <c r="P685">
        <f>VLOOKUP(N685,[1]ID_Cidades!$A$1:$E$5900,2,FALSE)</f>
        <v>295781</v>
      </c>
      <c r="Q685">
        <f>VLOOKUP(O685,[1]ID_Cidades!$A$1:$E$5900,2,FALSE)</f>
        <v>295765</v>
      </c>
      <c r="R685">
        <f t="shared" si="20"/>
        <v>87481667465</v>
      </c>
      <c r="S685" s="42">
        <f>VLOOKUP(R685,'[1]GCD base'!$A$1:$M$200,7,FALSE)</f>
        <v>2695.5823350000001</v>
      </c>
      <c r="T685" t="s">
        <v>109</v>
      </c>
      <c r="U685" t="s">
        <v>201</v>
      </c>
      <c r="V685" t="s">
        <v>202</v>
      </c>
      <c r="W685" t="s">
        <v>203</v>
      </c>
      <c r="X685" t="s">
        <v>204</v>
      </c>
      <c r="Y685">
        <v>0</v>
      </c>
      <c r="Z685">
        <v>0</v>
      </c>
      <c r="AA685">
        <v>1020.4</v>
      </c>
      <c r="AB685">
        <v>0</v>
      </c>
      <c r="AC685" s="49">
        <v>45217</v>
      </c>
      <c r="AD685" s="116" t="s">
        <v>10</v>
      </c>
      <c r="AE685" s="113" t="str" cm="1">
        <f t="array" ref="AE685">_xlfn.IFS(S685&lt;=Constantes!$G$2,"Muito Curta (evitável)",S685&lt;=Constantes!$H$2,"Curta Distância",S685&gt;Constantes!$H$2,"Longa Distância")</f>
        <v>Curta Distância</v>
      </c>
      <c r="AF685" s="114">
        <f>IFERROR(VLOOKUP(AE685,Constantes!$A$1:$E$5,MATCH(AD685,Constantes!$A$1:$E$1,0),0),"")</f>
        <v>0.18286935436241611</v>
      </c>
      <c r="AG685" s="115">
        <f t="shared" si="21"/>
        <v>492.93940123218408</v>
      </c>
    </row>
    <row r="686" spans="1:33" x14ac:dyDescent="0.3">
      <c r="A686">
        <f>COUNTIF($B$2:B686,B686)</f>
        <v>1</v>
      </c>
      <c r="B686">
        <v>19414264</v>
      </c>
      <c r="C686" t="s">
        <v>1525</v>
      </c>
      <c r="D686" t="s">
        <v>1526</v>
      </c>
      <c r="E686" t="s">
        <v>1527</v>
      </c>
      <c r="F686" t="s">
        <v>1528</v>
      </c>
      <c r="G686" t="s">
        <v>211</v>
      </c>
      <c r="H686" t="s">
        <v>211</v>
      </c>
      <c r="I686" s="49">
        <v>45256</v>
      </c>
      <c r="J686" s="49">
        <v>45262</v>
      </c>
      <c r="K686" t="s">
        <v>1529</v>
      </c>
      <c r="L686" s="49">
        <v>45262</v>
      </c>
      <c r="M686" s="49">
        <v>45262</v>
      </c>
      <c r="N686" t="s">
        <v>116</v>
      </c>
      <c r="O686" t="s">
        <v>107</v>
      </c>
      <c r="P686">
        <f>VLOOKUP(N686,[1]ID_Cidades!$A$1:$E$5900,2,FALSE)</f>
        <v>295778</v>
      </c>
      <c r="Q686">
        <f>VLOOKUP(O686,[1]ID_Cidades!$A$1:$E$5900,2,FALSE)</f>
        <v>295765</v>
      </c>
      <c r="R686">
        <f t="shared" si="20"/>
        <v>87480780170</v>
      </c>
      <c r="S686" s="42">
        <f>VLOOKUP(R686,'[1]GCD base'!$A$1:$M$200,7,FALSE)</f>
        <v>1961.5007860000001</v>
      </c>
      <c r="T686" t="s">
        <v>109</v>
      </c>
      <c r="U686" t="s">
        <v>201</v>
      </c>
      <c r="V686" t="s">
        <v>202</v>
      </c>
      <c r="W686" t="s">
        <v>203</v>
      </c>
      <c r="X686" t="s">
        <v>204</v>
      </c>
      <c r="Y686">
        <v>2422.86</v>
      </c>
      <c r="Z686">
        <v>0</v>
      </c>
      <c r="AA686">
        <v>1048.99</v>
      </c>
      <c r="AB686">
        <v>0</v>
      </c>
      <c r="AC686" s="49">
        <v>45219</v>
      </c>
      <c r="AD686" s="116" t="s">
        <v>10</v>
      </c>
      <c r="AE686" s="113" t="str" cm="1">
        <f t="array" ref="AE686">_xlfn.IFS(S686&lt;=Constantes!$G$2,"Muito Curta (evitável)",S686&lt;=Constantes!$H$2,"Curta Distância",S686&gt;Constantes!$H$2,"Longa Distância")</f>
        <v>Curta Distância</v>
      </c>
      <c r="AF686" s="114">
        <f>IFERROR(VLOOKUP(AE686,Constantes!$A$1:$E$5,MATCH(AD686,Constantes!$A$1:$E$1,0),0),"")</f>
        <v>0.18286935436241611</v>
      </c>
      <c r="AG686" s="115">
        <f t="shared" si="21"/>
        <v>358.69838231719172</v>
      </c>
    </row>
    <row r="687" spans="1:33" x14ac:dyDescent="0.3">
      <c r="A687">
        <f>COUNTIF($B$2:B687,B687)</f>
        <v>2</v>
      </c>
      <c r="B687">
        <v>19414264</v>
      </c>
      <c r="C687" t="s">
        <v>1525</v>
      </c>
      <c r="D687" t="s">
        <v>1526</v>
      </c>
      <c r="E687" t="s">
        <v>1527</v>
      </c>
      <c r="F687" t="s">
        <v>1528</v>
      </c>
      <c r="G687" t="s">
        <v>211</v>
      </c>
      <c r="H687" t="s">
        <v>211</v>
      </c>
      <c r="I687" s="49">
        <v>45256</v>
      </c>
      <c r="J687" s="49">
        <v>45262</v>
      </c>
      <c r="K687" t="s">
        <v>1529</v>
      </c>
      <c r="L687" s="49">
        <v>45256</v>
      </c>
      <c r="M687" s="49">
        <v>45262</v>
      </c>
      <c r="N687" t="s">
        <v>107</v>
      </c>
      <c r="O687" t="s">
        <v>116</v>
      </c>
      <c r="P687">
        <f>VLOOKUP(N687,[1]ID_Cidades!$A$1:$E$5900,2,FALSE)</f>
        <v>295765</v>
      </c>
      <c r="Q687">
        <f>VLOOKUP(O687,[1]ID_Cidades!$A$1:$E$5900,2,FALSE)</f>
        <v>295778</v>
      </c>
      <c r="R687">
        <f t="shared" si="20"/>
        <v>87480780170</v>
      </c>
      <c r="S687" s="42">
        <f>VLOOKUP(R687,'[1]GCD base'!$A$1:$M$200,7,FALSE)</f>
        <v>1961.5007860000001</v>
      </c>
      <c r="T687" t="s">
        <v>109</v>
      </c>
      <c r="U687" t="s">
        <v>205</v>
      </c>
      <c r="V687" t="s">
        <v>202</v>
      </c>
      <c r="W687" t="s">
        <v>203</v>
      </c>
      <c r="X687" t="s">
        <v>204</v>
      </c>
      <c r="Y687">
        <v>0</v>
      </c>
      <c r="Z687">
        <v>0</v>
      </c>
      <c r="AA687">
        <v>745.7</v>
      </c>
      <c r="AB687">
        <v>0</v>
      </c>
      <c r="AC687" s="49">
        <v>45219</v>
      </c>
      <c r="AD687" s="116" t="s">
        <v>10</v>
      </c>
      <c r="AE687" s="113" t="str" cm="1">
        <f t="array" ref="AE687">_xlfn.IFS(S687&lt;=Constantes!$G$2,"Muito Curta (evitável)",S687&lt;=Constantes!$H$2,"Curta Distância",S687&gt;Constantes!$H$2,"Longa Distância")</f>
        <v>Curta Distância</v>
      </c>
      <c r="AF687" s="114">
        <f>IFERROR(VLOOKUP(AE687,Constantes!$A$1:$E$5,MATCH(AD687,Constantes!$A$1:$E$1,0),0),"")</f>
        <v>0.18286935436241611</v>
      </c>
      <c r="AG687" s="115">
        <f t="shared" si="21"/>
        <v>358.69838231719172</v>
      </c>
    </row>
    <row r="688" spans="1:33" x14ac:dyDescent="0.3">
      <c r="A688">
        <f>COUNTIF($B$2:B688,B688)</f>
        <v>1</v>
      </c>
      <c r="B688">
        <v>19435803</v>
      </c>
      <c r="C688" t="s">
        <v>1572</v>
      </c>
      <c r="D688" t="s">
        <v>218</v>
      </c>
      <c r="E688" t="s">
        <v>1573</v>
      </c>
      <c r="F688" t="s">
        <v>218</v>
      </c>
      <c r="G688" t="s">
        <v>207</v>
      </c>
      <c r="H688" t="s">
        <v>204</v>
      </c>
      <c r="I688" s="49">
        <v>45256</v>
      </c>
      <c r="J688" s="49">
        <v>45260</v>
      </c>
      <c r="K688" t="s">
        <v>1574</v>
      </c>
      <c r="L688" s="49">
        <v>45256</v>
      </c>
      <c r="M688" s="49">
        <v>45260</v>
      </c>
      <c r="N688" t="s">
        <v>107</v>
      </c>
      <c r="O688" t="s">
        <v>115</v>
      </c>
      <c r="P688">
        <f>VLOOKUP(N688,[1]ID_Cidades!$A$1:$E$5900,2,FALSE)</f>
        <v>295765</v>
      </c>
      <c r="Q688">
        <f>VLOOKUP(O688,[1]ID_Cidades!$A$1:$E$5900,2,FALSE)</f>
        <v>295770</v>
      </c>
      <c r="R688">
        <f t="shared" si="20"/>
        <v>87478414050</v>
      </c>
      <c r="S688" s="42">
        <f>VLOOKUP(R688,'[1]GCD base'!$A$1:$M$200,7,FALSE)</f>
        <v>741.11941309999997</v>
      </c>
      <c r="T688" t="s">
        <v>109</v>
      </c>
      <c r="U688" t="s">
        <v>205</v>
      </c>
      <c r="V688" t="s">
        <v>202</v>
      </c>
      <c r="W688" t="s">
        <v>203</v>
      </c>
      <c r="X688" t="s">
        <v>204</v>
      </c>
      <c r="Y688">
        <v>0</v>
      </c>
      <c r="Z688">
        <v>0</v>
      </c>
      <c r="AA688">
        <v>642.09</v>
      </c>
      <c r="AB688">
        <v>0</v>
      </c>
      <c r="AC688" s="49">
        <v>45225</v>
      </c>
      <c r="AD688" s="116" t="s">
        <v>10</v>
      </c>
      <c r="AE688" s="113" t="str" cm="1">
        <f t="array" ref="AE688">_xlfn.IFS(S688&lt;=Constantes!$G$2,"Muito Curta (evitável)",S688&lt;=Constantes!$H$2,"Curta Distância",S688&gt;Constantes!$H$2,"Longa Distância")</f>
        <v>Curta Distância</v>
      </c>
      <c r="AF688" s="114">
        <f>IFERROR(VLOOKUP(AE688,Constantes!$A$1:$E$5,MATCH(AD688,Constantes!$A$1:$E$1,0),0),"")</f>
        <v>0.18286935436241611</v>
      </c>
      <c r="AG688" s="115">
        <f t="shared" si="21"/>
        <v>135.52802857904976</v>
      </c>
    </row>
    <row r="689" spans="1:33" x14ac:dyDescent="0.3">
      <c r="A689">
        <f>COUNTIF($B$2:B689,B689)</f>
        <v>2</v>
      </c>
      <c r="B689">
        <v>19435803</v>
      </c>
      <c r="C689" t="s">
        <v>1572</v>
      </c>
      <c r="D689" t="s">
        <v>218</v>
      </c>
      <c r="E689" t="s">
        <v>1573</v>
      </c>
      <c r="F689" t="s">
        <v>218</v>
      </c>
      <c r="G689" t="s">
        <v>207</v>
      </c>
      <c r="H689" t="s">
        <v>204</v>
      </c>
      <c r="I689" s="49">
        <v>45256</v>
      </c>
      <c r="J689" s="49">
        <v>45260</v>
      </c>
      <c r="K689" t="s">
        <v>1574</v>
      </c>
      <c r="L689" s="49">
        <v>45260</v>
      </c>
      <c r="M689" s="49">
        <v>45260</v>
      </c>
      <c r="N689" t="s">
        <v>115</v>
      </c>
      <c r="O689" t="s">
        <v>107</v>
      </c>
      <c r="P689">
        <f>VLOOKUP(N689,[1]ID_Cidades!$A$1:$E$5900,2,FALSE)</f>
        <v>295770</v>
      </c>
      <c r="Q689">
        <f>VLOOKUP(O689,[1]ID_Cidades!$A$1:$E$5900,2,FALSE)</f>
        <v>295765</v>
      </c>
      <c r="R689">
        <f t="shared" si="20"/>
        <v>87478414050</v>
      </c>
      <c r="S689" s="42">
        <f>VLOOKUP(R689,'[1]GCD base'!$A$1:$M$200,7,FALSE)</f>
        <v>741.11941309999997</v>
      </c>
      <c r="T689" t="s">
        <v>109</v>
      </c>
      <c r="U689" t="s">
        <v>201</v>
      </c>
      <c r="V689" t="s">
        <v>202</v>
      </c>
      <c r="W689" t="s">
        <v>203</v>
      </c>
      <c r="X689" t="s">
        <v>204</v>
      </c>
      <c r="Y689">
        <v>0</v>
      </c>
      <c r="Z689">
        <v>0</v>
      </c>
      <c r="AA689">
        <v>645.09</v>
      </c>
      <c r="AB689">
        <v>0</v>
      </c>
      <c r="AC689" s="49">
        <v>45225</v>
      </c>
      <c r="AD689" s="116" t="s">
        <v>10</v>
      </c>
      <c r="AE689" s="113" t="str" cm="1">
        <f t="array" ref="AE689">_xlfn.IFS(S689&lt;=Constantes!$G$2,"Muito Curta (evitável)",S689&lt;=Constantes!$H$2,"Curta Distância",S689&gt;Constantes!$H$2,"Longa Distância")</f>
        <v>Curta Distância</v>
      </c>
      <c r="AF689" s="114">
        <f>IFERROR(VLOOKUP(AE689,Constantes!$A$1:$E$5,MATCH(AD689,Constantes!$A$1:$E$1,0),0),"")</f>
        <v>0.18286935436241611</v>
      </c>
      <c r="AG689" s="115">
        <f t="shared" si="21"/>
        <v>135.52802857904976</v>
      </c>
    </row>
    <row r="690" spans="1:33" x14ac:dyDescent="0.3">
      <c r="A690">
        <f>COUNTIF($B$2:B690,B690)</f>
        <v>1</v>
      </c>
      <c r="B690">
        <v>19072200</v>
      </c>
      <c r="C690" t="s">
        <v>342</v>
      </c>
      <c r="D690" t="s">
        <v>343</v>
      </c>
      <c r="E690" t="s">
        <v>344</v>
      </c>
      <c r="F690" t="s">
        <v>198</v>
      </c>
      <c r="G690" t="s">
        <v>207</v>
      </c>
      <c r="H690" t="s">
        <v>204</v>
      </c>
      <c r="I690" s="49">
        <v>45257</v>
      </c>
      <c r="J690" s="49">
        <v>45261</v>
      </c>
      <c r="K690" t="s">
        <v>345</v>
      </c>
      <c r="L690" s="49">
        <v>45257</v>
      </c>
      <c r="M690" s="49">
        <v>45261</v>
      </c>
      <c r="N690" t="s">
        <v>127</v>
      </c>
      <c r="O690" t="s">
        <v>107</v>
      </c>
      <c r="P690">
        <f>VLOOKUP(N690,[1]ID_Cidades!$A$1:$E$5900,2,FALSE)</f>
        <v>301205</v>
      </c>
      <c r="Q690">
        <f>VLOOKUP(O690,[1]ID_Cidades!$A$1:$E$5900,2,FALSE)</f>
        <v>295765</v>
      </c>
      <c r="R690">
        <f t="shared" si="20"/>
        <v>89085896825</v>
      </c>
      <c r="S690" s="42">
        <f>VLOOKUP(R690,'[1]GCD base'!$A$1:$M$200,7,FALSE)</f>
        <v>2588.8989320000001</v>
      </c>
      <c r="T690" t="s">
        <v>109</v>
      </c>
      <c r="U690" t="s">
        <v>205</v>
      </c>
      <c r="V690" t="s">
        <v>202</v>
      </c>
      <c r="W690" t="s">
        <v>203</v>
      </c>
      <c r="X690" t="s">
        <v>204</v>
      </c>
      <c r="Y690">
        <v>1480.04</v>
      </c>
      <c r="Z690">
        <v>0</v>
      </c>
      <c r="AA690">
        <v>951.57</v>
      </c>
      <c r="AB690">
        <v>0</v>
      </c>
      <c r="AC690" s="49">
        <v>45114</v>
      </c>
      <c r="AD690" s="116" t="s">
        <v>10</v>
      </c>
      <c r="AE690" s="113" t="str" cm="1">
        <f t="array" ref="AE690">_xlfn.IFS(S690&lt;=Constantes!$G$2,"Muito Curta (evitável)",S690&lt;=Constantes!$H$2,"Curta Distância",S690&gt;Constantes!$H$2,"Longa Distância")</f>
        <v>Curta Distância</v>
      </c>
      <c r="AF690" s="114">
        <f>IFERROR(VLOOKUP(AE690,Constantes!$A$1:$E$5,MATCH(AD690,Constantes!$A$1:$E$1,0),0),"")</f>
        <v>0.18286935436241611</v>
      </c>
      <c r="AG690" s="115">
        <f t="shared" si="21"/>
        <v>473.43027620438863</v>
      </c>
    </row>
    <row r="691" spans="1:33" x14ac:dyDescent="0.3">
      <c r="A691">
        <f>COUNTIF($B$2:B691,B691)</f>
        <v>2</v>
      </c>
      <c r="B691">
        <v>19072200</v>
      </c>
      <c r="C691" t="s">
        <v>342</v>
      </c>
      <c r="D691" t="s">
        <v>343</v>
      </c>
      <c r="E691" t="s">
        <v>344</v>
      </c>
      <c r="F691" t="s">
        <v>198</v>
      </c>
      <c r="G691" t="s">
        <v>207</v>
      </c>
      <c r="H691" t="s">
        <v>204</v>
      </c>
      <c r="I691" s="49">
        <v>45257</v>
      </c>
      <c r="J691" s="49">
        <v>45261</v>
      </c>
      <c r="K691" t="s">
        <v>345</v>
      </c>
      <c r="L691" s="49">
        <v>45261</v>
      </c>
      <c r="M691" s="49">
        <v>45261</v>
      </c>
      <c r="N691" t="s">
        <v>107</v>
      </c>
      <c r="O691" t="s">
        <v>127</v>
      </c>
      <c r="P691">
        <f>VLOOKUP(N691,[1]ID_Cidades!$A$1:$E$5900,2,FALSE)</f>
        <v>295765</v>
      </c>
      <c r="Q691">
        <f>VLOOKUP(O691,[1]ID_Cidades!$A$1:$E$5900,2,FALSE)</f>
        <v>301205</v>
      </c>
      <c r="R691">
        <f t="shared" si="20"/>
        <v>89085896825</v>
      </c>
      <c r="S691" s="42">
        <f>VLOOKUP(R691,'[1]GCD base'!$A$1:$M$200,7,FALSE)</f>
        <v>2588.8989320000001</v>
      </c>
      <c r="T691" t="s">
        <v>109</v>
      </c>
      <c r="U691" t="s">
        <v>201</v>
      </c>
      <c r="V691" t="s">
        <v>202</v>
      </c>
      <c r="W691" t="s">
        <v>203</v>
      </c>
      <c r="X691" t="s">
        <v>204</v>
      </c>
      <c r="Y691">
        <v>0</v>
      </c>
      <c r="Z691">
        <v>0</v>
      </c>
      <c r="AA691">
        <v>817.19</v>
      </c>
      <c r="AB691">
        <v>0</v>
      </c>
      <c r="AC691" s="49">
        <v>45114</v>
      </c>
      <c r="AD691" s="116" t="s">
        <v>10</v>
      </c>
      <c r="AE691" s="113" t="str" cm="1">
        <f t="array" ref="AE691">_xlfn.IFS(S691&lt;=Constantes!$G$2,"Muito Curta (evitável)",S691&lt;=Constantes!$H$2,"Curta Distância",S691&gt;Constantes!$H$2,"Longa Distância")</f>
        <v>Curta Distância</v>
      </c>
      <c r="AF691" s="114">
        <f>IFERROR(VLOOKUP(AE691,Constantes!$A$1:$E$5,MATCH(AD691,Constantes!$A$1:$E$1,0),0),"")</f>
        <v>0.18286935436241611</v>
      </c>
      <c r="AG691" s="115">
        <f t="shared" si="21"/>
        <v>473.43027620438863</v>
      </c>
    </row>
    <row r="692" spans="1:33" x14ac:dyDescent="0.3">
      <c r="A692">
        <f>COUNTIF($B$2:B692,B692)</f>
        <v>1</v>
      </c>
      <c r="B692">
        <v>19110466</v>
      </c>
      <c r="C692" t="s">
        <v>450</v>
      </c>
      <c r="D692" t="s">
        <v>451</v>
      </c>
      <c r="E692" t="s">
        <v>452</v>
      </c>
      <c r="F692" t="s">
        <v>198</v>
      </c>
      <c r="G692" t="s">
        <v>207</v>
      </c>
      <c r="H692" t="s">
        <v>204</v>
      </c>
      <c r="I692" s="49">
        <v>45257</v>
      </c>
      <c r="J692" s="49">
        <v>45261</v>
      </c>
      <c r="K692" t="s">
        <v>453</v>
      </c>
      <c r="L692" s="49">
        <v>45261</v>
      </c>
      <c r="M692" s="49">
        <v>45261</v>
      </c>
      <c r="N692" t="s">
        <v>124</v>
      </c>
      <c r="O692" t="s">
        <v>107</v>
      </c>
      <c r="P692">
        <f>VLOOKUP(N692,[1]ID_Cidades!$A$1:$E$5900,2,FALSE)</f>
        <v>295776</v>
      </c>
      <c r="Q692">
        <f>VLOOKUP(O692,[1]ID_Cidades!$A$1:$E$5900,2,FALSE)</f>
        <v>295765</v>
      </c>
      <c r="R692">
        <f t="shared" si="20"/>
        <v>87480188640</v>
      </c>
      <c r="S692" s="42">
        <f>VLOOKUP(R692,'[1]GCD base'!$A$1:$M$200,7,FALSE)</f>
        <v>1568.389426</v>
      </c>
      <c r="T692" t="s">
        <v>109</v>
      </c>
      <c r="U692" t="s">
        <v>201</v>
      </c>
      <c r="V692" t="s">
        <v>202</v>
      </c>
      <c r="W692" t="s">
        <v>203</v>
      </c>
      <c r="X692" t="s">
        <v>204</v>
      </c>
      <c r="Y692">
        <v>1480.04</v>
      </c>
      <c r="Z692">
        <v>0</v>
      </c>
      <c r="AA692">
        <v>933.55</v>
      </c>
      <c r="AB692">
        <v>0</v>
      </c>
      <c r="AC692" s="49">
        <v>45127</v>
      </c>
      <c r="AD692" s="116" t="s">
        <v>10</v>
      </c>
      <c r="AE692" s="113" t="str" cm="1">
        <f t="array" ref="AE692">_xlfn.IFS(S692&lt;=Constantes!$G$2,"Muito Curta (evitável)",S692&lt;=Constantes!$H$2,"Curta Distância",S692&gt;Constantes!$H$2,"Longa Distância")</f>
        <v>Curta Distância</v>
      </c>
      <c r="AF692" s="114">
        <f>IFERROR(VLOOKUP(AE692,Constantes!$A$1:$E$5,MATCH(AD692,Constantes!$A$1:$E$1,0),0),"")</f>
        <v>0.18286935436241611</v>
      </c>
      <c r="AG692" s="115">
        <f t="shared" si="21"/>
        <v>286.81036172146037</v>
      </c>
    </row>
    <row r="693" spans="1:33" x14ac:dyDescent="0.3">
      <c r="A693">
        <f>COUNTIF($B$2:B693,B693)</f>
        <v>2</v>
      </c>
      <c r="B693">
        <v>19110466</v>
      </c>
      <c r="C693" t="s">
        <v>450</v>
      </c>
      <c r="D693" t="s">
        <v>451</v>
      </c>
      <c r="E693" t="s">
        <v>452</v>
      </c>
      <c r="F693" t="s">
        <v>198</v>
      </c>
      <c r="G693" t="s">
        <v>207</v>
      </c>
      <c r="H693" t="s">
        <v>204</v>
      </c>
      <c r="I693" s="49">
        <v>45257</v>
      </c>
      <c r="J693" s="49">
        <v>45261</v>
      </c>
      <c r="K693" t="s">
        <v>453</v>
      </c>
      <c r="L693" s="49">
        <v>45257</v>
      </c>
      <c r="M693" s="49">
        <v>45261</v>
      </c>
      <c r="N693" t="s">
        <v>107</v>
      </c>
      <c r="O693" t="s">
        <v>124</v>
      </c>
      <c r="P693">
        <f>VLOOKUP(N693,[1]ID_Cidades!$A$1:$E$5900,2,FALSE)</f>
        <v>295765</v>
      </c>
      <c r="Q693">
        <f>VLOOKUP(O693,[1]ID_Cidades!$A$1:$E$5900,2,FALSE)</f>
        <v>295776</v>
      </c>
      <c r="R693">
        <f t="shared" si="20"/>
        <v>87480188640</v>
      </c>
      <c r="S693" s="42">
        <f>VLOOKUP(R693,'[1]GCD base'!$A$1:$M$200,7,FALSE)</f>
        <v>1568.389426</v>
      </c>
      <c r="T693" t="s">
        <v>109</v>
      </c>
      <c r="U693" t="s">
        <v>205</v>
      </c>
      <c r="V693" t="s">
        <v>202</v>
      </c>
      <c r="W693" t="s">
        <v>203</v>
      </c>
      <c r="X693" t="s">
        <v>204</v>
      </c>
      <c r="Y693">
        <v>0</v>
      </c>
      <c r="Z693">
        <v>0</v>
      </c>
      <c r="AA693">
        <v>934.89</v>
      </c>
      <c r="AB693">
        <v>0</v>
      </c>
      <c r="AC693" s="49">
        <v>45127</v>
      </c>
      <c r="AD693" s="116" t="s">
        <v>10</v>
      </c>
      <c r="AE693" s="113" t="str" cm="1">
        <f t="array" ref="AE693">_xlfn.IFS(S693&lt;=Constantes!$G$2,"Muito Curta (evitável)",S693&lt;=Constantes!$H$2,"Curta Distância",S693&gt;Constantes!$H$2,"Longa Distância")</f>
        <v>Curta Distância</v>
      </c>
      <c r="AF693" s="114">
        <f>IFERROR(VLOOKUP(AE693,Constantes!$A$1:$E$5,MATCH(AD693,Constantes!$A$1:$E$1,0),0),"")</f>
        <v>0.18286935436241611</v>
      </c>
      <c r="AG693" s="115">
        <f t="shared" si="21"/>
        <v>286.81036172146037</v>
      </c>
    </row>
    <row r="694" spans="1:33" x14ac:dyDescent="0.3">
      <c r="A694">
        <f>COUNTIF($B$2:B694,B694)</f>
        <v>1</v>
      </c>
      <c r="B694">
        <v>19188851</v>
      </c>
      <c r="C694" t="s">
        <v>648</v>
      </c>
      <c r="D694" t="s">
        <v>649</v>
      </c>
      <c r="E694" t="s">
        <v>650</v>
      </c>
      <c r="F694" t="s">
        <v>651</v>
      </c>
      <c r="G694" t="s">
        <v>207</v>
      </c>
      <c r="H694" t="s">
        <v>204</v>
      </c>
      <c r="I694" s="49">
        <v>45257</v>
      </c>
      <c r="J694" s="49">
        <v>45261</v>
      </c>
      <c r="K694" t="s">
        <v>652</v>
      </c>
      <c r="L694" s="49">
        <v>45261</v>
      </c>
      <c r="M694" s="49">
        <v>45261</v>
      </c>
      <c r="N694" t="s">
        <v>107</v>
      </c>
      <c r="O694" t="s">
        <v>123</v>
      </c>
      <c r="P694">
        <f>VLOOKUP(N694,[1]ID_Cidades!$A$1:$E$5900,2,FALSE)</f>
        <v>295765</v>
      </c>
      <c r="Q694">
        <f>VLOOKUP(O694,[1]ID_Cidades!$A$1:$E$5900,2,FALSE)</f>
        <v>295775</v>
      </c>
      <c r="R694">
        <f t="shared" si="20"/>
        <v>87479892875</v>
      </c>
      <c r="S694" s="42">
        <f>VLOOKUP(R694,'[1]GCD base'!$A$1:$M$200,7,FALSE)</f>
        <v>1875.298241</v>
      </c>
      <c r="T694" t="s">
        <v>109</v>
      </c>
      <c r="U694" t="s">
        <v>201</v>
      </c>
      <c r="V694" t="s">
        <v>202</v>
      </c>
      <c r="W694" t="s">
        <v>210</v>
      </c>
      <c r="X694" t="s">
        <v>653</v>
      </c>
      <c r="Y694">
        <v>1480.04</v>
      </c>
      <c r="Z694">
        <v>0</v>
      </c>
      <c r="AA694">
        <v>567.73</v>
      </c>
      <c r="AB694">
        <v>0</v>
      </c>
      <c r="AC694" s="49">
        <v>45154</v>
      </c>
      <c r="AD694" s="116" t="s">
        <v>10</v>
      </c>
      <c r="AE694" s="113" t="str" cm="1">
        <f t="array" ref="AE694">_xlfn.IFS(S694&lt;=Constantes!$G$2,"Muito Curta (evitável)",S694&lt;=Constantes!$H$2,"Curta Distância",S694&gt;Constantes!$H$2,"Longa Distância")</f>
        <v>Curta Distância</v>
      </c>
      <c r="AF694" s="114">
        <f>IFERROR(VLOOKUP(AE694,Constantes!$A$1:$E$5,MATCH(AD694,Constantes!$A$1:$E$1,0),0),"")</f>
        <v>0.18286935436241611</v>
      </c>
      <c r="AG694" s="115">
        <f t="shared" si="21"/>
        <v>342.93457856864461</v>
      </c>
    </row>
    <row r="695" spans="1:33" x14ac:dyDescent="0.3">
      <c r="A695">
        <f>COUNTIF($B$2:B695,B695)</f>
        <v>2</v>
      </c>
      <c r="B695">
        <v>19188851</v>
      </c>
      <c r="C695" t="s">
        <v>648</v>
      </c>
      <c r="D695" t="s">
        <v>649</v>
      </c>
      <c r="E695" t="s">
        <v>650</v>
      </c>
      <c r="F695" t="s">
        <v>651</v>
      </c>
      <c r="G695" t="s">
        <v>207</v>
      </c>
      <c r="H695" t="s">
        <v>204</v>
      </c>
      <c r="I695" s="49">
        <v>45257</v>
      </c>
      <c r="J695" s="49">
        <v>45261</v>
      </c>
      <c r="K695" t="s">
        <v>652</v>
      </c>
      <c r="L695" s="49">
        <v>45257</v>
      </c>
      <c r="M695" s="49">
        <v>45261</v>
      </c>
      <c r="N695" t="s">
        <v>123</v>
      </c>
      <c r="O695" t="s">
        <v>107</v>
      </c>
      <c r="P695">
        <f>VLOOKUP(N695,[1]ID_Cidades!$A$1:$E$5900,2,FALSE)</f>
        <v>295775</v>
      </c>
      <c r="Q695">
        <f>VLOOKUP(O695,[1]ID_Cidades!$A$1:$E$5900,2,FALSE)</f>
        <v>295765</v>
      </c>
      <c r="R695">
        <f t="shared" si="20"/>
        <v>87479892875</v>
      </c>
      <c r="S695" s="42">
        <f>VLOOKUP(R695,'[1]GCD base'!$A$1:$M$200,7,FALSE)</f>
        <v>1875.298241</v>
      </c>
      <c r="T695" t="s">
        <v>109</v>
      </c>
      <c r="U695" t="s">
        <v>205</v>
      </c>
      <c r="V695" t="s">
        <v>202</v>
      </c>
      <c r="W695" t="s">
        <v>210</v>
      </c>
      <c r="X695" t="s">
        <v>653</v>
      </c>
      <c r="Y695">
        <v>0</v>
      </c>
      <c r="Z695">
        <v>0</v>
      </c>
      <c r="AA695">
        <v>657.39</v>
      </c>
      <c r="AB695">
        <v>0</v>
      </c>
      <c r="AC695" s="49">
        <v>45154</v>
      </c>
      <c r="AD695" s="116" t="s">
        <v>10</v>
      </c>
      <c r="AE695" s="113" t="str" cm="1">
        <f t="array" ref="AE695">_xlfn.IFS(S695&lt;=Constantes!$G$2,"Muito Curta (evitável)",S695&lt;=Constantes!$H$2,"Curta Distância",S695&gt;Constantes!$H$2,"Longa Distância")</f>
        <v>Curta Distância</v>
      </c>
      <c r="AF695" s="114">
        <f>IFERROR(VLOOKUP(AE695,Constantes!$A$1:$E$5,MATCH(AD695,Constantes!$A$1:$E$1,0),0),"")</f>
        <v>0.18286935436241611</v>
      </c>
      <c r="AG695" s="115">
        <f t="shared" si="21"/>
        <v>342.93457856864461</v>
      </c>
    </row>
    <row r="696" spans="1:33" x14ac:dyDescent="0.3">
      <c r="A696">
        <f>COUNTIF($B$2:B696,B696)</f>
        <v>1</v>
      </c>
      <c r="B696">
        <v>19218221</v>
      </c>
      <c r="C696" t="s">
        <v>728</v>
      </c>
      <c r="D696" t="s">
        <v>225</v>
      </c>
      <c r="E696" t="s">
        <v>138</v>
      </c>
      <c r="F696" t="s">
        <v>218</v>
      </c>
      <c r="G696" t="s">
        <v>199</v>
      </c>
      <c r="H696" t="s">
        <v>200</v>
      </c>
      <c r="I696" s="49">
        <v>45257</v>
      </c>
      <c r="J696" s="49">
        <v>45262</v>
      </c>
      <c r="K696" t="s">
        <v>729</v>
      </c>
      <c r="L696" s="49">
        <v>45257</v>
      </c>
      <c r="M696" s="49">
        <v>45261</v>
      </c>
      <c r="N696" t="s">
        <v>107</v>
      </c>
      <c r="O696" t="s">
        <v>730</v>
      </c>
      <c r="P696">
        <f>VLOOKUP(N696,[1]ID_Cidades!$A$1:$E$5900,2,FALSE)</f>
        <v>295765</v>
      </c>
      <c r="Q696">
        <f>VLOOKUP(O696,[1]ID_Cidades!$A$1:$E$5900,2,FALSE)</f>
        <v>301746</v>
      </c>
      <c r="R696">
        <f t="shared" si="20"/>
        <v>89245905690</v>
      </c>
      <c r="S696" s="42">
        <f>VLOOKUP(R696,'[1]GCD base'!$A$1:$M$200,7,FALSE)</f>
        <v>962.38417159999995</v>
      </c>
      <c r="T696" t="s">
        <v>109</v>
      </c>
      <c r="U696" t="s">
        <v>205</v>
      </c>
      <c r="V696" t="s">
        <v>202</v>
      </c>
      <c r="W696" t="s">
        <v>203</v>
      </c>
      <c r="X696" t="s">
        <v>204</v>
      </c>
      <c r="Y696">
        <v>1977.27</v>
      </c>
      <c r="Z696">
        <v>0</v>
      </c>
      <c r="AA696">
        <v>1093.5899999999999</v>
      </c>
      <c r="AB696">
        <v>0</v>
      </c>
      <c r="AC696" s="49">
        <v>45183</v>
      </c>
      <c r="AD696" s="116" t="s">
        <v>10</v>
      </c>
      <c r="AE696" s="113" t="str" cm="1">
        <f t="array" ref="AE696">_xlfn.IFS(S696&lt;=Constantes!$G$2,"Muito Curta (evitável)",S696&lt;=Constantes!$H$2,"Curta Distância",S696&gt;Constantes!$H$2,"Longa Distância")</f>
        <v>Curta Distância</v>
      </c>
      <c r="AF696" s="114">
        <f>IFERROR(VLOOKUP(AE696,Constantes!$A$1:$E$5,MATCH(AD696,Constantes!$A$1:$E$1,0),0),"")</f>
        <v>0.18286935436241611</v>
      </c>
      <c r="AG696" s="115">
        <f t="shared" si="21"/>
        <v>175.99057210910067</v>
      </c>
    </row>
    <row r="697" spans="1:33" x14ac:dyDescent="0.3">
      <c r="A697">
        <f>COUNTIF($B$2:B697,B697)</f>
        <v>2</v>
      </c>
      <c r="B697">
        <v>19218221</v>
      </c>
      <c r="C697" t="s">
        <v>728</v>
      </c>
      <c r="D697" t="s">
        <v>225</v>
      </c>
      <c r="E697" t="s">
        <v>138</v>
      </c>
      <c r="F697" t="s">
        <v>218</v>
      </c>
      <c r="G697" t="s">
        <v>199</v>
      </c>
      <c r="H697" t="s">
        <v>200</v>
      </c>
      <c r="I697" s="49">
        <v>45257</v>
      </c>
      <c r="J697" s="49">
        <v>45262</v>
      </c>
      <c r="K697" t="s">
        <v>729</v>
      </c>
      <c r="L697" s="49">
        <v>45261</v>
      </c>
      <c r="M697" s="49">
        <v>45262</v>
      </c>
      <c r="N697" t="s">
        <v>730</v>
      </c>
      <c r="O697" t="s">
        <v>107</v>
      </c>
      <c r="P697">
        <f>VLOOKUP(N697,[1]ID_Cidades!$A$1:$E$5900,2,FALSE)</f>
        <v>301746</v>
      </c>
      <c r="Q697">
        <f>VLOOKUP(O697,[1]ID_Cidades!$A$1:$E$5900,2,FALSE)</f>
        <v>295765</v>
      </c>
      <c r="R697">
        <f t="shared" si="20"/>
        <v>89245905690</v>
      </c>
      <c r="S697" s="42">
        <f>VLOOKUP(R697,'[1]GCD base'!$A$1:$M$200,7,FALSE)</f>
        <v>962.38417159999995</v>
      </c>
      <c r="T697" t="s">
        <v>109</v>
      </c>
      <c r="U697" t="s">
        <v>201</v>
      </c>
      <c r="V697" t="s">
        <v>202</v>
      </c>
      <c r="W697" t="s">
        <v>203</v>
      </c>
      <c r="X697" t="s">
        <v>204</v>
      </c>
      <c r="Y697">
        <v>0</v>
      </c>
      <c r="Z697">
        <v>0</v>
      </c>
      <c r="AA697">
        <v>2227</v>
      </c>
      <c r="AB697">
        <v>0</v>
      </c>
      <c r="AC697" s="49">
        <v>45183</v>
      </c>
      <c r="AD697" s="116" t="s">
        <v>10</v>
      </c>
      <c r="AE697" s="113" t="str" cm="1">
        <f t="array" ref="AE697">_xlfn.IFS(S697&lt;=Constantes!$G$2,"Muito Curta (evitável)",S697&lt;=Constantes!$H$2,"Curta Distância",S697&gt;Constantes!$H$2,"Longa Distância")</f>
        <v>Curta Distância</v>
      </c>
      <c r="AF697" s="114">
        <f>IFERROR(VLOOKUP(AE697,Constantes!$A$1:$E$5,MATCH(AD697,Constantes!$A$1:$E$1,0),0),"")</f>
        <v>0.18286935436241611</v>
      </c>
      <c r="AG697" s="115">
        <f t="shared" si="21"/>
        <v>175.99057210910067</v>
      </c>
    </row>
    <row r="698" spans="1:33" x14ac:dyDescent="0.3">
      <c r="A698">
        <f>COUNTIF($B$2:B698,B698)</f>
        <v>1</v>
      </c>
      <c r="B698">
        <v>19331108</v>
      </c>
      <c r="C698" t="s">
        <v>1241</v>
      </c>
      <c r="D698" t="s">
        <v>1242</v>
      </c>
      <c r="E698" t="s">
        <v>1243</v>
      </c>
      <c r="F698" t="s">
        <v>198</v>
      </c>
      <c r="G698" t="s">
        <v>207</v>
      </c>
      <c r="H698" t="s">
        <v>204</v>
      </c>
      <c r="I698" s="49">
        <v>45257</v>
      </c>
      <c r="J698" s="49">
        <v>45259</v>
      </c>
      <c r="K698" t="s">
        <v>1244</v>
      </c>
      <c r="L698" s="49">
        <v>45257</v>
      </c>
      <c r="M698" s="49">
        <v>45259</v>
      </c>
      <c r="N698" t="s">
        <v>107</v>
      </c>
      <c r="O698" t="s">
        <v>115</v>
      </c>
      <c r="P698">
        <f>VLOOKUP(N698,[1]ID_Cidades!$A$1:$E$5900,2,FALSE)</f>
        <v>295765</v>
      </c>
      <c r="Q698">
        <f>VLOOKUP(O698,[1]ID_Cidades!$A$1:$E$5900,2,FALSE)</f>
        <v>295770</v>
      </c>
      <c r="R698">
        <f t="shared" si="20"/>
        <v>87478414050</v>
      </c>
      <c r="S698" s="42">
        <f>VLOOKUP(R698,'[1]GCD base'!$A$1:$M$200,7,FALSE)</f>
        <v>741.11941309999997</v>
      </c>
      <c r="T698" t="s">
        <v>109</v>
      </c>
      <c r="U698" t="s">
        <v>205</v>
      </c>
      <c r="V698" t="s">
        <v>202</v>
      </c>
      <c r="W698" t="s">
        <v>203</v>
      </c>
      <c r="X698" t="s">
        <v>204</v>
      </c>
      <c r="Y698">
        <v>857.82</v>
      </c>
      <c r="Z698">
        <v>0</v>
      </c>
      <c r="AA698">
        <v>830.59</v>
      </c>
      <c r="AB698">
        <v>0</v>
      </c>
      <c r="AC698" s="49">
        <v>45195</v>
      </c>
      <c r="AD698" s="116" t="s">
        <v>10</v>
      </c>
      <c r="AE698" s="113" t="str" cm="1">
        <f t="array" ref="AE698">_xlfn.IFS(S698&lt;=Constantes!$G$2,"Muito Curta (evitável)",S698&lt;=Constantes!$H$2,"Curta Distância",S698&gt;Constantes!$H$2,"Longa Distância")</f>
        <v>Curta Distância</v>
      </c>
      <c r="AF698" s="114">
        <f>IFERROR(VLOOKUP(AE698,Constantes!$A$1:$E$5,MATCH(AD698,Constantes!$A$1:$E$1,0),0),"")</f>
        <v>0.18286935436241611</v>
      </c>
      <c r="AG698" s="115">
        <f t="shared" si="21"/>
        <v>135.52802857904976</v>
      </c>
    </row>
    <row r="699" spans="1:33" x14ac:dyDescent="0.3">
      <c r="A699">
        <f>COUNTIF($B$2:B699,B699)</f>
        <v>2</v>
      </c>
      <c r="B699">
        <v>19331108</v>
      </c>
      <c r="C699" t="s">
        <v>1241</v>
      </c>
      <c r="D699" t="s">
        <v>1242</v>
      </c>
      <c r="E699" t="s">
        <v>1243</v>
      </c>
      <c r="F699" t="s">
        <v>198</v>
      </c>
      <c r="G699" t="s">
        <v>207</v>
      </c>
      <c r="H699" t="s">
        <v>204</v>
      </c>
      <c r="I699" s="49">
        <v>45257</v>
      </c>
      <c r="J699" s="49">
        <v>45259</v>
      </c>
      <c r="K699" t="s">
        <v>1244</v>
      </c>
      <c r="L699" s="49">
        <v>45259</v>
      </c>
      <c r="M699" s="49">
        <v>45259</v>
      </c>
      <c r="N699" t="s">
        <v>115</v>
      </c>
      <c r="O699" t="s">
        <v>107</v>
      </c>
      <c r="P699">
        <f>VLOOKUP(N699,[1]ID_Cidades!$A$1:$E$5900,2,FALSE)</f>
        <v>295770</v>
      </c>
      <c r="Q699">
        <f>VLOOKUP(O699,[1]ID_Cidades!$A$1:$E$5900,2,FALSE)</f>
        <v>295765</v>
      </c>
      <c r="R699">
        <f t="shared" si="20"/>
        <v>87478414050</v>
      </c>
      <c r="S699" s="42">
        <f>VLOOKUP(R699,'[1]GCD base'!$A$1:$M$200,7,FALSE)</f>
        <v>741.11941309999997</v>
      </c>
      <c r="T699" t="s">
        <v>109</v>
      </c>
      <c r="U699" t="s">
        <v>201</v>
      </c>
      <c r="V699" t="s">
        <v>202</v>
      </c>
      <c r="W699" t="s">
        <v>203</v>
      </c>
      <c r="X699" t="s">
        <v>204</v>
      </c>
      <c r="Y699">
        <v>0</v>
      </c>
      <c r="Z699">
        <v>0</v>
      </c>
      <c r="AA699">
        <v>416.09</v>
      </c>
      <c r="AB699">
        <v>0</v>
      </c>
      <c r="AC699" s="49">
        <v>45195</v>
      </c>
      <c r="AD699" s="116" t="s">
        <v>10</v>
      </c>
      <c r="AE699" s="113" t="str" cm="1">
        <f t="array" ref="AE699">_xlfn.IFS(S699&lt;=Constantes!$G$2,"Muito Curta (evitável)",S699&lt;=Constantes!$H$2,"Curta Distância",S699&gt;Constantes!$H$2,"Longa Distância")</f>
        <v>Curta Distância</v>
      </c>
      <c r="AF699" s="114">
        <f>IFERROR(VLOOKUP(AE699,Constantes!$A$1:$E$5,MATCH(AD699,Constantes!$A$1:$E$1,0),0),"")</f>
        <v>0.18286935436241611</v>
      </c>
      <c r="AG699" s="115">
        <f t="shared" si="21"/>
        <v>135.52802857904976</v>
      </c>
    </row>
    <row r="700" spans="1:33" x14ac:dyDescent="0.3">
      <c r="A700">
        <f>COUNTIF($B$2:B700,B700)</f>
        <v>1</v>
      </c>
      <c r="B700">
        <v>19368827</v>
      </c>
      <c r="C700" t="s">
        <v>1373</v>
      </c>
      <c r="D700" t="s">
        <v>1374</v>
      </c>
      <c r="E700" t="s">
        <v>1375</v>
      </c>
      <c r="F700" t="s">
        <v>198</v>
      </c>
      <c r="G700" t="s">
        <v>207</v>
      </c>
      <c r="H700" t="s">
        <v>204</v>
      </c>
      <c r="I700" s="49">
        <v>45257</v>
      </c>
      <c r="J700" s="49">
        <v>45261</v>
      </c>
      <c r="K700" t="s">
        <v>1376</v>
      </c>
      <c r="L700" s="49">
        <v>45261</v>
      </c>
      <c r="M700" s="49">
        <v>45261</v>
      </c>
      <c r="N700" t="s">
        <v>1377</v>
      </c>
      <c r="O700" t="s">
        <v>107</v>
      </c>
      <c r="P700">
        <f>VLOOKUP(N700,[1]ID_Cidades!$A$1:$E$5900,2,FALSE)</f>
        <v>302089</v>
      </c>
      <c r="Q700">
        <f>VLOOKUP(O700,[1]ID_Cidades!$A$1:$E$5900,2,FALSE)</f>
        <v>295765</v>
      </c>
      <c r="R700">
        <f t="shared" si="20"/>
        <v>89347353085</v>
      </c>
      <c r="S700" s="42">
        <f>VLOOKUP(R700,'[1]GCD base'!$A$1:$M$200,7,FALSE)</f>
        <v>1230.8536610000001</v>
      </c>
      <c r="T700" t="s">
        <v>109</v>
      </c>
      <c r="U700" t="s">
        <v>201</v>
      </c>
      <c r="V700" t="s">
        <v>202</v>
      </c>
      <c r="W700" t="s">
        <v>203</v>
      </c>
      <c r="X700" t="s">
        <v>204</v>
      </c>
      <c r="Y700">
        <v>1299.5</v>
      </c>
      <c r="Z700">
        <v>0</v>
      </c>
      <c r="AA700">
        <v>1357.9</v>
      </c>
      <c r="AB700">
        <v>0</v>
      </c>
      <c r="AC700" s="49">
        <v>45204</v>
      </c>
      <c r="AD700" s="116" t="s">
        <v>10</v>
      </c>
      <c r="AE700" s="113" t="str" cm="1">
        <f t="array" ref="AE700">_xlfn.IFS(S700&lt;=Constantes!$G$2,"Muito Curta (evitável)",S700&lt;=Constantes!$H$2,"Curta Distância",S700&gt;Constantes!$H$2,"Longa Distância")</f>
        <v>Curta Distância</v>
      </c>
      <c r="AF700" s="114">
        <f>IFERROR(VLOOKUP(AE700,Constantes!$A$1:$E$5,MATCH(AD700,Constantes!$A$1:$E$1,0),0),"")</f>
        <v>0.18286935436241611</v>
      </c>
      <c r="AG700" s="115">
        <f t="shared" si="21"/>
        <v>225.0854143016862</v>
      </c>
    </row>
    <row r="701" spans="1:33" x14ac:dyDescent="0.3">
      <c r="A701">
        <f>COUNTIF($B$2:B701,B701)</f>
        <v>2</v>
      </c>
      <c r="B701">
        <v>19368827</v>
      </c>
      <c r="C701" t="s">
        <v>1373</v>
      </c>
      <c r="D701" t="s">
        <v>1374</v>
      </c>
      <c r="E701" t="s">
        <v>1375</v>
      </c>
      <c r="F701" t="s">
        <v>198</v>
      </c>
      <c r="G701" t="s">
        <v>207</v>
      </c>
      <c r="H701" t="s">
        <v>204</v>
      </c>
      <c r="I701" s="49">
        <v>45257</v>
      </c>
      <c r="J701" s="49">
        <v>45261</v>
      </c>
      <c r="K701" t="s">
        <v>1376</v>
      </c>
      <c r="L701" s="49">
        <v>45257</v>
      </c>
      <c r="M701" s="49">
        <v>45261</v>
      </c>
      <c r="N701" t="s">
        <v>107</v>
      </c>
      <c r="O701" t="s">
        <v>1377</v>
      </c>
      <c r="P701">
        <f>VLOOKUP(N701,[1]ID_Cidades!$A$1:$E$5900,2,FALSE)</f>
        <v>295765</v>
      </c>
      <c r="Q701">
        <f>VLOOKUP(O701,[1]ID_Cidades!$A$1:$E$5900,2,FALSE)</f>
        <v>302089</v>
      </c>
      <c r="R701">
        <f t="shared" si="20"/>
        <v>89347353085</v>
      </c>
      <c r="S701" s="42">
        <f>VLOOKUP(R701,'[1]GCD base'!$A$1:$M$200,7,FALSE)</f>
        <v>1230.8536610000001</v>
      </c>
      <c r="T701" t="s">
        <v>109</v>
      </c>
      <c r="U701" t="s">
        <v>205</v>
      </c>
      <c r="V701" t="s">
        <v>202</v>
      </c>
      <c r="W701" t="s">
        <v>203</v>
      </c>
      <c r="X701" t="s">
        <v>204</v>
      </c>
      <c r="Y701">
        <v>0</v>
      </c>
      <c r="Z701">
        <v>0</v>
      </c>
      <c r="AA701">
        <v>1083.0899999999999</v>
      </c>
      <c r="AB701">
        <v>0</v>
      </c>
      <c r="AC701" s="49">
        <v>45204</v>
      </c>
      <c r="AD701" s="116" t="s">
        <v>10</v>
      </c>
      <c r="AE701" s="113" t="str" cm="1">
        <f t="array" ref="AE701">_xlfn.IFS(S701&lt;=Constantes!$G$2,"Muito Curta (evitável)",S701&lt;=Constantes!$H$2,"Curta Distância",S701&gt;Constantes!$H$2,"Longa Distância")</f>
        <v>Curta Distância</v>
      </c>
      <c r="AF701" s="114">
        <f>IFERROR(VLOOKUP(AE701,Constantes!$A$1:$E$5,MATCH(AD701,Constantes!$A$1:$E$1,0),0),"")</f>
        <v>0.18286935436241611</v>
      </c>
      <c r="AG701" s="115">
        <f t="shared" si="21"/>
        <v>225.0854143016862</v>
      </c>
    </row>
    <row r="702" spans="1:33" x14ac:dyDescent="0.3">
      <c r="A702">
        <f>COUNTIF($B$2:B702,B702)</f>
        <v>1</v>
      </c>
      <c r="B702">
        <v>19435994</v>
      </c>
      <c r="C702" t="s">
        <v>1575</v>
      </c>
      <c r="D702" t="s">
        <v>218</v>
      </c>
      <c r="E702" t="s">
        <v>1576</v>
      </c>
      <c r="F702" t="s">
        <v>218</v>
      </c>
      <c r="G702" t="s">
        <v>207</v>
      </c>
      <c r="H702" t="s">
        <v>204</v>
      </c>
      <c r="I702" s="49">
        <v>45257</v>
      </c>
      <c r="J702" s="49">
        <v>45262</v>
      </c>
      <c r="K702" t="s">
        <v>1577</v>
      </c>
      <c r="L702" s="49">
        <v>45257</v>
      </c>
      <c r="M702" s="49">
        <v>45262</v>
      </c>
      <c r="N702" t="s">
        <v>107</v>
      </c>
      <c r="O702" t="s">
        <v>122</v>
      </c>
      <c r="P702">
        <f>VLOOKUP(N702,[1]ID_Cidades!$A$1:$E$5900,2,FALSE)</f>
        <v>295765</v>
      </c>
      <c r="Q702">
        <f>VLOOKUP(O702,[1]ID_Cidades!$A$1:$E$5900,2,FALSE)</f>
        <v>295781</v>
      </c>
      <c r="R702">
        <f t="shared" si="20"/>
        <v>87481667465</v>
      </c>
      <c r="S702" s="42">
        <f>VLOOKUP(R702,'[1]GCD base'!$A$1:$M$200,7,FALSE)</f>
        <v>2695.5823350000001</v>
      </c>
      <c r="T702" t="s">
        <v>109</v>
      </c>
      <c r="U702" t="s">
        <v>205</v>
      </c>
      <c r="V702" t="s">
        <v>202</v>
      </c>
      <c r="W702" t="s">
        <v>203</v>
      </c>
      <c r="X702" t="s">
        <v>204</v>
      </c>
      <c r="Y702">
        <v>0</v>
      </c>
      <c r="Z702">
        <v>0</v>
      </c>
      <c r="AA702">
        <v>1376.6</v>
      </c>
      <c r="AB702">
        <v>0</v>
      </c>
      <c r="AC702" s="49">
        <v>45225</v>
      </c>
      <c r="AD702" s="116" t="s">
        <v>10</v>
      </c>
      <c r="AE702" s="113" t="str" cm="1">
        <f t="array" ref="AE702">_xlfn.IFS(S702&lt;=Constantes!$G$2,"Muito Curta (evitável)",S702&lt;=Constantes!$H$2,"Curta Distância",S702&gt;Constantes!$H$2,"Longa Distância")</f>
        <v>Curta Distância</v>
      </c>
      <c r="AF702" s="114">
        <f>IFERROR(VLOOKUP(AE702,Constantes!$A$1:$E$5,MATCH(AD702,Constantes!$A$1:$E$1,0),0),"")</f>
        <v>0.18286935436241611</v>
      </c>
      <c r="AG702" s="115">
        <f t="shared" si="21"/>
        <v>492.93940123218408</v>
      </c>
    </row>
    <row r="703" spans="1:33" x14ac:dyDescent="0.3">
      <c r="A703">
        <f>COUNTIF($B$2:B703,B703)</f>
        <v>2</v>
      </c>
      <c r="B703">
        <v>19435994</v>
      </c>
      <c r="C703" t="s">
        <v>1575</v>
      </c>
      <c r="D703" t="s">
        <v>218</v>
      </c>
      <c r="E703" t="s">
        <v>1576</v>
      </c>
      <c r="F703" t="s">
        <v>218</v>
      </c>
      <c r="G703" t="s">
        <v>207</v>
      </c>
      <c r="H703" t="s">
        <v>204</v>
      </c>
      <c r="I703" s="49">
        <v>45257</v>
      </c>
      <c r="J703" s="49">
        <v>45262</v>
      </c>
      <c r="K703" t="s">
        <v>1577</v>
      </c>
      <c r="L703" s="49">
        <v>45262</v>
      </c>
      <c r="M703" s="49">
        <v>45262</v>
      </c>
      <c r="N703" t="s">
        <v>122</v>
      </c>
      <c r="O703" t="s">
        <v>107</v>
      </c>
      <c r="P703">
        <f>VLOOKUP(N703,[1]ID_Cidades!$A$1:$E$5900,2,FALSE)</f>
        <v>295781</v>
      </c>
      <c r="Q703">
        <f>VLOOKUP(O703,[1]ID_Cidades!$A$1:$E$5900,2,FALSE)</f>
        <v>295765</v>
      </c>
      <c r="R703">
        <f t="shared" si="20"/>
        <v>87481667465</v>
      </c>
      <c r="S703" s="42">
        <f>VLOOKUP(R703,'[1]GCD base'!$A$1:$M$200,7,FALSE)</f>
        <v>2695.5823350000001</v>
      </c>
      <c r="T703" t="s">
        <v>109</v>
      </c>
      <c r="U703" t="s">
        <v>201</v>
      </c>
      <c r="V703" t="s">
        <v>202</v>
      </c>
      <c r="W703" t="s">
        <v>203</v>
      </c>
      <c r="X703" t="s">
        <v>204</v>
      </c>
      <c r="Y703">
        <v>0</v>
      </c>
      <c r="Z703">
        <v>0</v>
      </c>
      <c r="AA703">
        <v>1373.29</v>
      </c>
      <c r="AB703">
        <v>0</v>
      </c>
      <c r="AC703" s="49">
        <v>45225</v>
      </c>
      <c r="AD703" s="116" t="s">
        <v>10</v>
      </c>
      <c r="AE703" s="113" t="str" cm="1">
        <f t="array" ref="AE703">_xlfn.IFS(S703&lt;=Constantes!$G$2,"Muito Curta (evitável)",S703&lt;=Constantes!$H$2,"Curta Distância",S703&gt;Constantes!$H$2,"Longa Distância")</f>
        <v>Curta Distância</v>
      </c>
      <c r="AF703" s="114">
        <f>IFERROR(VLOOKUP(AE703,Constantes!$A$1:$E$5,MATCH(AD703,Constantes!$A$1:$E$1,0),0),"")</f>
        <v>0.18286935436241611</v>
      </c>
      <c r="AG703" s="115">
        <f t="shared" si="21"/>
        <v>492.93940123218408</v>
      </c>
    </row>
    <row r="704" spans="1:33" x14ac:dyDescent="0.3">
      <c r="A704">
        <f>COUNTIF($B$2:B704,B704)</f>
        <v>1</v>
      </c>
      <c r="B704">
        <v>19083755</v>
      </c>
      <c r="C704" t="s">
        <v>375</v>
      </c>
      <c r="D704" t="s">
        <v>376</v>
      </c>
      <c r="E704" t="s">
        <v>377</v>
      </c>
      <c r="F704" t="s">
        <v>198</v>
      </c>
      <c r="G704" t="s">
        <v>211</v>
      </c>
      <c r="H704" t="s">
        <v>211</v>
      </c>
      <c r="I704" s="49">
        <v>45258</v>
      </c>
      <c r="J704" s="49">
        <v>45260</v>
      </c>
      <c r="K704" t="s">
        <v>378</v>
      </c>
      <c r="L704" s="49">
        <v>45258</v>
      </c>
      <c r="M704" s="49">
        <v>45260</v>
      </c>
      <c r="N704" t="s">
        <v>107</v>
      </c>
      <c r="O704" t="s">
        <v>124</v>
      </c>
      <c r="P704">
        <f>VLOOKUP(N704,[1]ID_Cidades!$A$1:$E$5900,2,FALSE)</f>
        <v>295765</v>
      </c>
      <c r="Q704">
        <f>VLOOKUP(O704,[1]ID_Cidades!$A$1:$E$5900,2,FALSE)</f>
        <v>295776</v>
      </c>
      <c r="R704">
        <f t="shared" si="20"/>
        <v>87480188640</v>
      </c>
      <c r="S704" s="42">
        <f>VLOOKUP(R704,'[1]GCD base'!$A$1:$M$200,7,FALSE)</f>
        <v>1568.389426</v>
      </c>
      <c r="T704" t="s">
        <v>109</v>
      </c>
      <c r="U704" t="s">
        <v>205</v>
      </c>
      <c r="V704" t="s">
        <v>202</v>
      </c>
      <c r="W704" t="s">
        <v>203</v>
      </c>
      <c r="X704" t="s">
        <v>204</v>
      </c>
      <c r="Y704">
        <v>0</v>
      </c>
      <c r="Z704">
        <v>0</v>
      </c>
      <c r="AA704">
        <v>855.05</v>
      </c>
      <c r="AB704">
        <v>0</v>
      </c>
      <c r="AC704" s="49">
        <v>45125</v>
      </c>
      <c r="AD704" s="116" t="s">
        <v>10</v>
      </c>
      <c r="AE704" s="113" t="str" cm="1">
        <f t="array" ref="AE704">_xlfn.IFS(S704&lt;=Constantes!$G$2,"Muito Curta (evitável)",S704&lt;=Constantes!$H$2,"Curta Distância",S704&gt;Constantes!$H$2,"Longa Distância")</f>
        <v>Curta Distância</v>
      </c>
      <c r="AF704" s="114">
        <f>IFERROR(VLOOKUP(AE704,Constantes!$A$1:$E$5,MATCH(AD704,Constantes!$A$1:$E$1,0),0),"")</f>
        <v>0.18286935436241611</v>
      </c>
      <c r="AG704" s="115">
        <f t="shared" si="21"/>
        <v>286.81036172146037</v>
      </c>
    </row>
    <row r="705" spans="1:33" x14ac:dyDescent="0.3">
      <c r="A705">
        <f>COUNTIF($B$2:B705,B705)</f>
        <v>2</v>
      </c>
      <c r="B705">
        <v>19083755</v>
      </c>
      <c r="C705" t="s">
        <v>375</v>
      </c>
      <c r="D705" t="s">
        <v>376</v>
      </c>
      <c r="E705" t="s">
        <v>377</v>
      </c>
      <c r="F705" t="s">
        <v>198</v>
      </c>
      <c r="G705" t="s">
        <v>211</v>
      </c>
      <c r="H705" t="s">
        <v>211</v>
      </c>
      <c r="I705" s="49">
        <v>45258</v>
      </c>
      <c r="J705" s="49">
        <v>45260</v>
      </c>
      <c r="K705" t="s">
        <v>378</v>
      </c>
      <c r="L705" s="49">
        <v>45260</v>
      </c>
      <c r="M705" s="49">
        <v>45260</v>
      </c>
      <c r="N705" t="s">
        <v>124</v>
      </c>
      <c r="O705" t="s">
        <v>107</v>
      </c>
      <c r="P705">
        <f>VLOOKUP(N705,[1]ID_Cidades!$A$1:$E$5900,2,FALSE)</f>
        <v>295776</v>
      </c>
      <c r="Q705">
        <f>VLOOKUP(O705,[1]ID_Cidades!$A$1:$E$5900,2,FALSE)</f>
        <v>295765</v>
      </c>
      <c r="R705">
        <f t="shared" si="20"/>
        <v>87480188640</v>
      </c>
      <c r="S705" s="42">
        <f>VLOOKUP(R705,'[1]GCD base'!$A$1:$M$200,7,FALSE)</f>
        <v>1568.389426</v>
      </c>
      <c r="T705" t="s">
        <v>109</v>
      </c>
      <c r="U705" t="s">
        <v>201</v>
      </c>
      <c r="V705" t="s">
        <v>202</v>
      </c>
      <c r="W705" t="s">
        <v>203</v>
      </c>
      <c r="X705" t="s">
        <v>204</v>
      </c>
      <c r="Y705">
        <v>0</v>
      </c>
      <c r="Z705">
        <v>0</v>
      </c>
      <c r="AA705">
        <v>856.39</v>
      </c>
      <c r="AB705">
        <v>0</v>
      </c>
      <c r="AC705" s="49">
        <v>45125</v>
      </c>
      <c r="AD705" s="116" t="s">
        <v>10</v>
      </c>
      <c r="AE705" s="113" t="str" cm="1">
        <f t="array" ref="AE705">_xlfn.IFS(S705&lt;=Constantes!$G$2,"Muito Curta (evitável)",S705&lt;=Constantes!$H$2,"Curta Distância",S705&gt;Constantes!$H$2,"Longa Distância")</f>
        <v>Curta Distância</v>
      </c>
      <c r="AF705" s="114">
        <f>IFERROR(VLOOKUP(AE705,Constantes!$A$1:$E$5,MATCH(AD705,Constantes!$A$1:$E$1,0),0),"")</f>
        <v>0.18286935436241611</v>
      </c>
      <c r="AG705" s="115">
        <f t="shared" si="21"/>
        <v>286.81036172146037</v>
      </c>
    </row>
    <row r="706" spans="1:33" x14ac:dyDescent="0.3">
      <c r="A706">
        <f>COUNTIF($B$2:B706,B706)</f>
        <v>1</v>
      </c>
      <c r="B706">
        <v>19262936</v>
      </c>
      <c r="C706" t="s">
        <v>917</v>
      </c>
      <c r="D706" t="s">
        <v>255</v>
      </c>
      <c r="E706" t="s">
        <v>256</v>
      </c>
      <c r="F706" t="s">
        <v>198</v>
      </c>
      <c r="G706" t="s">
        <v>233</v>
      </c>
      <c r="H706" t="s">
        <v>233</v>
      </c>
      <c r="I706" s="49">
        <v>45258</v>
      </c>
      <c r="J706" s="49">
        <v>45263</v>
      </c>
      <c r="K706" t="s">
        <v>918</v>
      </c>
      <c r="L706" s="49">
        <v>45262</v>
      </c>
      <c r="M706" s="49">
        <v>45263</v>
      </c>
      <c r="N706" t="s">
        <v>117</v>
      </c>
      <c r="O706" t="s">
        <v>107</v>
      </c>
      <c r="P706">
        <f>VLOOKUP(N706,[1]ID_Cidades!$A$1:$E$5900,2,FALSE)</f>
        <v>295779</v>
      </c>
      <c r="Q706">
        <f>VLOOKUP(O706,[1]ID_Cidades!$A$1:$E$5900,2,FALSE)</f>
        <v>295765</v>
      </c>
      <c r="R706">
        <f t="shared" ref="R706:R769" si="22">P706*Q706</f>
        <v>87481075935</v>
      </c>
      <c r="S706" s="42">
        <f>VLOOKUP(R706,'[1]GCD base'!$A$1:$M$200,7,FALSE)</f>
        <v>2189.9742419999998</v>
      </c>
      <c r="T706" t="s">
        <v>109</v>
      </c>
      <c r="U706" t="s">
        <v>201</v>
      </c>
      <c r="V706" t="s">
        <v>202</v>
      </c>
      <c r="W706" t="s">
        <v>203</v>
      </c>
      <c r="X706" t="s">
        <v>204</v>
      </c>
      <c r="Y706">
        <v>2071.63</v>
      </c>
      <c r="Z706">
        <v>0</v>
      </c>
      <c r="AA706">
        <v>915.69</v>
      </c>
      <c r="AB706">
        <v>0</v>
      </c>
      <c r="AC706" s="49">
        <v>45180</v>
      </c>
      <c r="AD706" s="116" t="s">
        <v>10</v>
      </c>
      <c r="AE706" s="113" t="str" cm="1">
        <f t="array" ref="AE706">_xlfn.IFS(S706&lt;=Constantes!$G$2,"Muito Curta (evitável)",S706&lt;=Constantes!$H$2,"Curta Distância",S706&gt;Constantes!$H$2,"Longa Distância")</f>
        <v>Curta Distância</v>
      </c>
      <c r="AF706" s="114">
        <f>IFERROR(VLOOKUP(AE706,Constantes!$A$1:$E$5,MATCH(AD706,Constantes!$A$1:$E$1,0),0),"")</f>
        <v>0.18286935436241611</v>
      </c>
      <c r="AG706" s="115">
        <f t="shared" si="21"/>
        <v>400.47917570486158</v>
      </c>
    </row>
    <row r="707" spans="1:33" x14ac:dyDescent="0.3">
      <c r="A707">
        <f>COUNTIF($B$2:B707,B707)</f>
        <v>2</v>
      </c>
      <c r="B707">
        <v>19262936</v>
      </c>
      <c r="C707" t="s">
        <v>917</v>
      </c>
      <c r="D707" t="s">
        <v>255</v>
      </c>
      <c r="E707" t="s">
        <v>256</v>
      </c>
      <c r="F707" t="s">
        <v>198</v>
      </c>
      <c r="G707" t="s">
        <v>233</v>
      </c>
      <c r="H707" t="s">
        <v>233</v>
      </c>
      <c r="I707" s="49">
        <v>45258</v>
      </c>
      <c r="J707" s="49">
        <v>45263</v>
      </c>
      <c r="K707" t="s">
        <v>918</v>
      </c>
      <c r="L707" s="49">
        <v>45258</v>
      </c>
      <c r="M707" s="49">
        <v>45262</v>
      </c>
      <c r="N707" t="s">
        <v>107</v>
      </c>
      <c r="O707" t="s">
        <v>117</v>
      </c>
      <c r="P707">
        <f>VLOOKUP(N707,[1]ID_Cidades!$A$1:$E$5900,2,FALSE)</f>
        <v>295765</v>
      </c>
      <c r="Q707">
        <f>VLOOKUP(O707,[1]ID_Cidades!$A$1:$E$5900,2,FALSE)</f>
        <v>295779</v>
      </c>
      <c r="R707">
        <f t="shared" si="22"/>
        <v>87481075935</v>
      </c>
      <c r="S707" s="42">
        <f>VLOOKUP(R707,'[1]GCD base'!$A$1:$M$200,7,FALSE)</f>
        <v>2189.9742419999998</v>
      </c>
      <c r="T707" t="s">
        <v>109</v>
      </c>
      <c r="U707" t="s">
        <v>205</v>
      </c>
      <c r="V707" t="s">
        <v>202</v>
      </c>
      <c r="W707" t="s">
        <v>203</v>
      </c>
      <c r="X707" t="s">
        <v>204</v>
      </c>
      <c r="Y707">
        <v>0</v>
      </c>
      <c r="Z707">
        <v>0</v>
      </c>
      <c r="AA707">
        <v>901.25</v>
      </c>
      <c r="AB707">
        <v>0</v>
      </c>
      <c r="AC707" s="49">
        <v>45180</v>
      </c>
      <c r="AD707" s="116" t="s">
        <v>10</v>
      </c>
      <c r="AE707" s="113" t="str" cm="1">
        <f t="array" ref="AE707">_xlfn.IFS(S707&lt;=Constantes!$G$2,"Muito Curta (evitável)",S707&lt;=Constantes!$H$2,"Curta Distância",S707&gt;Constantes!$H$2,"Longa Distância")</f>
        <v>Curta Distância</v>
      </c>
      <c r="AF707" s="114">
        <f>IFERROR(VLOOKUP(AE707,Constantes!$A$1:$E$5,MATCH(AD707,Constantes!$A$1:$E$1,0),0),"")</f>
        <v>0.18286935436241611</v>
      </c>
      <c r="AG707" s="115">
        <f t="shared" ref="AG707:AG770" si="23">AF707*S707</f>
        <v>400.47917570486158</v>
      </c>
    </row>
    <row r="708" spans="1:33" x14ac:dyDescent="0.3">
      <c r="A708">
        <f>COUNTIF($B$2:B708,B708)</f>
        <v>1</v>
      </c>
      <c r="B708">
        <v>19274735</v>
      </c>
      <c r="C708" t="s">
        <v>937</v>
      </c>
      <c r="D708" t="s">
        <v>938</v>
      </c>
      <c r="E708" t="s">
        <v>939</v>
      </c>
      <c r="F708" t="s">
        <v>198</v>
      </c>
      <c r="G708" t="s">
        <v>207</v>
      </c>
      <c r="H708" t="s">
        <v>204</v>
      </c>
      <c r="I708" s="49">
        <v>45258</v>
      </c>
      <c r="J708" s="49">
        <v>45263</v>
      </c>
      <c r="K708" t="s">
        <v>940</v>
      </c>
      <c r="L708" s="49">
        <v>45258</v>
      </c>
      <c r="M708" s="49">
        <v>45262</v>
      </c>
      <c r="N708" t="s">
        <v>107</v>
      </c>
      <c r="O708" t="s">
        <v>117</v>
      </c>
      <c r="P708">
        <f>VLOOKUP(N708,[1]ID_Cidades!$A$1:$E$5900,2,FALSE)</f>
        <v>295765</v>
      </c>
      <c r="Q708">
        <f>VLOOKUP(O708,[1]ID_Cidades!$A$1:$E$5900,2,FALSE)</f>
        <v>295779</v>
      </c>
      <c r="R708">
        <f t="shared" si="22"/>
        <v>87481075935</v>
      </c>
      <c r="S708" s="42">
        <f>VLOOKUP(R708,'[1]GCD base'!$A$1:$M$200,7,FALSE)</f>
        <v>2189.9742419999998</v>
      </c>
      <c r="T708" t="s">
        <v>109</v>
      </c>
      <c r="U708" t="s">
        <v>205</v>
      </c>
      <c r="V708" t="s">
        <v>202</v>
      </c>
      <c r="W708" t="s">
        <v>203</v>
      </c>
      <c r="X708" t="s">
        <v>204</v>
      </c>
      <c r="Y708">
        <v>2071.63</v>
      </c>
      <c r="Z708">
        <v>0</v>
      </c>
      <c r="AA708">
        <v>852.59</v>
      </c>
      <c r="AB708">
        <v>0</v>
      </c>
      <c r="AC708" s="49">
        <v>45183</v>
      </c>
      <c r="AD708" s="116" t="s">
        <v>10</v>
      </c>
      <c r="AE708" s="113" t="str" cm="1">
        <f t="array" ref="AE708">_xlfn.IFS(S708&lt;=Constantes!$G$2,"Muito Curta (evitável)",S708&lt;=Constantes!$H$2,"Curta Distância",S708&gt;Constantes!$H$2,"Longa Distância")</f>
        <v>Curta Distância</v>
      </c>
      <c r="AF708" s="114">
        <f>IFERROR(VLOOKUP(AE708,Constantes!$A$1:$E$5,MATCH(AD708,Constantes!$A$1:$E$1,0),0),"")</f>
        <v>0.18286935436241611</v>
      </c>
      <c r="AG708" s="115">
        <f t="shared" si="23"/>
        <v>400.47917570486158</v>
      </c>
    </row>
    <row r="709" spans="1:33" x14ac:dyDescent="0.3">
      <c r="A709">
        <f>COUNTIF($B$2:B709,B709)</f>
        <v>2</v>
      </c>
      <c r="B709">
        <v>19274735</v>
      </c>
      <c r="C709" t="s">
        <v>937</v>
      </c>
      <c r="D709" t="s">
        <v>938</v>
      </c>
      <c r="E709" t="s">
        <v>939</v>
      </c>
      <c r="F709" t="s">
        <v>198</v>
      </c>
      <c r="G709" t="s">
        <v>207</v>
      </c>
      <c r="H709" t="s">
        <v>204</v>
      </c>
      <c r="I709" s="49">
        <v>45258</v>
      </c>
      <c r="J709" s="49">
        <v>45263</v>
      </c>
      <c r="K709" t="s">
        <v>940</v>
      </c>
      <c r="L709" s="49">
        <v>45262</v>
      </c>
      <c r="M709" s="49">
        <v>45263</v>
      </c>
      <c r="N709" t="s">
        <v>117</v>
      </c>
      <c r="O709" t="s">
        <v>107</v>
      </c>
      <c r="P709">
        <f>VLOOKUP(N709,[1]ID_Cidades!$A$1:$E$5900,2,FALSE)</f>
        <v>295779</v>
      </c>
      <c r="Q709">
        <f>VLOOKUP(O709,[1]ID_Cidades!$A$1:$E$5900,2,FALSE)</f>
        <v>295765</v>
      </c>
      <c r="R709">
        <f t="shared" si="22"/>
        <v>87481075935</v>
      </c>
      <c r="S709" s="42">
        <f>VLOOKUP(R709,'[1]GCD base'!$A$1:$M$200,7,FALSE)</f>
        <v>2189.9742419999998</v>
      </c>
      <c r="T709" t="s">
        <v>109</v>
      </c>
      <c r="U709" t="s">
        <v>201</v>
      </c>
      <c r="V709" t="s">
        <v>202</v>
      </c>
      <c r="W709" t="s">
        <v>203</v>
      </c>
      <c r="X709" t="s">
        <v>204</v>
      </c>
      <c r="Y709">
        <v>0</v>
      </c>
      <c r="Z709">
        <v>0</v>
      </c>
      <c r="AA709">
        <v>838.15</v>
      </c>
      <c r="AB709">
        <v>0</v>
      </c>
      <c r="AC709" s="49">
        <v>45183</v>
      </c>
      <c r="AD709" s="116" t="s">
        <v>10</v>
      </c>
      <c r="AE709" s="113" t="str" cm="1">
        <f t="array" ref="AE709">_xlfn.IFS(S709&lt;=Constantes!$G$2,"Muito Curta (evitável)",S709&lt;=Constantes!$H$2,"Curta Distância",S709&gt;Constantes!$H$2,"Longa Distância")</f>
        <v>Curta Distância</v>
      </c>
      <c r="AF709" s="114">
        <f>IFERROR(VLOOKUP(AE709,Constantes!$A$1:$E$5,MATCH(AD709,Constantes!$A$1:$E$1,0),0),"")</f>
        <v>0.18286935436241611</v>
      </c>
      <c r="AG709" s="115">
        <f t="shared" si="23"/>
        <v>400.47917570486158</v>
      </c>
    </row>
    <row r="710" spans="1:33" x14ac:dyDescent="0.3">
      <c r="A710">
        <f>COUNTIF($B$2:B710,B710)</f>
        <v>1</v>
      </c>
      <c r="B710">
        <v>19366689</v>
      </c>
      <c r="C710" t="s">
        <v>1358</v>
      </c>
      <c r="D710" t="s">
        <v>1359</v>
      </c>
      <c r="E710" t="s">
        <v>1360</v>
      </c>
      <c r="F710" t="s">
        <v>198</v>
      </c>
      <c r="G710" t="s">
        <v>215</v>
      </c>
      <c r="H710" t="s">
        <v>200</v>
      </c>
      <c r="I710" s="49">
        <v>45258</v>
      </c>
      <c r="J710" s="49">
        <v>45262</v>
      </c>
      <c r="K710" t="s">
        <v>1361</v>
      </c>
      <c r="L710" s="49">
        <v>45258</v>
      </c>
      <c r="M710" s="49">
        <v>45262</v>
      </c>
      <c r="N710" t="s">
        <v>107</v>
      </c>
      <c r="O710" t="s">
        <v>117</v>
      </c>
      <c r="P710">
        <f>VLOOKUP(N710,[1]ID_Cidades!$A$1:$E$5900,2,FALSE)</f>
        <v>295765</v>
      </c>
      <c r="Q710">
        <f>VLOOKUP(O710,[1]ID_Cidades!$A$1:$E$5900,2,FALSE)</f>
        <v>295779</v>
      </c>
      <c r="R710">
        <f t="shared" si="22"/>
        <v>87481075935</v>
      </c>
      <c r="S710" s="42">
        <f>VLOOKUP(R710,'[1]GCD base'!$A$1:$M$200,7,FALSE)</f>
        <v>2189.9742419999998</v>
      </c>
      <c r="T710" t="s">
        <v>109</v>
      </c>
      <c r="U710" t="s">
        <v>205</v>
      </c>
      <c r="V710" t="s">
        <v>202</v>
      </c>
      <c r="W710" t="s">
        <v>203</v>
      </c>
      <c r="X710" t="s">
        <v>204</v>
      </c>
      <c r="Y710">
        <v>1926.06</v>
      </c>
      <c r="Z710">
        <v>0</v>
      </c>
      <c r="AA710">
        <v>1007.99</v>
      </c>
      <c r="AB710">
        <v>0</v>
      </c>
      <c r="AC710" s="49">
        <v>45204</v>
      </c>
      <c r="AD710" s="116" t="s">
        <v>10</v>
      </c>
      <c r="AE710" s="113" t="str" cm="1">
        <f t="array" ref="AE710">_xlfn.IFS(S710&lt;=Constantes!$G$2,"Muito Curta (evitável)",S710&lt;=Constantes!$H$2,"Curta Distância",S710&gt;Constantes!$H$2,"Longa Distância")</f>
        <v>Curta Distância</v>
      </c>
      <c r="AF710" s="114">
        <f>IFERROR(VLOOKUP(AE710,Constantes!$A$1:$E$5,MATCH(AD710,Constantes!$A$1:$E$1,0),0),"")</f>
        <v>0.18286935436241611</v>
      </c>
      <c r="AG710" s="115">
        <f t="shared" si="23"/>
        <v>400.47917570486158</v>
      </c>
    </row>
    <row r="711" spans="1:33" x14ac:dyDescent="0.3">
      <c r="A711">
        <f>COUNTIF($B$2:B711,B711)</f>
        <v>2</v>
      </c>
      <c r="B711">
        <v>19366689</v>
      </c>
      <c r="C711" t="s">
        <v>1358</v>
      </c>
      <c r="D711" t="s">
        <v>1359</v>
      </c>
      <c r="E711" t="s">
        <v>1360</v>
      </c>
      <c r="F711" t="s">
        <v>198</v>
      </c>
      <c r="G711" t="s">
        <v>215</v>
      </c>
      <c r="H711" t="s">
        <v>200</v>
      </c>
      <c r="I711" s="49">
        <v>45258</v>
      </c>
      <c r="J711" s="49">
        <v>45262</v>
      </c>
      <c r="K711" t="s">
        <v>1361</v>
      </c>
      <c r="L711" s="49">
        <v>45262</v>
      </c>
      <c r="M711" s="49">
        <v>45262</v>
      </c>
      <c r="N711" t="s">
        <v>117</v>
      </c>
      <c r="O711" t="s">
        <v>107</v>
      </c>
      <c r="P711">
        <f>VLOOKUP(N711,[1]ID_Cidades!$A$1:$E$5900,2,FALSE)</f>
        <v>295779</v>
      </c>
      <c r="Q711">
        <f>VLOOKUP(O711,[1]ID_Cidades!$A$1:$E$5900,2,FALSE)</f>
        <v>295765</v>
      </c>
      <c r="R711">
        <f t="shared" si="22"/>
        <v>87481075935</v>
      </c>
      <c r="S711" s="42">
        <f>VLOOKUP(R711,'[1]GCD base'!$A$1:$M$200,7,FALSE)</f>
        <v>2189.9742419999998</v>
      </c>
      <c r="T711" t="s">
        <v>109</v>
      </c>
      <c r="U711" t="s">
        <v>201</v>
      </c>
      <c r="V711" t="s">
        <v>202</v>
      </c>
      <c r="W711" t="s">
        <v>203</v>
      </c>
      <c r="X711" t="s">
        <v>204</v>
      </c>
      <c r="Y711">
        <v>0</v>
      </c>
      <c r="Z711">
        <v>0</v>
      </c>
      <c r="AA711">
        <v>1076.6500000000001</v>
      </c>
      <c r="AB711">
        <v>0</v>
      </c>
      <c r="AC711" s="49">
        <v>45204</v>
      </c>
      <c r="AD711" s="116" t="s">
        <v>10</v>
      </c>
      <c r="AE711" s="113" t="str" cm="1">
        <f t="array" ref="AE711">_xlfn.IFS(S711&lt;=Constantes!$G$2,"Muito Curta (evitável)",S711&lt;=Constantes!$H$2,"Curta Distância",S711&gt;Constantes!$H$2,"Longa Distância")</f>
        <v>Curta Distância</v>
      </c>
      <c r="AF711" s="114">
        <f>IFERROR(VLOOKUP(AE711,Constantes!$A$1:$E$5,MATCH(AD711,Constantes!$A$1:$E$1,0),0),"")</f>
        <v>0.18286935436241611</v>
      </c>
      <c r="AG711" s="115">
        <f t="shared" si="23"/>
        <v>400.47917570486158</v>
      </c>
    </row>
    <row r="712" spans="1:33" x14ac:dyDescent="0.3">
      <c r="A712">
        <f>COUNTIF($B$2:B712,B712)</f>
        <v>1</v>
      </c>
      <c r="B712">
        <v>19375473</v>
      </c>
      <c r="C712" t="s">
        <v>1413</v>
      </c>
      <c r="D712" t="s">
        <v>511</v>
      </c>
      <c r="E712" t="s">
        <v>512</v>
      </c>
      <c r="F712" t="s">
        <v>198</v>
      </c>
      <c r="G712" t="s">
        <v>207</v>
      </c>
      <c r="H712" t="s">
        <v>204</v>
      </c>
      <c r="I712" s="49">
        <v>45258</v>
      </c>
      <c r="J712" s="49">
        <v>45268</v>
      </c>
      <c r="K712" t="s">
        <v>1414</v>
      </c>
      <c r="L712" s="49">
        <v>45258</v>
      </c>
      <c r="M712" s="49">
        <v>45267</v>
      </c>
      <c r="N712" t="s">
        <v>107</v>
      </c>
      <c r="O712" t="s">
        <v>1415</v>
      </c>
      <c r="P712">
        <f>VLOOKUP(N712,[1]ID_Cidades!$A$1:$E$5900,2,FALSE)</f>
        <v>295765</v>
      </c>
      <c r="Q712">
        <f>VLOOKUP(O712,[1]ID_Cidades!$A$1:$E$5900,2,FALSE)</f>
        <v>314533</v>
      </c>
      <c r="R712">
        <f t="shared" si="22"/>
        <v>93027852745</v>
      </c>
      <c r="S712" s="42">
        <f>VLOOKUP(R712,'[1]GCD base'!$A$1:$M$200,7,FALSE)</f>
        <v>6281.9333360000001</v>
      </c>
      <c r="T712" t="s">
        <v>109</v>
      </c>
      <c r="U712" t="s">
        <v>205</v>
      </c>
      <c r="V712" t="s">
        <v>202</v>
      </c>
      <c r="W712" t="s">
        <v>203</v>
      </c>
      <c r="X712" t="s">
        <v>204</v>
      </c>
      <c r="Y712">
        <v>0</v>
      </c>
      <c r="Z712">
        <v>0</v>
      </c>
      <c r="AA712">
        <v>4015.2</v>
      </c>
      <c r="AB712">
        <v>0</v>
      </c>
      <c r="AC712" s="49">
        <v>45241</v>
      </c>
      <c r="AD712" s="116" t="s">
        <v>10</v>
      </c>
      <c r="AE712" s="113" t="str" cm="1">
        <f t="array" ref="AE712">_xlfn.IFS(S712&lt;=Constantes!$G$2,"Muito Curta (evitável)",S712&lt;=Constantes!$H$2,"Curta Distância",S712&gt;Constantes!$H$2,"Longa Distância")</f>
        <v>Longa Distância</v>
      </c>
      <c r="AF712" s="114">
        <f>IFERROR(VLOOKUP(AE712,Constantes!$A$1:$E$5,MATCH(AD712,Constantes!$A$1:$E$1,0),0),"")</f>
        <v>0.20010828053691276</v>
      </c>
      <c r="AG712" s="115">
        <f t="shared" si="23"/>
        <v>1257.0668783144722</v>
      </c>
    </row>
    <row r="713" spans="1:33" x14ac:dyDescent="0.3">
      <c r="A713">
        <f>COUNTIF($B$2:B713,B713)</f>
        <v>2</v>
      </c>
      <c r="B713">
        <v>19375473</v>
      </c>
      <c r="C713" t="s">
        <v>1413</v>
      </c>
      <c r="D713" t="s">
        <v>511</v>
      </c>
      <c r="E713" t="s">
        <v>512</v>
      </c>
      <c r="F713" t="s">
        <v>198</v>
      </c>
      <c r="G713" t="s">
        <v>207</v>
      </c>
      <c r="H713" t="s">
        <v>204</v>
      </c>
      <c r="I713" s="49">
        <v>45258</v>
      </c>
      <c r="J713" s="49">
        <v>45268</v>
      </c>
      <c r="K713" t="s">
        <v>1414</v>
      </c>
      <c r="L713" s="49">
        <v>45267</v>
      </c>
      <c r="M713" s="49">
        <v>45268</v>
      </c>
      <c r="N713" t="s">
        <v>1415</v>
      </c>
      <c r="O713" t="s">
        <v>107</v>
      </c>
      <c r="P713">
        <f>VLOOKUP(N713,[1]ID_Cidades!$A$1:$E$5900,2,FALSE)</f>
        <v>314533</v>
      </c>
      <c r="Q713">
        <f>VLOOKUP(O713,[1]ID_Cidades!$A$1:$E$5900,2,FALSE)</f>
        <v>295765</v>
      </c>
      <c r="R713">
        <f t="shared" si="22"/>
        <v>93027852745</v>
      </c>
      <c r="S713" s="42">
        <f>VLOOKUP(R713,'[1]GCD base'!$A$1:$M$200,7,FALSE)</f>
        <v>6281.9333360000001</v>
      </c>
      <c r="T713" t="s">
        <v>109</v>
      </c>
      <c r="U713" t="s">
        <v>201</v>
      </c>
      <c r="V713" t="s">
        <v>202</v>
      </c>
      <c r="W713" t="s">
        <v>203</v>
      </c>
      <c r="X713" t="s">
        <v>204</v>
      </c>
      <c r="Y713">
        <v>0</v>
      </c>
      <c r="Z713">
        <v>0</v>
      </c>
      <c r="AA713">
        <v>2578.9</v>
      </c>
      <c r="AB713">
        <v>0</v>
      </c>
      <c r="AC713" s="49">
        <v>45241</v>
      </c>
      <c r="AD713" s="116" t="s">
        <v>10</v>
      </c>
      <c r="AE713" s="113" t="str" cm="1">
        <f t="array" ref="AE713">_xlfn.IFS(S713&lt;=Constantes!$G$2,"Muito Curta (evitável)",S713&lt;=Constantes!$H$2,"Curta Distância",S713&gt;Constantes!$H$2,"Longa Distância")</f>
        <v>Longa Distância</v>
      </c>
      <c r="AF713" s="114">
        <f>IFERROR(VLOOKUP(AE713,Constantes!$A$1:$E$5,MATCH(AD713,Constantes!$A$1:$E$1,0),0),"")</f>
        <v>0.20010828053691276</v>
      </c>
      <c r="AG713" s="115">
        <f t="shared" si="23"/>
        <v>1257.0668783144722</v>
      </c>
    </row>
    <row r="714" spans="1:33" x14ac:dyDescent="0.3">
      <c r="A714">
        <f>COUNTIF($B$2:B714,B714)</f>
        <v>1</v>
      </c>
      <c r="B714">
        <v>19570508</v>
      </c>
      <c r="C714" t="s">
        <v>1709</v>
      </c>
      <c r="D714" t="s">
        <v>1710</v>
      </c>
      <c r="E714" t="s">
        <v>1711</v>
      </c>
      <c r="F714" t="s">
        <v>752</v>
      </c>
      <c r="G714" t="s">
        <v>211</v>
      </c>
      <c r="H714" t="s">
        <v>211</v>
      </c>
      <c r="I714" s="49">
        <v>45258</v>
      </c>
      <c r="J714" s="49">
        <v>45262</v>
      </c>
      <c r="K714" t="s">
        <v>1712</v>
      </c>
      <c r="L714" s="49">
        <v>45258</v>
      </c>
      <c r="M714" s="49">
        <v>45258</v>
      </c>
      <c r="N714" t="s">
        <v>107</v>
      </c>
      <c r="O714" t="s">
        <v>108</v>
      </c>
      <c r="P714">
        <f>VLOOKUP(N714,[1]ID_Cidades!$A$1:$E$5900,2,FALSE)</f>
        <v>295765</v>
      </c>
      <c r="Q714">
        <f>VLOOKUP(O714,[1]ID_Cidades!$A$1:$E$5900,2,FALSE)</f>
        <v>305719</v>
      </c>
      <c r="R714">
        <f t="shared" si="22"/>
        <v>90420980035</v>
      </c>
      <c r="S714" s="42">
        <f>VLOOKUP(R714,'[1]GCD base'!$A$1:$M$200,7,FALSE)</f>
        <v>2917.0455609999999</v>
      </c>
      <c r="T714" t="s">
        <v>109</v>
      </c>
      <c r="U714" t="s">
        <v>201</v>
      </c>
      <c r="V714" t="s">
        <v>202</v>
      </c>
      <c r="W714" t="s">
        <v>210</v>
      </c>
      <c r="X714" t="s">
        <v>1713</v>
      </c>
      <c r="Y714">
        <v>1291.57</v>
      </c>
      <c r="Z714">
        <v>0</v>
      </c>
      <c r="AA714">
        <v>1661.49</v>
      </c>
      <c r="AB714">
        <v>0</v>
      </c>
      <c r="AC714" s="49">
        <v>45254</v>
      </c>
      <c r="AD714" s="116" t="s">
        <v>10</v>
      </c>
      <c r="AE714" s="113" t="str" cm="1">
        <f t="array" ref="AE714">_xlfn.IFS(S714&lt;=Constantes!$G$2,"Muito Curta (evitável)",S714&lt;=Constantes!$H$2,"Curta Distância",S714&gt;Constantes!$H$2,"Longa Distância")</f>
        <v>Curta Distância</v>
      </c>
      <c r="AF714" s="114">
        <f>IFERROR(VLOOKUP(AE714,Constantes!$A$1:$E$5,MATCH(AD714,Constantes!$A$1:$E$1,0),0),"")</f>
        <v>0.18286935436241611</v>
      </c>
      <c r="AG714" s="115">
        <f t="shared" si="23"/>
        <v>533.43823838582193</v>
      </c>
    </row>
    <row r="715" spans="1:33" x14ac:dyDescent="0.3">
      <c r="A715">
        <f>COUNTIF($B$2:B715,B715)</f>
        <v>2</v>
      </c>
      <c r="B715">
        <v>19570508</v>
      </c>
      <c r="C715" t="s">
        <v>1709</v>
      </c>
      <c r="D715" t="s">
        <v>1710</v>
      </c>
      <c r="E715" t="s">
        <v>1711</v>
      </c>
      <c r="F715" t="s">
        <v>752</v>
      </c>
      <c r="G715" t="s">
        <v>211</v>
      </c>
      <c r="H715" t="s">
        <v>211</v>
      </c>
      <c r="I715" s="49">
        <v>45258</v>
      </c>
      <c r="J715" s="49">
        <v>45262</v>
      </c>
      <c r="K715" t="s">
        <v>1712</v>
      </c>
      <c r="L715" s="49">
        <v>45262</v>
      </c>
      <c r="M715" s="49">
        <v>45262</v>
      </c>
      <c r="N715" t="s">
        <v>108</v>
      </c>
      <c r="O715" t="s">
        <v>107</v>
      </c>
      <c r="P715">
        <f>VLOOKUP(N715,[1]ID_Cidades!$A$1:$E$5900,2,FALSE)</f>
        <v>305719</v>
      </c>
      <c r="Q715">
        <f>VLOOKUP(O715,[1]ID_Cidades!$A$1:$E$5900,2,FALSE)</f>
        <v>295765</v>
      </c>
      <c r="R715">
        <f t="shared" si="22"/>
        <v>90420980035</v>
      </c>
      <c r="S715" s="42">
        <f>VLOOKUP(R715,'[1]GCD base'!$A$1:$M$200,7,FALSE)</f>
        <v>2917.0455609999999</v>
      </c>
      <c r="T715" t="s">
        <v>109</v>
      </c>
      <c r="U715" t="s">
        <v>201</v>
      </c>
      <c r="V715" t="s">
        <v>202</v>
      </c>
      <c r="W715" t="s">
        <v>210</v>
      </c>
      <c r="X715" t="s">
        <v>1713</v>
      </c>
      <c r="Y715">
        <v>0</v>
      </c>
      <c r="Z715">
        <v>0</v>
      </c>
      <c r="AA715">
        <v>1777.05</v>
      </c>
      <c r="AB715">
        <v>0</v>
      </c>
      <c r="AC715" s="49">
        <v>45254</v>
      </c>
      <c r="AD715" s="116" t="s">
        <v>10</v>
      </c>
      <c r="AE715" s="113" t="str" cm="1">
        <f t="array" ref="AE715">_xlfn.IFS(S715&lt;=Constantes!$G$2,"Muito Curta (evitável)",S715&lt;=Constantes!$H$2,"Curta Distância",S715&gt;Constantes!$H$2,"Longa Distância")</f>
        <v>Curta Distância</v>
      </c>
      <c r="AF715" s="114">
        <f>IFERROR(VLOOKUP(AE715,Constantes!$A$1:$E$5,MATCH(AD715,Constantes!$A$1:$E$1,0),0),"")</f>
        <v>0.18286935436241611</v>
      </c>
      <c r="AG715" s="115">
        <f t="shared" si="23"/>
        <v>533.43823838582193</v>
      </c>
    </row>
    <row r="716" spans="1:33" x14ac:dyDescent="0.3">
      <c r="A716">
        <f>COUNTIF($B$2:B716,B716)</f>
        <v>1</v>
      </c>
      <c r="B716">
        <v>19372630</v>
      </c>
      <c r="C716" t="s">
        <v>1387</v>
      </c>
      <c r="D716" t="s">
        <v>1388</v>
      </c>
      <c r="E716" t="s">
        <v>1389</v>
      </c>
      <c r="F716" t="s">
        <v>218</v>
      </c>
      <c r="G716" t="s">
        <v>207</v>
      </c>
      <c r="H716" t="s">
        <v>204</v>
      </c>
      <c r="I716" s="49">
        <v>45259</v>
      </c>
      <c r="J716" s="49">
        <v>45260</v>
      </c>
      <c r="K716" t="s">
        <v>1390</v>
      </c>
      <c r="L716" s="49">
        <v>45259</v>
      </c>
      <c r="M716" s="49">
        <v>45260</v>
      </c>
      <c r="N716" t="s">
        <v>116</v>
      </c>
      <c r="O716" t="s">
        <v>107</v>
      </c>
      <c r="P716">
        <f>VLOOKUP(N716,[1]ID_Cidades!$A$1:$E$5900,2,FALSE)</f>
        <v>295778</v>
      </c>
      <c r="Q716">
        <f>VLOOKUP(O716,[1]ID_Cidades!$A$1:$E$5900,2,FALSE)</f>
        <v>295765</v>
      </c>
      <c r="R716">
        <f t="shared" si="22"/>
        <v>87480780170</v>
      </c>
      <c r="S716" s="42">
        <f>VLOOKUP(R716,'[1]GCD base'!$A$1:$M$200,7,FALSE)</f>
        <v>1961.5007860000001</v>
      </c>
      <c r="T716" t="s">
        <v>109</v>
      </c>
      <c r="U716" t="s">
        <v>205</v>
      </c>
      <c r="V716" t="s">
        <v>202</v>
      </c>
      <c r="W716" t="s">
        <v>203</v>
      </c>
      <c r="X716" t="s">
        <v>204</v>
      </c>
      <c r="Y716">
        <v>606.53</v>
      </c>
      <c r="Z716">
        <v>0</v>
      </c>
      <c r="AA716">
        <v>1010.19</v>
      </c>
      <c r="AB716">
        <v>0</v>
      </c>
      <c r="AC716" s="49">
        <v>45210</v>
      </c>
      <c r="AD716" s="116" t="s">
        <v>10</v>
      </c>
      <c r="AE716" s="113" t="str" cm="1">
        <f t="array" ref="AE716">_xlfn.IFS(S716&lt;=Constantes!$G$2,"Muito Curta (evitável)",S716&lt;=Constantes!$H$2,"Curta Distância",S716&gt;Constantes!$H$2,"Longa Distância")</f>
        <v>Curta Distância</v>
      </c>
      <c r="AF716" s="114">
        <f>IFERROR(VLOOKUP(AE716,Constantes!$A$1:$E$5,MATCH(AD716,Constantes!$A$1:$E$1,0),0),"")</f>
        <v>0.18286935436241611</v>
      </c>
      <c r="AG716" s="115">
        <f t="shared" si="23"/>
        <v>358.69838231719172</v>
      </c>
    </row>
    <row r="717" spans="1:33" x14ac:dyDescent="0.3">
      <c r="A717">
        <f>COUNTIF($B$2:B717,B717)</f>
        <v>2</v>
      </c>
      <c r="B717">
        <v>19372630</v>
      </c>
      <c r="C717" t="s">
        <v>1387</v>
      </c>
      <c r="D717" t="s">
        <v>1388</v>
      </c>
      <c r="E717" t="s">
        <v>1389</v>
      </c>
      <c r="F717" t="s">
        <v>218</v>
      </c>
      <c r="G717" t="s">
        <v>207</v>
      </c>
      <c r="H717" t="s">
        <v>204</v>
      </c>
      <c r="I717" s="49">
        <v>45259</v>
      </c>
      <c r="J717" s="49">
        <v>45260</v>
      </c>
      <c r="K717" t="s">
        <v>1390</v>
      </c>
      <c r="L717" s="49">
        <v>45260</v>
      </c>
      <c r="M717" s="49">
        <v>45260</v>
      </c>
      <c r="N717" t="s">
        <v>107</v>
      </c>
      <c r="O717" t="s">
        <v>116</v>
      </c>
      <c r="P717">
        <f>VLOOKUP(N717,[1]ID_Cidades!$A$1:$E$5900,2,FALSE)</f>
        <v>295765</v>
      </c>
      <c r="Q717">
        <f>VLOOKUP(O717,[1]ID_Cidades!$A$1:$E$5900,2,FALSE)</f>
        <v>295778</v>
      </c>
      <c r="R717">
        <f t="shared" si="22"/>
        <v>87480780170</v>
      </c>
      <c r="S717" s="42">
        <f>VLOOKUP(R717,'[1]GCD base'!$A$1:$M$200,7,FALSE)</f>
        <v>1961.5007860000001</v>
      </c>
      <c r="T717" t="s">
        <v>109</v>
      </c>
      <c r="U717" t="s">
        <v>201</v>
      </c>
      <c r="V717" t="s">
        <v>202</v>
      </c>
      <c r="W717" t="s">
        <v>203</v>
      </c>
      <c r="X717" t="s">
        <v>204</v>
      </c>
      <c r="Y717">
        <v>0</v>
      </c>
      <c r="Z717">
        <v>0</v>
      </c>
      <c r="AA717">
        <v>1166.3</v>
      </c>
      <c r="AB717">
        <v>0</v>
      </c>
      <c r="AC717" s="49">
        <v>45210</v>
      </c>
      <c r="AD717" s="116" t="s">
        <v>10</v>
      </c>
      <c r="AE717" s="113" t="str" cm="1">
        <f t="array" ref="AE717">_xlfn.IFS(S717&lt;=Constantes!$G$2,"Muito Curta (evitável)",S717&lt;=Constantes!$H$2,"Curta Distância",S717&gt;Constantes!$H$2,"Longa Distância")</f>
        <v>Curta Distância</v>
      </c>
      <c r="AF717" s="114">
        <f>IFERROR(VLOOKUP(AE717,Constantes!$A$1:$E$5,MATCH(AD717,Constantes!$A$1:$E$1,0),0),"")</f>
        <v>0.18286935436241611</v>
      </c>
      <c r="AG717" s="115">
        <f t="shared" si="23"/>
        <v>358.69838231719172</v>
      </c>
    </row>
    <row r="718" spans="1:33" x14ac:dyDescent="0.3">
      <c r="A718">
        <f>COUNTIF($B$2:B718,B718)</f>
        <v>1</v>
      </c>
      <c r="B718">
        <v>19562553</v>
      </c>
      <c r="C718" t="s">
        <v>1700</v>
      </c>
      <c r="D718" t="s">
        <v>1701</v>
      </c>
      <c r="E718" t="s">
        <v>1702</v>
      </c>
      <c r="F718" t="s">
        <v>218</v>
      </c>
      <c r="G718" t="s">
        <v>207</v>
      </c>
      <c r="H718" t="s">
        <v>204</v>
      </c>
      <c r="I718" s="49">
        <v>45261</v>
      </c>
      <c r="J718" s="49">
        <v>45264</v>
      </c>
      <c r="K718" t="s">
        <v>1703</v>
      </c>
      <c r="L718" s="49">
        <v>45264</v>
      </c>
      <c r="M718" s="49">
        <v>45264</v>
      </c>
      <c r="N718" t="s">
        <v>107</v>
      </c>
      <c r="O718" t="s">
        <v>116</v>
      </c>
      <c r="P718">
        <f>VLOOKUP(N718,[1]ID_Cidades!$A$1:$E$5900,2,FALSE)</f>
        <v>295765</v>
      </c>
      <c r="Q718">
        <f>VLOOKUP(O718,[1]ID_Cidades!$A$1:$E$5900,2,FALSE)</f>
        <v>295778</v>
      </c>
      <c r="R718">
        <f t="shared" si="22"/>
        <v>87480780170</v>
      </c>
      <c r="S718" s="42">
        <f>VLOOKUP(R718,'[1]GCD base'!$A$1:$M$200,7,FALSE)</f>
        <v>1961.5007860000001</v>
      </c>
      <c r="T718" t="s">
        <v>109</v>
      </c>
      <c r="U718" t="s">
        <v>201</v>
      </c>
      <c r="V718" t="s">
        <v>202</v>
      </c>
      <c r="W718" t="s">
        <v>210</v>
      </c>
      <c r="X718" t="s">
        <v>1704</v>
      </c>
      <c r="Y718">
        <v>0</v>
      </c>
      <c r="Z718">
        <v>0</v>
      </c>
      <c r="AA718">
        <v>1479.59</v>
      </c>
      <c r="AB718">
        <v>0</v>
      </c>
      <c r="AC718" s="49">
        <v>45253</v>
      </c>
      <c r="AD718" s="116" t="s">
        <v>10</v>
      </c>
      <c r="AE718" s="113" t="str" cm="1">
        <f t="array" ref="AE718">_xlfn.IFS(S718&lt;=Constantes!$G$2,"Muito Curta (evitável)",S718&lt;=Constantes!$H$2,"Curta Distância",S718&gt;Constantes!$H$2,"Longa Distância")</f>
        <v>Curta Distância</v>
      </c>
      <c r="AF718" s="114">
        <f>IFERROR(VLOOKUP(AE718,Constantes!$A$1:$E$5,MATCH(AD718,Constantes!$A$1:$E$1,0),0),"")</f>
        <v>0.18286935436241611</v>
      </c>
      <c r="AG718" s="115">
        <f t="shared" si="23"/>
        <v>358.69838231719172</v>
      </c>
    </row>
    <row r="719" spans="1:33" x14ac:dyDescent="0.3">
      <c r="A719">
        <f>COUNTIF($B$2:B719,B719)</f>
        <v>2</v>
      </c>
      <c r="B719">
        <v>19562553</v>
      </c>
      <c r="C719" t="s">
        <v>1700</v>
      </c>
      <c r="D719" t="s">
        <v>1701</v>
      </c>
      <c r="E719" t="s">
        <v>1702</v>
      </c>
      <c r="F719" t="s">
        <v>218</v>
      </c>
      <c r="G719" t="s">
        <v>207</v>
      </c>
      <c r="H719" t="s">
        <v>204</v>
      </c>
      <c r="I719" s="49">
        <v>45261</v>
      </c>
      <c r="J719" s="49">
        <v>45264</v>
      </c>
      <c r="K719" t="s">
        <v>1703</v>
      </c>
      <c r="L719" s="49">
        <v>45261</v>
      </c>
      <c r="M719" s="49">
        <v>45264</v>
      </c>
      <c r="N719" t="s">
        <v>116</v>
      </c>
      <c r="O719" t="s">
        <v>107</v>
      </c>
      <c r="P719">
        <f>VLOOKUP(N719,[1]ID_Cidades!$A$1:$E$5900,2,FALSE)</f>
        <v>295778</v>
      </c>
      <c r="Q719">
        <f>VLOOKUP(O719,[1]ID_Cidades!$A$1:$E$5900,2,FALSE)</f>
        <v>295765</v>
      </c>
      <c r="R719">
        <f t="shared" si="22"/>
        <v>87480780170</v>
      </c>
      <c r="S719" s="42">
        <f>VLOOKUP(R719,'[1]GCD base'!$A$1:$M$200,7,FALSE)</f>
        <v>1961.5007860000001</v>
      </c>
      <c r="T719" t="s">
        <v>109</v>
      </c>
      <c r="U719" t="s">
        <v>205</v>
      </c>
      <c r="V719" t="s">
        <v>202</v>
      </c>
      <c r="W719" t="s">
        <v>210</v>
      </c>
      <c r="X719" t="s">
        <v>1704</v>
      </c>
      <c r="Y719">
        <v>0</v>
      </c>
      <c r="Z719">
        <v>0</v>
      </c>
      <c r="AA719">
        <v>2060.4</v>
      </c>
      <c r="AB719">
        <v>0</v>
      </c>
      <c r="AC719" s="49">
        <v>45253</v>
      </c>
      <c r="AD719" s="116" t="s">
        <v>10</v>
      </c>
      <c r="AE719" s="113" t="str" cm="1">
        <f t="array" ref="AE719">_xlfn.IFS(S719&lt;=Constantes!$G$2,"Muito Curta (evitável)",S719&lt;=Constantes!$H$2,"Curta Distância",S719&gt;Constantes!$H$2,"Longa Distância")</f>
        <v>Curta Distância</v>
      </c>
      <c r="AF719" s="114">
        <f>IFERROR(VLOOKUP(AE719,Constantes!$A$1:$E$5,MATCH(AD719,Constantes!$A$1:$E$1,0),0),"")</f>
        <v>0.18286935436241611</v>
      </c>
      <c r="AG719" s="115">
        <f t="shared" si="23"/>
        <v>358.69838231719172</v>
      </c>
    </row>
    <row r="720" spans="1:33" x14ac:dyDescent="0.3">
      <c r="A720">
        <f>COUNTIF($B$2:B720,B720)</f>
        <v>1</v>
      </c>
      <c r="B720">
        <v>19568546</v>
      </c>
      <c r="C720" t="s">
        <v>1705</v>
      </c>
      <c r="D720" t="s">
        <v>218</v>
      </c>
      <c r="E720" t="s">
        <v>1706</v>
      </c>
      <c r="F720" t="s">
        <v>218</v>
      </c>
      <c r="G720" t="s">
        <v>207</v>
      </c>
      <c r="H720" t="s">
        <v>204</v>
      </c>
      <c r="I720" s="49">
        <v>45261</v>
      </c>
      <c r="J720" s="49">
        <v>45267</v>
      </c>
      <c r="K720" t="s">
        <v>1707</v>
      </c>
      <c r="L720" s="49">
        <v>45261</v>
      </c>
      <c r="M720" s="49">
        <v>45267</v>
      </c>
      <c r="N720" t="s">
        <v>117</v>
      </c>
      <c r="O720" t="s">
        <v>107</v>
      </c>
      <c r="P720">
        <f>VLOOKUP(N720,[1]ID_Cidades!$A$1:$E$5900,2,FALSE)</f>
        <v>295779</v>
      </c>
      <c r="Q720">
        <f>VLOOKUP(O720,[1]ID_Cidades!$A$1:$E$5900,2,FALSE)</f>
        <v>295765</v>
      </c>
      <c r="R720">
        <f t="shared" si="22"/>
        <v>87481075935</v>
      </c>
      <c r="S720" s="42">
        <f>VLOOKUP(R720,'[1]GCD base'!$A$1:$M$200,7,FALSE)</f>
        <v>2189.9742419999998</v>
      </c>
      <c r="T720" t="s">
        <v>109</v>
      </c>
      <c r="U720" t="s">
        <v>205</v>
      </c>
      <c r="V720" t="s">
        <v>202</v>
      </c>
      <c r="W720" t="s">
        <v>210</v>
      </c>
      <c r="X720" t="s">
        <v>1708</v>
      </c>
      <c r="Y720">
        <v>0</v>
      </c>
      <c r="Z720">
        <v>0</v>
      </c>
      <c r="AA720">
        <v>754.09</v>
      </c>
      <c r="AB720">
        <v>0</v>
      </c>
      <c r="AC720" s="49">
        <v>45254</v>
      </c>
      <c r="AD720" s="116" t="s">
        <v>10</v>
      </c>
      <c r="AE720" s="113" t="str" cm="1">
        <f t="array" ref="AE720">_xlfn.IFS(S720&lt;=Constantes!$G$2,"Muito Curta (evitável)",S720&lt;=Constantes!$H$2,"Curta Distância",S720&gt;Constantes!$H$2,"Longa Distância")</f>
        <v>Curta Distância</v>
      </c>
      <c r="AF720" s="114">
        <f>IFERROR(VLOOKUP(AE720,Constantes!$A$1:$E$5,MATCH(AD720,Constantes!$A$1:$E$1,0),0),"")</f>
        <v>0.18286935436241611</v>
      </c>
      <c r="AG720" s="115">
        <f t="shared" si="23"/>
        <v>400.47917570486158</v>
      </c>
    </row>
    <row r="721" spans="1:33" x14ac:dyDescent="0.3">
      <c r="A721">
        <f>COUNTIF($B$2:B721,B721)</f>
        <v>2</v>
      </c>
      <c r="B721">
        <v>19568546</v>
      </c>
      <c r="C721" t="s">
        <v>1705</v>
      </c>
      <c r="D721" t="s">
        <v>218</v>
      </c>
      <c r="E721" t="s">
        <v>1706</v>
      </c>
      <c r="F721" t="s">
        <v>218</v>
      </c>
      <c r="G721" t="s">
        <v>207</v>
      </c>
      <c r="H721" t="s">
        <v>204</v>
      </c>
      <c r="I721" s="49">
        <v>45261</v>
      </c>
      <c r="J721" s="49">
        <v>45267</v>
      </c>
      <c r="K721" t="s">
        <v>1707</v>
      </c>
      <c r="L721" s="49">
        <v>45267</v>
      </c>
      <c r="M721" s="49">
        <v>45267</v>
      </c>
      <c r="N721" t="s">
        <v>107</v>
      </c>
      <c r="O721" t="s">
        <v>117</v>
      </c>
      <c r="P721">
        <f>VLOOKUP(N721,[1]ID_Cidades!$A$1:$E$5900,2,FALSE)</f>
        <v>295765</v>
      </c>
      <c r="Q721">
        <f>VLOOKUP(O721,[1]ID_Cidades!$A$1:$E$5900,2,FALSE)</f>
        <v>295779</v>
      </c>
      <c r="R721">
        <f t="shared" si="22"/>
        <v>87481075935</v>
      </c>
      <c r="S721" s="42">
        <f>VLOOKUP(R721,'[1]GCD base'!$A$1:$M$200,7,FALSE)</f>
        <v>2189.9742419999998</v>
      </c>
      <c r="T721" t="s">
        <v>109</v>
      </c>
      <c r="U721" t="s">
        <v>201</v>
      </c>
      <c r="V721" t="s">
        <v>202</v>
      </c>
      <c r="W721" t="s">
        <v>210</v>
      </c>
      <c r="X721" t="s">
        <v>1708</v>
      </c>
      <c r="Y721">
        <v>0</v>
      </c>
      <c r="Z721">
        <v>0</v>
      </c>
      <c r="AA721">
        <v>1516.65</v>
      </c>
      <c r="AB721">
        <v>0</v>
      </c>
      <c r="AC721" s="49">
        <v>45254</v>
      </c>
      <c r="AD721" s="116" t="s">
        <v>10</v>
      </c>
      <c r="AE721" s="113" t="str" cm="1">
        <f t="array" ref="AE721">_xlfn.IFS(S721&lt;=Constantes!$G$2,"Muito Curta (evitável)",S721&lt;=Constantes!$H$2,"Curta Distância",S721&gt;Constantes!$H$2,"Longa Distância")</f>
        <v>Curta Distância</v>
      </c>
      <c r="AF721" s="114">
        <f>IFERROR(VLOOKUP(AE721,Constantes!$A$1:$E$5,MATCH(AD721,Constantes!$A$1:$E$1,0),0),"")</f>
        <v>0.18286935436241611</v>
      </c>
      <c r="AG721" s="115">
        <f t="shared" si="23"/>
        <v>400.47917570486158</v>
      </c>
    </row>
    <row r="722" spans="1:33" x14ac:dyDescent="0.3">
      <c r="A722">
        <f>COUNTIF($B$2:B722,B722)</f>
        <v>1</v>
      </c>
      <c r="B722">
        <v>19574900</v>
      </c>
      <c r="C722" t="s">
        <v>1734</v>
      </c>
      <c r="D722" t="s">
        <v>218</v>
      </c>
      <c r="E722" t="s">
        <v>1735</v>
      </c>
      <c r="F722" t="s">
        <v>218</v>
      </c>
      <c r="G722" t="s">
        <v>207</v>
      </c>
      <c r="H722" t="s">
        <v>204</v>
      </c>
      <c r="I722" s="49">
        <v>45261</v>
      </c>
      <c r="J722" s="49">
        <v>45265</v>
      </c>
      <c r="K722" t="s">
        <v>1736</v>
      </c>
      <c r="L722" s="49">
        <v>45265</v>
      </c>
      <c r="M722" s="49">
        <v>45265</v>
      </c>
      <c r="N722" t="s">
        <v>107</v>
      </c>
      <c r="O722" t="s">
        <v>116</v>
      </c>
      <c r="P722">
        <f>VLOOKUP(N722,[1]ID_Cidades!$A$1:$E$5900,2,FALSE)</f>
        <v>295765</v>
      </c>
      <c r="Q722">
        <f>VLOOKUP(O722,[1]ID_Cidades!$A$1:$E$5900,2,FALSE)</f>
        <v>295778</v>
      </c>
      <c r="R722">
        <f t="shared" si="22"/>
        <v>87480780170</v>
      </c>
      <c r="S722" s="42">
        <f>VLOOKUP(R722,'[1]GCD base'!$A$1:$M$200,7,FALSE)</f>
        <v>1961.5007860000001</v>
      </c>
      <c r="T722" t="s">
        <v>109</v>
      </c>
      <c r="U722" t="s">
        <v>201</v>
      </c>
      <c r="V722" t="s">
        <v>202</v>
      </c>
      <c r="W722" t="s">
        <v>210</v>
      </c>
      <c r="X722" t="s">
        <v>1737</v>
      </c>
      <c r="Y722">
        <v>0</v>
      </c>
      <c r="Z722">
        <v>0</v>
      </c>
      <c r="AA722">
        <v>1993.6</v>
      </c>
      <c r="AB722">
        <v>0</v>
      </c>
      <c r="AC722" s="49">
        <v>45257</v>
      </c>
      <c r="AD722" s="116" t="s">
        <v>10</v>
      </c>
      <c r="AE722" s="113" t="str" cm="1">
        <f t="array" ref="AE722">_xlfn.IFS(S722&lt;=Constantes!$G$2,"Muito Curta (evitável)",S722&lt;=Constantes!$H$2,"Curta Distância",S722&gt;Constantes!$H$2,"Longa Distância")</f>
        <v>Curta Distância</v>
      </c>
      <c r="AF722" s="114">
        <f>IFERROR(VLOOKUP(AE722,Constantes!$A$1:$E$5,MATCH(AD722,Constantes!$A$1:$E$1,0),0),"")</f>
        <v>0.18286935436241611</v>
      </c>
      <c r="AG722" s="115">
        <f t="shared" si="23"/>
        <v>358.69838231719172</v>
      </c>
    </row>
    <row r="723" spans="1:33" x14ac:dyDescent="0.3">
      <c r="A723">
        <f>COUNTIF($B$2:B723,B723)</f>
        <v>2</v>
      </c>
      <c r="B723">
        <v>19574900</v>
      </c>
      <c r="C723" t="s">
        <v>1734</v>
      </c>
      <c r="D723" t="s">
        <v>218</v>
      </c>
      <c r="E723" t="s">
        <v>1735</v>
      </c>
      <c r="F723" t="s">
        <v>218</v>
      </c>
      <c r="G723" t="s">
        <v>207</v>
      </c>
      <c r="H723" t="s">
        <v>204</v>
      </c>
      <c r="I723" s="49">
        <v>45261</v>
      </c>
      <c r="J723" s="49">
        <v>45265</v>
      </c>
      <c r="K723" t="s">
        <v>1736</v>
      </c>
      <c r="L723" s="49">
        <v>45261</v>
      </c>
      <c r="M723" s="49">
        <v>45265</v>
      </c>
      <c r="N723" t="s">
        <v>116</v>
      </c>
      <c r="O723" t="s">
        <v>107</v>
      </c>
      <c r="P723">
        <f>VLOOKUP(N723,[1]ID_Cidades!$A$1:$E$5900,2,FALSE)</f>
        <v>295778</v>
      </c>
      <c r="Q723">
        <f>VLOOKUP(O723,[1]ID_Cidades!$A$1:$E$5900,2,FALSE)</f>
        <v>295765</v>
      </c>
      <c r="R723">
        <f t="shared" si="22"/>
        <v>87480780170</v>
      </c>
      <c r="S723" s="42">
        <f>VLOOKUP(R723,'[1]GCD base'!$A$1:$M$200,7,FALSE)</f>
        <v>1961.5007860000001</v>
      </c>
      <c r="T723" t="s">
        <v>109</v>
      </c>
      <c r="U723" t="s">
        <v>205</v>
      </c>
      <c r="V723" t="s">
        <v>202</v>
      </c>
      <c r="W723" t="s">
        <v>210</v>
      </c>
      <c r="X723" t="s">
        <v>1737</v>
      </c>
      <c r="Y723">
        <v>0</v>
      </c>
      <c r="Z723">
        <v>0</v>
      </c>
      <c r="AA723">
        <v>1708.19</v>
      </c>
      <c r="AB723">
        <v>0</v>
      </c>
      <c r="AC723" s="49">
        <v>45257</v>
      </c>
      <c r="AD723" s="116" t="s">
        <v>10</v>
      </c>
      <c r="AE723" s="113" t="str" cm="1">
        <f t="array" ref="AE723">_xlfn.IFS(S723&lt;=Constantes!$G$2,"Muito Curta (evitável)",S723&lt;=Constantes!$H$2,"Curta Distância",S723&gt;Constantes!$H$2,"Longa Distância")</f>
        <v>Curta Distância</v>
      </c>
      <c r="AF723" s="114">
        <f>IFERROR(VLOOKUP(AE723,Constantes!$A$1:$E$5,MATCH(AD723,Constantes!$A$1:$E$1,0),0),"")</f>
        <v>0.18286935436241611</v>
      </c>
      <c r="AG723" s="115">
        <f t="shared" si="23"/>
        <v>358.69838231719172</v>
      </c>
    </row>
    <row r="724" spans="1:33" x14ac:dyDescent="0.3">
      <c r="A724">
        <f>COUNTIF($B$2:B724,B724)</f>
        <v>1</v>
      </c>
      <c r="B724">
        <v>19519678</v>
      </c>
      <c r="C724" t="s">
        <v>1659</v>
      </c>
      <c r="D724" t="s">
        <v>218</v>
      </c>
      <c r="E724" t="s">
        <v>1660</v>
      </c>
      <c r="F724" t="s">
        <v>218</v>
      </c>
      <c r="G724" t="s">
        <v>207</v>
      </c>
      <c r="H724" t="s">
        <v>204</v>
      </c>
      <c r="I724" s="49">
        <v>45262</v>
      </c>
      <c r="J724" s="49">
        <v>45267</v>
      </c>
      <c r="K724" t="s">
        <v>1661</v>
      </c>
      <c r="L724" s="49">
        <v>45267</v>
      </c>
      <c r="M724" s="49">
        <v>45267</v>
      </c>
      <c r="N724" t="s">
        <v>107</v>
      </c>
      <c r="O724" t="s">
        <v>117</v>
      </c>
      <c r="P724">
        <f>VLOOKUP(N724,[1]ID_Cidades!$A$1:$E$5900,2,FALSE)</f>
        <v>295765</v>
      </c>
      <c r="Q724">
        <f>VLOOKUP(O724,[1]ID_Cidades!$A$1:$E$5900,2,FALSE)</f>
        <v>295779</v>
      </c>
      <c r="R724">
        <f t="shared" si="22"/>
        <v>87481075935</v>
      </c>
      <c r="S724" s="42">
        <f>VLOOKUP(R724,'[1]GCD base'!$A$1:$M$200,7,FALSE)</f>
        <v>2189.9742419999998</v>
      </c>
      <c r="T724" t="s">
        <v>109</v>
      </c>
      <c r="U724" t="s">
        <v>201</v>
      </c>
      <c r="V724" t="s">
        <v>202</v>
      </c>
      <c r="W724" t="s">
        <v>210</v>
      </c>
      <c r="X724" t="s">
        <v>1662</v>
      </c>
      <c r="Y724">
        <v>0</v>
      </c>
      <c r="Z724">
        <v>0</v>
      </c>
      <c r="AA724">
        <v>2560.9499999999998</v>
      </c>
      <c r="AB724">
        <v>0</v>
      </c>
      <c r="AC724" s="49">
        <v>45250</v>
      </c>
      <c r="AD724" s="116" t="s">
        <v>10</v>
      </c>
      <c r="AE724" s="113" t="str" cm="1">
        <f t="array" ref="AE724">_xlfn.IFS(S724&lt;=Constantes!$G$2,"Muito Curta (evitável)",S724&lt;=Constantes!$H$2,"Curta Distância",S724&gt;Constantes!$H$2,"Longa Distância")</f>
        <v>Curta Distância</v>
      </c>
      <c r="AF724" s="114">
        <f>IFERROR(VLOOKUP(AE724,Constantes!$A$1:$E$5,MATCH(AD724,Constantes!$A$1:$E$1,0),0),"")</f>
        <v>0.18286935436241611</v>
      </c>
      <c r="AG724" s="115">
        <f t="shared" si="23"/>
        <v>400.47917570486158</v>
      </c>
    </row>
    <row r="725" spans="1:33" x14ac:dyDescent="0.3">
      <c r="A725">
        <f>COUNTIF($B$2:B725,B725)</f>
        <v>2</v>
      </c>
      <c r="B725">
        <v>19519678</v>
      </c>
      <c r="C725" t="s">
        <v>1659</v>
      </c>
      <c r="D725" t="s">
        <v>218</v>
      </c>
      <c r="E725" t="s">
        <v>1660</v>
      </c>
      <c r="F725" t="s">
        <v>218</v>
      </c>
      <c r="G725" t="s">
        <v>207</v>
      </c>
      <c r="H725" t="s">
        <v>204</v>
      </c>
      <c r="I725" s="49">
        <v>45262</v>
      </c>
      <c r="J725" s="49">
        <v>45267</v>
      </c>
      <c r="K725" t="s">
        <v>1661</v>
      </c>
      <c r="L725" s="49">
        <v>45262</v>
      </c>
      <c r="M725" s="49">
        <v>45267</v>
      </c>
      <c r="N725" t="s">
        <v>117</v>
      </c>
      <c r="O725" t="s">
        <v>107</v>
      </c>
      <c r="P725">
        <f>VLOOKUP(N725,[1]ID_Cidades!$A$1:$E$5900,2,FALSE)</f>
        <v>295779</v>
      </c>
      <c r="Q725">
        <f>VLOOKUP(O725,[1]ID_Cidades!$A$1:$E$5900,2,FALSE)</f>
        <v>295765</v>
      </c>
      <c r="R725">
        <f t="shared" si="22"/>
        <v>87481075935</v>
      </c>
      <c r="S725" s="42">
        <f>VLOOKUP(R725,'[1]GCD base'!$A$1:$M$200,7,FALSE)</f>
        <v>2189.9742419999998</v>
      </c>
      <c r="T725" t="s">
        <v>109</v>
      </c>
      <c r="U725" t="s">
        <v>205</v>
      </c>
      <c r="V725" t="s">
        <v>202</v>
      </c>
      <c r="W725" t="s">
        <v>210</v>
      </c>
      <c r="X725" t="s">
        <v>1662</v>
      </c>
      <c r="Y725">
        <v>0</v>
      </c>
      <c r="Z725">
        <v>0</v>
      </c>
      <c r="AA725">
        <v>1339.99</v>
      </c>
      <c r="AB725">
        <v>0</v>
      </c>
      <c r="AC725" s="49">
        <v>45250</v>
      </c>
      <c r="AD725" s="116" t="s">
        <v>10</v>
      </c>
      <c r="AE725" s="113" t="str" cm="1">
        <f t="array" ref="AE725">_xlfn.IFS(S725&lt;=Constantes!$G$2,"Muito Curta (evitável)",S725&lt;=Constantes!$H$2,"Curta Distância",S725&gt;Constantes!$H$2,"Longa Distância")</f>
        <v>Curta Distância</v>
      </c>
      <c r="AF725" s="114">
        <f>IFERROR(VLOOKUP(AE725,Constantes!$A$1:$E$5,MATCH(AD725,Constantes!$A$1:$E$1,0),0),"")</f>
        <v>0.18286935436241611</v>
      </c>
      <c r="AG725" s="115">
        <f t="shared" si="23"/>
        <v>400.47917570486158</v>
      </c>
    </row>
    <row r="726" spans="1:33" x14ac:dyDescent="0.3">
      <c r="A726">
        <f>COUNTIF($B$2:B726,B726)</f>
        <v>1</v>
      </c>
      <c r="B726">
        <v>19244383</v>
      </c>
      <c r="C726" t="s">
        <v>818</v>
      </c>
      <c r="D726" t="s">
        <v>218</v>
      </c>
      <c r="E726" t="s">
        <v>756</v>
      </c>
      <c r="F726" t="s">
        <v>218</v>
      </c>
      <c r="G726" t="s">
        <v>207</v>
      </c>
      <c r="H726" t="s">
        <v>204</v>
      </c>
      <c r="I726" s="49">
        <v>45263</v>
      </c>
      <c r="J726" s="49">
        <v>45269</v>
      </c>
      <c r="K726" t="s">
        <v>819</v>
      </c>
      <c r="L726" s="49">
        <v>45268</v>
      </c>
      <c r="M726" s="49">
        <v>45269</v>
      </c>
      <c r="N726" t="s">
        <v>122</v>
      </c>
      <c r="O726" t="s">
        <v>107</v>
      </c>
      <c r="P726">
        <f>VLOOKUP(N726,[1]ID_Cidades!$A$1:$E$5900,2,FALSE)</f>
        <v>295781</v>
      </c>
      <c r="Q726">
        <f>VLOOKUP(O726,[1]ID_Cidades!$A$1:$E$5900,2,FALSE)</f>
        <v>295765</v>
      </c>
      <c r="R726">
        <f t="shared" si="22"/>
        <v>87481667465</v>
      </c>
      <c r="S726" s="42">
        <f>VLOOKUP(R726,'[1]GCD base'!$A$1:$M$200,7,FALSE)</f>
        <v>2695.5823350000001</v>
      </c>
      <c r="T726" t="s">
        <v>109</v>
      </c>
      <c r="U726" t="s">
        <v>201</v>
      </c>
      <c r="V726" t="s">
        <v>202</v>
      </c>
      <c r="W726" t="s">
        <v>203</v>
      </c>
      <c r="X726" t="s">
        <v>204</v>
      </c>
      <c r="Y726">
        <v>0</v>
      </c>
      <c r="Z726">
        <v>0</v>
      </c>
      <c r="AA726">
        <v>1413.2</v>
      </c>
      <c r="AB726">
        <v>0</v>
      </c>
      <c r="AC726" s="49">
        <v>45170</v>
      </c>
      <c r="AD726" s="116" t="s">
        <v>10</v>
      </c>
      <c r="AE726" s="113" t="str" cm="1">
        <f t="array" ref="AE726">_xlfn.IFS(S726&lt;=Constantes!$G$2,"Muito Curta (evitável)",S726&lt;=Constantes!$H$2,"Curta Distância",S726&gt;Constantes!$H$2,"Longa Distância")</f>
        <v>Curta Distância</v>
      </c>
      <c r="AF726" s="114">
        <f>IFERROR(VLOOKUP(AE726,Constantes!$A$1:$E$5,MATCH(AD726,Constantes!$A$1:$E$1,0),0),"")</f>
        <v>0.18286935436241611</v>
      </c>
      <c r="AG726" s="115">
        <f t="shared" si="23"/>
        <v>492.93940123218408</v>
      </c>
    </row>
    <row r="727" spans="1:33" x14ac:dyDescent="0.3">
      <c r="A727">
        <f>COUNTIF($B$2:B727,B727)</f>
        <v>2</v>
      </c>
      <c r="B727">
        <v>19244383</v>
      </c>
      <c r="C727" t="s">
        <v>818</v>
      </c>
      <c r="D727" t="s">
        <v>218</v>
      </c>
      <c r="E727" t="s">
        <v>756</v>
      </c>
      <c r="F727" t="s">
        <v>218</v>
      </c>
      <c r="G727" t="s">
        <v>207</v>
      </c>
      <c r="H727" t="s">
        <v>204</v>
      </c>
      <c r="I727" s="49">
        <v>45263</v>
      </c>
      <c r="J727" s="49">
        <v>45269</v>
      </c>
      <c r="K727" t="s">
        <v>819</v>
      </c>
      <c r="L727" s="49">
        <v>45263</v>
      </c>
      <c r="M727" s="49">
        <v>45268</v>
      </c>
      <c r="N727" t="s">
        <v>107</v>
      </c>
      <c r="O727" t="s">
        <v>122</v>
      </c>
      <c r="P727">
        <f>VLOOKUP(N727,[1]ID_Cidades!$A$1:$E$5900,2,FALSE)</f>
        <v>295765</v>
      </c>
      <c r="Q727">
        <f>VLOOKUP(O727,[1]ID_Cidades!$A$1:$E$5900,2,FALSE)</f>
        <v>295781</v>
      </c>
      <c r="R727">
        <f t="shared" si="22"/>
        <v>87481667465</v>
      </c>
      <c r="S727" s="42">
        <f>VLOOKUP(R727,'[1]GCD base'!$A$1:$M$200,7,FALSE)</f>
        <v>2695.5823350000001</v>
      </c>
      <c r="T727" t="s">
        <v>109</v>
      </c>
      <c r="U727" t="s">
        <v>205</v>
      </c>
      <c r="V727" t="s">
        <v>202</v>
      </c>
      <c r="W727" t="s">
        <v>203</v>
      </c>
      <c r="X727" t="s">
        <v>204</v>
      </c>
      <c r="Y727">
        <v>0</v>
      </c>
      <c r="Z727">
        <v>0</v>
      </c>
      <c r="AA727">
        <v>1166.3900000000001</v>
      </c>
      <c r="AB727">
        <v>0</v>
      </c>
      <c r="AC727" s="49">
        <v>45170</v>
      </c>
      <c r="AD727" s="116" t="s">
        <v>10</v>
      </c>
      <c r="AE727" s="113" t="str" cm="1">
        <f t="array" ref="AE727">_xlfn.IFS(S727&lt;=Constantes!$G$2,"Muito Curta (evitável)",S727&lt;=Constantes!$H$2,"Curta Distância",S727&gt;Constantes!$H$2,"Longa Distância")</f>
        <v>Curta Distância</v>
      </c>
      <c r="AF727" s="114">
        <f>IFERROR(VLOOKUP(AE727,Constantes!$A$1:$E$5,MATCH(AD727,Constantes!$A$1:$E$1,0),0),"")</f>
        <v>0.18286935436241611</v>
      </c>
      <c r="AG727" s="115">
        <f t="shared" si="23"/>
        <v>492.93940123218408</v>
      </c>
    </row>
    <row r="728" spans="1:33" x14ac:dyDescent="0.3">
      <c r="A728">
        <f>COUNTIF($B$2:B728,B728)</f>
        <v>1</v>
      </c>
      <c r="B728">
        <v>19244559</v>
      </c>
      <c r="C728" t="s">
        <v>820</v>
      </c>
      <c r="D728" t="s">
        <v>218</v>
      </c>
      <c r="E728" t="s">
        <v>821</v>
      </c>
      <c r="F728" t="s">
        <v>218</v>
      </c>
      <c r="G728" t="s">
        <v>207</v>
      </c>
      <c r="H728" t="s">
        <v>204</v>
      </c>
      <c r="I728" s="49">
        <v>45263</v>
      </c>
      <c r="J728" s="49">
        <v>45269</v>
      </c>
      <c r="K728" t="s">
        <v>819</v>
      </c>
      <c r="L728" s="49">
        <v>45263</v>
      </c>
      <c r="M728" s="49">
        <v>45268</v>
      </c>
      <c r="N728" t="s">
        <v>107</v>
      </c>
      <c r="O728" t="s">
        <v>122</v>
      </c>
      <c r="P728">
        <f>VLOOKUP(N728,[1]ID_Cidades!$A$1:$E$5900,2,FALSE)</f>
        <v>295765</v>
      </c>
      <c r="Q728">
        <f>VLOOKUP(O728,[1]ID_Cidades!$A$1:$E$5900,2,FALSE)</f>
        <v>295781</v>
      </c>
      <c r="R728">
        <f t="shared" si="22"/>
        <v>87481667465</v>
      </c>
      <c r="S728" s="42">
        <f>VLOOKUP(R728,'[1]GCD base'!$A$1:$M$200,7,FALSE)</f>
        <v>2695.5823350000001</v>
      </c>
      <c r="T728" t="s">
        <v>109</v>
      </c>
      <c r="U728" t="s">
        <v>205</v>
      </c>
      <c r="V728" t="s">
        <v>202</v>
      </c>
      <c r="W728" t="s">
        <v>203</v>
      </c>
      <c r="X728" t="s">
        <v>204</v>
      </c>
      <c r="Y728">
        <v>0</v>
      </c>
      <c r="Z728">
        <v>0</v>
      </c>
      <c r="AA728">
        <v>1166.3900000000001</v>
      </c>
      <c r="AB728">
        <v>0</v>
      </c>
      <c r="AC728" s="49">
        <v>45170</v>
      </c>
      <c r="AD728" s="116" t="s">
        <v>10</v>
      </c>
      <c r="AE728" s="113" t="str" cm="1">
        <f t="array" ref="AE728">_xlfn.IFS(S728&lt;=Constantes!$G$2,"Muito Curta (evitável)",S728&lt;=Constantes!$H$2,"Curta Distância",S728&gt;Constantes!$H$2,"Longa Distância")</f>
        <v>Curta Distância</v>
      </c>
      <c r="AF728" s="114">
        <f>IFERROR(VLOOKUP(AE728,Constantes!$A$1:$E$5,MATCH(AD728,Constantes!$A$1:$E$1,0),0),"")</f>
        <v>0.18286935436241611</v>
      </c>
      <c r="AG728" s="115">
        <f t="shared" si="23"/>
        <v>492.93940123218408</v>
      </c>
    </row>
    <row r="729" spans="1:33" x14ac:dyDescent="0.3">
      <c r="A729">
        <f>COUNTIF($B$2:B729,B729)</f>
        <v>2</v>
      </c>
      <c r="B729">
        <v>19244559</v>
      </c>
      <c r="C729" t="s">
        <v>820</v>
      </c>
      <c r="D729" t="s">
        <v>218</v>
      </c>
      <c r="E729" t="s">
        <v>821</v>
      </c>
      <c r="F729" t="s">
        <v>218</v>
      </c>
      <c r="G729" t="s">
        <v>207</v>
      </c>
      <c r="H729" t="s">
        <v>204</v>
      </c>
      <c r="I729" s="49">
        <v>45263</v>
      </c>
      <c r="J729" s="49">
        <v>45269</v>
      </c>
      <c r="K729" t="s">
        <v>819</v>
      </c>
      <c r="L729" s="49">
        <v>45268</v>
      </c>
      <c r="M729" s="49">
        <v>45269</v>
      </c>
      <c r="N729" t="s">
        <v>122</v>
      </c>
      <c r="O729" t="s">
        <v>107</v>
      </c>
      <c r="P729">
        <f>VLOOKUP(N729,[1]ID_Cidades!$A$1:$E$5900,2,FALSE)</f>
        <v>295781</v>
      </c>
      <c r="Q729">
        <f>VLOOKUP(O729,[1]ID_Cidades!$A$1:$E$5900,2,FALSE)</f>
        <v>295765</v>
      </c>
      <c r="R729">
        <f t="shared" si="22"/>
        <v>87481667465</v>
      </c>
      <c r="S729" s="42">
        <f>VLOOKUP(R729,'[1]GCD base'!$A$1:$M$200,7,FALSE)</f>
        <v>2695.5823350000001</v>
      </c>
      <c r="T729" t="s">
        <v>109</v>
      </c>
      <c r="U729" t="s">
        <v>201</v>
      </c>
      <c r="V729" t="s">
        <v>202</v>
      </c>
      <c r="W729" t="s">
        <v>203</v>
      </c>
      <c r="X729" t="s">
        <v>204</v>
      </c>
      <c r="Y729">
        <v>0</v>
      </c>
      <c r="Z729">
        <v>0</v>
      </c>
      <c r="AA729">
        <v>1413.2</v>
      </c>
      <c r="AB729">
        <v>0</v>
      </c>
      <c r="AC729" s="49">
        <v>45170</v>
      </c>
      <c r="AD729" s="116" t="s">
        <v>10</v>
      </c>
      <c r="AE729" s="113" t="str" cm="1">
        <f t="array" ref="AE729">_xlfn.IFS(S729&lt;=Constantes!$G$2,"Muito Curta (evitável)",S729&lt;=Constantes!$H$2,"Curta Distância",S729&gt;Constantes!$H$2,"Longa Distância")</f>
        <v>Curta Distância</v>
      </c>
      <c r="AF729" s="114">
        <f>IFERROR(VLOOKUP(AE729,Constantes!$A$1:$E$5,MATCH(AD729,Constantes!$A$1:$E$1,0),0),"")</f>
        <v>0.18286935436241611</v>
      </c>
      <c r="AG729" s="115">
        <f t="shared" si="23"/>
        <v>492.93940123218408</v>
      </c>
    </row>
    <row r="730" spans="1:33" x14ac:dyDescent="0.3">
      <c r="A730">
        <f>COUNTIF($B$2:B730,B730)</f>
        <v>1</v>
      </c>
      <c r="B730">
        <v>19244596</v>
      </c>
      <c r="C730" t="s">
        <v>822</v>
      </c>
      <c r="D730" t="s">
        <v>218</v>
      </c>
      <c r="E730" t="s">
        <v>823</v>
      </c>
      <c r="F730" t="s">
        <v>218</v>
      </c>
      <c r="G730" t="s">
        <v>207</v>
      </c>
      <c r="H730" t="s">
        <v>204</v>
      </c>
      <c r="I730" s="49">
        <v>45263</v>
      </c>
      <c r="J730" s="49">
        <v>45269</v>
      </c>
      <c r="K730" t="s">
        <v>819</v>
      </c>
      <c r="L730" s="49">
        <v>45268</v>
      </c>
      <c r="M730" s="49">
        <v>45269</v>
      </c>
      <c r="N730" t="s">
        <v>122</v>
      </c>
      <c r="O730" t="s">
        <v>107</v>
      </c>
      <c r="P730">
        <f>VLOOKUP(N730,[1]ID_Cidades!$A$1:$E$5900,2,FALSE)</f>
        <v>295781</v>
      </c>
      <c r="Q730">
        <f>VLOOKUP(O730,[1]ID_Cidades!$A$1:$E$5900,2,FALSE)</f>
        <v>295765</v>
      </c>
      <c r="R730">
        <f t="shared" si="22"/>
        <v>87481667465</v>
      </c>
      <c r="S730" s="42">
        <f>VLOOKUP(R730,'[1]GCD base'!$A$1:$M$200,7,FALSE)</f>
        <v>2695.5823350000001</v>
      </c>
      <c r="T730" t="s">
        <v>109</v>
      </c>
      <c r="U730" t="s">
        <v>201</v>
      </c>
      <c r="V730" t="s">
        <v>202</v>
      </c>
      <c r="W730" t="s">
        <v>203</v>
      </c>
      <c r="X730" t="s">
        <v>204</v>
      </c>
      <c r="Y730">
        <v>0</v>
      </c>
      <c r="Z730">
        <v>0</v>
      </c>
      <c r="AA730">
        <v>1263.99</v>
      </c>
      <c r="AB730">
        <v>0</v>
      </c>
      <c r="AC730" s="49">
        <v>45175</v>
      </c>
      <c r="AD730" s="116" t="s">
        <v>10</v>
      </c>
      <c r="AE730" s="113" t="str" cm="1">
        <f t="array" ref="AE730">_xlfn.IFS(S730&lt;=Constantes!$G$2,"Muito Curta (evitável)",S730&lt;=Constantes!$H$2,"Curta Distância",S730&gt;Constantes!$H$2,"Longa Distância")</f>
        <v>Curta Distância</v>
      </c>
      <c r="AF730" s="114">
        <f>IFERROR(VLOOKUP(AE730,Constantes!$A$1:$E$5,MATCH(AD730,Constantes!$A$1:$E$1,0),0),"")</f>
        <v>0.18286935436241611</v>
      </c>
      <c r="AG730" s="115">
        <f t="shared" si="23"/>
        <v>492.93940123218408</v>
      </c>
    </row>
    <row r="731" spans="1:33" x14ac:dyDescent="0.3">
      <c r="A731">
        <f>COUNTIF($B$2:B731,B731)</f>
        <v>2</v>
      </c>
      <c r="B731">
        <v>19244596</v>
      </c>
      <c r="C731" t="s">
        <v>822</v>
      </c>
      <c r="D731" t="s">
        <v>218</v>
      </c>
      <c r="E731" t="s">
        <v>823</v>
      </c>
      <c r="F731" t="s">
        <v>218</v>
      </c>
      <c r="G731" t="s">
        <v>207</v>
      </c>
      <c r="H731" t="s">
        <v>204</v>
      </c>
      <c r="I731" s="49">
        <v>45263</v>
      </c>
      <c r="J731" s="49">
        <v>45269</v>
      </c>
      <c r="K731" t="s">
        <v>819</v>
      </c>
      <c r="L731" s="49">
        <v>45263</v>
      </c>
      <c r="M731" s="49">
        <v>45268</v>
      </c>
      <c r="N731" t="s">
        <v>107</v>
      </c>
      <c r="O731" t="s">
        <v>122</v>
      </c>
      <c r="P731">
        <f>VLOOKUP(N731,[1]ID_Cidades!$A$1:$E$5900,2,FALSE)</f>
        <v>295765</v>
      </c>
      <c r="Q731">
        <f>VLOOKUP(O731,[1]ID_Cidades!$A$1:$E$5900,2,FALSE)</f>
        <v>295781</v>
      </c>
      <c r="R731">
        <f t="shared" si="22"/>
        <v>87481667465</v>
      </c>
      <c r="S731" s="42">
        <f>VLOOKUP(R731,'[1]GCD base'!$A$1:$M$200,7,FALSE)</f>
        <v>2695.5823350000001</v>
      </c>
      <c r="T731" t="s">
        <v>109</v>
      </c>
      <c r="U731" t="s">
        <v>205</v>
      </c>
      <c r="V731" t="s">
        <v>202</v>
      </c>
      <c r="W731" t="s">
        <v>203</v>
      </c>
      <c r="X731" t="s">
        <v>204</v>
      </c>
      <c r="Y731">
        <v>0</v>
      </c>
      <c r="Z731">
        <v>0</v>
      </c>
      <c r="AA731">
        <v>1413.2</v>
      </c>
      <c r="AB731">
        <v>0</v>
      </c>
      <c r="AC731" s="49">
        <v>45175</v>
      </c>
      <c r="AD731" s="116" t="s">
        <v>10</v>
      </c>
      <c r="AE731" s="113" t="str" cm="1">
        <f t="array" ref="AE731">_xlfn.IFS(S731&lt;=Constantes!$G$2,"Muito Curta (evitável)",S731&lt;=Constantes!$H$2,"Curta Distância",S731&gt;Constantes!$H$2,"Longa Distância")</f>
        <v>Curta Distância</v>
      </c>
      <c r="AF731" s="114">
        <f>IFERROR(VLOOKUP(AE731,Constantes!$A$1:$E$5,MATCH(AD731,Constantes!$A$1:$E$1,0),0),"")</f>
        <v>0.18286935436241611</v>
      </c>
      <c r="AG731" s="115">
        <f t="shared" si="23"/>
        <v>492.93940123218408</v>
      </c>
    </row>
    <row r="732" spans="1:33" x14ac:dyDescent="0.3">
      <c r="A732">
        <f>COUNTIF($B$2:B732,B732)</f>
        <v>1</v>
      </c>
      <c r="B732">
        <v>19247937</v>
      </c>
      <c r="C732" t="s">
        <v>845</v>
      </c>
      <c r="D732" t="s">
        <v>218</v>
      </c>
      <c r="E732" t="s">
        <v>846</v>
      </c>
      <c r="F732" t="s">
        <v>231</v>
      </c>
      <c r="G732" t="s">
        <v>207</v>
      </c>
      <c r="H732" t="s">
        <v>204</v>
      </c>
      <c r="I732" s="49">
        <v>45263</v>
      </c>
      <c r="J732" s="49">
        <v>45269</v>
      </c>
      <c r="K732" t="s">
        <v>819</v>
      </c>
      <c r="L732" s="49">
        <v>45268</v>
      </c>
      <c r="M732" s="49">
        <v>45269</v>
      </c>
      <c r="N732" t="s">
        <v>122</v>
      </c>
      <c r="O732" t="s">
        <v>107</v>
      </c>
      <c r="P732">
        <f>VLOOKUP(N732,[1]ID_Cidades!$A$1:$E$5900,2,FALSE)</f>
        <v>295781</v>
      </c>
      <c r="Q732">
        <f>VLOOKUP(O732,[1]ID_Cidades!$A$1:$E$5900,2,FALSE)</f>
        <v>295765</v>
      </c>
      <c r="R732">
        <f t="shared" si="22"/>
        <v>87481667465</v>
      </c>
      <c r="S732" s="42">
        <f>VLOOKUP(R732,'[1]GCD base'!$A$1:$M$200,7,FALSE)</f>
        <v>2695.5823350000001</v>
      </c>
      <c r="T732" t="s">
        <v>109</v>
      </c>
      <c r="U732" t="s">
        <v>201</v>
      </c>
      <c r="V732" t="s">
        <v>202</v>
      </c>
      <c r="W732" t="s">
        <v>203</v>
      </c>
      <c r="X732" t="s">
        <v>204</v>
      </c>
      <c r="Y732">
        <v>0</v>
      </c>
      <c r="Z732">
        <v>0</v>
      </c>
      <c r="AA732">
        <v>1269.3</v>
      </c>
      <c r="AB732">
        <v>0</v>
      </c>
      <c r="AC732" s="49">
        <v>45175</v>
      </c>
      <c r="AD732" s="116" t="s">
        <v>10</v>
      </c>
      <c r="AE732" s="113" t="str" cm="1">
        <f t="array" ref="AE732">_xlfn.IFS(S732&lt;=Constantes!$G$2,"Muito Curta (evitável)",S732&lt;=Constantes!$H$2,"Curta Distância",S732&gt;Constantes!$H$2,"Longa Distância")</f>
        <v>Curta Distância</v>
      </c>
      <c r="AF732" s="114">
        <f>IFERROR(VLOOKUP(AE732,Constantes!$A$1:$E$5,MATCH(AD732,Constantes!$A$1:$E$1,0),0),"")</f>
        <v>0.18286935436241611</v>
      </c>
      <c r="AG732" s="115">
        <f t="shared" si="23"/>
        <v>492.93940123218408</v>
      </c>
    </row>
    <row r="733" spans="1:33" x14ac:dyDescent="0.3">
      <c r="A733">
        <f>COUNTIF($B$2:B733,B733)</f>
        <v>2</v>
      </c>
      <c r="B733">
        <v>19247937</v>
      </c>
      <c r="C733" t="s">
        <v>845</v>
      </c>
      <c r="D733" t="s">
        <v>218</v>
      </c>
      <c r="E733" t="s">
        <v>846</v>
      </c>
      <c r="F733" t="s">
        <v>231</v>
      </c>
      <c r="G733" t="s">
        <v>207</v>
      </c>
      <c r="H733" t="s">
        <v>204</v>
      </c>
      <c r="I733" s="49">
        <v>45263</v>
      </c>
      <c r="J733" s="49">
        <v>45269</v>
      </c>
      <c r="K733" t="s">
        <v>819</v>
      </c>
      <c r="L733" s="49">
        <v>45263</v>
      </c>
      <c r="M733" s="49">
        <v>45268</v>
      </c>
      <c r="N733" t="s">
        <v>107</v>
      </c>
      <c r="O733" t="s">
        <v>122</v>
      </c>
      <c r="P733">
        <f>VLOOKUP(N733,[1]ID_Cidades!$A$1:$E$5900,2,FALSE)</f>
        <v>295765</v>
      </c>
      <c r="Q733">
        <f>VLOOKUP(O733,[1]ID_Cidades!$A$1:$E$5900,2,FALSE)</f>
        <v>295781</v>
      </c>
      <c r="R733">
        <f t="shared" si="22"/>
        <v>87481667465</v>
      </c>
      <c r="S733" s="42">
        <f>VLOOKUP(R733,'[1]GCD base'!$A$1:$M$200,7,FALSE)</f>
        <v>2695.5823350000001</v>
      </c>
      <c r="T733" t="s">
        <v>109</v>
      </c>
      <c r="U733" t="s">
        <v>205</v>
      </c>
      <c r="V733" t="s">
        <v>202</v>
      </c>
      <c r="W733" t="s">
        <v>203</v>
      </c>
      <c r="X733" t="s">
        <v>204</v>
      </c>
      <c r="Y733">
        <v>0</v>
      </c>
      <c r="Z733">
        <v>0</v>
      </c>
      <c r="AA733">
        <v>1144.3900000000001</v>
      </c>
      <c r="AB733">
        <v>0</v>
      </c>
      <c r="AC733" s="49">
        <v>45175</v>
      </c>
      <c r="AD733" s="116" t="s">
        <v>10</v>
      </c>
      <c r="AE733" s="113" t="str" cm="1">
        <f t="array" ref="AE733">_xlfn.IFS(S733&lt;=Constantes!$G$2,"Muito Curta (evitável)",S733&lt;=Constantes!$H$2,"Curta Distância",S733&gt;Constantes!$H$2,"Longa Distância")</f>
        <v>Curta Distância</v>
      </c>
      <c r="AF733" s="114">
        <f>IFERROR(VLOOKUP(AE733,Constantes!$A$1:$E$5,MATCH(AD733,Constantes!$A$1:$E$1,0),0),"")</f>
        <v>0.18286935436241611</v>
      </c>
      <c r="AG733" s="115">
        <f t="shared" si="23"/>
        <v>492.93940123218408</v>
      </c>
    </row>
    <row r="734" spans="1:33" x14ac:dyDescent="0.3">
      <c r="A734">
        <f>COUNTIF($B$2:B734,B734)</f>
        <v>1</v>
      </c>
      <c r="B734">
        <v>19251260</v>
      </c>
      <c r="C734" t="s">
        <v>862</v>
      </c>
      <c r="D734" t="s">
        <v>863</v>
      </c>
      <c r="E734" t="s">
        <v>864</v>
      </c>
      <c r="F734" t="s">
        <v>198</v>
      </c>
      <c r="G734" t="s">
        <v>207</v>
      </c>
      <c r="H734" t="s">
        <v>204</v>
      </c>
      <c r="I734" s="49">
        <v>45263</v>
      </c>
      <c r="J734" s="49">
        <v>45270</v>
      </c>
      <c r="K734" t="s">
        <v>865</v>
      </c>
      <c r="L734" s="49">
        <v>45263</v>
      </c>
      <c r="M734" s="49">
        <v>45270</v>
      </c>
      <c r="N734" t="s">
        <v>121</v>
      </c>
      <c r="O734" t="s">
        <v>107</v>
      </c>
      <c r="P734">
        <f>VLOOKUP(N734,[1]ID_Cidades!$A$1:$E$5900,2,FALSE)</f>
        <v>314439</v>
      </c>
      <c r="Q734">
        <f>VLOOKUP(O734,[1]ID_Cidades!$A$1:$E$5900,2,FALSE)</f>
        <v>295765</v>
      </c>
      <c r="R734">
        <f t="shared" si="22"/>
        <v>93000050835</v>
      </c>
      <c r="S734" s="42">
        <f>VLOOKUP(R734,'[1]GCD base'!$A$1:$M$200,7,FALSE)</f>
        <v>546.23643000000004</v>
      </c>
      <c r="T734" t="s">
        <v>109</v>
      </c>
      <c r="U734" t="s">
        <v>205</v>
      </c>
      <c r="V734" t="s">
        <v>202</v>
      </c>
      <c r="W734" t="s">
        <v>203</v>
      </c>
      <c r="X734" t="s">
        <v>204</v>
      </c>
      <c r="Y734">
        <v>2503.1</v>
      </c>
      <c r="Z734">
        <v>0</v>
      </c>
      <c r="AA734">
        <v>478.53</v>
      </c>
      <c r="AB734">
        <v>0</v>
      </c>
      <c r="AC734" s="49">
        <v>45177</v>
      </c>
      <c r="AD734" s="116" t="s">
        <v>10</v>
      </c>
      <c r="AE734" s="113" t="str" cm="1">
        <f t="array" ref="AE734">_xlfn.IFS(S734&lt;=Constantes!$G$2,"Muito Curta (evitável)",S734&lt;=Constantes!$H$2,"Curta Distância",S734&gt;Constantes!$H$2,"Longa Distância")</f>
        <v>Muito Curta (evitável)</v>
      </c>
      <c r="AF734" s="114">
        <f>IFERROR(VLOOKUP(AE734,Constantes!$A$1:$E$5,MATCH(AD734,Constantes!$A$1:$E$1,0),0),"")</f>
        <v>0.27257678523489931</v>
      </c>
      <c r="AG734" s="115">
        <f t="shared" si="23"/>
        <v>148.89137006758813</v>
      </c>
    </row>
    <row r="735" spans="1:33" x14ac:dyDescent="0.3">
      <c r="A735">
        <f>COUNTIF($B$2:B735,B735)</f>
        <v>2</v>
      </c>
      <c r="B735">
        <v>19251260</v>
      </c>
      <c r="C735" t="s">
        <v>862</v>
      </c>
      <c r="D735" t="s">
        <v>863</v>
      </c>
      <c r="E735" t="s">
        <v>864</v>
      </c>
      <c r="F735" t="s">
        <v>198</v>
      </c>
      <c r="G735" t="s">
        <v>207</v>
      </c>
      <c r="H735" t="s">
        <v>204</v>
      </c>
      <c r="I735" s="49">
        <v>45263</v>
      </c>
      <c r="J735" s="49">
        <v>45270</v>
      </c>
      <c r="K735" t="s">
        <v>865</v>
      </c>
      <c r="L735" s="49">
        <v>45270</v>
      </c>
      <c r="M735" s="49">
        <v>45270</v>
      </c>
      <c r="N735" t="s">
        <v>107</v>
      </c>
      <c r="O735" t="s">
        <v>121</v>
      </c>
      <c r="P735">
        <f>VLOOKUP(N735,[1]ID_Cidades!$A$1:$E$5900,2,FALSE)</f>
        <v>295765</v>
      </c>
      <c r="Q735">
        <f>VLOOKUP(O735,[1]ID_Cidades!$A$1:$E$5900,2,FALSE)</f>
        <v>314439</v>
      </c>
      <c r="R735">
        <f t="shared" si="22"/>
        <v>93000050835</v>
      </c>
      <c r="S735" s="42">
        <f>VLOOKUP(R735,'[1]GCD base'!$A$1:$M$200,7,FALSE)</f>
        <v>546.23643000000004</v>
      </c>
      <c r="T735" t="s">
        <v>109</v>
      </c>
      <c r="U735" t="s">
        <v>201</v>
      </c>
      <c r="V735" t="s">
        <v>202</v>
      </c>
      <c r="W735" t="s">
        <v>203</v>
      </c>
      <c r="X735" t="s">
        <v>204</v>
      </c>
      <c r="Y735">
        <v>0</v>
      </c>
      <c r="Z735">
        <v>0</v>
      </c>
      <c r="AA735">
        <v>847.79</v>
      </c>
      <c r="AB735">
        <v>0</v>
      </c>
      <c r="AC735" s="49">
        <v>45177</v>
      </c>
      <c r="AD735" s="116" t="s">
        <v>10</v>
      </c>
      <c r="AE735" s="113" t="str" cm="1">
        <f t="array" ref="AE735">_xlfn.IFS(S735&lt;=Constantes!$G$2,"Muito Curta (evitável)",S735&lt;=Constantes!$H$2,"Curta Distância",S735&gt;Constantes!$H$2,"Longa Distância")</f>
        <v>Muito Curta (evitável)</v>
      </c>
      <c r="AF735" s="114">
        <f>IFERROR(VLOOKUP(AE735,Constantes!$A$1:$E$5,MATCH(AD735,Constantes!$A$1:$E$1,0),0),"")</f>
        <v>0.27257678523489931</v>
      </c>
      <c r="AG735" s="115">
        <f t="shared" si="23"/>
        <v>148.89137006758813</v>
      </c>
    </row>
    <row r="736" spans="1:33" x14ac:dyDescent="0.3">
      <c r="A736">
        <f>COUNTIF($B$2:B736,B736)</f>
        <v>1</v>
      </c>
      <c r="B736">
        <v>19304357</v>
      </c>
      <c r="C736" t="s">
        <v>1091</v>
      </c>
      <c r="D736" t="s">
        <v>1092</v>
      </c>
      <c r="E736" t="s">
        <v>1093</v>
      </c>
      <c r="F736" t="s">
        <v>218</v>
      </c>
      <c r="G736" t="s">
        <v>207</v>
      </c>
      <c r="H736" t="s">
        <v>204</v>
      </c>
      <c r="I736" s="49">
        <v>45263</v>
      </c>
      <c r="J736" s="49">
        <v>45265</v>
      </c>
      <c r="K736" t="s">
        <v>1094</v>
      </c>
      <c r="L736" s="49">
        <v>45263</v>
      </c>
      <c r="M736" s="49">
        <v>45265</v>
      </c>
      <c r="N736" t="s">
        <v>115</v>
      </c>
      <c r="O736" t="s">
        <v>107</v>
      </c>
      <c r="P736">
        <f>VLOOKUP(N736,[1]ID_Cidades!$A$1:$E$5900,2,FALSE)</f>
        <v>295770</v>
      </c>
      <c r="Q736">
        <f>VLOOKUP(O736,[1]ID_Cidades!$A$1:$E$5900,2,FALSE)</f>
        <v>295765</v>
      </c>
      <c r="R736">
        <f t="shared" si="22"/>
        <v>87478414050</v>
      </c>
      <c r="S736" s="42">
        <f>VLOOKUP(R736,'[1]GCD base'!$A$1:$M$200,7,FALSE)</f>
        <v>741.11941309999997</v>
      </c>
      <c r="T736" t="s">
        <v>109</v>
      </c>
      <c r="U736" t="s">
        <v>205</v>
      </c>
      <c r="V736" t="s">
        <v>202</v>
      </c>
      <c r="W736" t="s">
        <v>203</v>
      </c>
      <c r="X736" t="s">
        <v>204</v>
      </c>
      <c r="Y736">
        <v>947.55</v>
      </c>
      <c r="Z736">
        <v>0</v>
      </c>
      <c r="AA736">
        <v>572.19000000000005</v>
      </c>
      <c r="AB736">
        <v>0</v>
      </c>
      <c r="AC736" s="49">
        <v>45196</v>
      </c>
      <c r="AD736" s="116" t="s">
        <v>10</v>
      </c>
      <c r="AE736" s="113" t="str" cm="1">
        <f t="array" ref="AE736">_xlfn.IFS(S736&lt;=Constantes!$G$2,"Muito Curta (evitável)",S736&lt;=Constantes!$H$2,"Curta Distância",S736&gt;Constantes!$H$2,"Longa Distância")</f>
        <v>Curta Distância</v>
      </c>
      <c r="AF736" s="114">
        <f>IFERROR(VLOOKUP(AE736,Constantes!$A$1:$E$5,MATCH(AD736,Constantes!$A$1:$E$1,0),0),"")</f>
        <v>0.18286935436241611</v>
      </c>
      <c r="AG736" s="115">
        <f t="shared" si="23"/>
        <v>135.52802857904976</v>
      </c>
    </row>
    <row r="737" spans="1:33" x14ac:dyDescent="0.3">
      <c r="A737">
        <f>COUNTIF($B$2:B737,B737)</f>
        <v>2</v>
      </c>
      <c r="B737">
        <v>19304357</v>
      </c>
      <c r="C737" t="s">
        <v>1091</v>
      </c>
      <c r="D737" t="s">
        <v>1092</v>
      </c>
      <c r="E737" t="s">
        <v>1093</v>
      </c>
      <c r="F737" t="s">
        <v>218</v>
      </c>
      <c r="G737" t="s">
        <v>207</v>
      </c>
      <c r="H737" t="s">
        <v>204</v>
      </c>
      <c r="I737" s="49">
        <v>45263</v>
      </c>
      <c r="J737" s="49">
        <v>45265</v>
      </c>
      <c r="K737" t="s">
        <v>1094</v>
      </c>
      <c r="L737" s="49">
        <v>45265</v>
      </c>
      <c r="M737" s="49">
        <v>45265</v>
      </c>
      <c r="N737" t="s">
        <v>107</v>
      </c>
      <c r="O737" t="s">
        <v>115</v>
      </c>
      <c r="P737">
        <f>VLOOKUP(N737,[1]ID_Cidades!$A$1:$E$5900,2,FALSE)</f>
        <v>295765</v>
      </c>
      <c r="Q737">
        <f>VLOOKUP(O737,[1]ID_Cidades!$A$1:$E$5900,2,FALSE)</f>
        <v>295770</v>
      </c>
      <c r="R737">
        <f t="shared" si="22"/>
        <v>87478414050</v>
      </c>
      <c r="S737" s="42">
        <f>VLOOKUP(R737,'[1]GCD base'!$A$1:$M$200,7,FALSE)</f>
        <v>741.11941309999997</v>
      </c>
      <c r="T737" t="s">
        <v>109</v>
      </c>
      <c r="U737" t="s">
        <v>201</v>
      </c>
      <c r="V737" t="s">
        <v>202</v>
      </c>
      <c r="W737" t="s">
        <v>203</v>
      </c>
      <c r="X737" t="s">
        <v>204</v>
      </c>
      <c r="Y737">
        <v>0</v>
      </c>
      <c r="Z737">
        <v>0</v>
      </c>
      <c r="AA737">
        <v>569.19000000000005</v>
      </c>
      <c r="AB737">
        <v>0</v>
      </c>
      <c r="AC737" s="49">
        <v>45196</v>
      </c>
      <c r="AD737" s="116" t="s">
        <v>10</v>
      </c>
      <c r="AE737" s="113" t="str" cm="1">
        <f t="array" ref="AE737">_xlfn.IFS(S737&lt;=Constantes!$G$2,"Muito Curta (evitável)",S737&lt;=Constantes!$H$2,"Curta Distância",S737&gt;Constantes!$H$2,"Longa Distância")</f>
        <v>Curta Distância</v>
      </c>
      <c r="AF737" s="114">
        <f>IFERROR(VLOOKUP(AE737,Constantes!$A$1:$E$5,MATCH(AD737,Constantes!$A$1:$E$1,0),0),"")</f>
        <v>0.18286935436241611</v>
      </c>
      <c r="AG737" s="115">
        <f t="shared" si="23"/>
        <v>135.52802857904976</v>
      </c>
    </row>
    <row r="738" spans="1:33" x14ac:dyDescent="0.3">
      <c r="A738">
        <f>COUNTIF($B$2:B738,B738)</f>
        <v>1</v>
      </c>
      <c r="B738">
        <v>19304742</v>
      </c>
      <c r="C738" t="s">
        <v>1097</v>
      </c>
      <c r="D738" t="s">
        <v>1098</v>
      </c>
      <c r="E738" t="s">
        <v>1099</v>
      </c>
      <c r="F738" t="s">
        <v>218</v>
      </c>
      <c r="G738" t="s">
        <v>207</v>
      </c>
      <c r="H738" t="s">
        <v>204</v>
      </c>
      <c r="I738" s="49">
        <v>45263</v>
      </c>
      <c r="J738" s="49">
        <v>45265</v>
      </c>
      <c r="K738" t="s">
        <v>1100</v>
      </c>
      <c r="L738" s="49">
        <v>45265</v>
      </c>
      <c r="M738" s="49">
        <v>45265</v>
      </c>
      <c r="N738" t="s">
        <v>107</v>
      </c>
      <c r="O738" t="s">
        <v>115</v>
      </c>
      <c r="P738">
        <f>VLOOKUP(N738,[1]ID_Cidades!$A$1:$E$5900,2,FALSE)</f>
        <v>295765</v>
      </c>
      <c r="Q738">
        <f>VLOOKUP(O738,[1]ID_Cidades!$A$1:$E$5900,2,FALSE)</f>
        <v>295770</v>
      </c>
      <c r="R738">
        <f t="shared" si="22"/>
        <v>87478414050</v>
      </c>
      <c r="S738" s="42">
        <f>VLOOKUP(R738,'[1]GCD base'!$A$1:$M$200,7,FALSE)</f>
        <v>741.11941309999997</v>
      </c>
      <c r="T738" t="s">
        <v>109</v>
      </c>
      <c r="U738" t="s">
        <v>201</v>
      </c>
      <c r="V738" t="s">
        <v>202</v>
      </c>
      <c r="W738" t="s">
        <v>203</v>
      </c>
      <c r="X738" t="s">
        <v>204</v>
      </c>
      <c r="Y738">
        <v>947.55</v>
      </c>
      <c r="Z738">
        <v>0</v>
      </c>
      <c r="AA738">
        <v>572.19000000000005</v>
      </c>
      <c r="AB738">
        <v>0</v>
      </c>
      <c r="AC738" s="49">
        <v>45196</v>
      </c>
      <c r="AD738" s="116" t="s">
        <v>10</v>
      </c>
      <c r="AE738" s="113" t="str" cm="1">
        <f t="array" ref="AE738">_xlfn.IFS(S738&lt;=Constantes!$G$2,"Muito Curta (evitável)",S738&lt;=Constantes!$H$2,"Curta Distância",S738&gt;Constantes!$H$2,"Longa Distância")</f>
        <v>Curta Distância</v>
      </c>
      <c r="AF738" s="114">
        <f>IFERROR(VLOOKUP(AE738,Constantes!$A$1:$E$5,MATCH(AD738,Constantes!$A$1:$E$1,0),0),"")</f>
        <v>0.18286935436241611</v>
      </c>
      <c r="AG738" s="115">
        <f t="shared" si="23"/>
        <v>135.52802857904976</v>
      </c>
    </row>
    <row r="739" spans="1:33" x14ac:dyDescent="0.3">
      <c r="A739">
        <f>COUNTIF($B$2:B739,B739)</f>
        <v>2</v>
      </c>
      <c r="B739">
        <v>19304742</v>
      </c>
      <c r="C739" t="s">
        <v>1097</v>
      </c>
      <c r="D739" t="s">
        <v>1098</v>
      </c>
      <c r="E739" t="s">
        <v>1099</v>
      </c>
      <c r="F739" t="s">
        <v>218</v>
      </c>
      <c r="G739" t="s">
        <v>207</v>
      </c>
      <c r="H739" t="s">
        <v>204</v>
      </c>
      <c r="I739" s="49">
        <v>45263</v>
      </c>
      <c r="J739" s="49">
        <v>45265</v>
      </c>
      <c r="K739" t="s">
        <v>1100</v>
      </c>
      <c r="L739" s="49">
        <v>45263</v>
      </c>
      <c r="M739" s="49">
        <v>45265</v>
      </c>
      <c r="N739" t="s">
        <v>115</v>
      </c>
      <c r="O739" t="s">
        <v>107</v>
      </c>
      <c r="P739">
        <f>VLOOKUP(N739,[1]ID_Cidades!$A$1:$E$5900,2,FALSE)</f>
        <v>295770</v>
      </c>
      <c r="Q739">
        <f>VLOOKUP(O739,[1]ID_Cidades!$A$1:$E$5900,2,FALSE)</f>
        <v>295765</v>
      </c>
      <c r="R739">
        <f t="shared" si="22"/>
        <v>87478414050</v>
      </c>
      <c r="S739" s="42">
        <f>VLOOKUP(R739,'[1]GCD base'!$A$1:$M$200,7,FALSE)</f>
        <v>741.11941309999997</v>
      </c>
      <c r="T739" t="s">
        <v>109</v>
      </c>
      <c r="U739" t="s">
        <v>205</v>
      </c>
      <c r="V739" t="s">
        <v>202</v>
      </c>
      <c r="W739" t="s">
        <v>203</v>
      </c>
      <c r="X739" t="s">
        <v>204</v>
      </c>
      <c r="Y739">
        <v>0</v>
      </c>
      <c r="Z739">
        <v>0</v>
      </c>
      <c r="AA739">
        <v>569.19000000000005</v>
      </c>
      <c r="AB739">
        <v>0</v>
      </c>
      <c r="AC739" s="49">
        <v>45196</v>
      </c>
      <c r="AD739" s="116" t="s">
        <v>10</v>
      </c>
      <c r="AE739" s="113" t="str" cm="1">
        <f t="array" ref="AE739">_xlfn.IFS(S739&lt;=Constantes!$G$2,"Muito Curta (evitável)",S739&lt;=Constantes!$H$2,"Curta Distância",S739&gt;Constantes!$H$2,"Longa Distância")</f>
        <v>Curta Distância</v>
      </c>
      <c r="AF739" s="114">
        <f>IFERROR(VLOOKUP(AE739,Constantes!$A$1:$E$5,MATCH(AD739,Constantes!$A$1:$E$1,0),0),"")</f>
        <v>0.18286935436241611</v>
      </c>
      <c r="AG739" s="115">
        <f t="shared" si="23"/>
        <v>135.52802857904976</v>
      </c>
    </row>
    <row r="740" spans="1:33" x14ac:dyDescent="0.3">
      <c r="A740">
        <f>COUNTIF($B$2:B740,B740)</f>
        <v>1</v>
      </c>
      <c r="B740">
        <v>19338578</v>
      </c>
      <c r="C740" t="s">
        <v>1261</v>
      </c>
      <c r="D740" t="s">
        <v>1262</v>
      </c>
      <c r="E740" t="s">
        <v>1263</v>
      </c>
      <c r="F740" t="s">
        <v>198</v>
      </c>
      <c r="G740" t="s">
        <v>207</v>
      </c>
      <c r="H740" t="s">
        <v>204</v>
      </c>
      <c r="I740" s="49">
        <v>45263</v>
      </c>
      <c r="J740" s="49">
        <v>45269</v>
      </c>
      <c r="K740" t="s">
        <v>1264</v>
      </c>
      <c r="L740" s="49">
        <v>45268</v>
      </c>
      <c r="M740" s="49">
        <v>45269</v>
      </c>
      <c r="N740" t="s">
        <v>122</v>
      </c>
      <c r="O740" t="s">
        <v>107</v>
      </c>
      <c r="P740">
        <f>VLOOKUP(N740,[1]ID_Cidades!$A$1:$E$5900,2,FALSE)</f>
        <v>295781</v>
      </c>
      <c r="Q740">
        <f>VLOOKUP(O740,[1]ID_Cidades!$A$1:$E$5900,2,FALSE)</f>
        <v>295765</v>
      </c>
      <c r="R740">
        <f t="shared" si="22"/>
        <v>87481667465</v>
      </c>
      <c r="S740" s="42">
        <f>VLOOKUP(R740,'[1]GCD base'!$A$1:$M$200,7,FALSE)</f>
        <v>2695.5823350000001</v>
      </c>
      <c r="T740" t="s">
        <v>109</v>
      </c>
      <c r="U740" t="s">
        <v>201</v>
      </c>
      <c r="V740" t="s">
        <v>202</v>
      </c>
      <c r="W740" t="s">
        <v>203</v>
      </c>
      <c r="X740" t="s">
        <v>204</v>
      </c>
      <c r="Y740">
        <v>2162.08</v>
      </c>
      <c r="Z740">
        <v>0</v>
      </c>
      <c r="AA740">
        <v>1133.8900000000001</v>
      </c>
      <c r="AB740">
        <v>0</v>
      </c>
      <c r="AC740" s="49">
        <v>45201</v>
      </c>
      <c r="AD740" s="116" t="s">
        <v>10</v>
      </c>
      <c r="AE740" s="113" t="str" cm="1">
        <f t="array" ref="AE740">_xlfn.IFS(S740&lt;=Constantes!$G$2,"Muito Curta (evitável)",S740&lt;=Constantes!$H$2,"Curta Distância",S740&gt;Constantes!$H$2,"Longa Distância")</f>
        <v>Curta Distância</v>
      </c>
      <c r="AF740" s="114">
        <f>IFERROR(VLOOKUP(AE740,Constantes!$A$1:$E$5,MATCH(AD740,Constantes!$A$1:$E$1,0),0),"")</f>
        <v>0.18286935436241611</v>
      </c>
      <c r="AG740" s="115">
        <f t="shared" si="23"/>
        <v>492.93940123218408</v>
      </c>
    </row>
    <row r="741" spans="1:33" x14ac:dyDescent="0.3">
      <c r="A741">
        <f>COUNTIF($B$2:B741,B741)</f>
        <v>2</v>
      </c>
      <c r="B741">
        <v>19338578</v>
      </c>
      <c r="C741" t="s">
        <v>1261</v>
      </c>
      <c r="D741" t="s">
        <v>1262</v>
      </c>
      <c r="E741" t="s">
        <v>1263</v>
      </c>
      <c r="F741" t="s">
        <v>198</v>
      </c>
      <c r="G741" t="s">
        <v>207</v>
      </c>
      <c r="H741" t="s">
        <v>204</v>
      </c>
      <c r="I741" s="49">
        <v>45263</v>
      </c>
      <c r="J741" s="49">
        <v>45269</v>
      </c>
      <c r="K741" t="s">
        <v>1264</v>
      </c>
      <c r="L741" s="49">
        <v>45263</v>
      </c>
      <c r="M741" s="49">
        <v>45268</v>
      </c>
      <c r="N741" t="s">
        <v>107</v>
      </c>
      <c r="O741" t="s">
        <v>122</v>
      </c>
      <c r="P741">
        <f>VLOOKUP(N741,[1]ID_Cidades!$A$1:$E$5900,2,FALSE)</f>
        <v>295765</v>
      </c>
      <c r="Q741">
        <f>VLOOKUP(O741,[1]ID_Cidades!$A$1:$E$5900,2,FALSE)</f>
        <v>295781</v>
      </c>
      <c r="R741">
        <f t="shared" si="22"/>
        <v>87481667465</v>
      </c>
      <c r="S741" s="42">
        <f>VLOOKUP(R741,'[1]GCD base'!$A$1:$M$200,7,FALSE)</f>
        <v>2695.5823350000001</v>
      </c>
      <c r="T741" t="s">
        <v>109</v>
      </c>
      <c r="U741" t="s">
        <v>205</v>
      </c>
      <c r="V741" t="s">
        <v>202</v>
      </c>
      <c r="W741" t="s">
        <v>203</v>
      </c>
      <c r="X741" t="s">
        <v>204</v>
      </c>
      <c r="Y741">
        <v>0</v>
      </c>
      <c r="Z741">
        <v>0</v>
      </c>
      <c r="AA741">
        <v>1137.2</v>
      </c>
      <c r="AB741">
        <v>0</v>
      </c>
      <c r="AC741" s="49">
        <v>45201</v>
      </c>
      <c r="AD741" s="116" t="s">
        <v>10</v>
      </c>
      <c r="AE741" s="113" t="str" cm="1">
        <f t="array" ref="AE741">_xlfn.IFS(S741&lt;=Constantes!$G$2,"Muito Curta (evitável)",S741&lt;=Constantes!$H$2,"Curta Distância",S741&gt;Constantes!$H$2,"Longa Distância")</f>
        <v>Curta Distância</v>
      </c>
      <c r="AF741" s="114">
        <f>IFERROR(VLOOKUP(AE741,Constantes!$A$1:$E$5,MATCH(AD741,Constantes!$A$1:$E$1,0),0),"")</f>
        <v>0.18286935436241611</v>
      </c>
      <c r="AG741" s="115">
        <f t="shared" si="23"/>
        <v>492.93940123218408</v>
      </c>
    </row>
    <row r="742" spans="1:33" x14ac:dyDescent="0.3">
      <c r="A742">
        <f>COUNTIF($B$2:B742,B742)</f>
        <v>1</v>
      </c>
      <c r="B742">
        <v>19436582</v>
      </c>
      <c r="C742" t="s">
        <v>1578</v>
      </c>
      <c r="D742" t="s">
        <v>356</v>
      </c>
      <c r="E742" t="s">
        <v>357</v>
      </c>
      <c r="F742" t="s">
        <v>198</v>
      </c>
      <c r="G742" t="s">
        <v>233</v>
      </c>
      <c r="H742" t="s">
        <v>233</v>
      </c>
      <c r="I742" s="49">
        <v>45263</v>
      </c>
      <c r="J742" s="49">
        <v>45273</v>
      </c>
      <c r="K742" t="s">
        <v>1579</v>
      </c>
      <c r="L742" s="49">
        <v>45263</v>
      </c>
      <c r="M742" s="49">
        <v>45273</v>
      </c>
      <c r="N742" t="s">
        <v>107</v>
      </c>
      <c r="O742" t="s">
        <v>115</v>
      </c>
      <c r="P742">
        <f>VLOOKUP(N742,[1]ID_Cidades!$A$1:$E$5900,2,FALSE)</f>
        <v>295765</v>
      </c>
      <c r="Q742">
        <f>VLOOKUP(O742,[1]ID_Cidades!$A$1:$E$5900,2,FALSE)</f>
        <v>295770</v>
      </c>
      <c r="R742">
        <f t="shared" si="22"/>
        <v>87478414050</v>
      </c>
      <c r="S742" s="42">
        <f>VLOOKUP(R742,'[1]GCD base'!$A$1:$M$200,7,FALSE)</f>
        <v>741.11941309999997</v>
      </c>
      <c r="T742" t="s">
        <v>109</v>
      </c>
      <c r="U742" t="s">
        <v>205</v>
      </c>
      <c r="V742" t="s">
        <v>202</v>
      </c>
      <c r="W742" t="s">
        <v>210</v>
      </c>
      <c r="X742" t="s">
        <v>1580</v>
      </c>
      <c r="Y742">
        <v>3200.83</v>
      </c>
      <c r="Z742">
        <v>0</v>
      </c>
      <c r="AA742">
        <v>635.79</v>
      </c>
      <c r="AB742">
        <v>0</v>
      </c>
      <c r="AC742" s="49">
        <v>45225</v>
      </c>
      <c r="AD742" s="116" t="s">
        <v>10</v>
      </c>
      <c r="AE742" s="113" t="str" cm="1">
        <f t="array" ref="AE742">_xlfn.IFS(S742&lt;=Constantes!$G$2,"Muito Curta (evitável)",S742&lt;=Constantes!$H$2,"Curta Distância",S742&gt;Constantes!$H$2,"Longa Distância")</f>
        <v>Curta Distância</v>
      </c>
      <c r="AF742" s="114">
        <f>IFERROR(VLOOKUP(AE742,Constantes!$A$1:$E$5,MATCH(AD742,Constantes!$A$1:$E$1,0),0),"")</f>
        <v>0.18286935436241611</v>
      </c>
      <c r="AG742" s="115">
        <f t="shared" si="23"/>
        <v>135.52802857904976</v>
      </c>
    </row>
    <row r="743" spans="1:33" x14ac:dyDescent="0.3">
      <c r="A743">
        <f>COUNTIF($B$2:B743,B743)</f>
        <v>2</v>
      </c>
      <c r="B743">
        <v>19436582</v>
      </c>
      <c r="C743" t="s">
        <v>1578</v>
      </c>
      <c r="D743" t="s">
        <v>356</v>
      </c>
      <c r="E743" t="s">
        <v>357</v>
      </c>
      <c r="F743" t="s">
        <v>198</v>
      </c>
      <c r="G743" t="s">
        <v>233</v>
      </c>
      <c r="H743" t="s">
        <v>233</v>
      </c>
      <c r="I743" s="49">
        <v>45263</v>
      </c>
      <c r="J743" s="49">
        <v>45273</v>
      </c>
      <c r="K743" t="s">
        <v>1579</v>
      </c>
      <c r="L743" s="49">
        <v>45273</v>
      </c>
      <c r="M743" s="49">
        <v>45273</v>
      </c>
      <c r="N743" t="s">
        <v>115</v>
      </c>
      <c r="O743" t="s">
        <v>107</v>
      </c>
      <c r="P743">
        <f>VLOOKUP(N743,[1]ID_Cidades!$A$1:$E$5900,2,FALSE)</f>
        <v>295770</v>
      </c>
      <c r="Q743">
        <f>VLOOKUP(O743,[1]ID_Cidades!$A$1:$E$5900,2,FALSE)</f>
        <v>295765</v>
      </c>
      <c r="R743">
        <f t="shared" si="22"/>
        <v>87478414050</v>
      </c>
      <c r="S743" s="42">
        <f>VLOOKUP(R743,'[1]GCD base'!$A$1:$M$200,7,FALSE)</f>
        <v>741.11941309999997</v>
      </c>
      <c r="T743" t="s">
        <v>109</v>
      </c>
      <c r="U743" t="s">
        <v>201</v>
      </c>
      <c r="V743" t="s">
        <v>202</v>
      </c>
      <c r="W743" t="s">
        <v>210</v>
      </c>
      <c r="X743" t="s">
        <v>1580</v>
      </c>
      <c r="Y743">
        <v>0</v>
      </c>
      <c r="Z743">
        <v>0</v>
      </c>
      <c r="AA743">
        <v>581.99</v>
      </c>
      <c r="AB743">
        <v>0</v>
      </c>
      <c r="AC743" s="49">
        <v>45225</v>
      </c>
      <c r="AD743" s="116" t="s">
        <v>10</v>
      </c>
      <c r="AE743" s="113" t="str" cm="1">
        <f t="array" ref="AE743">_xlfn.IFS(S743&lt;=Constantes!$G$2,"Muito Curta (evitável)",S743&lt;=Constantes!$H$2,"Curta Distância",S743&gt;Constantes!$H$2,"Longa Distância")</f>
        <v>Curta Distância</v>
      </c>
      <c r="AF743" s="114">
        <f>IFERROR(VLOOKUP(AE743,Constantes!$A$1:$E$5,MATCH(AD743,Constantes!$A$1:$E$1,0),0),"")</f>
        <v>0.18286935436241611</v>
      </c>
      <c r="AG743" s="115">
        <f t="shared" si="23"/>
        <v>135.52802857904976</v>
      </c>
    </row>
    <row r="744" spans="1:33" x14ac:dyDescent="0.3">
      <c r="A744">
        <f>COUNTIF($B$2:B744,B744)</f>
        <v>1</v>
      </c>
      <c r="B744">
        <v>19447596</v>
      </c>
      <c r="C744" t="s">
        <v>1600</v>
      </c>
      <c r="D744" t="s">
        <v>218</v>
      </c>
      <c r="E744" t="s">
        <v>1601</v>
      </c>
      <c r="F744" t="s">
        <v>587</v>
      </c>
      <c r="G744" t="s">
        <v>207</v>
      </c>
      <c r="H744" t="s">
        <v>204</v>
      </c>
      <c r="I744" s="49">
        <v>45263</v>
      </c>
      <c r="J744" s="49">
        <v>45269</v>
      </c>
      <c r="K744" t="s">
        <v>1602</v>
      </c>
      <c r="L744" s="49">
        <v>45263</v>
      </c>
      <c r="M744" s="49">
        <v>45269</v>
      </c>
      <c r="N744" t="s">
        <v>107</v>
      </c>
      <c r="O744" t="s">
        <v>108</v>
      </c>
      <c r="P744">
        <f>VLOOKUP(N744,[1]ID_Cidades!$A$1:$E$5900,2,FALSE)</f>
        <v>295765</v>
      </c>
      <c r="Q744">
        <f>VLOOKUP(O744,[1]ID_Cidades!$A$1:$E$5900,2,FALSE)</f>
        <v>305719</v>
      </c>
      <c r="R744">
        <f t="shared" si="22"/>
        <v>90420980035</v>
      </c>
      <c r="S744" s="42">
        <f>VLOOKUP(R744,'[1]GCD base'!$A$1:$M$200,7,FALSE)</f>
        <v>2917.0455609999999</v>
      </c>
      <c r="T744" t="s">
        <v>109</v>
      </c>
      <c r="U744" t="s">
        <v>205</v>
      </c>
      <c r="V744" t="s">
        <v>202</v>
      </c>
      <c r="W744" t="s">
        <v>203</v>
      </c>
      <c r="X744" t="s">
        <v>204</v>
      </c>
      <c r="Y744">
        <v>1901.3</v>
      </c>
      <c r="Z744">
        <v>0</v>
      </c>
      <c r="AA744">
        <v>1538.49</v>
      </c>
      <c r="AB744">
        <v>0</v>
      </c>
      <c r="AC744" s="49">
        <v>45244</v>
      </c>
      <c r="AD744" s="116" t="s">
        <v>10</v>
      </c>
      <c r="AE744" s="113" t="str" cm="1">
        <f t="array" ref="AE744">_xlfn.IFS(S744&lt;=Constantes!$G$2,"Muito Curta (evitável)",S744&lt;=Constantes!$H$2,"Curta Distância",S744&gt;Constantes!$H$2,"Longa Distância")</f>
        <v>Curta Distância</v>
      </c>
      <c r="AF744" s="114">
        <f>IFERROR(VLOOKUP(AE744,Constantes!$A$1:$E$5,MATCH(AD744,Constantes!$A$1:$E$1,0),0),"")</f>
        <v>0.18286935436241611</v>
      </c>
      <c r="AG744" s="115">
        <f t="shared" si="23"/>
        <v>533.43823838582193</v>
      </c>
    </row>
    <row r="745" spans="1:33" x14ac:dyDescent="0.3">
      <c r="A745">
        <f>COUNTIF($B$2:B745,B745)</f>
        <v>2</v>
      </c>
      <c r="B745">
        <v>19447596</v>
      </c>
      <c r="C745" t="s">
        <v>1600</v>
      </c>
      <c r="D745" t="s">
        <v>218</v>
      </c>
      <c r="E745" t="s">
        <v>1601</v>
      </c>
      <c r="F745" t="s">
        <v>587</v>
      </c>
      <c r="G745" t="s">
        <v>207</v>
      </c>
      <c r="H745" t="s">
        <v>204</v>
      </c>
      <c r="I745" s="49">
        <v>45263</v>
      </c>
      <c r="J745" s="49">
        <v>45269</v>
      </c>
      <c r="K745" t="s">
        <v>1602</v>
      </c>
      <c r="L745" s="49">
        <v>45269</v>
      </c>
      <c r="M745" s="49">
        <v>45269</v>
      </c>
      <c r="N745" t="s">
        <v>108</v>
      </c>
      <c r="O745" t="s">
        <v>107</v>
      </c>
      <c r="P745">
        <f>VLOOKUP(N745,[1]ID_Cidades!$A$1:$E$5900,2,FALSE)</f>
        <v>305719</v>
      </c>
      <c r="Q745">
        <f>VLOOKUP(O745,[1]ID_Cidades!$A$1:$E$5900,2,FALSE)</f>
        <v>295765</v>
      </c>
      <c r="R745">
        <f t="shared" si="22"/>
        <v>90420980035</v>
      </c>
      <c r="S745" s="42">
        <f>VLOOKUP(R745,'[1]GCD base'!$A$1:$M$200,7,FALSE)</f>
        <v>2917.0455609999999</v>
      </c>
      <c r="T745" t="s">
        <v>109</v>
      </c>
      <c r="U745" t="s">
        <v>201</v>
      </c>
      <c r="V745" t="s">
        <v>202</v>
      </c>
      <c r="W745" t="s">
        <v>203</v>
      </c>
      <c r="X745" t="s">
        <v>204</v>
      </c>
      <c r="Y745">
        <v>0</v>
      </c>
      <c r="Z745">
        <v>0</v>
      </c>
      <c r="AA745">
        <v>1468.05</v>
      </c>
      <c r="AB745">
        <v>0</v>
      </c>
      <c r="AC745" s="49">
        <v>45244</v>
      </c>
      <c r="AD745" s="116" t="s">
        <v>10</v>
      </c>
      <c r="AE745" s="113" t="str" cm="1">
        <f t="array" ref="AE745">_xlfn.IFS(S745&lt;=Constantes!$G$2,"Muito Curta (evitável)",S745&lt;=Constantes!$H$2,"Curta Distância",S745&gt;Constantes!$H$2,"Longa Distância")</f>
        <v>Curta Distância</v>
      </c>
      <c r="AF745" s="114">
        <f>IFERROR(VLOOKUP(AE745,Constantes!$A$1:$E$5,MATCH(AD745,Constantes!$A$1:$E$1,0),0),"")</f>
        <v>0.18286935436241611</v>
      </c>
      <c r="AG745" s="115">
        <f t="shared" si="23"/>
        <v>533.43823838582193</v>
      </c>
    </row>
    <row r="746" spans="1:33" x14ac:dyDescent="0.3">
      <c r="A746">
        <f>COUNTIF($B$2:B746,B746)</f>
        <v>1</v>
      </c>
      <c r="B746">
        <v>19522701</v>
      </c>
      <c r="C746" t="s">
        <v>1663</v>
      </c>
      <c r="D746" t="s">
        <v>1664</v>
      </c>
      <c r="E746" t="s">
        <v>1665</v>
      </c>
      <c r="F746" t="s">
        <v>198</v>
      </c>
      <c r="G746" t="s">
        <v>207</v>
      </c>
      <c r="H746" t="s">
        <v>204</v>
      </c>
      <c r="I746" s="49">
        <v>45263</v>
      </c>
      <c r="J746" s="49">
        <v>45264</v>
      </c>
      <c r="K746" t="s">
        <v>1666</v>
      </c>
      <c r="L746" s="49">
        <v>45264</v>
      </c>
      <c r="M746" s="49">
        <v>45264</v>
      </c>
      <c r="N746" t="s">
        <v>115</v>
      </c>
      <c r="O746" t="s">
        <v>1508</v>
      </c>
      <c r="P746">
        <f>VLOOKUP(N746,[1]ID_Cidades!$A$1:$E$5900,2,FALSE)</f>
        <v>295770</v>
      </c>
      <c r="Q746">
        <f>VLOOKUP(O746,[1]ID_Cidades!$A$1:$E$5900,2,FALSE)</f>
        <v>300632</v>
      </c>
      <c r="R746">
        <f t="shared" si="22"/>
        <v>88917926640</v>
      </c>
      <c r="S746" s="42">
        <f>VLOOKUP(R746,'[1]GCD base'!$A$1:$M$200,7,FALSE)</f>
        <v>682.55657250000002</v>
      </c>
      <c r="T746" t="s">
        <v>109</v>
      </c>
      <c r="U746" t="s">
        <v>201</v>
      </c>
      <c r="V746" t="s">
        <v>202</v>
      </c>
      <c r="W746" t="s">
        <v>210</v>
      </c>
      <c r="X746" t="s">
        <v>1667</v>
      </c>
      <c r="Y746">
        <v>576.62</v>
      </c>
      <c r="Z746">
        <v>0</v>
      </c>
      <c r="AA746">
        <v>361.68</v>
      </c>
      <c r="AB746">
        <v>0</v>
      </c>
      <c r="AC746" s="49">
        <v>45250</v>
      </c>
      <c r="AD746" s="116" t="s">
        <v>10</v>
      </c>
      <c r="AE746" s="113" t="str" cm="1">
        <f t="array" ref="AE746">_xlfn.IFS(S746&lt;=Constantes!$G$2,"Muito Curta (evitável)",S746&lt;=Constantes!$H$2,"Curta Distância",S746&gt;Constantes!$H$2,"Longa Distância")</f>
        <v>Curta Distância</v>
      </c>
      <c r="AF746" s="114">
        <f>IFERROR(VLOOKUP(AE746,Constantes!$A$1:$E$5,MATCH(AD746,Constantes!$A$1:$E$1,0),0),"")</f>
        <v>0.18286935436241611</v>
      </c>
      <c r="AG746" s="115">
        <f t="shared" si="23"/>
        <v>124.81867972889866</v>
      </c>
    </row>
    <row r="747" spans="1:33" x14ac:dyDescent="0.3">
      <c r="A747">
        <f>COUNTIF($B$2:B747,B747)</f>
        <v>2</v>
      </c>
      <c r="B747">
        <v>19522701</v>
      </c>
      <c r="C747" t="s">
        <v>1663</v>
      </c>
      <c r="D747" t="s">
        <v>1664</v>
      </c>
      <c r="E747" t="s">
        <v>1665</v>
      </c>
      <c r="F747" t="s">
        <v>198</v>
      </c>
      <c r="G747" t="s">
        <v>207</v>
      </c>
      <c r="H747" t="s">
        <v>204</v>
      </c>
      <c r="I747" s="49">
        <v>45263</v>
      </c>
      <c r="J747" s="49">
        <v>45264</v>
      </c>
      <c r="K747" t="s">
        <v>1666</v>
      </c>
      <c r="L747" s="49">
        <v>45263</v>
      </c>
      <c r="M747" s="49">
        <v>45264</v>
      </c>
      <c r="N747" t="s">
        <v>1508</v>
      </c>
      <c r="O747" t="s">
        <v>115</v>
      </c>
      <c r="P747">
        <f>VLOOKUP(N747,[1]ID_Cidades!$A$1:$E$5900,2,FALSE)</f>
        <v>300632</v>
      </c>
      <c r="Q747">
        <f>VLOOKUP(O747,[1]ID_Cidades!$A$1:$E$5900,2,FALSE)</f>
        <v>295770</v>
      </c>
      <c r="R747">
        <f t="shared" si="22"/>
        <v>88917926640</v>
      </c>
      <c r="S747" s="42">
        <f>VLOOKUP(R747,'[1]GCD base'!$A$1:$M$200,7,FALSE)</f>
        <v>682.55657250000002</v>
      </c>
      <c r="T747" t="s">
        <v>109</v>
      </c>
      <c r="U747" t="s">
        <v>205</v>
      </c>
      <c r="V747" t="s">
        <v>202</v>
      </c>
      <c r="W747" t="s">
        <v>210</v>
      </c>
      <c r="X747" t="s">
        <v>1667</v>
      </c>
      <c r="Y747">
        <v>0</v>
      </c>
      <c r="Z747">
        <v>0</v>
      </c>
      <c r="AA747">
        <v>442.69</v>
      </c>
      <c r="AB747">
        <v>0</v>
      </c>
      <c r="AC747" s="49">
        <v>45250</v>
      </c>
      <c r="AD747" s="116" t="s">
        <v>10</v>
      </c>
      <c r="AE747" s="113" t="str" cm="1">
        <f t="array" ref="AE747">_xlfn.IFS(S747&lt;=Constantes!$G$2,"Muito Curta (evitável)",S747&lt;=Constantes!$H$2,"Curta Distância",S747&gt;Constantes!$H$2,"Longa Distância")</f>
        <v>Curta Distância</v>
      </c>
      <c r="AF747" s="114">
        <f>IFERROR(VLOOKUP(AE747,Constantes!$A$1:$E$5,MATCH(AD747,Constantes!$A$1:$E$1,0),0),"")</f>
        <v>0.18286935436241611</v>
      </c>
      <c r="AG747" s="115">
        <f t="shared" si="23"/>
        <v>124.81867972889866</v>
      </c>
    </row>
    <row r="748" spans="1:33" x14ac:dyDescent="0.3">
      <c r="A748">
        <f>COUNTIF($B$2:B748,B748)</f>
        <v>1</v>
      </c>
      <c r="B748">
        <v>19525488</v>
      </c>
      <c r="C748" t="s">
        <v>1671</v>
      </c>
      <c r="D748" t="s">
        <v>1672</v>
      </c>
      <c r="E748" t="s">
        <v>1673</v>
      </c>
      <c r="F748" t="s">
        <v>234</v>
      </c>
      <c r="G748" t="s">
        <v>207</v>
      </c>
      <c r="H748" t="s">
        <v>204</v>
      </c>
      <c r="I748" s="49">
        <v>45263</v>
      </c>
      <c r="J748" s="49">
        <v>45269</v>
      </c>
      <c r="K748" t="s">
        <v>1602</v>
      </c>
      <c r="L748" s="49">
        <v>45269</v>
      </c>
      <c r="M748" s="49">
        <v>45269</v>
      </c>
      <c r="N748" t="s">
        <v>108</v>
      </c>
      <c r="O748" t="s">
        <v>107</v>
      </c>
      <c r="P748">
        <f>VLOOKUP(N748,[1]ID_Cidades!$A$1:$E$5900,2,FALSE)</f>
        <v>305719</v>
      </c>
      <c r="Q748">
        <f>VLOOKUP(O748,[1]ID_Cidades!$A$1:$E$5900,2,FALSE)</f>
        <v>295765</v>
      </c>
      <c r="R748">
        <f t="shared" si="22"/>
        <v>90420980035</v>
      </c>
      <c r="S748" s="42">
        <f>VLOOKUP(R748,'[1]GCD base'!$A$1:$M$200,7,FALSE)</f>
        <v>2917.0455609999999</v>
      </c>
      <c r="T748" t="s">
        <v>109</v>
      </c>
      <c r="U748" t="s">
        <v>201</v>
      </c>
      <c r="V748" t="s">
        <v>202</v>
      </c>
      <c r="W748" t="s">
        <v>203</v>
      </c>
      <c r="X748" t="s">
        <v>204</v>
      </c>
      <c r="Y748">
        <v>1901.3</v>
      </c>
      <c r="Z748">
        <v>0</v>
      </c>
      <c r="AA748">
        <v>1538.49</v>
      </c>
      <c r="AB748">
        <v>0</v>
      </c>
      <c r="AC748" s="49">
        <v>45244</v>
      </c>
      <c r="AD748" s="116" t="s">
        <v>10</v>
      </c>
      <c r="AE748" s="113" t="str" cm="1">
        <f t="array" ref="AE748">_xlfn.IFS(S748&lt;=Constantes!$G$2,"Muito Curta (evitável)",S748&lt;=Constantes!$H$2,"Curta Distância",S748&gt;Constantes!$H$2,"Longa Distância")</f>
        <v>Curta Distância</v>
      </c>
      <c r="AF748" s="114">
        <f>IFERROR(VLOOKUP(AE748,Constantes!$A$1:$E$5,MATCH(AD748,Constantes!$A$1:$E$1,0),0),"")</f>
        <v>0.18286935436241611</v>
      </c>
      <c r="AG748" s="115">
        <f t="shared" si="23"/>
        <v>533.43823838582193</v>
      </c>
    </row>
    <row r="749" spans="1:33" x14ac:dyDescent="0.3">
      <c r="A749">
        <f>COUNTIF($B$2:B749,B749)</f>
        <v>2</v>
      </c>
      <c r="B749">
        <v>19525488</v>
      </c>
      <c r="C749" t="s">
        <v>1671</v>
      </c>
      <c r="D749" t="s">
        <v>1672</v>
      </c>
      <c r="E749" t="s">
        <v>1673</v>
      </c>
      <c r="F749" t="s">
        <v>234</v>
      </c>
      <c r="G749" t="s">
        <v>207</v>
      </c>
      <c r="H749" t="s">
        <v>204</v>
      </c>
      <c r="I749" s="49">
        <v>45263</v>
      </c>
      <c r="J749" s="49">
        <v>45269</v>
      </c>
      <c r="K749" t="s">
        <v>1602</v>
      </c>
      <c r="L749" s="49">
        <v>45263</v>
      </c>
      <c r="M749" s="49">
        <v>45269</v>
      </c>
      <c r="N749" t="s">
        <v>107</v>
      </c>
      <c r="O749" t="s">
        <v>108</v>
      </c>
      <c r="P749">
        <f>VLOOKUP(N749,[1]ID_Cidades!$A$1:$E$5900,2,FALSE)</f>
        <v>295765</v>
      </c>
      <c r="Q749">
        <f>VLOOKUP(O749,[1]ID_Cidades!$A$1:$E$5900,2,FALSE)</f>
        <v>305719</v>
      </c>
      <c r="R749">
        <f t="shared" si="22"/>
        <v>90420980035</v>
      </c>
      <c r="S749" s="42">
        <f>VLOOKUP(R749,'[1]GCD base'!$A$1:$M$200,7,FALSE)</f>
        <v>2917.0455609999999</v>
      </c>
      <c r="T749" t="s">
        <v>109</v>
      </c>
      <c r="U749" t="s">
        <v>205</v>
      </c>
      <c r="V749" t="s">
        <v>202</v>
      </c>
      <c r="W749" t="s">
        <v>203</v>
      </c>
      <c r="X749" t="s">
        <v>204</v>
      </c>
      <c r="Y749">
        <v>0</v>
      </c>
      <c r="Z749">
        <v>0</v>
      </c>
      <c r="AA749">
        <v>1468.05</v>
      </c>
      <c r="AB749">
        <v>0</v>
      </c>
      <c r="AC749" s="49">
        <v>45244</v>
      </c>
      <c r="AD749" s="116" t="s">
        <v>10</v>
      </c>
      <c r="AE749" s="113" t="str" cm="1">
        <f t="array" ref="AE749">_xlfn.IFS(S749&lt;=Constantes!$G$2,"Muito Curta (evitável)",S749&lt;=Constantes!$H$2,"Curta Distância",S749&gt;Constantes!$H$2,"Longa Distância")</f>
        <v>Curta Distância</v>
      </c>
      <c r="AF749" s="114">
        <f>IFERROR(VLOOKUP(AE749,Constantes!$A$1:$E$5,MATCH(AD749,Constantes!$A$1:$E$1,0),0),"")</f>
        <v>0.18286935436241611</v>
      </c>
      <c r="AG749" s="115">
        <f t="shared" si="23"/>
        <v>533.43823838582193</v>
      </c>
    </row>
    <row r="750" spans="1:33" x14ac:dyDescent="0.3">
      <c r="A750">
        <f>COUNTIF($B$2:B750,B750)</f>
        <v>1</v>
      </c>
      <c r="B750">
        <v>19554193</v>
      </c>
      <c r="C750" t="s">
        <v>1691</v>
      </c>
      <c r="D750" t="s">
        <v>218</v>
      </c>
      <c r="E750" t="s">
        <v>1692</v>
      </c>
      <c r="F750" t="s">
        <v>218</v>
      </c>
      <c r="G750" t="s">
        <v>207</v>
      </c>
      <c r="H750" t="s">
        <v>204</v>
      </c>
      <c r="I750" s="49">
        <v>45263</v>
      </c>
      <c r="J750" s="49">
        <v>45267</v>
      </c>
      <c r="K750" t="s">
        <v>1693</v>
      </c>
      <c r="L750" s="49">
        <v>45267</v>
      </c>
      <c r="M750" s="49">
        <v>45267</v>
      </c>
      <c r="N750" t="s">
        <v>107</v>
      </c>
      <c r="O750" t="s">
        <v>121</v>
      </c>
      <c r="P750">
        <f>VLOOKUP(N750,[1]ID_Cidades!$A$1:$E$5900,2,FALSE)</f>
        <v>295765</v>
      </c>
      <c r="Q750">
        <f>VLOOKUP(O750,[1]ID_Cidades!$A$1:$E$5900,2,FALSE)</f>
        <v>314439</v>
      </c>
      <c r="R750">
        <f t="shared" si="22"/>
        <v>93000050835</v>
      </c>
      <c r="S750" s="42">
        <f>VLOOKUP(R750,'[1]GCD base'!$A$1:$M$200,7,FALSE)</f>
        <v>546.23643000000004</v>
      </c>
      <c r="T750" t="s">
        <v>109</v>
      </c>
      <c r="U750" t="s">
        <v>201</v>
      </c>
      <c r="V750" t="s">
        <v>202</v>
      </c>
      <c r="W750" t="s">
        <v>210</v>
      </c>
      <c r="X750" t="s">
        <v>1694</v>
      </c>
      <c r="Y750">
        <v>0</v>
      </c>
      <c r="Z750">
        <v>0</v>
      </c>
      <c r="AA750">
        <v>2048.0300000000002</v>
      </c>
      <c r="AB750">
        <v>0</v>
      </c>
      <c r="AC750" s="49">
        <v>45252</v>
      </c>
      <c r="AD750" s="116" t="s">
        <v>10</v>
      </c>
      <c r="AE750" s="113" t="str" cm="1">
        <f t="array" ref="AE750">_xlfn.IFS(S750&lt;=Constantes!$G$2,"Muito Curta (evitável)",S750&lt;=Constantes!$H$2,"Curta Distância",S750&gt;Constantes!$H$2,"Longa Distância")</f>
        <v>Muito Curta (evitável)</v>
      </c>
      <c r="AF750" s="114">
        <f>IFERROR(VLOOKUP(AE750,Constantes!$A$1:$E$5,MATCH(AD750,Constantes!$A$1:$E$1,0),0),"")</f>
        <v>0.27257678523489931</v>
      </c>
      <c r="AG750" s="115">
        <f t="shared" si="23"/>
        <v>148.89137006758813</v>
      </c>
    </row>
    <row r="751" spans="1:33" x14ac:dyDescent="0.3">
      <c r="A751">
        <f>COUNTIF($B$2:B751,B751)</f>
        <v>2</v>
      </c>
      <c r="B751">
        <v>19554193</v>
      </c>
      <c r="C751" t="s">
        <v>1691</v>
      </c>
      <c r="D751" t="s">
        <v>218</v>
      </c>
      <c r="E751" t="s">
        <v>1692</v>
      </c>
      <c r="F751" t="s">
        <v>218</v>
      </c>
      <c r="G751" t="s">
        <v>207</v>
      </c>
      <c r="H751" t="s">
        <v>204</v>
      </c>
      <c r="I751" s="49">
        <v>45263</v>
      </c>
      <c r="J751" s="49">
        <v>45267</v>
      </c>
      <c r="K751" t="s">
        <v>1693</v>
      </c>
      <c r="L751" s="49">
        <v>45263</v>
      </c>
      <c r="M751" s="49">
        <v>45267</v>
      </c>
      <c r="N751" t="s">
        <v>121</v>
      </c>
      <c r="O751" t="s">
        <v>107</v>
      </c>
      <c r="P751">
        <f>VLOOKUP(N751,[1]ID_Cidades!$A$1:$E$5900,2,FALSE)</f>
        <v>314439</v>
      </c>
      <c r="Q751">
        <f>VLOOKUP(O751,[1]ID_Cidades!$A$1:$E$5900,2,FALSE)</f>
        <v>295765</v>
      </c>
      <c r="R751">
        <f t="shared" si="22"/>
        <v>93000050835</v>
      </c>
      <c r="S751" s="42">
        <f>VLOOKUP(R751,'[1]GCD base'!$A$1:$M$200,7,FALSE)</f>
        <v>546.23643000000004</v>
      </c>
      <c r="T751" t="s">
        <v>109</v>
      </c>
      <c r="U751" t="s">
        <v>205</v>
      </c>
      <c r="V751" t="s">
        <v>202</v>
      </c>
      <c r="W751" t="s">
        <v>210</v>
      </c>
      <c r="X751" t="s">
        <v>1694</v>
      </c>
      <c r="Y751">
        <v>0</v>
      </c>
      <c r="Z751">
        <v>0</v>
      </c>
      <c r="AA751">
        <v>1608.29</v>
      </c>
      <c r="AB751">
        <v>0</v>
      </c>
      <c r="AC751" s="49">
        <v>45252</v>
      </c>
      <c r="AD751" s="116" t="s">
        <v>10</v>
      </c>
      <c r="AE751" s="113" t="str" cm="1">
        <f t="array" ref="AE751">_xlfn.IFS(S751&lt;=Constantes!$G$2,"Muito Curta (evitável)",S751&lt;=Constantes!$H$2,"Curta Distância",S751&gt;Constantes!$H$2,"Longa Distância")</f>
        <v>Muito Curta (evitável)</v>
      </c>
      <c r="AF751" s="114">
        <f>IFERROR(VLOOKUP(AE751,Constantes!$A$1:$E$5,MATCH(AD751,Constantes!$A$1:$E$1,0),0),"")</f>
        <v>0.27257678523489931</v>
      </c>
      <c r="AG751" s="115">
        <f t="shared" si="23"/>
        <v>148.89137006758813</v>
      </c>
    </row>
    <row r="752" spans="1:33" x14ac:dyDescent="0.3">
      <c r="A752">
        <f>COUNTIF($B$2:B752,B752)</f>
        <v>1</v>
      </c>
      <c r="B752">
        <v>19554620</v>
      </c>
      <c r="C752" t="s">
        <v>1695</v>
      </c>
      <c r="D752" t="s">
        <v>1696</v>
      </c>
      <c r="E752" t="s">
        <v>1697</v>
      </c>
      <c r="F752" t="s">
        <v>214</v>
      </c>
      <c r="G752" t="s">
        <v>211</v>
      </c>
      <c r="H752" t="s">
        <v>211</v>
      </c>
      <c r="I752" s="49">
        <v>45263</v>
      </c>
      <c r="J752" s="49">
        <v>45267</v>
      </c>
      <c r="K752" t="s">
        <v>1698</v>
      </c>
      <c r="L752" s="49">
        <v>45263</v>
      </c>
      <c r="M752" s="49">
        <v>45267</v>
      </c>
      <c r="N752" t="s">
        <v>121</v>
      </c>
      <c r="O752" t="s">
        <v>107</v>
      </c>
      <c r="P752">
        <f>VLOOKUP(N752,[1]ID_Cidades!$A$1:$E$5900,2,FALSE)</f>
        <v>314439</v>
      </c>
      <c r="Q752">
        <f>VLOOKUP(O752,[1]ID_Cidades!$A$1:$E$5900,2,FALSE)</f>
        <v>295765</v>
      </c>
      <c r="R752">
        <f t="shared" si="22"/>
        <v>93000050835</v>
      </c>
      <c r="S752" s="42">
        <f>VLOOKUP(R752,'[1]GCD base'!$A$1:$M$200,7,FALSE)</f>
        <v>546.23643000000004</v>
      </c>
      <c r="T752" t="s">
        <v>109</v>
      </c>
      <c r="U752" t="s">
        <v>205</v>
      </c>
      <c r="V752" t="s">
        <v>202</v>
      </c>
      <c r="W752" t="s">
        <v>210</v>
      </c>
      <c r="X752" t="s">
        <v>1699</v>
      </c>
      <c r="Y752">
        <v>0</v>
      </c>
      <c r="Z752">
        <v>0</v>
      </c>
      <c r="AA752">
        <v>2048.0300000000002</v>
      </c>
      <c r="AB752">
        <v>0</v>
      </c>
      <c r="AC752" s="49">
        <v>45252</v>
      </c>
      <c r="AD752" s="116" t="s">
        <v>10</v>
      </c>
      <c r="AE752" s="113" t="str" cm="1">
        <f t="array" ref="AE752">_xlfn.IFS(S752&lt;=Constantes!$G$2,"Muito Curta (evitável)",S752&lt;=Constantes!$H$2,"Curta Distância",S752&gt;Constantes!$H$2,"Longa Distância")</f>
        <v>Muito Curta (evitável)</v>
      </c>
      <c r="AF752" s="114">
        <f>IFERROR(VLOOKUP(AE752,Constantes!$A$1:$E$5,MATCH(AD752,Constantes!$A$1:$E$1,0),0),"")</f>
        <v>0.27257678523489931</v>
      </c>
      <c r="AG752" s="115">
        <f t="shared" si="23"/>
        <v>148.89137006758813</v>
      </c>
    </row>
    <row r="753" spans="1:33" x14ac:dyDescent="0.3">
      <c r="A753">
        <f>COUNTIF($B$2:B753,B753)</f>
        <v>2</v>
      </c>
      <c r="B753">
        <v>19554620</v>
      </c>
      <c r="C753" t="s">
        <v>1695</v>
      </c>
      <c r="D753" t="s">
        <v>1696</v>
      </c>
      <c r="E753" t="s">
        <v>1697</v>
      </c>
      <c r="F753" t="s">
        <v>214</v>
      </c>
      <c r="G753" t="s">
        <v>211</v>
      </c>
      <c r="H753" t="s">
        <v>211</v>
      </c>
      <c r="I753" s="49">
        <v>45263</v>
      </c>
      <c r="J753" s="49">
        <v>45267</v>
      </c>
      <c r="K753" t="s">
        <v>1698</v>
      </c>
      <c r="L753" s="49">
        <v>45267</v>
      </c>
      <c r="M753" s="49">
        <v>45267</v>
      </c>
      <c r="N753" t="s">
        <v>107</v>
      </c>
      <c r="O753" t="s">
        <v>121</v>
      </c>
      <c r="P753">
        <f>VLOOKUP(N753,[1]ID_Cidades!$A$1:$E$5900,2,FALSE)</f>
        <v>295765</v>
      </c>
      <c r="Q753">
        <f>VLOOKUP(O753,[1]ID_Cidades!$A$1:$E$5900,2,FALSE)</f>
        <v>314439</v>
      </c>
      <c r="R753">
        <f t="shared" si="22"/>
        <v>93000050835</v>
      </c>
      <c r="S753" s="42">
        <f>VLOOKUP(R753,'[1]GCD base'!$A$1:$M$200,7,FALSE)</f>
        <v>546.23643000000004</v>
      </c>
      <c r="T753" t="s">
        <v>109</v>
      </c>
      <c r="U753" t="s">
        <v>201</v>
      </c>
      <c r="V753" t="s">
        <v>202</v>
      </c>
      <c r="W753" t="s">
        <v>210</v>
      </c>
      <c r="X753" t="s">
        <v>1699</v>
      </c>
      <c r="Y753">
        <v>0</v>
      </c>
      <c r="Z753">
        <v>0</v>
      </c>
      <c r="AA753">
        <v>1608.29</v>
      </c>
      <c r="AB753">
        <v>0</v>
      </c>
      <c r="AC753" s="49">
        <v>45252</v>
      </c>
      <c r="AD753" s="116" t="s">
        <v>10</v>
      </c>
      <c r="AE753" s="113" t="str" cm="1">
        <f t="array" ref="AE753">_xlfn.IFS(S753&lt;=Constantes!$G$2,"Muito Curta (evitável)",S753&lt;=Constantes!$H$2,"Curta Distância",S753&gt;Constantes!$H$2,"Longa Distância")</f>
        <v>Muito Curta (evitável)</v>
      </c>
      <c r="AF753" s="114">
        <f>IFERROR(VLOOKUP(AE753,Constantes!$A$1:$E$5,MATCH(AD753,Constantes!$A$1:$E$1,0),0),"")</f>
        <v>0.27257678523489931</v>
      </c>
      <c r="AG753" s="115">
        <f t="shared" si="23"/>
        <v>148.89137006758813</v>
      </c>
    </row>
    <row r="754" spans="1:33" x14ac:dyDescent="0.3">
      <c r="A754">
        <f>COUNTIF($B$2:B754,B754)</f>
        <v>1</v>
      </c>
      <c r="B754">
        <v>19571229</v>
      </c>
      <c r="C754" t="s">
        <v>1719</v>
      </c>
      <c r="D754" t="s">
        <v>1720</v>
      </c>
      <c r="E754" t="s">
        <v>1721</v>
      </c>
      <c r="F754" t="s">
        <v>587</v>
      </c>
      <c r="G754" t="s">
        <v>217</v>
      </c>
      <c r="H754" t="s">
        <v>217</v>
      </c>
      <c r="I754" s="49">
        <v>45263</v>
      </c>
      <c r="J754" s="49">
        <v>45268</v>
      </c>
      <c r="K754" t="s">
        <v>1722</v>
      </c>
      <c r="L754" s="49">
        <v>45268</v>
      </c>
      <c r="M754" s="49">
        <v>45268</v>
      </c>
      <c r="N754" t="s">
        <v>110</v>
      </c>
      <c r="O754" t="s">
        <v>107</v>
      </c>
      <c r="P754">
        <f>VLOOKUP(N754,[1]ID_Cidades!$A$1:$E$5900,2,FALSE)</f>
        <v>295763</v>
      </c>
      <c r="Q754">
        <f>VLOOKUP(O754,[1]ID_Cidades!$A$1:$E$5900,2,FALSE)</f>
        <v>295765</v>
      </c>
      <c r="R754">
        <f t="shared" si="22"/>
        <v>87476343695</v>
      </c>
      <c r="S754" s="42">
        <f>VLOOKUP(R754,'[1]GCD base'!$A$1:$M$200,7,FALSE)</f>
        <v>1713.419991</v>
      </c>
      <c r="T754" t="s">
        <v>109</v>
      </c>
      <c r="U754" t="s">
        <v>201</v>
      </c>
      <c r="V754" t="s">
        <v>202</v>
      </c>
      <c r="W754" t="s">
        <v>210</v>
      </c>
      <c r="X754" t="s">
        <v>1723</v>
      </c>
      <c r="Y754">
        <v>2041.72</v>
      </c>
      <c r="Z754">
        <v>0</v>
      </c>
      <c r="AA754">
        <v>1339.31</v>
      </c>
      <c r="AB754">
        <v>0</v>
      </c>
      <c r="AC754" s="49">
        <v>45257</v>
      </c>
      <c r="AD754" s="116" t="s">
        <v>10</v>
      </c>
      <c r="AE754" s="113" t="str" cm="1">
        <f t="array" ref="AE754">_xlfn.IFS(S754&lt;=Constantes!$G$2,"Muito Curta (evitável)",S754&lt;=Constantes!$H$2,"Curta Distância",S754&gt;Constantes!$H$2,"Longa Distância")</f>
        <v>Curta Distância</v>
      </c>
      <c r="AF754" s="114">
        <f>IFERROR(VLOOKUP(AE754,Constantes!$A$1:$E$5,MATCH(AD754,Constantes!$A$1:$E$1,0),0),"")</f>
        <v>0.18286935436241611</v>
      </c>
      <c r="AG754" s="115">
        <f t="shared" si="23"/>
        <v>313.33200750582682</v>
      </c>
    </row>
    <row r="755" spans="1:33" x14ac:dyDescent="0.3">
      <c r="A755">
        <f>COUNTIF($B$2:B755,B755)</f>
        <v>2</v>
      </c>
      <c r="B755">
        <v>19571229</v>
      </c>
      <c r="C755" t="s">
        <v>1719</v>
      </c>
      <c r="D755" t="s">
        <v>1720</v>
      </c>
      <c r="E755" t="s">
        <v>1721</v>
      </c>
      <c r="F755" t="s">
        <v>587</v>
      </c>
      <c r="G755" t="s">
        <v>217</v>
      </c>
      <c r="H755" t="s">
        <v>217</v>
      </c>
      <c r="I755" s="49">
        <v>45263</v>
      </c>
      <c r="J755" s="49">
        <v>45268</v>
      </c>
      <c r="K755" t="s">
        <v>1722</v>
      </c>
      <c r="L755" s="49">
        <v>45263</v>
      </c>
      <c r="M755" s="49">
        <v>45268</v>
      </c>
      <c r="N755" t="s">
        <v>107</v>
      </c>
      <c r="O755" t="s">
        <v>110</v>
      </c>
      <c r="P755">
        <f>VLOOKUP(N755,[1]ID_Cidades!$A$1:$E$5900,2,FALSE)</f>
        <v>295765</v>
      </c>
      <c r="Q755">
        <f>VLOOKUP(O755,[1]ID_Cidades!$A$1:$E$5900,2,FALSE)</f>
        <v>295763</v>
      </c>
      <c r="R755">
        <f t="shared" si="22"/>
        <v>87476343695</v>
      </c>
      <c r="S755" s="42">
        <f>VLOOKUP(R755,'[1]GCD base'!$A$1:$M$200,7,FALSE)</f>
        <v>1713.419991</v>
      </c>
      <c r="T755" t="s">
        <v>109</v>
      </c>
      <c r="U755" t="s">
        <v>205</v>
      </c>
      <c r="V755" t="s">
        <v>202</v>
      </c>
      <c r="W755" t="s">
        <v>210</v>
      </c>
      <c r="X755" t="s">
        <v>1723</v>
      </c>
      <c r="Y755">
        <v>0</v>
      </c>
      <c r="Z755">
        <v>0</v>
      </c>
      <c r="AA755">
        <v>1243.99</v>
      </c>
      <c r="AB755">
        <v>0</v>
      </c>
      <c r="AC755" s="49">
        <v>45257</v>
      </c>
      <c r="AD755" s="116" t="s">
        <v>10</v>
      </c>
      <c r="AE755" s="113" t="str" cm="1">
        <f t="array" ref="AE755">_xlfn.IFS(S755&lt;=Constantes!$G$2,"Muito Curta (evitável)",S755&lt;=Constantes!$H$2,"Curta Distância",S755&gt;Constantes!$H$2,"Longa Distância")</f>
        <v>Curta Distância</v>
      </c>
      <c r="AF755" s="114">
        <f>IFERROR(VLOOKUP(AE755,Constantes!$A$1:$E$5,MATCH(AD755,Constantes!$A$1:$E$1,0),0),"")</f>
        <v>0.18286935436241611</v>
      </c>
      <c r="AG755" s="115">
        <f t="shared" si="23"/>
        <v>313.33200750582682</v>
      </c>
    </row>
    <row r="756" spans="1:33" x14ac:dyDescent="0.3">
      <c r="A756">
        <f>COUNTIF($B$2:B756,B756)</f>
        <v>1</v>
      </c>
      <c r="B756">
        <v>19574903</v>
      </c>
      <c r="C756" t="s">
        <v>1738</v>
      </c>
      <c r="D756" t="s">
        <v>1739</v>
      </c>
      <c r="E756" t="s">
        <v>1740</v>
      </c>
      <c r="F756" t="s">
        <v>218</v>
      </c>
      <c r="G756" t="s">
        <v>207</v>
      </c>
      <c r="H756" t="s">
        <v>204</v>
      </c>
      <c r="I756" s="49">
        <v>45263</v>
      </c>
      <c r="J756" s="49">
        <v>45267</v>
      </c>
      <c r="K756" t="s">
        <v>1741</v>
      </c>
      <c r="L756" s="49">
        <v>45267</v>
      </c>
      <c r="M756" s="49">
        <v>45267</v>
      </c>
      <c r="N756" t="s">
        <v>107</v>
      </c>
      <c r="O756" t="s">
        <v>116</v>
      </c>
      <c r="P756">
        <f>VLOOKUP(N756,[1]ID_Cidades!$A$1:$E$5900,2,FALSE)</f>
        <v>295765</v>
      </c>
      <c r="Q756">
        <f>VLOOKUP(O756,[1]ID_Cidades!$A$1:$E$5900,2,FALSE)</f>
        <v>295778</v>
      </c>
      <c r="R756">
        <f t="shared" si="22"/>
        <v>87480780170</v>
      </c>
      <c r="S756" s="42">
        <f>VLOOKUP(R756,'[1]GCD base'!$A$1:$M$200,7,FALSE)</f>
        <v>1961.5007860000001</v>
      </c>
      <c r="T756" t="s">
        <v>109</v>
      </c>
      <c r="U756" t="s">
        <v>201</v>
      </c>
      <c r="V756" t="s">
        <v>202</v>
      </c>
      <c r="W756" t="s">
        <v>210</v>
      </c>
      <c r="X756" t="s">
        <v>1742</v>
      </c>
      <c r="Y756">
        <v>0</v>
      </c>
      <c r="Z756">
        <v>0</v>
      </c>
      <c r="AA756">
        <v>1704.9</v>
      </c>
      <c r="AB756">
        <v>0</v>
      </c>
      <c r="AC756" s="49">
        <v>45257</v>
      </c>
      <c r="AD756" s="116" t="s">
        <v>10</v>
      </c>
      <c r="AE756" s="113" t="str" cm="1">
        <f t="array" ref="AE756">_xlfn.IFS(S756&lt;=Constantes!$G$2,"Muito Curta (evitável)",S756&lt;=Constantes!$H$2,"Curta Distância",S756&gt;Constantes!$H$2,"Longa Distância")</f>
        <v>Curta Distância</v>
      </c>
      <c r="AF756" s="114">
        <f>IFERROR(VLOOKUP(AE756,Constantes!$A$1:$E$5,MATCH(AD756,Constantes!$A$1:$E$1,0),0),"")</f>
        <v>0.18286935436241611</v>
      </c>
      <c r="AG756" s="115">
        <f t="shared" si="23"/>
        <v>358.69838231719172</v>
      </c>
    </row>
    <row r="757" spans="1:33" x14ac:dyDescent="0.3">
      <c r="A757">
        <f>COUNTIF($B$2:B757,B757)</f>
        <v>2</v>
      </c>
      <c r="B757">
        <v>19574903</v>
      </c>
      <c r="C757" t="s">
        <v>1738</v>
      </c>
      <c r="D757" t="s">
        <v>1739</v>
      </c>
      <c r="E757" t="s">
        <v>1740</v>
      </c>
      <c r="F757" t="s">
        <v>218</v>
      </c>
      <c r="G757" t="s">
        <v>207</v>
      </c>
      <c r="H757" t="s">
        <v>204</v>
      </c>
      <c r="I757" s="49">
        <v>45263</v>
      </c>
      <c r="J757" s="49">
        <v>45267</v>
      </c>
      <c r="K757" t="s">
        <v>1741</v>
      </c>
      <c r="L757" s="49">
        <v>45263</v>
      </c>
      <c r="M757" s="49">
        <v>45267</v>
      </c>
      <c r="N757" t="s">
        <v>116</v>
      </c>
      <c r="O757" t="s">
        <v>107</v>
      </c>
      <c r="P757">
        <f>VLOOKUP(N757,[1]ID_Cidades!$A$1:$E$5900,2,FALSE)</f>
        <v>295778</v>
      </c>
      <c r="Q757">
        <f>VLOOKUP(O757,[1]ID_Cidades!$A$1:$E$5900,2,FALSE)</f>
        <v>295765</v>
      </c>
      <c r="R757">
        <f t="shared" si="22"/>
        <v>87480780170</v>
      </c>
      <c r="S757" s="42">
        <f>VLOOKUP(R757,'[1]GCD base'!$A$1:$M$200,7,FALSE)</f>
        <v>1961.5007860000001</v>
      </c>
      <c r="T757" t="s">
        <v>109</v>
      </c>
      <c r="U757" t="s">
        <v>205</v>
      </c>
      <c r="V757" t="s">
        <v>202</v>
      </c>
      <c r="W757" t="s">
        <v>210</v>
      </c>
      <c r="X757" t="s">
        <v>1742</v>
      </c>
      <c r="Y757">
        <v>0</v>
      </c>
      <c r="Z757">
        <v>0</v>
      </c>
      <c r="AA757">
        <v>1708.19</v>
      </c>
      <c r="AB757">
        <v>0</v>
      </c>
      <c r="AC757" s="49">
        <v>45257</v>
      </c>
      <c r="AD757" s="116" t="s">
        <v>10</v>
      </c>
      <c r="AE757" s="113" t="str" cm="1">
        <f t="array" ref="AE757">_xlfn.IFS(S757&lt;=Constantes!$G$2,"Muito Curta (evitável)",S757&lt;=Constantes!$H$2,"Curta Distância",S757&gt;Constantes!$H$2,"Longa Distância")</f>
        <v>Curta Distância</v>
      </c>
      <c r="AF757" s="114">
        <f>IFERROR(VLOOKUP(AE757,Constantes!$A$1:$E$5,MATCH(AD757,Constantes!$A$1:$E$1,0),0),"")</f>
        <v>0.18286935436241611</v>
      </c>
      <c r="AG757" s="115">
        <f t="shared" si="23"/>
        <v>358.69838231719172</v>
      </c>
    </row>
    <row r="758" spans="1:33" x14ac:dyDescent="0.3">
      <c r="A758">
        <f>COUNTIF($B$2:B758,B758)</f>
        <v>1</v>
      </c>
      <c r="B758">
        <v>19103460</v>
      </c>
      <c r="C758" t="s">
        <v>417</v>
      </c>
      <c r="D758" t="s">
        <v>418</v>
      </c>
      <c r="E758" t="s">
        <v>419</v>
      </c>
      <c r="F758" t="s">
        <v>198</v>
      </c>
      <c r="G758" t="s">
        <v>207</v>
      </c>
      <c r="H758" t="s">
        <v>204</v>
      </c>
      <c r="I758" s="49">
        <v>45264</v>
      </c>
      <c r="J758" s="49">
        <v>45269</v>
      </c>
      <c r="K758" t="s">
        <v>420</v>
      </c>
      <c r="L758" s="49">
        <v>45269</v>
      </c>
      <c r="M758" s="49">
        <v>45269</v>
      </c>
      <c r="N758" t="s">
        <v>114</v>
      </c>
      <c r="O758" t="s">
        <v>107</v>
      </c>
      <c r="P758">
        <f>VLOOKUP(N758,[1]ID_Cidades!$A$1:$E$5900,2,FALSE)</f>
        <v>295777</v>
      </c>
      <c r="Q758">
        <f>VLOOKUP(O758,[1]ID_Cidades!$A$1:$E$5900,2,FALSE)</f>
        <v>295765</v>
      </c>
      <c r="R758">
        <f t="shared" si="22"/>
        <v>87480484405</v>
      </c>
      <c r="S758" s="42">
        <f>VLOOKUP(R758,'[1]GCD base'!$A$1:$M$200,7,FALSE)</f>
        <v>1714.8365369999999</v>
      </c>
      <c r="T758" t="s">
        <v>109</v>
      </c>
      <c r="U758" t="s">
        <v>201</v>
      </c>
      <c r="V758" t="s">
        <v>202</v>
      </c>
      <c r="W758" t="s">
        <v>203</v>
      </c>
      <c r="X758" t="s">
        <v>204</v>
      </c>
      <c r="Y758">
        <v>1552.9</v>
      </c>
      <c r="Z758">
        <v>0</v>
      </c>
      <c r="AA758">
        <v>860.8</v>
      </c>
      <c r="AB758">
        <v>0</v>
      </c>
      <c r="AC758" s="49">
        <v>45135</v>
      </c>
      <c r="AD758" s="116" t="s">
        <v>10</v>
      </c>
      <c r="AE758" s="113" t="str" cm="1">
        <f t="array" ref="AE758">_xlfn.IFS(S758&lt;=Constantes!$G$2,"Muito Curta (evitável)",S758&lt;=Constantes!$H$2,"Curta Distância",S758&gt;Constantes!$H$2,"Longa Distância")</f>
        <v>Curta Distância</v>
      </c>
      <c r="AF758" s="114">
        <f>IFERROR(VLOOKUP(AE758,Constantes!$A$1:$E$5,MATCH(AD758,Constantes!$A$1:$E$1,0),0),"")</f>
        <v>0.18286935436241611</v>
      </c>
      <c r="AG758" s="115">
        <f t="shared" si="23"/>
        <v>313.59105035827145</v>
      </c>
    </row>
    <row r="759" spans="1:33" x14ac:dyDescent="0.3">
      <c r="A759">
        <f>COUNTIF($B$2:B759,B759)</f>
        <v>2</v>
      </c>
      <c r="B759">
        <v>19103460</v>
      </c>
      <c r="C759" t="s">
        <v>417</v>
      </c>
      <c r="D759" t="s">
        <v>418</v>
      </c>
      <c r="E759" t="s">
        <v>419</v>
      </c>
      <c r="F759" t="s">
        <v>198</v>
      </c>
      <c r="G759" t="s">
        <v>207</v>
      </c>
      <c r="H759" t="s">
        <v>204</v>
      </c>
      <c r="I759" s="49">
        <v>45264</v>
      </c>
      <c r="J759" s="49">
        <v>45269</v>
      </c>
      <c r="K759" t="s">
        <v>420</v>
      </c>
      <c r="L759" s="49">
        <v>45264</v>
      </c>
      <c r="M759" s="49">
        <v>45264</v>
      </c>
      <c r="N759" t="s">
        <v>107</v>
      </c>
      <c r="O759" t="s">
        <v>114</v>
      </c>
      <c r="P759">
        <f>VLOOKUP(N759,[1]ID_Cidades!$A$1:$E$5900,2,FALSE)</f>
        <v>295765</v>
      </c>
      <c r="Q759">
        <f>VLOOKUP(O759,[1]ID_Cidades!$A$1:$E$5900,2,FALSE)</f>
        <v>295777</v>
      </c>
      <c r="R759">
        <f t="shared" si="22"/>
        <v>87480484405</v>
      </c>
      <c r="S759" s="42">
        <f>VLOOKUP(R759,'[1]GCD base'!$A$1:$M$200,7,FALSE)</f>
        <v>1714.8365369999999</v>
      </c>
      <c r="T759" t="s">
        <v>109</v>
      </c>
      <c r="U759" t="s">
        <v>201</v>
      </c>
      <c r="V759" t="s">
        <v>202</v>
      </c>
      <c r="W759" t="s">
        <v>203</v>
      </c>
      <c r="X759" t="s">
        <v>204</v>
      </c>
      <c r="Y759">
        <v>0</v>
      </c>
      <c r="Z759">
        <v>0</v>
      </c>
      <c r="AA759">
        <v>686.69</v>
      </c>
      <c r="AB759">
        <v>0</v>
      </c>
      <c r="AC759" s="49">
        <v>45135</v>
      </c>
      <c r="AD759" s="116" t="s">
        <v>10</v>
      </c>
      <c r="AE759" s="113" t="str" cm="1">
        <f t="array" ref="AE759">_xlfn.IFS(S759&lt;=Constantes!$G$2,"Muito Curta (evitável)",S759&lt;=Constantes!$H$2,"Curta Distância",S759&gt;Constantes!$H$2,"Longa Distância")</f>
        <v>Curta Distância</v>
      </c>
      <c r="AF759" s="114">
        <f>IFERROR(VLOOKUP(AE759,Constantes!$A$1:$E$5,MATCH(AD759,Constantes!$A$1:$E$1,0),0),"")</f>
        <v>0.18286935436241611</v>
      </c>
      <c r="AG759" s="115">
        <f t="shared" si="23"/>
        <v>313.59105035827145</v>
      </c>
    </row>
    <row r="760" spans="1:33" x14ac:dyDescent="0.3">
      <c r="A760">
        <f>COUNTIF($B$2:B760,B760)</f>
        <v>1</v>
      </c>
      <c r="B760">
        <v>19463948</v>
      </c>
      <c r="C760" t="s">
        <v>1617</v>
      </c>
      <c r="D760" t="s">
        <v>1618</v>
      </c>
      <c r="E760" t="s">
        <v>1619</v>
      </c>
      <c r="F760" t="s">
        <v>1620</v>
      </c>
      <c r="G760" t="s">
        <v>221</v>
      </c>
      <c r="H760" t="s">
        <v>200</v>
      </c>
      <c r="I760" s="49">
        <v>45264</v>
      </c>
      <c r="J760" s="49">
        <v>45268</v>
      </c>
      <c r="K760" t="s">
        <v>1621</v>
      </c>
      <c r="L760" s="49">
        <v>45264</v>
      </c>
      <c r="M760" s="49">
        <v>45268</v>
      </c>
      <c r="N760" t="s">
        <v>107</v>
      </c>
      <c r="O760" t="s">
        <v>110</v>
      </c>
      <c r="P760">
        <f>VLOOKUP(N760,[1]ID_Cidades!$A$1:$E$5900,2,FALSE)</f>
        <v>295765</v>
      </c>
      <c r="Q760">
        <f>VLOOKUP(O760,[1]ID_Cidades!$A$1:$E$5900,2,FALSE)</f>
        <v>295763</v>
      </c>
      <c r="R760">
        <f t="shared" si="22"/>
        <v>87476343695</v>
      </c>
      <c r="S760" s="42">
        <f>VLOOKUP(R760,'[1]GCD base'!$A$1:$M$200,7,FALSE)</f>
        <v>1713.419991</v>
      </c>
      <c r="T760" t="s">
        <v>109</v>
      </c>
      <c r="U760" t="s">
        <v>205</v>
      </c>
      <c r="V760" t="s">
        <v>202</v>
      </c>
      <c r="W760" t="s">
        <v>203</v>
      </c>
      <c r="X760" t="s">
        <v>204</v>
      </c>
      <c r="Y760">
        <v>1660.58</v>
      </c>
      <c r="Z760">
        <v>0</v>
      </c>
      <c r="AA760">
        <v>956.41</v>
      </c>
      <c r="AB760">
        <v>0</v>
      </c>
      <c r="AC760" s="49">
        <v>45230</v>
      </c>
      <c r="AD760" s="116" t="s">
        <v>10</v>
      </c>
      <c r="AE760" s="113" t="str" cm="1">
        <f t="array" ref="AE760">_xlfn.IFS(S760&lt;=Constantes!$G$2,"Muito Curta (evitável)",S760&lt;=Constantes!$H$2,"Curta Distância",S760&gt;Constantes!$H$2,"Longa Distância")</f>
        <v>Curta Distância</v>
      </c>
      <c r="AF760" s="114">
        <f>IFERROR(VLOOKUP(AE760,Constantes!$A$1:$E$5,MATCH(AD760,Constantes!$A$1:$E$1,0),0),"")</f>
        <v>0.18286935436241611</v>
      </c>
      <c r="AG760" s="115">
        <f t="shared" si="23"/>
        <v>313.33200750582682</v>
      </c>
    </row>
    <row r="761" spans="1:33" x14ac:dyDescent="0.3">
      <c r="A761">
        <f>COUNTIF($B$2:B761,B761)</f>
        <v>2</v>
      </c>
      <c r="B761">
        <v>19463948</v>
      </c>
      <c r="C761" t="s">
        <v>1617</v>
      </c>
      <c r="D761" t="s">
        <v>1618</v>
      </c>
      <c r="E761" t="s">
        <v>1619</v>
      </c>
      <c r="F761" t="s">
        <v>1620</v>
      </c>
      <c r="G761" t="s">
        <v>221</v>
      </c>
      <c r="H761" t="s">
        <v>200</v>
      </c>
      <c r="I761" s="49">
        <v>45264</v>
      </c>
      <c r="J761" s="49">
        <v>45268</v>
      </c>
      <c r="K761" t="s">
        <v>1621</v>
      </c>
      <c r="L761" s="49">
        <v>45268</v>
      </c>
      <c r="M761" s="49">
        <v>45268</v>
      </c>
      <c r="N761" t="s">
        <v>110</v>
      </c>
      <c r="O761" t="s">
        <v>107</v>
      </c>
      <c r="P761">
        <f>VLOOKUP(N761,[1]ID_Cidades!$A$1:$E$5900,2,FALSE)</f>
        <v>295763</v>
      </c>
      <c r="Q761">
        <f>VLOOKUP(O761,[1]ID_Cidades!$A$1:$E$5900,2,FALSE)</f>
        <v>295765</v>
      </c>
      <c r="R761">
        <f t="shared" si="22"/>
        <v>87476343695</v>
      </c>
      <c r="S761" s="42">
        <f>VLOOKUP(R761,'[1]GCD base'!$A$1:$M$200,7,FALSE)</f>
        <v>1713.419991</v>
      </c>
      <c r="T761" t="s">
        <v>109</v>
      </c>
      <c r="U761" t="s">
        <v>201</v>
      </c>
      <c r="V761" t="s">
        <v>202</v>
      </c>
      <c r="W761" t="s">
        <v>203</v>
      </c>
      <c r="X761" t="s">
        <v>204</v>
      </c>
      <c r="Y761">
        <v>0</v>
      </c>
      <c r="Z761">
        <v>0</v>
      </c>
      <c r="AA761">
        <v>651.99</v>
      </c>
      <c r="AB761">
        <v>0</v>
      </c>
      <c r="AC761" s="49">
        <v>45230</v>
      </c>
      <c r="AD761" s="116" t="s">
        <v>10</v>
      </c>
      <c r="AE761" s="113" t="str" cm="1">
        <f t="array" ref="AE761">_xlfn.IFS(S761&lt;=Constantes!$G$2,"Muito Curta (evitável)",S761&lt;=Constantes!$H$2,"Curta Distância",S761&gt;Constantes!$H$2,"Longa Distância")</f>
        <v>Curta Distância</v>
      </c>
      <c r="AF761" s="114">
        <f>IFERROR(VLOOKUP(AE761,Constantes!$A$1:$E$5,MATCH(AD761,Constantes!$A$1:$E$1,0),0),"")</f>
        <v>0.18286935436241611</v>
      </c>
      <c r="AG761" s="115">
        <f t="shared" si="23"/>
        <v>313.33200750582682</v>
      </c>
    </row>
    <row r="762" spans="1:33" x14ac:dyDescent="0.3">
      <c r="A762">
        <f>COUNTIF($B$2:B762,B762)</f>
        <v>1</v>
      </c>
      <c r="B762">
        <v>19464956</v>
      </c>
      <c r="C762" t="s">
        <v>1622</v>
      </c>
      <c r="D762" t="s">
        <v>1623</v>
      </c>
      <c r="E762" t="s">
        <v>1624</v>
      </c>
      <c r="F762" t="s">
        <v>234</v>
      </c>
      <c r="G762" t="s">
        <v>199</v>
      </c>
      <c r="H762" t="s">
        <v>200</v>
      </c>
      <c r="I762" s="49">
        <v>45264</v>
      </c>
      <c r="J762" s="49">
        <v>45268</v>
      </c>
      <c r="K762" t="s">
        <v>1625</v>
      </c>
      <c r="L762" s="49">
        <v>45268</v>
      </c>
      <c r="M762" s="49">
        <v>45268</v>
      </c>
      <c r="N762" t="s">
        <v>110</v>
      </c>
      <c r="O762" t="s">
        <v>107</v>
      </c>
      <c r="P762">
        <f>VLOOKUP(N762,[1]ID_Cidades!$A$1:$E$5900,2,FALSE)</f>
        <v>295763</v>
      </c>
      <c r="Q762">
        <f>VLOOKUP(O762,[1]ID_Cidades!$A$1:$E$5900,2,FALSE)</f>
        <v>295765</v>
      </c>
      <c r="R762">
        <f t="shared" si="22"/>
        <v>87476343695</v>
      </c>
      <c r="S762" s="42">
        <f>VLOOKUP(R762,'[1]GCD base'!$A$1:$M$200,7,FALSE)</f>
        <v>1713.419991</v>
      </c>
      <c r="T762" t="s">
        <v>109</v>
      </c>
      <c r="U762" t="s">
        <v>201</v>
      </c>
      <c r="V762" t="s">
        <v>202</v>
      </c>
      <c r="W762" t="s">
        <v>203</v>
      </c>
      <c r="X762" t="s">
        <v>204</v>
      </c>
      <c r="Y762">
        <v>1896.15</v>
      </c>
      <c r="Z762">
        <v>0</v>
      </c>
      <c r="AA762">
        <v>651.99</v>
      </c>
      <c r="AB762">
        <v>0</v>
      </c>
      <c r="AC762" s="49">
        <v>45230</v>
      </c>
      <c r="AD762" s="116" t="s">
        <v>10</v>
      </c>
      <c r="AE762" s="113" t="str" cm="1">
        <f t="array" ref="AE762">_xlfn.IFS(S762&lt;=Constantes!$G$2,"Muito Curta (evitável)",S762&lt;=Constantes!$H$2,"Curta Distância",S762&gt;Constantes!$H$2,"Longa Distância")</f>
        <v>Curta Distância</v>
      </c>
      <c r="AF762" s="114">
        <f>IFERROR(VLOOKUP(AE762,Constantes!$A$1:$E$5,MATCH(AD762,Constantes!$A$1:$E$1,0),0),"")</f>
        <v>0.18286935436241611</v>
      </c>
      <c r="AG762" s="115">
        <f t="shared" si="23"/>
        <v>313.33200750582682</v>
      </c>
    </row>
    <row r="763" spans="1:33" x14ac:dyDescent="0.3">
      <c r="A763">
        <f>COUNTIF($B$2:B763,B763)</f>
        <v>2</v>
      </c>
      <c r="B763">
        <v>19464956</v>
      </c>
      <c r="C763" t="s">
        <v>1622</v>
      </c>
      <c r="D763" t="s">
        <v>1623</v>
      </c>
      <c r="E763" t="s">
        <v>1624</v>
      </c>
      <c r="F763" t="s">
        <v>234</v>
      </c>
      <c r="G763" t="s">
        <v>199</v>
      </c>
      <c r="H763" t="s">
        <v>200</v>
      </c>
      <c r="I763" s="49">
        <v>45264</v>
      </c>
      <c r="J763" s="49">
        <v>45268</v>
      </c>
      <c r="K763" t="s">
        <v>1625</v>
      </c>
      <c r="L763" s="49">
        <v>45264</v>
      </c>
      <c r="M763" s="49">
        <v>45268</v>
      </c>
      <c r="N763" t="s">
        <v>107</v>
      </c>
      <c r="O763" t="s">
        <v>110</v>
      </c>
      <c r="P763">
        <f>VLOOKUP(N763,[1]ID_Cidades!$A$1:$E$5900,2,FALSE)</f>
        <v>295765</v>
      </c>
      <c r="Q763">
        <f>VLOOKUP(O763,[1]ID_Cidades!$A$1:$E$5900,2,FALSE)</f>
        <v>295763</v>
      </c>
      <c r="R763">
        <f t="shared" si="22"/>
        <v>87476343695</v>
      </c>
      <c r="S763" s="42">
        <f>VLOOKUP(R763,'[1]GCD base'!$A$1:$M$200,7,FALSE)</f>
        <v>1713.419991</v>
      </c>
      <c r="T763" t="s">
        <v>109</v>
      </c>
      <c r="U763" t="s">
        <v>205</v>
      </c>
      <c r="V763" t="s">
        <v>202</v>
      </c>
      <c r="W763" t="s">
        <v>203</v>
      </c>
      <c r="X763" t="s">
        <v>204</v>
      </c>
      <c r="Y763">
        <v>0</v>
      </c>
      <c r="Z763">
        <v>0</v>
      </c>
      <c r="AA763">
        <v>956.41</v>
      </c>
      <c r="AB763">
        <v>0</v>
      </c>
      <c r="AC763" s="49">
        <v>45230</v>
      </c>
      <c r="AD763" s="116" t="s">
        <v>10</v>
      </c>
      <c r="AE763" s="113" t="str" cm="1">
        <f t="array" ref="AE763">_xlfn.IFS(S763&lt;=Constantes!$G$2,"Muito Curta (evitável)",S763&lt;=Constantes!$H$2,"Curta Distância",S763&gt;Constantes!$H$2,"Longa Distância")</f>
        <v>Curta Distância</v>
      </c>
      <c r="AF763" s="114">
        <f>IFERROR(VLOOKUP(AE763,Constantes!$A$1:$E$5,MATCH(AD763,Constantes!$A$1:$E$1,0),0),"")</f>
        <v>0.18286935436241611</v>
      </c>
      <c r="AG763" s="115">
        <f t="shared" si="23"/>
        <v>313.33200750582682</v>
      </c>
    </row>
    <row r="764" spans="1:33" x14ac:dyDescent="0.3">
      <c r="A764">
        <f>COUNTIF($B$2:B764,B764)</f>
        <v>1</v>
      </c>
      <c r="B764">
        <v>19465035</v>
      </c>
      <c r="C764" t="s">
        <v>1626</v>
      </c>
      <c r="D764" t="s">
        <v>1627</v>
      </c>
      <c r="E764" t="s">
        <v>1628</v>
      </c>
      <c r="F764" t="s">
        <v>1629</v>
      </c>
      <c r="G764" t="s">
        <v>221</v>
      </c>
      <c r="H764" t="s">
        <v>200</v>
      </c>
      <c r="I764" s="49">
        <v>45264</v>
      </c>
      <c r="J764" s="49">
        <v>45268</v>
      </c>
      <c r="K764" t="s">
        <v>1625</v>
      </c>
      <c r="L764" s="49">
        <v>45264</v>
      </c>
      <c r="M764" s="49">
        <v>45268</v>
      </c>
      <c r="N764" t="s">
        <v>107</v>
      </c>
      <c r="O764" t="s">
        <v>110</v>
      </c>
      <c r="P764">
        <f>VLOOKUP(N764,[1]ID_Cidades!$A$1:$E$5900,2,FALSE)</f>
        <v>295765</v>
      </c>
      <c r="Q764">
        <f>VLOOKUP(O764,[1]ID_Cidades!$A$1:$E$5900,2,FALSE)</f>
        <v>295763</v>
      </c>
      <c r="R764">
        <f t="shared" si="22"/>
        <v>87476343695</v>
      </c>
      <c r="S764" s="42">
        <f>VLOOKUP(R764,'[1]GCD base'!$A$1:$M$200,7,FALSE)</f>
        <v>1713.419991</v>
      </c>
      <c r="T764" t="s">
        <v>109</v>
      </c>
      <c r="U764" t="s">
        <v>205</v>
      </c>
      <c r="V764" t="s">
        <v>202</v>
      </c>
      <c r="W764" t="s">
        <v>203</v>
      </c>
      <c r="X764" t="s">
        <v>204</v>
      </c>
      <c r="Y764">
        <v>1660.58</v>
      </c>
      <c r="Z764">
        <v>0</v>
      </c>
      <c r="AA764">
        <v>995.41</v>
      </c>
      <c r="AB764">
        <v>0</v>
      </c>
      <c r="AC764" s="49">
        <v>45231</v>
      </c>
      <c r="AD764" s="116" t="s">
        <v>10</v>
      </c>
      <c r="AE764" s="113" t="str" cm="1">
        <f t="array" ref="AE764">_xlfn.IFS(S764&lt;=Constantes!$G$2,"Muito Curta (evitável)",S764&lt;=Constantes!$H$2,"Curta Distância",S764&gt;Constantes!$H$2,"Longa Distância")</f>
        <v>Curta Distância</v>
      </c>
      <c r="AF764" s="114">
        <f>IFERROR(VLOOKUP(AE764,Constantes!$A$1:$E$5,MATCH(AD764,Constantes!$A$1:$E$1,0),0),"")</f>
        <v>0.18286935436241611</v>
      </c>
      <c r="AG764" s="115">
        <f t="shared" si="23"/>
        <v>313.33200750582682</v>
      </c>
    </row>
    <row r="765" spans="1:33" x14ac:dyDescent="0.3">
      <c r="A765">
        <f>COUNTIF($B$2:B765,B765)</f>
        <v>2</v>
      </c>
      <c r="B765">
        <v>19465035</v>
      </c>
      <c r="C765" t="s">
        <v>1626</v>
      </c>
      <c r="D765" t="s">
        <v>1627</v>
      </c>
      <c r="E765" t="s">
        <v>1628</v>
      </c>
      <c r="F765" t="s">
        <v>1629</v>
      </c>
      <c r="G765" t="s">
        <v>221</v>
      </c>
      <c r="H765" t="s">
        <v>200</v>
      </c>
      <c r="I765" s="49">
        <v>45264</v>
      </c>
      <c r="J765" s="49">
        <v>45268</v>
      </c>
      <c r="K765" t="s">
        <v>1625</v>
      </c>
      <c r="L765" s="49">
        <v>45268</v>
      </c>
      <c r="M765" s="49">
        <v>45268</v>
      </c>
      <c r="N765" t="s">
        <v>110</v>
      </c>
      <c r="O765" t="s">
        <v>107</v>
      </c>
      <c r="P765">
        <f>VLOOKUP(N765,[1]ID_Cidades!$A$1:$E$5900,2,FALSE)</f>
        <v>295763</v>
      </c>
      <c r="Q765">
        <f>VLOOKUP(O765,[1]ID_Cidades!$A$1:$E$5900,2,FALSE)</f>
        <v>295765</v>
      </c>
      <c r="R765">
        <f t="shared" si="22"/>
        <v>87476343695</v>
      </c>
      <c r="S765" s="42">
        <f>VLOOKUP(R765,'[1]GCD base'!$A$1:$M$200,7,FALSE)</f>
        <v>1713.419991</v>
      </c>
      <c r="T765" t="s">
        <v>109</v>
      </c>
      <c r="U765" t="s">
        <v>201</v>
      </c>
      <c r="V765" t="s">
        <v>202</v>
      </c>
      <c r="W765" t="s">
        <v>203</v>
      </c>
      <c r="X765" t="s">
        <v>204</v>
      </c>
      <c r="Y765">
        <v>0</v>
      </c>
      <c r="Z765">
        <v>0</v>
      </c>
      <c r="AA765">
        <v>709.99</v>
      </c>
      <c r="AB765">
        <v>0</v>
      </c>
      <c r="AC765" s="49">
        <v>45231</v>
      </c>
      <c r="AD765" s="116" t="s">
        <v>10</v>
      </c>
      <c r="AE765" s="113" t="str" cm="1">
        <f t="array" ref="AE765">_xlfn.IFS(S765&lt;=Constantes!$G$2,"Muito Curta (evitável)",S765&lt;=Constantes!$H$2,"Curta Distância",S765&gt;Constantes!$H$2,"Longa Distância")</f>
        <v>Curta Distância</v>
      </c>
      <c r="AF765" s="114">
        <f>IFERROR(VLOOKUP(AE765,Constantes!$A$1:$E$5,MATCH(AD765,Constantes!$A$1:$E$1,0),0),"")</f>
        <v>0.18286935436241611</v>
      </c>
      <c r="AG765" s="115">
        <f t="shared" si="23"/>
        <v>313.33200750582682</v>
      </c>
    </row>
    <row r="766" spans="1:33" x14ac:dyDescent="0.3">
      <c r="A766">
        <f>COUNTIF($B$2:B766,B766)</f>
        <v>1</v>
      </c>
      <c r="B766">
        <v>19519639</v>
      </c>
      <c r="C766" t="s">
        <v>1656</v>
      </c>
      <c r="D766" t="s">
        <v>218</v>
      </c>
      <c r="E766" t="s">
        <v>1657</v>
      </c>
      <c r="F766" t="s">
        <v>218</v>
      </c>
      <c r="G766" t="s">
        <v>207</v>
      </c>
      <c r="H766" t="s">
        <v>204</v>
      </c>
      <c r="I766" s="49">
        <v>45264</v>
      </c>
      <c r="J766" s="49">
        <v>45267</v>
      </c>
      <c r="K766" t="s">
        <v>1658</v>
      </c>
      <c r="L766" s="49">
        <v>45267</v>
      </c>
      <c r="M766" s="49">
        <v>45267</v>
      </c>
      <c r="N766" t="s">
        <v>107</v>
      </c>
      <c r="O766" t="s">
        <v>110</v>
      </c>
      <c r="P766">
        <f>VLOOKUP(N766,[1]ID_Cidades!$A$1:$E$5900,2,FALSE)</f>
        <v>295765</v>
      </c>
      <c r="Q766">
        <f>VLOOKUP(O766,[1]ID_Cidades!$A$1:$E$5900,2,FALSE)</f>
        <v>295763</v>
      </c>
      <c r="R766">
        <f t="shared" si="22"/>
        <v>87476343695</v>
      </c>
      <c r="S766" s="42">
        <f>VLOOKUP(R766,'[1]GCD base'!$A$1:$M$200,7,FALSE)</f>
        <v>1713.419991</v>
      </c>
      <c r="T766" t="s">
        <v>109</v>
      </c>
      <c r="U766" t="s">
        <v>201</v>
      </c>
      <c r="V766" t="s">
        <v>202</v>
      </c>
      <c r="W766" t="s">
        <v>203</v>
      </c>
      <c r="X766" t="s">
        <v>204</v>
      </c>
      <c r="Y766">
        <v>0</v>
      </c>
      <c r="Z766">
        <v>0</v>
      </c>
      <c r="AA766">
        <v>1403.51</v>
      </c>
      <c r="AB766">
        <v>0</v>
      </c>
      <c r="AC766" s="49">
        <v>45244</v>
      </c>
      <c r="AD766" s="116" t="s">
        <v>10</v>
      </c>
      <c r="AE766" s="113" t="str" cm="1">
        <f t="array" ref="AE766">_xlfn.IFS(S766&lt;=Constantes!$G$2,"Muito Curta (evitável)",S766&lt;=Constantes!$H$2,"Curta Distância",S766&gt;Constantes!$H$2,"Longa Distância")</f>
        <v>Curta Distância</v>
      </c>
      <c r="AF766" s="114">
        <f>IFERROR(VLOOKUP(AE766,Constantes!$A$1:$E$5,MATCH(AD766,Constantes!$A$1:$E$1,0),0),"")</f>
        <v>0.18286935436241611</v>
      </c>
      <c r="AG766" s="115">
        <f t="shared" si="23"/>
        <v>313.33200750582682</v>
      </c>
    </row>
    <row r="767" spans="1:33" x14ac:dyDescent="0.3">
      <c r="A767">
        <f>COUNTIF($B$2:B767,B767)</f>
        <v>2</v>
      </c>
      <c r="B767">
        <v>19519639</v>
      </c>
      <c r="C767" t="s">
        <v>1656</v>
      </c>
      <c r="D767" t="s">
        <v>218</v>
      </c>
      <c r="E767" t="s">
        <v>1657</v>
      </c>
      <c r="F767" t="s">
        <v>218</v>
      </c>
      <c r="G767" t="s">
        <v>207</v>
      </c>
      <c r="H767" t="s">
        <v>204</v>
      </c>
      <c r="I767" s="49">
        <v>45264</v>
      </c>
      <c r="J767" s="49">
        <v>45267</v>
      </c>
      <c r="K767" t="s">
        <v>1658</v>
      </c>
      <c r="L767" s="49">
        <v>45264</v>
      </c>
      <c r="M767" s="49">
        <v>45267</v>
      </c>
      <c r="N767" t="s">
        <v>110</v>
      </c>
      <c r="O767" t="s">
        <v>107</v>
      </c>
      <c r="P767">
        <f>VLOOKUP(N767,[1]ID_Cidades!$A$1:$E$5900,2,FALSE)</f>
        <v>295763</v>
      </c>
      <c r="Q767">
        <f>VLOOKUP(O767,[1]ID_Cidades!$A$1:$E$5900,2,FALSE)</f>
        <v>295765</v>
      </c>
      <c r="R767">
        <f t="shared" si="22"/>
        <v>87476343695</v>
      </c>
      <c r="S767" s="42">
        <f>VLOOKUP(R767,'[1]GCD base'!$A$1:$M$200,7,FALSE)</f>
        <v>1713.419991</v>
      </c>
      <c r="T767" t="s">
        <v>109</v>
      </c>
      <c r="U767" t="s">
        <v>205</v>
      </c>
      <c r="V767" t="s">
        <v>202</v>
      </c>
      <c r="W767" t="s">
        <v>203</v>
      </c>
      <c r="X767" t="s">
        <v>204</v>
      </c>
      <c r="Y767">
        <v>0</v>
      </c>
      <c r="Z767">
        <v>0</v>
      </c>
      <c r="AA767">
        <v>831.99</v>
      </c>
      <c r="AB767">
        <v>0</v>
      </c>
      <c r="AC767" s="49">
        <v>45244</v>
      </c>
      <c r="AD767" s="116" t="s">
        <v>10</v>
      </c>
      <c r="AE767" s="113" t="str" cm="1">
        <f t="array" ref="AE767">_xlfn.IFS(S767&lt;=Constantes!$G$2,"Muito Curta (evitável)",S767&lt;=Constantes!$H$2,"Curta Distância",S767&gt;Constantes!$H$2,"Longa Distância")</f>
        <v>Curta Distância</v>
      </c>
      <c r="AF767" s="114">
        <f>IFERROR(VLOOKUP(AE767,Constantes!$A$1:$E$5,MATCH(AD767,Constantes!$A$1:$E$1,0),0),"")</f>
        <v>0.18286935436241611</v>
      </c>
      <c r="AG767" s="115">
        <f t="shared" si="23"/>
        <v>313.33200750582682</v>
      </c>
    </row>
    <row r="768" spans="1:33" x14ac:dyDescent="0.3">
      <c r="A768">
        <f>COUNTIF($B$2:B768,B768)</f>
        <v>1</v>
      </c>
      <c r="B768">
        <v>19531654</v>
      </c>
      <c r="C768" t="s">
        <v>1674</v>
      </c>
      <c r="D768" t="s">
        <v>218</v>
      </c>
      <c r="E768" t="s">
        <v>1675</v>
      </c>
      <c r="F768" t="s">
        <v>218</v>
      </c>
      <c r="G768" t="s">
        <v>207</v>
      </c>
      <c r="H768" t="s">
        <v>204</v>
      </c>
      <c r="I768" s="49">
        <v>45264</v>
      </c>
      <c r="J768" s="49">
        <v>45267</v>
      </c>
      <c r="K768" t="s">
        <v>1676</v>
      </c>
      <c r="L768" s="49">
        <v>45267</v>
      </c>
      <c r="M768" s="49">
        <v>45267</v>
      </c>
      <c r="N768" t="s">
        <v>107</v>
      </c>
      <c r="O768" t="s">
        <v>117</v>
      </c>
      <c r="P768">
        <f>VLOOKUP(N768,[1]ID_Cidades!$A$1:$E$5900,2,FALSE)</f>
        <v>295765</v>
      </c>
      <c r="Q768">
        <f>VLOOKUP(O768,[1]ID_Cidades!$A$1:$E$5900,2,FALSE)</f>
        <v>295779</v>
      </c>
      <c r="R768">
        <f t="shared" si="22"/>
        <v>87481075935</v>
      </c>
      <c r="S768" s="42">
        <f>VLOOKUP(R768,'[1]GCD base'!$A$1:$M$200,7,FALSE)</f>
        <v>2189.9742419999998</v>
      </c>
      <c r="T768" t="s">
        <v>109</v>
      </c>
      <c r="U768" t="s">
        <v>201</v>
      </c>
      <c r="V768" t="s">
        <v>202</v>
      </c>
      <c r="W768" t="s">
        <v>203</v>
      </c>
      <c r="X768" t="s">
        <v>204</v>
      </c>
      <c r="Y768">
        <v>0</v>
      </c>
      <c r="Z768">
        <v>0</v>
      </c>
      <c r="AA768">
        <v>1292.45</v>
      </c>
      <c r="AB768">
        <v>0</v>
      </c>
      <c r="AC768" s="49">
        <v>45246</v>
      </c>
      <c r="AD768" s="116" t="s">
        <v>10</v>
      </c>
      <c r="AE768" s="113" t="str" cm="1">
        <f t="array" ref="AE768">_xlfn.IFS(S768&lt;=Constantes!$G$2,"Muito Curta (evitável)",S768&lt;=Constantes!$H$2,"Curta Distância",S768&gt;Constantes!$H$2,"Longa Distância")</f>
        <v>Curta Distância</v>
      </c>
      <c r="AF768" s="114">
        <f>IFERROR(VLOOKUP(AE768,Constantes!$A$1:$E$5,MATCH(AD768,Constantes!$A$1:$E$1,0),0),"")</f>
        <v>0.18286935436241611</v>
      </c>
      <c r="AG768" s="115">
        <f t="shared" si="23"/>
        <v>400.47917570486158</v>
      </c>
    </row>
    <row r="769" spans="1:33" x14ac:dyDescent="0.3">
      <c r="A769">
        <f>COUNTIF($B$2:B769,B769)</f>
        <v>2</v>
      </c>
      <c r="B769">
        <v>19531654</v>
      </c>
      <c r="C769" t="s">
        <v>1674</v>
      </c>
      <c r="D769" t="s">
        <v>218</v>
      </c>
      <c r="E769" t="s">
        <v>1675</v>
      </c>
      <c r="F769" t="s">
        <v>218</v>
      </c>
      <c r="G769" t="s">
        <v>207</v>
      </c>
      <c r="H769" t="s">
        <v>204</v>
      </c>
      <c r="I769" s="49">
        <v>45264</v>
      </c>
      <c r="J769" s="49">
        <v>45267</v>
      </c>
      <c r="K769" t="s">
        <v>1676</v>
      </c>
      <c r="L769" s="49">
        <v>45264</v>
      </c>
      <c r="M769" s="49">
        <v>45267</v>
      </c>
      <c r="N769" t="s">
        <v>117</v>
      </c>
      <c r="O769" t="s">
        <v>107</v>
      </c>
      <c r="P769">
        <f>VLOOKUP(N769,[1]ID_Cidades!$A$1:$E$5900,2,FALSE)</f>
        <v>295779</v>
      </c>
      <c r="Q769">
        <f>VLOOKUP(O769,[1]ID_Cidades!$A$1:$E$5900,2,FALSE)</f>
        <v>295765</v>
      </c>
      <c r="R769">
        <f t="shared" si="22"/>
        <v>87481075935</v>
      </c>
      <c r="S769" s="42">
        <f>VLOOKUP(R769,'[1]GCD base'!$A$1:$M$200,7,FALSE)</f>
        <v>2189.9742419999998</v>
      </c>
      <c r="T769" t="s">
        <v>109</v>
      </c>
      <c r="U769" t="s">
        <v>205</v>
      </c>
      <c r="V769" t="s">
        <v>202</v>
      </c>
      <c r="W769" t="s">
        <v>203</v>
      </c>
      <c r="X769" t="s">
        <v>204</v>
      </c>
      <c r="Y769">
        <v>0</v>
      </c>
      <c r="Z769">
        <v>0</v>
      </c>
      <c r="AA769">
        <v>1049.49</v>
      </c>
      <c r="AB769">
        <v>0</v>
      </c>
      <c r="AC769" s="49">
        <v>45246</v>
      </c>
      <c r="AD769" s="116" t="s">
        <v>10</v>
      </c>
      <c r="AE769" s="113" t="str" cm="1">
        <f t="array" ref="AE769">_xlfn.IFS(S769&lt;=Constantes!$G$2,"Muito Curta (evitável)",S769&lt;=Constantes!$H$2,"Curta Distância",S769&gt;Constantes!$H$2,"Longa Distância")</f>
        <v>Curta Distância</v>
      </c>
      <c r="AF769" s="114">
        <f>IFERROR(VLOOKUP(AE769,Constantes!$A$1:$E$5,MATCH(AD769,Constantes!$A$1:$E$1,0),0),"")</f>
        <v>0.18286935436241611</v>
      </c>
      <c r="AG769" s="115">
        <f t="shared" si="23"/>
        <v>400.47917570486158</v>
      </c>
    </row>
    <row r="770" spans="1:33" x14ac:dyDescent="0.3">
      <c r="A770">
        <f>COUNTIF($B$2:B770,B770)</f>
        <v>1</v>
      </c>
      <c r="B770">
        <v>19531978</v>
      </c>
      <c r="C770" t="s">
        <v>1677</v>
      </c>
      <c r="D770" t="s">
        <v>218</v>
      </c>
      <c r="E770" t="s">
        <v>1678</v>
      </c>
      <c r="F770" t="s">
        <v>218</v>
      </c>
      <c r="G770" t="s">
        <v>207</v>
      </c>
      <c r="H770" t="s">
        <v>204</v>
      </c>
      <c r="I770" s="49">
        <v>45264</v>
      </c>
      <c r="J770" s="49">
        <v>45267</v>
      </c>
      <c r="K770" t="s">
        <v>1679</v>
      </c>
      <c r="L770" s="49">
        <v>45264</v>
      </c>
      <c r="M770" s="49">
        <v>45267</v>
      </c>
      <c r="N770" t="s">
        <v>114</v>
      </c>
      <c r="O770" t="s">
        <v>107</v>
      </c>
      <c r="P770">
        <f>VLOOKUP(N770,[1]ID_Cidades!$A$1:$E$5900,2,FALSE)</f>
        <v>295777</v>
      </c>
      <c r="Q770">
        <f>VLOOKUP(O770,[1]ID_Cidades!$A$1:$E$5900,2,FALSE)</f>
        <v>295765</v>
      </c>
      <c r="R770">
        <f t="shared" ref="R770:R823" si="24">P770*Q770</f>
        <v>87480484405</v>
      </c>
      <c r="S770" s="42">
        <f>VLOOKUP(R770,'[1]GCD base'!$A$1:$M$200,7,FALSE)</f>
        <v>1714.8365369999999</v>
      </c>
      <c r="T770" t="s">
        <v>109</v>
      </c>
      <c r="U770" t="s">
        <v>205</v>
      </c>
      <c r="V770" t="s">
        <v>202</v>
      </c>
      <c r="W770" t="s">
        <v>203</v>
      </c>
      <c r="X770" t="s">
        <v>204</v>
      </c>
      <c r="Y770">
        <v>0</v>
      </c>
      <c r="Z770">
        <v>0</v>
      </c>
      <c r="AA770">
        <v>1680.4</v>
      </c>
      <c r="AB770">
        <v>0</v>
      </c>
      <c r="AC770" s="49">
        <v>45247</v>
      </c>
      <c r="AD770" s="116" t="s">
        <v>10</v>
      </c>
      <c r="AE770" s="113" t="str" cm="1">
        <f t="array" ref="AE770">_xlfn.IFS(S770&lt;=Constantes!$G$2,"Muito Curta (evitável)",S770&lt;=Constantes!$H$2,"Curta Distância",S770&gt;Constantes!$H$2,"Longa Distância")</f>
        <v>Curta Distância</v>
      </c>
      <c r="AF770" s="114">
        <f>IFERROR(VLOOKUP(AE770,Constantes!$A$1:$E$5,MATCH(AD770,Constantes!$A$1:$E$1,0),0),"")</f>
        <v>0.18286935436241611</v>
      </c>
      <c r="AG770" s="115">
        <f t="shared" si="23"/>
        <v>313.59105035827145</v>
      </c>
    </row>
    <row r="771" spans="1:33" x14ac:dyDescent="0.3">
      <c r="A771">
        <f>COUNTIF($B$2:B771,B771)</f>
        <v>2</v>
      </c>
      <c r="B771">
        <v>19531978</v>
      </c>
      <c r="C771" t="s">
        <v>1677</v>
      </c>
      <c r="D771" t="s">
        <v>218</v>
      </c>
      <c r="E771" t="s">
        <v>1678</v>
      </c>
      <c r="F771" t="s">
        <v>218</v>
      </c>
      <c r="G771" t="s">
        <v>207</v>
      </c>
      <c r="H771" t="s">
        <v>204</v>
      </c>
      <c r="I771" s="49">
        <v>45264</v>
      </c>
      <c r="J771" s="49">
        <v>45267</v>
      </c>
      <c r="K771" t="s">
        <v>1679</v>
      </c>
      <c r="L771" s="49">
        <v>45267</v>
      </c>
      <c r="M771" s="49">
        <v>45267</v>
      </c>
      <c r="N771" t="s">
        <v>107</v>
      </c>
      <c r="O771" t="s">
        <v>114</v>
      </c>
      <c r="P771">
        <f>VLOOKUP(N771,[1]ID_Cidades!$A$1:$E$5900,2,FALSE)</f>
        <v>295765</v>
      </c>
      <c r="Q771">
        <f>VLOOKUP(O771,[1]ID_Cidades!$A$1:$E$5900,2,FALSE)</f>
        <v>295777</v>
      </c>
      <c r="R771">
        <f t="shared" si="24"/>
        <v>87480484405</v>
      </c>
      <c r="S771" s="42">
        <f>VLOOKUP(R771,'[1]GCD base'!$A$1:$M$200,7,FALSE)</f>
        <v>1714.8365369999999</v>
      </c>
      <c r="T771" t="s">
        <v>109</v>
      </c>
      <c r="U771" t="s">
        <v>201</v>
      </c>
      <c r="V771" t="s">
        <v>202</v>
      </c>
      <c r="W771" t="s">
        <v>203</v>
      </c>
      <c r="X771" t="s">
        <v>204</v>
      </c>
      <c r="Y771">
        <v>0</v>
      </c>
      <c r="Z771">
        <v>0</v>
      </c>
      <c r="AA771">
        <v>983.09</v>
      </c>
      <c r="AB771">
        <v>0</v>
      </c>
      <c r="AC771" s="49">
        <v>45247</v>
      </c>
      <c r="AD771" s="116" t="s">
        <v>10</v>
      </c>
      <c r="AE771" s="113" t="str" cm="1">
        <f t="array" ref="AE771">_xlfn.IFS(S771&lt;=Constantes!$G$2,"Muito Curta (evitável)",S771&lt;=Constantes!$H$2,"Curta Distância",S771&gt;Constantes!$H$2,"Longa Distância")</f>
        <v>Curta Distância</v>
      </c>
      <c r="AF771" s="114">
        <f>IFERROR(VLOOKUP(AE771,Constantes!$A$1:$E$5,MATCH(AD771,Constantes!$A$1:$E$1,0),0),"")</f>
        <v>0.18286935436241611</v>
      </c>
      <c r="AG771" s="115">
        <f t="shared" ref="AG771:AG823" si="25">AF771*S771</f>
        <v>313.59105035827145</v>
      </c>
    </row>
    <row r="772" spans="1:33" x14ac:dyDescent="0.3">
      <c r="A772">
        <f>COUNTIF($B$2:B772,B772)</f>
        <v>1</v>
      </c>
      <c r="B772">
        <v>19533660</v>
      </c>
      <c r="C772" t="s">
        <v>1680</v>
      </c>
      <c r="D772" t="s">
        <v>1681</v>
      </c>
      <c r="E772" t="s">
        <v>1682</v>
      </c>
      <c r="F772" t="s">
        <v>218</v>
      </c>
      <c r="G772" t="s">
        <v>207</v>
      </c>
      <c r="H772" t="s">
        <v>204</v>
      </c>
      <c r="I772" s="49">
        <v>45264</v>
      </c>
      <c r="J772" s="49">
        <v>45267</v>
      </c>
      <c r="K772" t="s">
        <v>1683</v>
      </c>
      <c r="L772" s="49">
        <v>45267</v>
      </c>
      <c r="M772" s="49">
        <v>45267</v>
      </c>
      <c r="N772" t="s">
        <v>107</v>
      </c>
      <c r="O772" t="s">
        <v>116</v>
      </c>
      <c r="P772">
        <f>VLOOKUP(N772,[1]ID_Cidades!$A$1:$E$5900,2,FALSE)</f>
        <v>295765</v>
      </c>
      <c r="Q772">
        <f>VLOOKUP(O772,[1]ID_Cidades!$A$1:$E$5900,2,FALSE)</f>
        <v>295778</v>
      </c>
      <c r="R772">
        <f t="shared" si="24"/>
        <v>87480780170</v>
      </c>
      <c r="S772" s="42">
        <f>VLOOKUP(R772,'[1]GCD base'!$A$1:$M$200,7,FALSE)</f>
        <v>1961.5007860000001</v>
      </c>
      <c r="T772" t="s">
        <v>109</v>
      </c>
      <c r="U772" t="s">
        <v>201</v>
      </c>
      <c r="V772" t="s">
        <v>202</v>
      </c>
      <c r="W772" t="s">
        <v>203</v>
      </c>
      <c r="X772" t="s">
        <v>204</v>
      </c>
      <c r="Y772">
        <v>0</v>
      </c>
      <c r="Z772">
        <v>0</v>
      </c>
      <c r="AA772">
        <v>1861.7</v>
      </c>
      <c r="AB772">
        <v>0</v>
      </c>
      <c r="AC772" s="49">
        <v>45247</v>
      </c>
      <c r="AD772" s="116" t="s">
        <v>10</v>
      </c>
      <c r="AE772" s="113" t="str" cm="1">
        <f t="array" ref="AE772">_xlfn.IFS(S772&lt;=Constantes!$G$2,"Muito Curta (evitável)",S772&lt;=Constantes!$H$2,"Curta Distância",S772&gt;Constantes!$H$2,"Longa Distância")</f>
        <v>Curta Distância</v>
      </c>
      <c r="AF772" s="114">
        <f>IFERROR(VLOOKUP(AE772,Constantes!$A$1:$E$5,MATCH(AD772,Constantes!$A$1:$E$1,0),0),"")</f>
        <v>0.18286935436241611</v>
      </c>
      <c r="AG772" s="115">
        <f t="shared" si="25"/>
        <v>358.69838231719172</v>
      </c>
    </row>
    <row r="773" spans="1:33" x14ac:dyDescent="0.3">
      <c r="A773">
        <f>COUNTIF($B$2:B773,B773)</f>
        <v>2</v>
      </c>
      <c r="B773">
        <v>19533660</v>
      </c>
      <c r="C773" t="s">
        <v>1680</v>
      </c>
      <c r="D773" t="s">
        <v>1681</v>
      </c>
      <c r="E773" t="s">
        <v>1682</v>
      </c>
      <c r="F773" t="s">
        <v>218</v>
      </c>
      <c r="G773" t="s">
        <v>207</v>
      </c>
      <c r="H773" t="s">
        <v>204</v>
      </c>
      <c r="I773" s="49">
        <v>45264</v>
      </c>
      <c r="J773" s="49">
        <v>45267</v>
      </c>
      <c r="K773" t="s">
        <v>1683</v>
      </c>
      <c r="L773" s="49">
        <v>45264</v>
      </c>
      <c r="M773" s="49">
        <v>45267</v>
      </c>
      <c r="N773" t="s">
        <v>114</v>
      </c>
      <c r="O773" t="s">
        <v>107</v>
      </c>
      <c r="P773">
        <f>VLOOKUP(N773,[1]ID_Cidades!$A$1:$E$5900,2,FALSE)</f>
        <v>295777</v>
      </c>
      <c r="Q773">
        <f>VLOOKUP(O773,[1]ID_Cidades!$A$1:$E$5900,2,FALSE)</f>
        <v>295765</v>
      </c>
      <c r="R773">
        <f t="shared" si="24"/>
        <v>87480484405</v>
      </c>
      <c r="S773" s="42">
        <f>VLOOKUP(R773,'[1]GCD base'!$A$1:$M$200,7,FALSE)</f>
        <v>1714.8365369999999</v>
      </c>
      <c r="T773" t="s">
        <v>109</v>
      </c>
      <c r="U773" t="s">
        <v>205</v>
      </c>
      <c r="V773" t="s">
        <v>202</v>
      </c>
      <c r="W773" t="s">
        <v>203</v>
      </c>
      <c r="X773" t="s">
        <v>204</v>
      </c>
      <c r="Y773">
        <v>0</v>
      </c>
      <c r="Z773">
        <v>0</v>
      </c>
      <c r="AA773">
        <v>873.99</v>
      </c>
      <c r="AB773">
        <v>0</v>
      </c>
      <c r="AC773" s="49">
        <v>45247</v>
      </c>
      <c r="AD773" s="116" t="s">
        <v>10</v>
      </c>
      <c r="AE773" s="113" t="str" cm="1">
        <f t="array" ref="AE773">_xlfn.IFS(S773&lt;=Constantes!$G$2,"Muito Curta (evitável)",S773&lt;=Constantes!$H$2,"Curta Distância",S773&gt;Constantes!$H$2,"Longa Distância")</f>
        <v>Curta Distância</v>
      </c>
      <c r="AF773" s="114">
        <f>IFERROR(VLOOKUP(AE773,Constantes!$A$1:$E$5,MATCH(AD773,Constantes!$A$1:$E$1,0),0),"")</f>
        <v>0.18286935436241611</v>
      </c>
      <c r="AG773" s="115">
        <f t="shared" si="25"/>
        <v>313.59105035827145</v>
      </c>
    </row>
    <row r="774" spans="1:33" x14ac:dyDescent="0.3">
      <c r="A774">
        <f>COUNTIF($B$2:B774,B774)</f>
        <v>1</v>
      </c>
      <c r="B774">
        <v>19552934</v>
      </c>
      <c r="C774" t="s">
        <v>1687</v>
      </c>
      <c r="D774" t="s">
        <v>218</v>
      </c>
      <c r="E774" t="s">
        <v>1688</v>
      </c>
      <c r="F774" t="s">
        <v>218</v>
      </c>
      <c r="G774" t="s">
        <v>207</v>
      </c>
      <c r="H774" t="s">
        <v>204</v>
      </c>
      <c r="I774" s="49">
        <v>45264</v>
      </c>
      <c r="J774" s="49">
        <v>45267</v>
      </c>
      <c r="K774" t="s">
        <v>1689</v>
      </c>
      <c r="L774" s="49">
        <v>45267</v>
      </c>
      <c r="M774" s="49">
        <v>45267</v>
      </c>
      <c r="N774" t="s">
        <v>107</v>
      </c>
      <c r="O774" t="s">
        <v>115</v>
      </c>
      <c r="P774">
        <f>VLOOKUP(N774,[1]ID_Cidades!$A$1:$E$5900,2,FALSE)</f>
        <v>295765</v>
      </c>
      <c r="Q774">
        <f>VLOOKUP(O774,[1]ID_Cidades!$A$1:$E$5900,2,FALSE)</f>
        <v>295770</v>
      </c>
      <c r="R774">
        <f t="shared" si="24"/>
        <v>87478414050</v>
      </c>
      <c r="S774" s="42">
        <f>VLOOKUP(R774,'[1]GCD base'!$A$1:$M$200,7,FALSE)</f>
        <v>741.11941309999997</v>
      </c>
      <c r="T774" t="s">
        <v>109</v>
      </c>
      <c r="U774" t="s">
        <v>201</v>
      </c>
      <c r="V774" t="s">
        <v>202</v>
      </c>
      <c r="W774" t="s">
        <v>210</v>
      </c>
      <c r="X774" t="s">
        <v>1690</v>
      </c>
      <c r="Y774">
        <v>0</v>
      </c>
      <c r="Z774">
        <v>0</v>
      </c>
      <c r="AA774">
        <v>755.89</v>
      </c>
      <c r="AB774">
        <v>0</v>
      </c>
      <c r="AC774" s="49">
        <v>45252</v>
      </c>
      <c r="AD774" s="116" t="s">
        <v>10</v>
      </c>
      <c r="AE774" s="113" t="str" cm="1">
        <f t="array" ref="AE774">_xlfn.IFS(S774&lt;=Constantes!$G$2,"Muito Curta (evitável)",S774&lt;=Constantes!$H$2,"Curta Distância",S774&gt;Constantes!$H$2,"Longa Distância")</f>
        <v>Curta Distância</v>
      </c>
      <c r="AF774" s="114">
        <f>IFERROR(VLOOKUP(AE774,Constantes!$A$1:$E$5,MATCH(AD774,Constantes!$A$1:$E$1,0),0),"")</f>
        <v>0.18286935436241611</v>
      </c>
      <c r="AG774" s="115">
        <f t="shared" si="25"/>
        <v>135.52802857904976</v>
      </c>
    </row>
    <row r="775" spans="1:33" x14ac:dyDescent="0.3">
      <c r="A775">
        <f>COUNTIF($B$2:B775,B775)</f>
        <v>2</v>
      </c>
      <c r="B775">
        <v>19552934</v>
      </c>
      <c r="C775" t="s">
        <v>1687</v>
      </c>
      <c r="D775" t="s">
        <v>218</v>
      </c>
      <c r="E775" t="s">
        <v>1688</v>
      </c>
      <c r="F775" t="s">
        <v>218</v>
      </c>
      <c r="G775" t="s">
        <v>207</v>
      </c>
      <c r="H775" t="s">
        <v>204</v>
      </c>
      <c r="I775" s="49">
        <v>45264</v>
      </c>
      <c r="J775" s="49">
        <v>45267</v>
      </c>
      <c r="K775" t="s">
        <v>1689</v>
      </c>
      <c r="L775" s="49">
        <v>45264</v>
      </c>
      <c r="M775" s="49">
        <v>45267</v>
      </c>
      <c r="N775" t="s">
        <v>117</v>
      </c>
      <c r="O775" t="s">
        <v>107</v>
      </c>
      <c r="P775">
        <f>VLOOKUP(N775,[1]ID_Cidades!$A$1:$E$5900,2,FALSE)</f>
        <v>295779</v>
      </c>
      <c r="Q775">
        <f>VLOOKUP(O775,[1]ID_Cidades!$A$1:$E$5900,2,FALSE)</f>
        <v>295765</v>
      </c>
      <c r="R775">
        <f t="shared" si="24"/>
        <v>87481075935</v>
      </c>
      <c r="S775" s="42">
        <f>VLOOKUP(R775,'[1]GCD base'!$A$1:$M$200,7,FALSE)</f>
        <v>2189.9742419999998</v>
      </c>
      <c r="T775" t="s">
        <v>109</v>
      </c>
      <c r="U775" t="s">
        <v>205</v>
      </c>
      <c r="V775" t="s">
        <v>202</v>
      </c>
      <c r="W775" t="s">
        <v>210</v>
      </c>
      <c r="X775" t="s">
        <v>1690</v>
      </c>
      <c r="Y775">
        <v>0</v>
      </c>
      <c r="Z775">
        <v>0</v>
      </c>
      <c r="AA775">
        <v>962.55</v>
      </c>
      <c r="AB775">
        <v>0</v>
      </c>
      <c r="AC775" s="49">
        <v>45252</v>
      </c>
      <c r="AD775" s="116" t="s">
        <v>10</v>
      </c>
      <c r="AE775" s="113" t="str" cm="1">
        <f t="array" ref="AE775">_xlfn.IFS(S775&lt;=Constantes!$G$2,"Muito Curta (evitável)",S775&lt;=Constantes!$H$2,"Curta Distância",S775&gt;Constantes!$H$2,"Longa Distância")</f>
        <v>Curta Distância</v>
      </c>
      <c r="AF775" s="114">
        <f>IFERROR(VLOOKUP(AE775,Constantes!$A$1:$E$5,MATCH(AD775,Constantes!$A$1:$E$1,0),0),"")</f>
        <v>0.18286935436241611</v>
      </c>
      <c r="AG775" s="115">
        <f t="shared" si="25"/>
        <v>400.47917570486158</v>
      </c>
    </row>
    <row r="776" spans="1:33" x14ac:dyDescent="0.3">
      <c r="A776">
        <f>COUNTIF($B$2:B776,B776)</f>
        <v>1</v>
      </c>
      <c r="B776">
        <v>19570964</v>
      </c>
      <c r="C776" t="s">
        <v>1714</v>
      </c>
      <c r="D776" t="s">
        <v>1715</v>
      </c>
      <c r="E776" t="s">
        <v>1716</v>
      </c>
      <c r="F776" t="s">
        <v>218</v>
      </c>
      <c r="G776" t="s">
        <v>207</v>
      </c>
      <c r="H776" t="s">
        <v>204</v>
      </c>
      <c r="I776" s="49">
        <v>45264</v>
      </c>
      <c r="J776" s="49">
        <v>45267</v>
      </c>
      <c r="K776" t="s">
        <v>1717</v>
      </c>
      <c r="L776" s="49">
        <v>45267</v>
      </c>
      <c r="M776" s="49">
        <v>45267</v>
      </c>
      <c r="N776" t="s">
        <v>107</v>
      </c>
      <c r="O776" t="s">
        <v>116</v>
      </c>
      <c r="P776">
        <f>VLOOKUP(N776,[1]ID_Cidades!$A$1:$E$5900,2,FALSE)</f>
        <v>295765</v>
      </c>
      <c r="Q776">
        <f>VLOOKUP(O776,[1]ID_Cidades!$A$1:$E$5900,2,FALSE)</f>
        <v>295778</v>
      </c>
      <c r="R776">
        <f t="shared" si="24"/>
        <v>87480780170</v>
      </c>
      <c r="S776" s="42">
        <f>VLOOKUP(R776,'[1]GCD base'!$A$1:$M$200,7,FALSE)</f>
        <v>1961.5007860000001</v>
      </c>
      <c r="T776" t="s">
        <v>109</v>
      </c>
      <c r="U776" t="s">
        <v>201</v>
      </c>
      <c r="V776" t="s">
        <v>202</v>
      </c>
      <c r="W776" t="s">
        <v>210</v>
      </c>
      <c r="X776" t="s">
        <v>1718</v>
      </c>
      <c r="Y776">
        <v>0</v>
      </c>
      <c r="Z776">
        <v>0</v>
      </c>
      <c r="AA776">
        <v>1398.2</v>
      </c>
      <c r="AB776">
        <v>0</v>
      </c>
      <c r="AC776" s="49">
        <v>45257</v>
      </c>
      <c r="AD776" s="116" t="s">
        <v>10</v>
      </c>
      <c r="AE776" s="113" t="str" cm="1">
        <f t="array" ref="AE776">_xlfn.IFS(S776&lt;=Constantes!$G$2,"Muito Curta (evitável)",S776&lt;=Constantes!$H$2,"Curta Distância",S776&gt;Constantes!$H$2,"Longa Distância")</f>
        <v>Curta Distância</v>
      </c>
      <c r="AF776" s="114">
        <f>IFERROR(VLOOKUP(AE776,Constantes!$A$1:$E$5,MATCH(AD776,Constantes!$A$1:$E$1,0),0),"")</f>
        <v>0.18286935436241611</v>
      </c>
      <c r="AG776" s="115">
        <f t="shared" si="25"/>
        <v>358.69838231719172</v>
      </c>
    </row>
    <row r="777" spans="1:33" x14ac:dyDescent="0.3">
      <c r="A777">
        <f>COUNTIF($B$2:B777,B777)</f>
        <v>2</v>
      </c>
      <c r="B777">
        <v>19570964</v>
      </c>
      <c r="C777" t="s">
        <v>1714</v>
      </c>
      <c r="D777" t="s">
        <v>1715</v>
      </c>
      <c r="E777" t="s">
        <v>1716</v>
      </c>
      <c r="F777" t="s">
        <v>218</v>
      </c>
      <c r="G777" t="s">
        <v>207</v>
      </c>
      <c r="H777" t="s">
        <v>204</v>
      </c>
      <c r="I777" s="49">
        <v>45264</v>
      </c>
      <c r="J777" s="49">
        <v>45267</v>
      </c>
      <c r="K777" t="s">
        <v>1717</v>
      </c>
      <c r="L777" s="49">
        <v>45264</v>
      </c>
      <c r="M777" s="49">
        <v>45267</v>
      </c>
      <c r="N777" t="s">
        <v>116</v>
      </c>
      <c r="O777" t="s">
        <v>107</v>
      </c>
      <c r="P777">
        <f>VLOOKUP(N777,[1]ID_Cidades!$A$1:$E$5900,2,FALSE)</f>
        <v>295778</v>
      </c>
      <c r="Q777">
        <f>VLOOKUP(O777,[1]ID_Cidades!$A$1:$E$5900,2,FALSE)</f>
        <v>295765</v>
      </c>
      <c r="R777">
        <f t="shared" si="24"/>
        <v>87480780170</v>
      </c>
      <c r="S777" s="42">
        <f>VLOOKUP(R777,'[1]GCD base'!$A$1:$M$200,7,FALSE)</f>
        <v>1961.5007860000001</v>
      </c>
      <c r="T777" t="s">
        <v>109</v>
      </c>
      <c r="U777" t="s">
        <v>205</v>
      </c>
      <c r="V777" t="s">
        <v>202</v>
      </c>
      <c r="W777" t="s">
        <v>210</v>
      </c>
      <c r="X777" t="s">
        <v>1718</v>
      </c>
      <c r="Y777">
        <v>0</v>
      </c>
      <c r="Z777">
        <v>0</v>
      </c>
      <c r="AA777">
        <v>1671.69</v>
      </c>
      <c r="AB777">
        <v>0</v>
      </c>
      <c r="AC777" s="49">
        <v>45257</v>
      </c>
      <c r="AD777" s="116" t="s">
        <v>10</v>
      </c>
      <c r="AE777" s="113" t="str" cm="1">
        <f t="array" ref="AE777">_xlfn.IFS(S777&lt;=Constantes!$G$2,"Muito Curta (evitável)",S777&lt;=Constantes!$H$2,"Curta Distância",S777&gt;Constantes!$H$2,"Longa Distância")</f>
        <v>Curta Distância</v>
      </c>
      <c r="AF777" s="114">
        <f>IFERROR(VLOOKUP(AE777,Constantes!$A$1:$E$5,MATCH(AD777,Constantes!$A$1:$E$1,0),0),"")</f>
        <v>0.18286935436241611</v>
      </c>
      <c r="AG777" s="115">
        <f t="shared" si="25"/>
        <v>358.69838231719172</v>
      </c>
    </row>
    <row r="778" spans="1:33" x14ac:dyDescent="0.3">
      <c r="A778">
        <f>COUNTIF($B$2:B778,B778)</f>
        <v>1</v>
      </c>
      <c r="B778">
        <v>19573299</v>
      </c>
      <c r="C778" t="s">
        <v>1724</v>
      </c>
      <c r="D778" t="s">
        <v>1288</v>
      </c>
      <c r="E778" t="s">
        <v>1289</v>
      </c>
      <c r="F778" t="s">
        <v>1290</v>
      </c>
      <c r="G778" t="s">
        <v>211</v>
      </c>
      <c r="H778" t="s">
        <v>211</v>
      </c>
      <c r="I778" s="49">
        <v>45264</v>
      </c>
      <c r="J778" s="49">
        <v>45269</v>
      </c>
      <c r="K778" t="s">
        <v>1725</v>
      </c>
      <c r="L778" s="49">
        <v>45264</v>
      </c>
      <c r="M778" s="49">
        <v>45266</v>
      </c>
      <c r="N778" t="s">
        <v>107</v>
      </c>
      <c r="O778" t="s">
        <v>127</v>
      </c>
      <c r="P778">
        <f>VLOOKUP(N778,[1]ID_Cidades!$A$1:$E$5900,2,FALSE)</f>
        <v>295765</v>
      </c>
      <c r="Q778">
        <f>VLOOKUP(O778,[1]ID_Cidades!$A$1:$E$5900,2,FALSE)</f>
        <v>301205</v>
      </c>
      <c r="R778">
        <f t="shared" si="24"/>
        <v>89085896825</v>
      </c>
      <c r="S778" s="42">
        <f>VLOOKUP(R778,'[1]GCD base'!$A$1:$M$200,7,FALSE)</f>
        <v>2588.8989320000001</v>
      </c>
      <c r="T778" t="s">
        <v>109</v>
      </c>
      <c r="U778" t="s">
        <v>205</v>
      </c>
      <c r="V778" t="s">
        <v>202</v>
      </c>
      <c r="W778" t="s">
        <v>210</v>
      </c>
      <c r="X778" t="s">
        <v>1726</v>
      </c>
      <c r="Y778">
        <v>1821.06</v>
      </c>
      <c r="Z778">
        <v>0</v>
      </c>
      <c r="AA778">
        <v>1688.69</v>
      </c>
      <c r="AB778">
        <v>0</v>
      </c>
      <c r="AC778" s="49">
        <v>45254</v>
      </c>
      <c r="AD778" s="116" t="s">
        <v>10</v>
      </c>
      <c r="AE778" s="113" t="str" cm="1">
        <f t="array" ref="AE778">_xlfn.IFS(S778&lt;=Constantes!$G$2,"Muito Curta (evitável)",S778&lt;=Constantes!$H$2,"Curta Distância",S778&gt;Constantes!$H$2,"Longa Distância")</f>
        <v>Curta Distância</v>
      </c>
      <c r="AF778" s="114">
        <f>IFERROR(VLOOKUP(AE778,Constantes!$A$1:$E$5,MATCH(AD778,Constantes!$A$1:$E$1,0),0),"")</f>
        <v>0.18286935436241611</v>
      </c>
      <c r="AG778" s="115">
        <f t="shared" si="25"/>
        <v>473.43027620438863</v>
      </c>
    </row>
    <row r="779" spans="1:33" x14ac:dyDescent="0.3">
      <c r="A779">
        <f>COUNTIF($B$2:B779,B779)</f>
        <v>1</v>
      </c>
      <c r="B779">
        <v>19573379</v>
      </c>
      <c r="C779" t="s">
        <v>1727</v>
      </c>
      <c r="D779" t="s">
        <v>227</v>
      </c>
      <c r="E779" t="s">
        <v>111</v>
      </c>
      <c r="F779" t="s">
        <v>214</v>
      </c>
      <c r="G779" t="s">
        <v>215</v>
      </c>
      <c r="H779" t="s">
        <v>200</v>
      </c>
      <c r="I779" s="49">
        <v>45264</v>
      </c>
      <c r="J779" s="49">
        <v>45269</v>
      </c>
      <c r="K779" t="s">
        <v>1725</v>
      </c>
      <c r="L779" s="49">
        <v>45264</v>
      </c>
      <c r="M779" s="49">
        <v>45266</v>
      </c>
      <c r="N779" t="s">
        <v>107</v>
      </c>
      <c r="O779" t="s">
        <v>127</v>
      </c>
      <c r="P779">
        <f>VLOOKUP(N779,[1]ID_Cidades!$A$1:$E$5900,2,FALSE)</f>
        <v>295765</v>
      </c>
      <c r="Q779">
        <f>VLOOKUP(O779,[1]ID_Cidades!$A$1:$E$5900,2,FALSE)</f>
        <v>301205</v>
      </c>
      <c r="R779">
        <f t="shared" si="24"/>
        <v>89085896825</v>
      </c>
      <c r="S779" s="42">
        <f>VLOOKUP(R779,'[1]GCD base'!$A$1:$M$200,7,FALSE)</f>
        <v>2588.8989320000001</v>
      </c>
      <c r="T779" t="s">
        <v>109</v>
      </c>
      <c r="U779" t="s">
        <v>205</v>
      </c>
      <c r="V779" t="s">
        <v>202</v>
      </c>
      <c r="W779" t="s">
        <v>210</v>
      </c>
      <c r="X779" t="s">
        <v>1726</v>
      </c>
      <c r="Y779">
        <v>2078.6799999999998</v>
      </c>
      <c r="Z779">
        <v>0</v>
      </c>
      <c r="AA779">
        <v>1688.69</v>
      </c>
      <c r="AB779">
        <v>0</v>
      </c>
      <c r="AC779" s="49">
        <v>45254</v>
      </c>
      <c r="AD779" s="116" t="s">
        <v>10</v>
      </c>
      <c r="AE779" s="113" t="str" cm="1">
        <f t="array" ref="AE779">_xlfn.IFS(S779&lt;=Constantes!$G$2,"Muito Curta (evitável)",S779&lt;=Constantes!$H$2,"Curta Distância",S779&gt;Constantes!$H$2,"Longa Distância")</f>
        <v>Curta Distância</v>
      </c>
      <c r="AF779" s="114">
        <f>IFERROR(VLOOKUP(AE779,Constantes!$A$1:$E$5,MATCH(AD779,Constantes!$A$1:$E$1,0),0),"")</f>
        <v>0.18286935436241611</v>
      </c>
      <c r="AG779" s="115">
        <f t="shared" si="25"/>
        <v>473.43027620438863</v>
      </c>
    </row>
    <row r="780" spans="1:33" x14ac:dyDescent="0.3">
      <c r="A780">
        <f>COUNTIF($B$2:B780,B780)</f>
        <v>1</v>
      </c>
      <c r="B780">
        <v>19573382</v>
      </c>
      <c r="C780" t="s">
        <v>1728</v>
      </c>
      <c r="D780" t="s">
        <v>1284</v>
      </c>
      <c r="E780" t="s">
        <v>1285</v>
      </c>
      <c r="F780" t="s">
        <v>234</v>
      </c>
      <c r="G780" t="s">
        <v>207</v>
      </c>
      <c r="H780" t="s">
        <v>204</v>
      </c>
      <c r="I780" s="49">
        <v>45264</v>
      </c>
      <c r="J780" s="49">
        <v>45269</v>
      </c>
      <c r="K780" t="s">
        <v>1725</v>
      </c>
      <c r="L780" s="49">
        <v>45264</v>
      </c>
      <c r="M780" s="49">
        <v>45266</v>
      </c>
      <c r="N780" t="s">
        <v>107</v>
      </c>
      <c r="O780" t="s">
        <v>127</v>
      </c>
      <c r="P780">
        <f>VLOOKUP(N780,[1]ID_Cidades!$A$1:$E$5900,2,FALSE)</f>
        <v>295765</v>
      </c>
      <c r="Q780">
        <f>VLOOKUP(O780,[1]ID_Cidades!$A$1:$E$5900,2,FALSE)</f>
        <v>301205</v>
      </c>
      <c r="R780">
        <f t="shared" si="24"/>
        <v>89085896825</v>
      </c>
      <c r="S780" s="42">
        <f>VLOOKUP(R780,'[1]GCD base'!$A$1:$M$200,7,FALSE)</f>
        <v>2588.8989320000001</v>
      </c>
      <c r="T780" t="s">
        <v>109</v>
      </c>
      <c r="U780" t="s">
        <v>205</v>
      </c>
      <c r="V780" t="s">
        <v>202</v>
      </c>
      <c r="W780" t="s">
        <v>210</v>
      </c>
      <c r="X780" t="s">
        <v>1729</v>
      </c>
      <c r="Y780">
        <v>1411.86</v>
      </c>
      <c r="Z780">
        <v>0</v>
      </c>
      <c r="AA780">
        <v>1688.69</v>
      </c>
      <c r="AB780">
        <v>0</v>
      </c>
      <c r="AC780" s="49">
        <v>45254</v>
      </c>
      <c r="AD780" s="116" t="s">
        <v>10</v>
      </c>
      <c r="AE780" s="113" t="str" cm="1">
        <f t="array" ref="AE780">_xlfn.IFS(S780&lt;=Constantes!$G$2,"Muito Curta (evitável)",S780&lt;=Constantes!$H$2,"Curta Distância",S780&gt;Constantes!$H$2,"Longa Distância")</f>
        <v>Curta Distância</v>
      </c>
      <c r="AF780" s="114">
        <f>IFERROR(VLOOKUP(AE780,Constantes!$A$1:$E$5,MATCH(AD780,Constantes!$A$1:$E$1,0),0),"")</f>
        <v>0.18286935436241611</v>
      </c>
      <c r="AG780" s="115">
        <f t="shared" si="25"/>
        <v>473.43027620438863</v>
      </c>
    </row>
    <row r="781" spans="1:33" x14ac:dyDescent="0.3">
      <c r="A781">
        <f>COUNTIF($B$2:B781,B781)</f>
        <v>1</v>
      </c>
      <c r="B781">
        <v>19573385</v>
      </c>
      <c r="C781" t="s">
        <v>1730</v>
      </c>
      <c r="D781" t="s">
        <v>1266</v>
      </c>
      <c r="E781" t="s">
        <v>1267</v>
      </c>
      <c r="F781" t="s">
        <v>1268</v>
      </c>
      <c r="G781" t="s">
        <v>223</v>
      </c>
      <c r="H781" t="s">
        <v>223</v>
      </c>
      <c r="I781" s="49">
        <v>45264</v>
      </c>
      <c r="J781" s="49">
        <v>45269</v>
      </c>
      <c r="K781" t="s">
        <v>1725</v>
      </c>
      <c r="L781" s="49">
        <v>45264</v>
      </c>
      <c r="M781" s="49">
        <v>45266</v>
      </c>
      <c r="N781" t="s">
        <v>107</v>
      </c>
      <c r="O781" t="s">
        <v>127</v>
      </c>
      <c r="P781">
        <f>VLOOKUP(N781,[1]ID_Cidades!$A$1:$E$5900,2,FALSE)</f>
        <v>295765</v>
      </c>
      <c r="Q781">
        <f>VLOOKUP(O781,[1]ID_Cidades!$A$1:$E$5900,2,FALSE)</f>
        <v>301205</v>
      </c>
      <c r="R781">
        <f t="shared" si="24"/>
        <v>89085896825</v>
      </c>
      <c r="S781" s="42">
        <f>VLOOKUP(R781,'[1]GCD base'!$A$1:$M$200,7,FALSE)</f>
        <v>2588.8989320000001</v>
      </c>
      <c r="T781" t="s">
        <v>109</v>
      </c>
      <c r="U781" t="s">
        <v>205</v>
      </c>
      <c r="V781" t="s">
        <v>202</v>
      </c>
      <c r="W781" t="s">
        <v>210</v>
      </c>
      <c r="X781" t="s">
        <v>1726</v>
      </c>
      <c r="Y781">
        <v>1628.71</v>
      </c>
      <c r="Z781">
        <v>0</v>
      </c>
      <c r="AA781">
        <v>1688.69</v>
      </c>
      <c r="AB781">
        <v>0</v>
      </c>
      <c r="AC781" s="49">
        <v>45254</v>
      </c>
      <c r="AD781" s="116" t="s">
        <v>10</v>
      </c>
      <c r="AE781" s="113" t="str" cm="1">
        <f t="array" ref="AE781">_xlfn.IFS(S781&lt;=Constantes!$G$2,"Muito Curta (evitável)",S781&lt;=Constantes!$H$2,"Curta Distância",S781&gt;Constantes!$H$2,"Longa Distância")</f>
        <v>Curta Distância</v>
      </c>
      <c r="AF781" s="114">
        <f>IFERROR(VLOOKUP(AE781,Constantes!$A$1:$E$5,MATCH(AD781,Constantes!$A$1:$E$1,0),0),"")</f>
        <v>0.18286935436241611</v>
      </c>
      <c r="AG781" s="115">
        <f t="shared" si="25"/>
        <v>473.43027620438863</v>
      </c>
    </row>
    <row r="782" spans="1:33" x14ac:dyDescent="0.3">
      <c r="A782">
        <f>COUNTIF($B$2:B782,B782)</f>
        <v>1</v>
      </c>
      <c r="B782">
        <v>19573466</v>
      </c>
      <c r="C782" t="s">
        <v>1731</v>
      </c>
      <c r="D782" t="s">
        <v>1732</v>
      </c>
      <c r="E782" t="s">
        <v>1733</v>
      </c>
      <c r="F782" t="s">
        <v>1290</v>
      </c>
      <c r="G782" t="s">
        <v>223</v>
      </c>
      <c r="H782" t="s">
        <v>223</v>
      </c>
      <c r="I782" s="49">
        <v>45264</v>
      </c>
      <c r="J782" s="49">
        <v>45269</v>
      </c>
      <c r="K782" t="s">
        <v>1725</v>
      </c>
      <c r="L782" s="49">
        <v>45264</v>
      </c>
      <c r="M782" s="49">
        <v>45266</v>
      </c>
      <c r="N782" t="s">
        <v>107</v>
      </c>
      <c r="O782" t="s">
        <v>127</v>
      </c>
      <c r="P782">
        <f>VLOOKUP(N782,[1]ID_Cidades!$A$1:$E$5900,2,FALSE)</f>
        <v>295765</v>
      </c>
      <c r="Q782">
        <f>VLOOKUP(O782,[1]ID_Cidades!$A$1:$E$5900,2,FALSE)</f>
        <v>301205</v>
      </c>
      <c r="R782">
        <f t="shared" si="24"/>
        <v>89085896825</v>
      </c>
      <c r="S782" s="42">
        <f>VLOOKUP(R782,'[1]GCD base'!$A$1:$M$200,7,FALSE)</f>
        <v>2588.8989320000001</v>
      </c>
      <c r="T782" t="s">
        <v>109</v>
      </c>
      <c r="U782" t="s">
        <v>205</v>
      </c>
      <c r="V782" t="s">
        <v>202</v>
      </c>
      <c r="W782" t="s">
        <v>210</v>
      </c>
      <c r="X782" t="s">
        <v>1726</v>
      </c>
      <c r="Y782">
        <v>1664.86</v>
      </c>
      <c r="Z782">
        <v>0</v>
      </c>
      <c r="AA782">
        <v>1688.69</v>
      </c>
      <c r="AB782">
        <v>0</v>
      </c>
      <c r="AC782" s="49">
        <v>45254</v>
      </c>
      <c r="AD782" s="116" t="s">
        <v>10</v>
      </c>
      <c r="AE782" s="113" t="str" cm="1">
        <f t="array" ref="AE782">_xlfn.IFS(S782&lt;=Constantes!$G$2,"Muito Curta (evitável)",S782&lt;=Constantes!$H$2,"Curta Distância",S782&gt;Constantes!$H$2,"Longa Distância")</f>
        <v>Curta Distância</v>
      </c>
      <c r="AF782" s="114">
        <f>IFERROR(VLOOKUP(AE782,Constantes!$A$1:$E$5,MATCH(AD782,Constantes!$A$1:$E$1,0),0),"")</f>
        <v>0.18286935436241611</v>
      </c>
      <c r="AG782" s="115">
        <f t="shared" si="25"/>
        <v>473.43027620438863</v>
      </c>
    </row>
    <row r="783" spans="1:33" x14ac:dyDescent="0.3">
      <c r="A783">
        <f>COUNTIF($B$2:B783,B783)</f>
        <v>1</v>
      </c>
      <c r="B783">
        <v>19262550</v>
      </c>
      <c r="C783" t="s">
        <v>915</v>
      </c>
      <c r="D783" t="s">
        <v>759</v>
      </c>
      <c r="E783" t="s">
        <v>760</v>
      </c>
      <c r="F783" t="s">
        <v>198</v>
      </c>
      <c r="G783" t="s">
        <v>207</v>
      </c>
      <c r="H783" t="s">
        <v>204</v>
      </c>
      <c r="I783" s="49">
        <v>45265</v>
      </c>
      <c r="J783" s="49">
        <v>45269</v>
      </c>
      <c r="K783" t="s">
        <v>916</v>
      </c>
      <c r="L783" s="49">
        <v>45269</v>
      </c>
      <c r="M783" s="49">
        <v>45269</v>
      </c>
      <c r="N783" t="s">
        <v>496</v>
      </c>
      <c r="O783" t="s">
        <v>107</v>
      </c>
      <c r="P783">
        <f>VLOOKUP(N783,[1]ID_Cidades!$A$1:$E$5900,2,FALSE)</f>
        <v>295769</v>
      </c>
      <c r="Q783">
        <f>VLOOKUP(O783,[1]ID_Cidades!$A$1:$E$5900,2,FALSE)</f>
        <v>295765</v>
      </c>
      <c r="R783">
        <f t="shared" si="24"/>
        <v>87478118285</v>
      </c>
      <c r="S783" s="42">
        <f>VLOOKUP(R783,'[1]GCD base'!$A$1:$M$200,7,FALSE)</f>
        <v>486.73466200000001</v>
      </c>
      <c r="T783" t="s">
        <v>109</v>
      </c>
      <c r="U783" t="s">
        <v>201</v>
      </c>
      <c r="V783" t="s">
        <v>202</v>
      </c>
      <c r="W783" t="s">
        <v>203</v>
      </c>
      <c r="X783" t="s">
        <v>204</v>
      </c>
      <c r="Y783">
        <v>1509.95</v>
      </c>
      <c r="Z783">
        <v>0</v>
      </c>
      <c r="AA783">
        <v>1364.69</v>
      </c>
      <c r="AB783">
        <v>0</v>
      </c>
      <c r="AC783" s="49">
        <v>45175</v>
      </c>
      <c r="AD783" s="116" t="s">
        <v>10</v>
      </c>
      <c r="AE783" s="113" t="str" cm="1">
        <f t="array" ref="AE783">_xlfn.IFS(S783&lt;=Constantes!$G$2,"Muito Curta (evitável)",S783&lt;=Constantes!$H$2,"Curta Distância",S783&gt;Constantes!$H$2,"Longa Distância")</f>
        <v>Muito Curta (evitável)</v>
      </c>
      <c r="AF783" s="114">
        <f>IFERROR(VLOOKUP(AE783,Constantes!$A$1:$E$5,MATCH(AD783,Constantes!$A$1:$E$1,0),0),"")</f>
        <v>0.27257678523489931</v>
      </c>
      <c r="AG783" s="115">
        <f t="shared" si="25"/>
        <v>132.67256943035531</v>
      </c>
    </row>
    <row r="784" spans="1:33" x14ac:dyDescent="0.3">
      <c r="A784">
        <f>COUNTIF($B$2:B784,B784)</f>
        <v>2</v>
      </c>
      <c r="B784">
        <v>19262550</v>
      </c>
      <c r="C784" t="s">
        <v>915</v>
      </c>
      <c r="D784" t="s">
        <v>759</v>
      </c>
      <c r="E784" t="s">
        <v>760</v>
      </c>
      <c r="F784" t="s">
        <v>198</v>
      </c>
      <c r="G784" t="s">
        <v>207</v>
      </c>
      <c r="H784" t="s">
        <v>204</v>
      </c>
      <c r="I784" s="49">
        <v>45265</v>
      </c>
      <c r="J784" s="49">
        <v>45269</v>
      </c>
      <c r="K784" t="s">
        <v>916</v>
      </c>
      <c r="L784" s="49">
        <v>45265</v>
      </c>
      <c r="M784" s="49">
        <v>45269</v>
      </c>
      <c r="N784" t="s">
        <v>107</v>
      </c>
      <c r="O784" t="s">
        <v>496</v>
      </c>
      <c r="P784">
        <f>VLOOKUP(N784,[1]ID_Cidades!$A$1:$E$5900,2,FALSE)</f>
        <v>295765</v>
      </c>
      <c r="Q784">
        <f>VLOOKUP(O784,[1]ID_Cidades!$A$1:$E$5900,2,FALSE)</f>
        <v>295769</v>
      </c>
      <c r="R784">
        <f t="shared" si="24"/>
        <v>87478118285</v>
      </c>
      <c r="S784" s="42">
        <f>VLOOKUP(R784,'[1]GCD base'!$A$1:$M$200,7,FALSE)</f>
        <v>486.73466200000001</v>
      </c>
      <c r="T784" t="s">
        <v>109</v>
      </c>
      <c r="U784" t="s">
        <v>205</v>
      </c>
      <c r="V784" t="s">
        <v>202</v>
      </c>
      <c r="W784" t="s">
        <v>203</v>
      </c>
      <c r="X784" t="s">
        <v>204</v>
      </c>
      <c r="Y784">
        <v>0</v>
      </c>
      <c r="Z784">
        <v>0</v>
      </c>
      <c r="AA784">
        <v>1831.87</v>
      </c>
      <c r="AB784">
        <v>0</v>
      </c>
      <c r="AC784" s="49">
        <v>45175</v>
      </c>
      <c r="AD784" s="116" t="s">
        <v>10</v>
      </c>
      <c r="AE784" s="113" t="str" cm="1">
        <f t="array" ref="AE784">_xlfn.IFS(S784&lt;=Constantes!$G$2,"Muito Curta (evitável)",S784&lt;=Constantes!$H$2,"Curta Distância",S784&gt;Constantes!$H$2,"Longa Distância")</f>
        <v>Muito Curta (evitável)</v>
      </c>
      <c r="AF784" s="114">
        <f>IFERROR(VLOOKUP(AE784,Constantes!$A$1:$E$5,MATCH(AD784,Constantes!$A$1:$E$1,0),0),"")</f>
        <v>0.27257678523489931</v>
      </c>
      <c r="AG784" s="115">
        <f t="shared" si="25"/>
        <v>132.67256943035531</v>
      </c>
    </row>
    <row r="785" spans="1:33" x14ac:dyDescent="0.3">
      <c r="A785">
        <f>COUNTIF($B$2:B785,B785)</f>
        <v>1</v>
      </c>
      <c r="B785">
        <v>19383526</v>
      </c>
      <c r="C785" t="s">
        <v>1449</v>
      </c>
      <c r="D785" t="s">
        <v>613</v>
      </c>
      <c r="E785" t="s">
        <v>614</v>
      </c>
      <c r="F785" t="s">
        <v>198</v>
      </c>
      <c r="G785" t="s">
        <v>233</v>
      </c>
      <c r="H785" t="s">
        <v>233</v>
      </c>
      <c r="I785" s="49">
        <v>45265</v>
      </c>
      <c r="J785" s="49">
        <v>45269</v>
      </c>
      <c r="K785" t="s">
        <v>1450</v>
      </c>
      <c r="L785" s="49">
        <v>45265</v>
      </c>
      <c r="M785" s="49">
        <v>45269</v>
      </c>
      <c r="N785" t="s">
        <v>107</v>
      </c>
      <c r="O785" t="s">
        <v>496</v>
      </c>
      <c r="P785">
        <f>VLOOKUP(N785,[1]ID_Cidades!$A$1:$E$5900,2,FALSE)</f>
        <v>295765</v>
      </c>
      <c r="Q785">
        <f>VLOOKUP(O785,[1]ID_Cidades!$A$1:$E$5900,2,FALSE)</f>
        <v>295769</v>
      </c>
      <c r="R785">
        <f t="shared" si="24"/>
        <v>87478118285</v>
      </c>
      <c r="S785" s="42">
        <f>VLOOKUP(R785,'[1]GCD base'!$A$1:$M$200,7,FALSE)</f>
        <v>486.73466200000001</v>
      </c>
      <c r="T785" t="s">
        <v>109</v>
      </c>
      <c r="U785" t="s">
        <v>205</v>
      </c>
      <c r="V785" t="s">
        <v>202</v>
      </c>
      <c r="W785" t="s">
        <v>203</v>
      </c>
      <c r="X785" t="s">
        <v>204</v>
      </c>
      <c r="Y785">
        <v>1509.95</v>
      </c>
      <c r="Z785">
        <v>0</v>
      </c>
      <c r="AA785">
        <v>722.37</v>
      </c>
      <c r="AB785">
        <v>0</v>
      </c>
      <c r="AC785" s="49">
        <v>45209</v>
      </c>
      <c r="AD785" s="116" t="s">
        <v>10</v>
      </c>
      <c r="AE785" s="113" t="str" cm="1">
        <f t="array" ref="AE785">_xlfn.IFS(S785&lt;=Constantes!$G$2,"Muito Curta (evitável)",S785&lt;=Constantes!$H$2,"Curta Distância",S785&gt;Constantes!$H$2,"Longa Distância")</f>
        <v>Muito Curta (evitável)</v>
      </c>
      <c r="AF785" s="114">
        <f>IFERROR(VLOOKUP(AE785,Constantes!$A$1:$E$5,MATCH(AD785,Constantes!$A$1:$E$1,0),0),"")</f>
        <v>0.27257678523489931</v>
      </c>
      <c r="AG785" s="115">
        <f t="shared" si="25"/>
        <v>132.67256943035531</v>
      </c>
    </row>
    <row r="786" spans="1:33" x14ac:dyDescent="0.3">
      <c r="A786">
        <f>COUNTIF($B$2:B786,B786)</f>
        <v>2</v>
      </c>
      <c r="B786">
        <v>19383526</v>
      </c>
      <c r="C786" t="s">
        <v>1449</v>
      </c>
      <c r="D786" t="s">
        <v>613</v>
      </c>
      <c r="E786" t="s">
        <v>614</v>
      </c>
      <c r="F786" t="s">
        <v>198</v>
      </c>
      <c r="G786" t="s">
        <v>233</v>
      </c>
      <c r="H786" t="s">
        <v>233</v>
      </c>
      <c r="I786" s="49">
        <v>45265</v>
      </c>
      <c r="J786" s="49">
        <v>45269</v>
      </c>
      <c r="K786" t="s">
        <v>1450</v>
      </c>
      <c r="L786" s="49">
        <v>45269</v>
      </c>
      <c r="M786" s="49">
        <v>45269</v>
      </c>
      <c r="N786" t="s">
        <v>496</v>
      </c>
      <c r="O786" t="s">
        <v>107</v>
      </c>
      <c r="P786">
        <f>VLOOKUP(N786,[1]ID_Cidades!$A$1:$E$5900,2,FALSE)</f>
        <v>295769</v>
      </c>
      <c r="Q786">
        <f>VLOOKUP(O786,[1]ID_Cidades!$A$1:$E$5900,2,FALSE)</f>
        <v>295765</v>
      </c>
      <c r="R786">
        <f t="shared" si="24"/>
        <v>87478118285</v>
      </c>
      <c r="S786" s="42">
        <f>VLOOKUP(R786,'[1]GCD base'!$A$1:$M$200,7,FALSE)</f>
        <v>486.73466200000001</v>
      </c>
      <c r="T786" t="s">
        <v>109</v>
      </c>
      <c r="U786" t="s">
        <v>201</v>
      </c>
      <c r="V786" t="s">
        <v>202</v>
      </c>
      <c r="W786" t="s">
        <v>203</v>
      </c>
      <c r="X786" t="s">
        <v>204</v>
      </c>
      <c r="Y786">
        <v>0</v>
      </c>
      <c r="Z786">
        <v>0</v>
      </c>
      <c r="AA786">
        <v>723.99</v>
      </c>
      <c r="AB786">
        <v>0</v>
      </c>
      <c r="AC786" s="49">
        <v>45209</v>
      </c>
      <c r="AD786" s="116" t="s">
        <v>10</v>
      </c>
      <c r="AE786" s="113" t="str" cm="1">
        <f t="array" ref="AE786">_xlfn.IFS(S786&lt;=Constantes!$G$2,"Muito Curta (evitável)",S786&lt;=Constantes!$H$2,"Curta Distância",S786&gt;Constantes!$H$2,"Longa Distância")</f>
        <v>Muito Curta (evitável)</v>
      </c>
      <c r="AF786" s="114">
        <f>IFERROR(VLOOKUP(AE786,Constantes!$A$1:$E$5,MATCH(AD786,Constantes!$A$1:$E$1,0),0),"")</f>
        <v>0.27257678523489931</v>
      </c>
      <c r="AG786" s="115">
        <f t="shared" si="25"/>
        <v>132.67256943035531</v>
      </c>
    </row>
    <row r="787" spans="1:33" x14ac:dyDescent="0.3">
      <c r="A787">
        <f>COUNTIF($B$2:B787,B787)</f>
        <v>1</v>
      </c>
      <c r="B787">
        <v>19608735</v>
      </c>
      <c r="C787" t="s">
        <v>1754</v>
      </c>
      <c r="D787" t="s">
        <v>208</v>
      </c>
      <c r="E787" t="s">
        <v>132</v>
      </c>
      <c r="F787" t="s">
        <v>198</v>
      </c>
      <c r="G787" t="s">
        <v>209</v>
      </c>
      <c r="H787" t="s">
        <v>200</v>
      </c>
      <c r="I787" s="49">
        <v>45265</v>
      </c>
      <c r="J787" s="49">
        <v>45265</v>
      </c>
      <c r="K787" t="s">
        <v>1755</v>
      </c>
      <c r="L787" s="49">
        <v>45265</v>
      </c>
      <c r="M787" s="49">
        <v>45265</v>
      </c>
      <c r="N787" t="s">
        <v>107</v>
      </c>
      <c r="O787" t="s">
        <v>110</v>
      </c>
      <c r="P787">
        <f>VLOOKUP(N787,[1]ID_Cidades!$A$1:$E$5900,2,FALSE)</f>
        <v>295765</v>
      </c>
      <c r="Q787">
        <f>VLOOKUP(O787,[1]ID_Cidades!$A$1:$E$5900,2,FALSE)</f>
        <v>295763</v>
      </c>
      <c r="R787">
        <f t="shared" si="24"/>
        <v>87476343695</v>
      </c>
      <c r="S787" s="42">
        <f>VLOOKUP(R787,'[1]GCD base'!$A$1:$M$200,7,FALSE)</f>
        <v>1713.419991</v>
      </c>
      <c r="T787" t="s">
        <v>109</v>
      </c>
      <c r="U787" t="s">
        <v>205</v>
      </c>
      <c r="V787" t="s">
        <v>202</v>
      </c>
      <c r="W787" t="s">
        <v>210</v>
      </c>
      <c r="X787" t="s">
        <v>1756</v>
      </c>
      <c r="Y787">
        <v>281.83</v>
      </c>
      <c r="Z787">
        <v>0</v>
      </c>
      <c r="AA787">
        <v>3254.09</v>
      </c>
      <c r="AB787">
        <v>0</v>
      </c>
      <c r="AC787" s="49">
        <v>45264</v>
      </c>
      <c r="AD787" s="116" t="s">
        <v>10</v>
      </c>
      <c r="AE787" s="113" t="str" cm="1">
        <f t="array" ref="AE787">_xlfn.IFS(S787&lt;=Constantes!$G$2,"Muito Curta (evitável)",S787&lt;=Constantes!$H$2,"Curta Distância",S787&gt;Constantes!$H$2,"Longa Distância")</f>
        <v>Curta Distância</v>
      </c>
      <c r="AF787" s="114">
        <f>IFERROR(VLOOKUP(AE787,Constantes!$A$1:$E$5,MATCH(AD787,Constantes!$A$1:$E$1,0),0),"")</f>
        <v>0.18286935436241611</v>
      </c>
      <c r="AG787" s="115">
        <f t="shared" si="25"/>
        <v>313.33200750582682</v>
      </c>
    </row>
    <row r="788" spans="1:33" x14ac:dyDescent="0.3">
      <c r="A788">
        <f>COUNTIF($B$2:B788,B788)</f>
        <v>2</v>
      </c>
      <c r="B788">
        <v>19608735</v>
      </c>
      <c r="C788" t="s">
        <v>1754</v>
      </c>
      <c r="D788" t="s">
        <v>208</v>
      </c>
      <c r="E788" t="s">
        <v>132</v>
      </c>
      <c r="F788" t="s">
        <v>198</v>
      </c>
      <c r="G788" t="s">
        <v>209</v>
      </c>
      <c r="H788" t="s">
        <v>200</v>
      </c>
      <c r="I788" s="49">
        <v>45265</v>
      </c>
      <c r="J788" s="49">
        <v>45265</v>
      </c>
      <c r="K788" t="s">
        <v>1755</v>
      </c>
      <c r="L788" s="49">
        <v>45265</v>
      </c>
      <c r="M788" s="49">
        <v>45265</v>
      </c>
      <c r="N788" t="s">
        <v>110</v>
      </c>
      <c r="O788" t="s">
        <v>107</v>
      </c>
      <c r="P788">
        <f>VLOOKUP(N788,[1]ID_Cidades!$A$1:$E$5900,2,FALSE)</f>
        <v>295763</v>
      </c>
      <c r="Q788">
        <f>VLOOKUP(O788,[1]ID_Cidades!$A$1:$E$5900,2,FALSE)</f>
        <v>295765</v>
      </c>
      <c r="R788">
        <f t="shared" si="24"/>
        <v>87476343695</v>
      </c>
      <c r="S788" s="42">
        <f>VLOOKUP(R788,'[1]GCD base'!$A$1:$M$200,7,FALSE)</f>
        <v>1713.419991</v>
      </c>
      <c r="T788" t="s">
        <v>109</v>
      </c>
      <c r="U788" t="s">
        <v>201</v>
      </c>
      <c r="V788" t="s">
        <v>202</v>
      </c>
      <c r="W788" t="s">
        <v>210</v>
      </c>
      <c r="X788" t="s">
        <v>1756</v>
      </c>
      <c r="Y788">
        <v>0</v>
      </c>
      <c r="Z788">
        <v>0</v>
      </c>
      <c r="AA788">
        <v>2601.11</v>
      </c>
      <c r="AB788">
        <v>0</v>
      </c>
      <c r="AC788" s="49">
        <v>45264</v>
      </c>
      <c r="AD788" s="116" t="s">
        <v>10</v>
      </c>
      <c r="AE788" s="113" t="str" cm="1">
        <f t="array" ref="AE788">_xlfn.IFS(S788&lt;=Constantes!$G$2,"Muito Curta (evitável)",S788&lt;=Constantes!$H$2,"Curta Distância",S788&gt;Constantes!$H$2,"Longa Distância")</f>
        <v>Curta Distância</v>
      </c>
      <c r="AF788" s="114">
        <f>IFERROR(VLOOKUP(AE788,Constantes!$A$1:$E$5,MATCH(AD788,Constantes!$A$1:$E$1,0),0),"")</f>
        <v>0.18286935436241611</v>
      </c>
      <c r="AG788" s="115">
        <f t="shared" si="25"/>
        <v>313.33200750582682</v>
      </c>
    </row>
    <row r="789" spans="1:33" x14ac:dyDescent="0.3">
      <c r="A789">
        <f>COUNTIF($B$2:B789,B789)</f>
        <v>1</v>
      </c>
      <c r="B789">
        <v>19249317</v>
      </c>
      <c r="C789" t="s">
        <v>850</v>
      </c>
      <c r="D789" t="s">
        <v>851</v>
      </c>
      <c r="E789" t="s">
        <v>852</v>
      </c>
      <c r="F789" t="s">
        <v>198</v>
      </c>
      <c r="G789" t="s">
        <v>233</v>
      </c>
      <c r="H789" t="s">
        <v>233</v>
      </c>
      <c r="I789" s="49">
        <v>45270</v>
      </c>
      <c r="J789" s="49">
        <v>45277</v>
      </c>
      <c r="K789" t="s">
        <v>853</v>
      </c>
      <c r="L789" s="49">
        <v>45277</v>
      </c>
      <c r="M789" s="49">
        <v>45277</v>
      </c>
      <c r="N789" t="s">
        <v>107</v>
      </c>
      <c r="O789" t="s">
        <v>116</v>
      </c>
      <c r="P789">
        <f>VLOOKUP(N789,[1]ID_Cidades!$A$1:$E$5900,2,FALSE)</f>
        <v>295765</v>
      </c>
      <c r="Q789">
        <f>VLOOKUP(O789,[1]ID_Cidades!$A$1:$E$5900,2,FALSE)</f>
        <v>295778</v>
      </c>
      <c r="R789">
        <f t="shared" si="24"/>
        <v>87480780170</v>
      </c>
      <c r="S789" s="42">
        <f>VLOOKUP(R789,'[1]GCD base'!$A$1:$M$200,7,FALSE)</f>
        <v>1961.5007860000001</v>
      </c>
      <c r="T789" t="s">
        <v>109</v>
      </c>
      <c r="U789" t="s">
        <v>201</v>
      </c>
      <c r="V789" t="s">
        <v>202</v>
      </c>
      <c r="W789" t="s">
        <v>203</v>
      </c>
      <c r="X789" t="s">
        <v>204</v>
      </c>
      <c r="Y789">
        <v>2503.1</v>
      </c>
      <c r="Z789">
        <v>0</v>
      </c>
      <c r="AA789">
        <v>630.20000000000005</v>
      </c>
      <c r="AB789">
        <v>0</v>
      </c>
      <c r="AC789" s="49">
        <v>45177</v>
      </c>
      <c r="AD789" s="116" t="s">
        <v>10</v>
      </c>
      <c r="AE789" s="113" t="str" cm="1">
        <f t="array" ref="AE789">_xlfn.IFS(S789&lt;=Constantes!$G$2,"Muito Curta (evitável)",S789&lt;=Constantes!$H$2,"Curta Distância",S789&gt;Constantes!$H$2,"Longa Distância")</f>
        <v>Curta Distância</v>
      </c>
      <c r="AF789" s="114">
        <f>IFERROR(VLOOKUP(AE789,Constantes!$A$1:$E$5,MATCH(AD789,Constantes!$A$1:$E$1,0),0),"")</f>
        <v>0.18286935436241611</v>
      </c>
      <c r="AG789" s="115">
        <f t="shared" si="25"/>
        <v>358.69838231719172</v>
      </c>
    </row>
    <row r="790" spans="1:33" x14ac:dyDescent="0.3">
      <c r="A790">
        <f>COUNTIF($B$2:B790,B790)</f>
        <v>2</v>
      </c>
      <c r="B790">
        <v>19249317</v>
      </c>
      <c r="C790" t="s">
        <v>850</v>
      </c>
      <c r="D790" t="s">
        <v>851</v>
      </c>
      <c r="E790" t="s">
        <v>852</v>
      </c>
      <c r="F790" t="s">
        <v>198</v>
      </c>
      <c r="G790" t="s">
        <v>233</v>
      </c>
      <c r="H790" t="s">
        <v>233</v>
      </c>
      <c r="I790" s="49">
        <v>45270</v>
      </c>
      <c r="J790" s="49">
        <v>45277</v>
      </c>
      <c r="K790" t="s">
        <v>853</v>
      </c>
      <c r="L790" s="49">
        <v>45270</v>
      </c>
      <c r="M790" s="49">
        <v>45277</v>
      </c>
      <c r="N790" t="s">
        <v>116</v>
      </c>
      <c r="O790" t="s">
        <v>107</v>
      </c>
      <c r="P790">
        <f>VLOOKUP(N790,[1]ID_Cidades!$A$1:$E$5900,2,FALSE)</f>
        <v>295778</v>
      </c>
      <c r="Q790">
        <f>VLOOKUP(O790,[1]ID_Cidades!$A$1:$E$5900,2,FALSE)</f>
        <v>295765</v>
      </c>
      <c r="R790">
        <f t="shared" si="24"/>
        <v>87480780170</v>
      </c>
      <c r="S790" s="42">
        <f>VLOOKUP(R790,'[1]GCD base'!$A$1:$M$200,7,FALSE)</f>
        <v>1961.5007860000001</v>
      </c>
      <c r="T790" t="s">
        <v>109</v>
      </c>
      <c r="U790" t="s">
        <v>205</v>
      </c>
      <c r="V790" t="s">
        <v>202</v>
      </c>
      <c r="W790" t="s">
        <v>203</v>
      </c>
      <c r="X790" t="s">
        <v>204</v>
      </c>
      <c r="Y790">
        <v>0</v>
      </c>
      <c r="Z790">
        <v>0</v>
      </c>
      <c r="AA790">
        <v>633.49</v>
      </c>
      <c r="AB790">
        <v>0</v>
      </c>
      <c r="AC790" s="49">
        <v>45177</v>
      </c>
      <c r="AD790" s="116" t="s">
        <v>10</v>
      </c>
      <c r="AE790" s="113" t="str" cm="1">
        <f t="array" ref="AE790">_xlfn.IFS(S790&lt;=Constantes!$G$2,"Muito Curta (evitável)",S790&lt;=Constantes!$H$2,"Curta Distância",S790&gt;Constantes!$H$2,"Longa Distância")</f>
        <v>Curta Distância</v>
      </c>
      <c r="AF790" s="114">
        <f>IFERROR(VLOOKUP(AE790,Constantes!$A$1:$E$5,MATCH(AD790,Constantes!$A$1:$E$1,0),0),"")</f>
        <v>0.18286935436241611</v>
      </c>
      <c r="AG790" s="115">
        <f t="shared" si="25"/>
        <v>358.69838231719172</v>
      </c>
    </row>
    <row r="791" spans="1:33" x14ac:dyDescent="0.3">
      <c r="A791">
        <f>COUNTIF($B$2:B791,B791)</f>
        <v>1</v>
      </c>
      <c r="B791">
        <v>19243314</v>
      </c>
      <c r="C791" t="s">
        <v>810</v>
      </c>
      <c r="D791" t="s">
        <v>811</v>
      </c>
      <c r="E791" t="s">
        <v>812</v>
      </c>
      <c r="F791" t="s">
        <v>198</v>
      </c>
      <c r="G791" t="s">
        <v>207</v>
      </c>
      <c r="H791" t="s">
        <v>204</v>
      </c>
      <c r="I791" s="49">
        <v>45271</v>
      </c>
      <c r="J791" s="49">
        <v>45282</v>
      </c>
      <c r="K791" t="s">
        <v>813</v>
      </c>
      <c r="L791" s="49">
        <v>45271</v>
      </c>
      <c r="M791" s="49">
        <v>45273</v>
      </c>
      <c r="N791" t="s">
        <v>107</v>
      </c>
      <c r="O791" t="s">
        <v>122</v>
      </c>
      <c r="P791">
        <f>VLOOKUP(N791,[1]ID_Cidades!$A$1:$E$5900,2,FALSE)</f>
        <v>295765</v>
      </c>
      <c r="Q791">
        <f>VLOOKUP(O791,[1]ID_Cidades!$A$1:$E$5900,2,FALSE)</f>
        <v>295781</v>
      </c>
      <c r="R791">
        <f t="shared" si="24"/>
        <v>87481667465</v>
      </c>
      <c r="S791" s="42">
        <f>VLOOKUP(R791,'[1]GCD base'!$A$1:$M$200,7,FALSE)</f>
        <v>2695.5823350000001</v>
      </c>
      <c r="T791" t="s">
        <v>109</v>
      </c>
      <c r="U791" t="s">
        <v>205</v>
      </c>
      <c r="V791" t="s">
        <v>202</v>
      </c>
      <c r="W791" t="s">
        <v>203</v>
      </c>
      <c r="X791" t="s">
        <v>204</v>
      </c>
      <c r="Y791">
        <v>3717.63</v>
      </c>
      <c r="Z791">
        <v>0</v>
      </c>
      <c r="AA791">
        <v>873.59</v>
      </c>
      <c r="AB791">
        <v>0</v>
      </c>
      <c r="AC791" s="49">
        <v>45181</v>
      </c>
      <c r="AD791" s="116" t="s">
        <v>10</v>
      </c>
      <c r="AE791" s="113" t="str" cm="1">
        <f t="array" ref="AE791">_xlfn.IFS(S791&lt;=Constantes!$G$2,"Muito Curta (evitável)",S791&lt;=Constantes!$H$2,"Curta Distância",S791&gt;Constantes!$H$2,"Longa Distância")</f>
        <v>Curta Distância</v>
      </c>
      <c r="AF791" s="114">
        <f>IFERROR(VLOOKUP(AE791,Constantes!$A$1:$E$5,MATCH(AD791,Constantes!$A$1:$E$1,0),0),"")</f>
        <v>0.18286935436241611</v>
      </c>
      <c r="AG791" s="115">
        <f t="shared" si="25"/>
        <v>492.93940123218408</v>
      </c>
    </row>
    <row r="792" spans="1:33" x14ac:dyDescent="0.3">
      <c r="A792">
        <f>COUNTIF($B$2:B792,B792)</f>
        <v>1</v>
      </c>
      <c r="B792">
        <v>19331181</v>
      </c>
      <c r="C792" t="s">
        <v>1245</v>
      </c>
      <c r="D792" t="s">
        <v>1246</v>
      </c>
      <c r="E792" t="s">
        <v>1247</v>
      </c>
      <c r="F792" t="s">
        <v>198</v>
      </c>
      <c r="G792" t="s">
        <v>207</v>
      </c>
      <c r="H792" t="s">
        <v>204</v>
      </c>
      <c r="I792" s="49">
        <v>45271</v>
      </c>
      <c r="J792" s="49">
        <v>45275</v>
      </c>
      <c r="K792" t="s">
        <v>1248</v>
      </c>
      <c r="L792" s="49">
        <v>45271</v>
      </c>
      <c r="M792" s="49">
        <v>45275</v>
      </c>
      <c r="N792" t="s">
        <v>107</v>
      </c>
      <c r="O792" t="s">
        <v>116</v>
      </c>
      <c r="P792">
        <f>VLOOKUP(N792,[1]ID_Cidades!$A$1:$E$5900,2,FALSE)</f>
        <v>295765</v>
      </c>
      <c r="Q792">
        <f>VLOOKUP(O792,[1]ID_Cidades!$A$1:$E$5900,2,FALSE)</f>
        <v>295778</v>
      </c>
      <c r="R792">
        <f t="shared" si="24"/>
        <v>87480780170</v>
      </c>
      <c r="S792" s="42">
        <f>VLOOKUP(R792,'[1]GCD base'!$A$1:$M$200,7,FALSE)</f>
        <v>1961.5007860000001</v>
      </c>
      <c r="T792" t="s">
        <v>109</v>
      </c>
      <c r="U792" t="s">
        <v>205</v>
      </c>
      <c r="V792" t="s">
        <v>202</v>
      </c>
      <c r="W792" t="s">
        <v>203</v>
      </c>
      <c r="X792" t="s">
        <v>204</v>
      </c>
      <c r="Y792">
        <v>1660.58</v>
      </c>
      <c r="Z792">
        <v>0</v>
      </c>
      <c r="AA792">
        <v>765.79</v>
      </c>
      <c r="AB792">
        <v>0</v>
      </c>
      <c r="AC792" s="49">
        <v>45201</v>
      </c>
      <c r="AD792" s="116" t="s">
        <v>10</v>
      </c>
      <c r="AE792" s="113" t="str" cm="1">
        <f t="array" ref="AE792">_xlfn.IFS(S792&lt;=Constantes!$G$2,"Muito Curta (evitável)",S792&lt;=Constantes!$H$2,"Curta Distância",S792&gt;Constantes!$H$2,"Longa Distância")</f>
        <v>Curta Distância</v>
      </c>
      <c r="AF792" s="114">
        <f>IFERROR(VLOOKUP(AE792,Constantes!$A$1:$E$5,MATCH(AD792,Constantes!$A$1:$E$1,0),0),"")</f>
        <v>0.18286935436241611</v>
      </c>
      <c r="AG792" s="115">
        <f t="shared" si="25"/>
        <v>358.69838231719172</v>
      </c>
    </row>
    <row r="793" spans="1:33" x14ac:dyDescent="0.3">
      <c r="A793">
        <f>COUNTIF($B$2:B793,B793)</f>
        <v>2</v>
      </c>
      <c r="B793">
        <v>19331181</v>
      </c>
      <c r="C793" t="s">
        <v>1245</v>
      </c>
      <c r="D793" t="s">
        <v>1246</v>
      </c>
      <c r="E793" t="s">
        <v>1247</v>
      </c>
      <c r="F793" t="s">
        <v>198</v>
      </c>
      <c r="G793" t="s">
        <v>207</v>
      </c>
      <c r="H793" t="s">
        <v>204</v>
      </c>
      <c r="I793" s="49">
        <v>45271</v>
      </c>
      <c r="J793" s="49">
        <v>45275</v>
      </c>
      <c r="K793" t="s">
        <v>1248</v>
      </c>
      <c r="L793" s="49">
        <v>45275</v>
      </c>
      <c r="M793" s="49">
        <v>45275</v>
      </c>
      <c r="N793" t="s">
        <v>116</v>
      </c>
      <c r="O793" t="s">
        <v>107</v>
      </c>
      <c r="P793">
        <f>VLOOKUP(N793,[1]ID_Cidades!$A$1:$E$5900,2,FALSE)</f>
        <v>295778</v>
      </c>
      <c r="Q793">
        <f>VLOOKUP(O793,[1]ID_Cidades!$A$1:$E$5900,2,FALSE)</f>
        <v>295765</v>
      </c>
      <c r="R793">
        <f t="shared" si="24"/>
        <v>87480780170</v>
      </c>
      <c r="S793" s="42">
        <f>VLOOKUP(R793,'[1]GCD base'!$A$1:$M$200,7,FALSE)</f>
        <v>1961.5007860000001</v>
      </c>
      <c r="T793" t="s">
        <v>109</v>
      </c>
      <c r="U793" t="s">
        <v>201</v>
      </c>
      <c r="V793" t="s">
        <v>202</v>
      </c>
      <c r="W793" t="s">
        <v>203</v>
      </c>
      <c r="X793" t="s">
        <v>204</v>
      </c>
      <c r="Y793">
        <v>0</v>
      </c>
      <c r="Z793">
        <v>0</v>
      </c>
      <c r="AA793">
        <v>947.6</v>
      </c>
      <c r="AB793">
        <v>0</v>
      </c>
      <c r="AC793" s="49">
        <v>45201</v>
      </c>
      <c r="AD793" s="116" t="s">
        <v>10</v>
      </c>
      <c r="AE793" s="113" t="str" cm="1">
        <f t="array" ref="AE793">_xlfn.IFS(S793&lt;=Constantes!$G$2,"Muito Curta (evitável)",S793&lt;=Constantes!$H$2,"Curta Distância",S793&gt;Constantes!$H$2,"Longa Distância")</f>
        <v>Curta Distância</v>
      </c>
      <c r="AF793" s="114">
        <f>IFERROR(VLOOKUP(AE793,Constantes!$A$1:$E$5,MATCH(AD793,Constantes!$A$1:$E$1,0),0),"")</f>
        <v>0.18286935436241611</v>
      </c>
      <c r="AG793" s="115">
        <f t="shared" si="25"/>
        <v>358.69838231719172</v>
      </c>
    </row>
    <row r="794" spans="1:33" x14ac:dyDescent="0.3">
      <c r="A794">
        <f>COUNTIF($B$2:B794,B794)</f>
        <v>1</v>
      </c>
      <c r="B794">
        <v>19332563</v>
      </c>
      <c r="C794" t="s">
        <v>1249</v>
      </c>
      <c r="D794" t="s">
        <v>1250</v>
      </c>
      <c r="E794" t="s">
        <v>1251</v>
      </c>
      <c r="F794" t="s">
        <v>198</v>
      </c>
      <c r="G794" t="s">
        <v>207</v>
      </c>
      <c r="H794" t="s">
        <v>204</v>
      </c>
      <c r="I794" s="49">
        <v>45271</v>
      </c>
      <c r="J794" s="49">
        <v>45275</v>
      </c>
      <c r="K794" t="s">
        <v>1252</v>
      </c>
      <c r="L794" s="49">
        <v>45275</v>
      </c>
      <c r="M794" s="49">
        <v>45275</v>
      </c>
      <c r="N794" t="s">
        <v>116</v>
      </c>
      <c r="O794" t="s">
        <v>107</v>
      </c>
      <c r="P794">
        <f>VLOOKUP(N794,[1]ID_Cidades!$A$1:$E$5900,2,FALSE)</f>
        <v>295778</v>
      </c>
      <c r="Q794">
        <f>VLOOKUP(O794,[1]ID_Cidades!$A$1:$E$5900,2,FALSE)</f>
        <v>295765</v>
      </c>
      <c r="R794">
        <f t="shared" si="24"/>
        <v>87480780170</v>
      </c>
      <c r="S794" s="42">
        <f>VLOOKUP(R794,'[1]GCD base'!$A$1:$M$200,7,FALSE)</f>
        <v>1961.5007860000001</v>
      </c>
      <c r="T794" t="s">
        <v>109</v>
      </c>
      <c r="U794" t="s">
        <v>201</v>
      </c>
      <c r="V794" t="s">
        <v>202</v>
      </c>
      <c r="W794" t="s">
        <v>203</v>
      </c>
      <c r="X794" t="s">
        <v>204</v>
      </c>
      <c r="Y794">
        <v>1660.58</v>
      </c>
      <c r="Z794">
        <v>0</v>
      </c>
      <c r="AA794">
        <v>714.79</v>
      </c>
      <c r="AB794">
        <v>0</v>
      </c>
      <c r="AC794" s="49">
        <v>45196</v>
      </c>
      <c r="AD794" s="116" t="s">
        <v>10</v>
      </c>
      <c r="AE794" s="113" t="str" cm="1">
        <f t="array" ref="AE794">_xlfn.IFS(S794&lt;=Constantes!$G$2,"Muito Curta (evitável)",S794&lt;=Constantes!$H$2,"Curta Distância",S794&gt;Constantes!$H$2,"Longa Distância")</f>
        <v>Curta Distância</v>
      </c>
      <c r="AF794" s="114">
        <f>IFERROR(VLOOKUP(AE794,Constantes!$A$1:$E$5,MATCH(AD794,Constantes!$A$1:$E$1,0),0),"")</f>
        <v>0.18286935436241611</v>
      </c>
      <c r="AG794" s="115">
        <f t="shared" si="25"/>
        <v>358.69838231719172</v>
      </c>
    </row>
    <row r="795" spans="1:33" x14ac:dyDescent="0.3">
      <c r="A795">
        <f>COUNTIF($B$2:B795,B795)</f>
        <v>2</v>
      </c>
      <c r="B795">
        <v>19332563</v>
      </c>
      <c r="C795" t="s">
        <v>1249</v>
      </c>
      <c r="D795" t="s">
        <v>1250</v>
      </c>
      <c r="E795" t="s">
        <v>1251</v>
      </c>
      <c r="F795" t="s">
        <v>198</v>
      </c>
      <c r="G795" t="s">
        <v>207</v>
      </c>
      <c r="H795" t="s">
        <v>204</v>
      </c>
      <c r="I795" s="49">
        <v>45271</v>
      </c>
      <c r="J795" s="49">
        <v>45275</v>
      </c>
      <c r="K795" t="s">
        <v>1252</v>
      </c>
      <c r="L795" s="49">
        <v>45271</v>
      </c>
      <c r="M795" s="49">
        <v>45275</v>
      </c>
      <c r="N795" t="s">
        <v>107</v>
      </c>
      <c r="O795" t="s">
        <v>116</v>
      </c>
      <c r="P795">
        <f>VLOOKUP(N795,[1]ID_Cidades!$A$1:$E$5900,2,FALSE)</f>
        <v>295765</v>
      </c>
      <c r="Q795">
        <f>VLOOKUP(O795,[1]ID_Cidades!$A$1:$E$5900,2,FALSE)</f>
        <v>295778</v>
      </c>
      <c r="R795">
        <f t="shared" si="24"/>
        <v>87480780170</v>
      </c>
      <c r="S795" s="42">
        <f>VLOOKUP(R795,'[1]GCD base'!$A$1:$M$200,7,FALSE)</f>
        <v>1961.5007860000001</v>
      </c>
      <c r="T795" t="s">
        <v>109</v>
      </c>
      <c r="U795" t="s">
        <v>205</v>
      </c>
      <c r="V795" t="s">
        <v>202</v>
      </c>
      <c r="W795" t="s">
        <v>203</v>
      </c>
      <c r="X795" t="s">
        <v>204</v>
      </c>
      <c r="Y795">
        <v>0</v>
      </c>
      <c r="Z795">
        <v>0</v>
      </c>
      <c r="AA795">
        <v>1083.7</v>
      </c>
      <c r="AB795">
        <v>0</v>
      </c>
      <c r="AC795" s="49">
        <v>45196</v>
      </c>
      <c r="AD795" s="116" t="s">
        <v>10</v>
      </c>
      <c r="AE795" s="113" t="str" cm="1">
        <f t="array" ref="AE795">_xlfn.IFS(S795&lt;=Constantes!$G$2,"Muito Curta (evitável)",S795&lt;=Constantes!$H$2,"Curta Distância",S795&gt;Constantes!$H$2,"Longa Distância")</f>
        <v>Curta Distância</v>
      </c>
      <c r="AF795" s="114">
        <f>IFERROR(VLOOKUP(AE795,Constantes!$A$1:$E$5,MATCH(AD795,Constantes!$A$1:$E$1,0),0),"")</f>
        <v>0.18286935436241611</v>
      </c>
      <c r="AG795" s="115">
        <f t="shared" si="25"/>
        <v>358.69838231719172</v>
      </c>
    </row>
    <row r="796" spans="1:33" x14ac:dyDescent="0.3">
      <c r="A796">
        <f>COUNTIF($B$2:B796,B796)</f>
        <v>1</v>
      </c>
      <c r="B796">
        <v>19342620</v>
      </c>
      <c r="C796" t="s">
        <v>1294</v>
      </c>
      <c r="D796" t="s">
        <v>1295</v>
      </c>
      <c r="E796" t="s">
        <v>1296</v>
      </c>
      <c r="F796" t="s">
        <v>198</v>
      </c>
      <c r="G796" t="s">
        <v>207</v>
      </c>
      <c r="H796" t="s">
        <v>204</v>
      </c>
      <c r="I796" s="49">
        <v>45271</v>
      </c>
      <c r="J796" s="49">
        <v>45275</v>
      </c>
      <c r="K796" t="s">
        <v>1297</v>
      </c>
      <c r="L796" s="49">
        <v>45275</v>
      </c>
      <c r="M796" s="49">
        <v>45275</v>
      </c>
      <c r="N796" t="s">
        <v>116</v>
      </c>
      <c r="O796" t="s">
        <v>107</v>
      </c>
      <c r="P796">
        <f>VLOOKUP(N796,[1]ID_Cidades!$A$1:$E$5900,2,FALSE)</f>
        <v>295778</v>
      </c>
      <c r="Q796">
        <f>VLOOKUP(O796,[1]ID_Cidades!$A$1:$E$5900,2,FALSE)</f>
        <v>295765</v>
      </c>
      <c r="R796">
        <f t="shared" si="24"/>
        <v>87480780170</v>
      </c>
      <c r="S796" s="42">
        <f>VLOOKUP(R796,'[1]GCD base'!$A$1:$M$200,7,FALSE)</f>
        <v>1961.5007860000001</v>
      </c>
      <c r="T796" t="s">
        <v>109</v>
      </c>
      <c r="U796" t="s">
        <v>201</v>
      </c>
      <c r="V796" t="s">
        <v>202</v>
      </c>
      <c r="W796" t="s">
        <v>203</v>
      </c>
      <c r="X796" t="s">
        <v>204</v>
      </c>
      <c r="Y796">
        <v>1660.58</v>
      </c>
      <c r="Z796">
        <v>0</v>
      </c>
      <c r="AA796">
        <v>714.79</v>
      </c>
      <c r="AB796">
        <v>0</v>
      </c>
      <c r="AC796" s="49">
        <v>45204</v>
      </c>
      <c r="AD796" s="116" t="s">
        <v>10</v>
      </c>
      <c r="AE796" s="113" t="str" cm="1">
        <f t="array" ref="AE796">_xlfn.IFS(S796&lt;=Constantes!$G$2,"Muito Curta (evitável)",S796&lt;=Constantes!$H$2,"Curta Distância",S796&gt;Constantes!$H$2,"Longa Distância")</f>
        <v>Curta Distância</v>
      </c>
      <c r="AF796" s="114">
        <f>IFERROR(VLOOKUP(AE796,Constantes!$A$1:$E$5,MATCH(AD796,Constantes!$A$1:$E$1,0),0),"")</f>
        <v>0.18286935436241611</v>
      </c>
      <c r="AG796" s="115">
        <f t="shared" si="25"/>
        <v>358.69838231719172</v>
      </c>
    </row>
    <row r="797" spans="1:33" x14ac:dyDescent="0.3">
      <c r="A797">
        <f>COUNTIF($B$2:B797,B797)</f>
        <v>2</v>
      </c>
      <c r="B797">
        <v>19342620</v>
      </c>
      <c r="C797" t="s">
        <v>1294</v>
      </c>
      <c r="D797" t="s">
        <v>1295</v>
      </c>
      <c r="E797" t="s">
        <v>1296</v>
      </c>
      <c r="F797" t="s">
        <v>198</v>
      </c>
      <c r="G797" t="s">
        <v>207</v>
      </c>
      <c r="H797" t="s">
        <v>204</v>
      </c>
      <c r="I797" s="49">
        <v>45271</v>
      </c>
      <c r="J797" s="49">
        <v>45275</v>
      </c>
      <c r="K797" t="s">
        <v>1297</v>
      </c>
      <c r="L797" s="49">
        <v>45271</v>
      </c>
      <c r="M797" s="49">
        <v>45275</v>
      </c>
      <c r="N797" t="s">
        <v>107</v>
      </c>
      <c r="O797" t="s">
        <v>116</v>
      </c>
      <c r="P797">
        <f>VLOOKUP(N797,[1]ID_Cidades!$A$1:$E$5900,2,FALSE)</f>
        <v>295765</v>
      </c>
      <c r="Q797">
        <f>VLOOKUP(O797,[1]ID_Cidades!$A$1:$E$5900,2,FALSE)</f>
        <v>295778</v>
      </c>
      <c r="R797">
        <f t="shared" si="24"/>
        <v>87480780170</v>
      </c>
      <c r="S797" s="42">
        <f>VLOOKUP(R797,'[1]GCD base'!$A$1:$M$200,7,FALSE)</f>
        <v>1961.5007860000001</v>
      </c>
      <c r="T797" t="s">
        <v>109</v>
      </c>
      <c r="U797" t="s">
        <v>205</v>
      </c>
      <c r="V797" t="s">
        <v>202</v>
      </c>
      <c r="W797" t="s">
        <v>203</v>
      </c>
      <c r="X797" t="s">
        <v>204</v>
      </c>
      <c r="Y797">
        <v>0</v>
      </c>
      <c r="Z797">
        <v>0</v>
      </c>
      <c r="AA797">
        <v>998.6</v>
      </c>
      <c r="AB797">
        <v>0</v>
      </c>
      <c r="AC797" s="49">
        <v>45204</v>
      </c>
      <c r="AD797" s="116" t="s">
        <v>10</v>
      </c>
      <c r="AE797" s="113" t="str" cm="1">
        <f t="array" ref="AE797">_xlfn.IFS(S797&lt;=Constantes!$G$2,"Muito Curta (evitável)",S797&lt;=Constantes!$H$2,"Curta Distância",S797&gt;Constantes!$H$2,"Longa Distância")</f>
        <v>Curta Distância</v>
      </c>
      <c r="AF797" s="114">
        <f>IFERROR(VLOOKUP(AE797,Constantes!$A$1:$E$5,MATCH(AD797,Constantes!$A$1:$E$1,0),0),"")</f>
        <v>0.18286935436241611</v>
      </c>
      <c r="AG797" s="115">
        <f t="shared" si="25"/>
        <v>358.69838231719172</v>
      </c>
    </row>
    <row r="798" spans="1:33" x14ac:dyDescent="0.3">
      <c r="A798">
        <f>COUNTIF($B$2:B798,B798)</f>
        <v>1</v>
      </c>
      <c r="B798">
        <v>19440954</v>
      </c>
      <c r="C798" t="s">
        <v>1581</v>
      </c>
      <c r="D798" t="s">
        <v>224</v>
      </c>
      <c r="E798" t="s">
        <v>136</v>
      </c>
      <c r="F798" t="s">
        <v>198</v>
      </c>
      <c r="G798" t="s">
        <v>199</v>
      </c>
      <c r="H798" t="s">
        <v>200</v>
      </c>
      <c r="I798" s="49">
        <v>45271</v>
      </c>
      <c r="J798" s="49">
        <v>45274</v>
      </c>
      <c r="K798" t="s">
        <v>1582</v>
      </c>
      <c r="L798" s="49">
        <v>45271</v>
      </c>
      <c r="M798" s="49">
        <v>45274</v>
      </c>
      <c r="N798" t="s">
        <v>107</v>
      </c>
      <c r="O798" t="s">
        <v>123</v>
      </c>
      <c r="P798">
        <f>VLOOKUP(N798,[1]ID_Cidades!$A$1:$E$5900,2,FALSE)</f>
        <v>295765</v>
      </c>
      <c r="Q798">
        <f>VLOOKUP(O798,[1]ID_Cidades!$A$1:$E$5900,2,FALSE)</f>
        <v>295775</v>
      </c>
      <c r="R798">
        <f t="shared" si="24"/>
        <v>87479892875</v>
      </c>
      <c r="S798" s="42">
        <f>VLOOKUP(R798,'[1]GCD base'!$A$1:$M$200,7,FALSE)</f>
        <v>1875.298241</v>
      </c>
      <c r="T798" t="s">
        <v>109</v>
      </c>
      <c r="U798" t="s">
        <v>205</v>
      </c>
      <c r="V798" t="s">
        <v>202</v>
      </c>
      <c r="W798" t="s">
        <v>203</v>
      </c>
      <c r="X798" t="s">
        <v>204</v>
      </c>
      <c r="Y798">
        <v>1332.87</v>
      </c>
      <c r="Z798">
        <v>0</v>
      </c>
      <c r="AA798">
        <v>1653.43</v>
      </c>
      <c r="AB798">
        <v>0</v>
      </c>
      <c r="AC798" s="49">
        <v>45236</v>
      </c>
      <c r="AD798" s="116" t="s">
        <v>10</v>
      </c>
      <c r="AE798" s="113" t="str" cm="1">
        <f t="array" ref="AE798">_xlfn.IFS(S798&lt;=Constantes!$G$2,"Muito Curta (evitável)",S798&lt;=Constantes!$H$2,"Curta Distância",S798&gt;Constantes!$H$2,"Longa Distância")</f>
        <v>Curta Distância</v>
      </c>
      <c r="AF798" s="114">
        <f>IFERROR(VLOOKUP(AE798,Constantes!$A$1:$E$5,MATCH(AD798,Constantes!$A$1:$E$1,0),0),"")</f>
        <v>0.18286935436241611</v>
      </c>
      <c r="AG798" s="115">
        <f t="shared" si="25"/>
        <v>342.93457856864461</v>
      </c>
    </row>
    <row r="799" spans="1:33" x14ac:dyDescent="0.3">
      <c r="A799">
        <f>COUNTIF($B$2:B799,B799)</f>
        <v>2</v>
      </c>
      <c r="B799">
        <v>19440954</v>
      </c>
      <c r="C799" t="s">
        <v>1581</v>
      </c>
      <c r="D799" t="s">
        <v>224</v>
      </c>
      <c r="E799" t="s">
        <v>136</v>
      </c>
      <c r="F799" t="s">
        <v>198</v>
      </c>
      <c r="G799" t="s">
        <v>199</v>
      </c>
      <c r="H799" t="s">
        <v>200</v>
      </c>
      <c r="I799" s="49">
        <v>45271</v>
      </c>
      <c r="J799" s="49">
        <v>45274</v>
      </c>
      <c r="K799" t="s">
        <v>1582</v>
      </c>
      <c r="L799" s="49">
        <v>45274</v>
      </c>
      <c r="M799" s="49">
        <v>45274</v>
      </c>
      <c r="N799" t="s">
        <v>123</v>
      </c>
      <c r="O799" t="s">
        <v>107</v>
      </c>
      <c r="P799">
        <f>VLOOKUP(N799,[1]ID_Cidades!$A$1:$E$5900,2,FALSE)</f>
        <v>295775</v>
      </c>
      <c r="Q799">
        <f>VLOOKUP(O799,[1]ID_Cidades!$A$1:$E$5900,2,FALSE)</f>
        <v>295765</v>
      </c>
      <c r="R799">
        <f t="shared" si="24"/>
        <v>87479892875</v>
      </c>
      <c r="S799" s="42">
        <f>VLOOKUP(R799,'[1]GCD base'!$A$1:$M$200,7,FALSE)</f>
        <v>1875.298241</v>
      </c>
      <c r="T799" t="s">
        <v>109</v>
      </c>
      <c r="U799" t="s">
        <v>201</v>
      </c>
      <c r="V799" t="s">
        <v>202</v>
      </c>
      <c r="W799" t="s">
        <v>203</v>
      </c>
      <c r="X799" t="s">
        <v>204</v>
      </c>
      <c r="Y799">
        <v>0</v>
      </c>
      <c r="Z799">
        <v>0</v>
      </c>
      <c r="AA799">
        <v>1182.0899999999999</v>
      </c>
      <c r="AB799">
        <v>0</v>
      </c>
      <c r="AC799" s="49">
        <v>45236</v>
      </c>
      <c r="AD799" s="116" t="s">
        <v>10</v>
      </c>
      <c r="AE799" s="113" t="str" cm="1">
        <f t="array" ref="AE799">_xlfn.IFS(S799&lt;=Constantes!$G$2,"Muito Curta (evitável)",S799&lt;=Constantes!$H$2,"Curta Distância",S799&gt;Constantes!$H$2,"Longa Distância")</f>
        <v>Curta Distância</v>
      </c>
      <c r="AF799" s="114">
        <f>IFERROR(VLOOKUP(AE799,Constantes!$A$1:$E$5,MATCH(AD799,Constantes!$A$1:$E$1,0),0),"")</f>
        <v>0.18286935436241611</v>
      </c>
      <c r="AG799" s="115">
        <f t="shared" si="25"/>
        <v>342.93457856864461</v>
      </c>
    </row>
    <row r="800" spans="1:33" x14ac:dyDescent="0.3">
      <c r="A800">
        <f>COUNTIF($B$2:B800,B800)</f>
        <v>1</v>
      </c>
      <c r="B800">
        <v>19517028</v>
      </c>
      <c r="C800" t="s">
        <v>1653</v>
      </c>
      <c r="D800" t="s">
        <v>218</v>
      </c>
      <c r="E800" t="s">
        <v>1654</v>
      </c>
      <c r="F800" t="s">
        <v>198</v>
      </c>
      <c r="G800" t="s">
        <v>207</v>
      </c>
      <c r="H800" t="s">
        <v>204</v>
      </c>
      <c r="I800" s="49">
        <v>45271</v>
      </c>
      <c r="J800" s="49">
        <v>45283</v>
      </c>
      <c r="K800" t="s">
        <v>1655</v>
      </c>
      <c r="L800" s="49">
        <v>45271</v>
      </c>
      <c r="M800" s="49">
        <v>45282</v>
      </c>
      <c r="N800" t="s">
        <v>491</v>
      </c>
      <c r="O800" t="s">
        <v>107</v>
      </c>
      <c r="P800">
        <f>VLOOKUP(N800,[1]ID_Cidades!$A$1:$E$5900,2,FALSE)</f>
        <v>303403</v>
      </c>
      <c r="Q800">
        <f>VLOOKUP(O800,[1]ID_Cidades!$A$1:$E$5900,2,FALSE)</f>
        <v>295765</v>
      </c>
      <c r="R800">
        <f t="shared" si="24"/>
        <v>89735988295</v>
      </c>
      <c r="S800" s="42">
        <f>VLOOKUP(R800,'[1]GCD base'!$A$1:$M$200,7,FALSE)</f>
        <v>1941.3673020000001</v>
      </c>
      <c r="T800" t="s">
        <v>109</v>
      </c>
      <c r="U800" t="s">
        <v>205</v>
      </c>
      <c r="V800" t="s">
        <v>202</v>
      </c>
      <c r="W800" t="s">
        <v>203</v>
      </c>
      <c r="X800" t="s">
        <v>204</v>
      </c>
      <c r="Y800">
        <v>4058.65</v>
      </c>
      <c r="Z800">
        <v>0</v>
      </c>
      <c r="AA800">
        <v>1408.43</v>
      </c>
      <c r="AB800">
        <v>0</v>
      </c>
      <c r="AC800" s="49">
        <v>45247</v>
      </c>
      <c r="AD800" s="116" t="s">
        <v>10</v>
      </c>
      <c r="AE800" s="113" t="str" cm="1">
        <f t="array" ref="AE800">_xlfn.IFS(S800&lt;=Constantes!$G$2,"Muito Curta (evitável)",S800&lt;=Constantes!$H$2,"Curta Distância",S800&gt;Constantes!$H$2,"Longa Distância")</f>
        <v>Curta Distância</v>
      </c>
      <c r="AF800" s="114">
        <f>IFERROR(VLOOKUP(AE800,Constantes!$A$1:$E$5,MATCH(AD800,Constantes!$A$1:$E$1,0),0),"")</f>
        <v>0.18286935436241611</v>
      </c>
      <c r="AG800" s="115">
        <f t="shared" si="25"/>
        <v>355.01658509704572</v>
      </c>
    </row>
    <row r="801" spans="1:33" x14ac:dyDescent="0.3">
      <c r="A801">
        <f>COUNTIF($B$2:B801,B801)</f>
        <v>2</v>
      </c>
      <c r="B801">
        <v>19517028</v>
      </c>
      <c r="C801" t="s">
        <v>1653</v>
      </c>
      <c r="D801" t="s">
        <v>218</v>
      </c>
      <c r="E801" t="s">
        <v>1654</v>
      </c>
      <c r="F801" t="s">
        <v>198</v>
      </c>
      <c r="G801" t="s">
        <v>207</v>
      </c>
      <c r="H801" t="s">
        <v>204</v>
      </c>
      <c r="I801" s="49">
        <v>45271</v>
      </c>
      <c r="J801" s="49">
        <v>45283</v>
      </c>
      <c r="K801" t="s">
        <v>1655</v>
      </c>
      <c r="L801" s="49">
        <v>45282</v>
      </c>
      <c r="M801" s="49">
        <v>45283</v>
      </c>
      <c r="N801" t="s">
        <v>107</v>
      </c>
      <c r="O801" t="s">
        <v>491</v>
      </c>
      <c r="P801">
        <f>VLOOKUP(N801,[1]ID_Cidades!$A$1:$E$5900,2,FALSE)</f>
        <v>295765</v>
      </c>
      <c r="Q801">
        <f>VLOOKUP(O801,[1]ID_Cidades!$A$1:$E$5900,2,FALSE)</f>
        <v>303403</v>
      </c>
      <c r="R801">
        <f t="shared" si="24"/>
        <v>89735988295</v>
      </c>
      <c r="S801" s="42">
        <f>VLOOKUP(R801,'[1]GCD base'!$A$1:$M$200,7,FALSE)</f>
        <v>1941.3673020000001</v>
      </c>
      <c r="T801" t="s">
        <v>109</v>
      </c>
      <c r="U801" t="s">
        <v>201</v>
      </c>
      <c r="V801" t="s">
        <v>202</v>
      </c>
      <c r="W801" t="s">
        <v>203</v>
      </c>
      <c r="X801" t="s">
        <v>204</v>
      </c>
      <c r="Y801">
        <v>0</v>
      </c>
      <c r="Z801">
        <v>0</v>
      </c>
      <c r="AA801">
        <v>1419.09</v>
      </c>
      <c r="AB801">
        <v>0</v>
      </c>
      <c r="AC801" s="49">
        <v>45247</v>
      </c>
      <c r="AD801" s="116" t="s">
        <v>10</v>
      </c>
      <c r="AE801" s="113" t="str" cm="1">
        <f t="array" ref="AE801">_xlfn.IFS(S801&lt;=Constantes!$G$2,"Muito Curta (evitável)",S801&lt;=Constantes!$H$2,"Curta Distância",S801&gt;Constantes!$H$2,"Longa Distância")</f>
        <v>Curta Distância</v>
      </c>
      <c r="AF801" s="114">
        <f>IFERROR(VLOOKUP(AE801,Constantes!$A$1:$E$5,MATCH(AD801,Constantes!$A$1:$E$1,0),0),"")</f>
        <v>0.18286935436241611</v>
      </c>
      <c r="AG801" s="115">
        <f t="shared" si="25"/>
        <v>355.01658509704572</v>
      </c>
    </row>
    <row r="802" spans="1:33" x14ac:dyDescent="0.3">
      <c r="A802">
        <f>COUNTIF($B$2:B802,B802)</f>
        <v>1</v>
      </c>
      <c r="B802">
        <v>19447516</v>
      </c>
      <c r="C802" t="s">
        <v>1595</v>
      </c>
      <c r="D802" t="s">
        <v>1596</v>
      </c>
      <c r="E802" t="s">
        <v>1597</v>
      </c>
      <c r="F802" t="s">
        <v>234</v>
      </c>
      <c r="G802" t="s">
        <v>207</v>
      </c>
      <c r="H802" t="s">
        <v>204</v>
      </c>
      <c r="I802" s="49">
        <v>45272</v>
      </c>
      <c r="J802" s="49">
        <v>45276</v>
      </c>
      <c r="K802" t="s">
        <v>1598</v>
      </c>
      <c r="L802" s="49">
        <v>45272</v>
      </c>
      <c r="M802" s="49">
        <v>45276</v>
      </c>
      <c r="N802" t="s">
        <v>107</v>
      </c>
      <c r="O802" t="s">
        <v>115</v>
      </c>
      <c r="P802">
        <f>VLOOKUP(N802,[1]ID_Cidades!$A$1:$E$5900,2,FALSE)</f>
        <v>295765</v>
      </c>
      <c r="Q802">
        <f>VLOOKUP(O802,[1]ID_Cidades!$A$1:$E$5900,2,FALSE)</f>
        <v>295770</v>
      </c>
      <c r="R802">
        <f t="shared" si="24"/>
        <v>87478414050</v>
      </c>
      <c r="S802" s="42">
        <f>VLOOKUP(R802,'[1]GCD base'!$A$1:$M$200,7,FALSE)</f>
        <v>741.11941309999997</v>
      </c>
      <c r="T802" t="s">
        <v>109</v>
      </c>
      <c r="U802" t="s">
        <v>205</v>
      </c>
      <c r="V802" t="s">
        <v>202</v>
      </c>
      <c r="W802" t="s">
        <v>210</v>
      </c>
      <c r="X802" t="s">
        <v>1599</v>
      </c>
      <c r="Y802">
        <v>1509.95</v>
      </c>
      <c r="Z802">
        <v>0</v>
      </c>
      <c r="AA802">
        <v>879.39</v>
      </c>
      <c r="AB802">
        <v>0</v>
      </c>
      <c r="AC802" s="49">
        <v>45261</v>
      </c>
      <c r="AD802" s="116" t="s">
        <v>10</v>
      </c>
      <c r="AE802" s="113" t="str" cm="1">
        <f t="array" ref="AE802">_xlfn.IFS(S802&lt;=Constantes!$G$2,"Muito Curta (evitável)",S802&lt;=Constantes!$H$2,"Curta Distância",S802&gt;Constantes!$H$2,"Longa Distância")</f>
        <v>Curta Distância</v>
      </c>
      <c r="AF802" s="114">
        <f>IFERROR(VLOOKUP(AE802,Constantes!$A$1:$E$5,MATCH(AD802,Constantes!$A$1:$E$1,0),0),"")</f>
        <v>0.18286935436241611</v>
      </c>
      <c r="AG802" s="115">
        <f t="shared" si="25"/>
        <v>135.52802857904976</v>
      </c>
    </row>
    <row r="803" spans="1:33" x14ac:dyDescent="0.3">
      <c r="A803">
        <f>COUNTIF($B$2:B803,B803)</f>
        <v>2</v>
      </c>
      <c r="B803">
        <v>19447516</v>
      </c>
      <c r="C803" t="s">
        <v>1595</v>
      </c>
      <c r="D803" t="s">
        <v>1596</v>
      </c>
      <c r="E803" t="s">
        <v>1597</v>
      </c>
      <c r="F803" t="s">
        <v>234</v>
      </c>
      <c r="G803" t="s">
        <v>207</v>
      </c>
      <c r="H803" t="s">
        <v>204</v>
      </c>
      <c r="I803" s="49">
        <v>45272</v>
      </c>
      <c r="J803" s="49">
        <v>45276</v>
      </c>
      <c r="K803" t="s">
        <v>1598</v>
      </c>
      <c r="L803" s="49">
        <v>45276</v>
      </c>
      <c r="M803" s="49">
        <v>45276</v>
      </c>
      <c r="N803" t="s">
        <v>115</v>
      </c>
      <c r="O803" t="s">
        <v>107</v>
      </c>
      <c r="P803">
        <f>VLOOKUP(N803,[1]ID_Cidades!$A$1:$E$5900,2,FALSE)</f>
        <v>295770</v>
      </c>
      <c r="Q803">
        <f>VLOOKUP(O803,[1]ID_Cidades!$A$1:$E$5900,2,FALSE)</f>
        <v>295765</v>
      </c>
      <c r="R803">
        <f t="shared" si="24"/>
        <v>87478414050</v>
      </c>
      <c r="S803" s="42">
        <f>VLOOKUP(R803,'[1]GCD base'!$A$1:$M$200,7,FALSE)</f>
        <v>741.11941309999997</v>
      </c>
      <c r="T803" t="s">
        <v>109</v>
      </c>
      <c r="U803" t="s">
        <v>201</v>
      </c>
      <c r="V803" t="s">
        <v>202</v>
      </c>
      <c r="W803" t="s">
        <v>210</v>
      </c>
      <c r="X803" t="s">
        <v>1599</v>
      </c>
      <c r="Y803">
        <v>0</v>
      </c>
      <c r="Z803">
        <v>0</v>
      </c>
      <c r="AA803">
        <v>1151.29</v>
      </c>
      <c r="AB803">
        <v>0</v>
      </c>
      <c r="AC803" s="49">
        <v>45261</v>
      </c>
      <c r="AD803" s="116" t="s">
        <v>10</v>
      </c>
      <c r="AE803" s="113" t="str" cm="1">
        <f t="array" ref="AE803">_xlfn.IFS(S803&lt;=Constantes!$G$2,"Muito Curta (evitável)",S803&lt;=Constantes!$H$2,"Curta Distância",S803&gt;Constantes!$H$2,"Longa Distância")</f>
        <v>Curta Distância</v>
      </c>
      <c r="AF803" s="114">
        <f>IFERROR(VLOOKUP(AE803,Constantes!$A$1:$E$5,MATCH(AD803,Constantes!$A$1:$E$1,0),0),"")</f>
        <v>0.18286935436241611</v>
      </c>
      <c r="AG803" s="115">
        <f t="shared" si="25"/>
        <v>135.52802857904976</v>
      </c>
    </row>
    <row r="804" spans="1:33" x14ac:dyDescent="0.3">
      <c r="A804">
        <f>COUNTIF($B$2:B804,B804)</f>
        <v>1</v>
      </c>
      <c r="B804">
        <v>19452055</v>
      </c>
      <c r="C804" t="s">
        <v>1608</v>
      </c>
      <c r="D804" t="s">
        <v>1609</v>
      </c>
      <c r="E804" t="s">
        <v>1610</v>
      </c>
      <c r="F804" t="s">
        <v>587</v>
      </c>
      <c r="G804" t="s">
        <v>207</v>
      </c>
      <c r="H804" t="s">
        <v>204</v>
      </c>
      <c r="I804" s="49">
        <v>45272</v>
      </c>
      <c r="J804" s="49">
        <v>45276</v>
      </c>
      <c r="K804" t="s">
        <v>1611</v>
      </c>
      <c r="L804" s="49">
        <v>45276</v>
      </c>
      <c r="M804" s="49">
        <v>45276</v>
      </c>
      <c r="N804" t="s">
        <v>115</v>
      </c>
      <c r="O804" t="s">
        <v>1508</v>
      </c>
      <c r="P804">
        <f>VLOOKUP(N804,[1]ID_Cidades!$A$1:$E$5900,2,FALSE)</f>
        <v>295770</v>
      </c>
      <c r="Q804">
        <f>VLOOKUP(O804,[1]ID_Cidades!$A$1:$E$5900,2,FALSE)</f>
        <v>300632</v>
      </c>
      <c r="R804">
        <f t="shared" si="24"/>
        <v>88917926640</v>
      </c>
      <c r="S804" s="42">
        <f>VLOOKUP(R804,'[1]GCD base'!$A$1:$M$200,7,FALSE)</f>
        <v>682.55657250000002</v>
      </c>
      <c r="T804" t="s">
        <v>109</v>
      </c>
      <c r="U804" t="s">
        <v>201</v>
      </c>
      <c r="V804" t="s">
        <v>202</v>
      </c>
      <c r="W804" t="s">
        <v>210</v>
      </c>
      <c r="X804" t="s">
        <v>1612</v>
      </c>
      <c r="Y804">
        <v>1509.95</v>
      </c>
      <c r="Z804">
        <v>0</v>
      </c>
      <c r="AA804">
        <v>334.59</v>
      </c>
      <c r="AB804">
        <v>0</v>
      </c>
      <c r="AC804" s="49">
        <v>45262</v>
      </c>
      <c r="AD804" s="116" t="s">
        <v>10</v>
      </c>
      <c r="AE804" s="113" t="str" cm="1">
        <f t="array" ref="AE804">_xlfn.IFS(S804&lt;=Constantes!$G$2,"Muito Curta (evitável)",S804&lt;=Constantes!$H$2,"Curta Distância",S804&gt;Constantes!$H$2,"Longa Distância")</f>
        <v>Curta Distância</v>
      </c>
      <c r="AF804" s="114">
        <f>IFERROR(VLOOKUP(AE804,Constantes!$A$1:$E$5,MATCH(AD804,Constantes!$A$1:$E$1,0),0),"")</f>
        <v>0.18286935436241611</v>
      </c>
      <c r="AG804" s="115">
        <f t="shared" si="25"/>
        <v>124.81867972889866</v>
      </c>
    </row>
    <row r="805" spans="1:33" x14ac:dyDescent="0.3">
      <c r="A805">
        <f>COUNTIF($B$2:B805,B805)</f>
        <v>2</v>
      </c>
      <c r="B805">
        <v>19452055</v>
      </c>
      <c r="C805" t="s">
        <v>1608</v>
      </c>
      <c r="D805" t="s">
        <v>1609</v>
      </c>
      <c r="E805" t="s">
        <v>1610</v>
      </c>
      <c r="F805" t="s">
        <v>587</v>
      </c>
      <c r="G805" t="s">
        <v>207</v>
      </c>
      <c r="H805" t="s">
        <v>204</v>
      </c>
      <c r="I805" s="49">
        <v>45272</v>
      </c>
      <c r="J805" s="49">
        <v>45276</v>
      </c>
      <c r="K805" t="s">
        <v>1611</v>
      </c>
      <c r="L805" s="49">
        <v>45272</v>
      </c>
      <c r="M805" s="49">
        <v>45276</v>
      </c>
      <c r="N805" t="s">
        <v>1508</v>
      </c>
      <c r="O805" t="s">
        <v>115</v>
      </c>
      <c r="P805">
        <f>VLOOKUP(N805,[1]ID_Cidades!$A$1:$E$5900,2,FALSE)</f>
        <v>300632</v>
      </c>
      <c r="Q805">
        <f>VLOOKUP(O805,[1]ID_Cidades!$A$1:$E$5900,2,FALSE)</f>
        <v>295770</v>
      </c>
      <c r="R805">
        <f t="shared" si="24"/>
        <v>88917926640</v>
      </c>
      <c r="S805" s="42">
        <f>VLOOKUP(R805,'[1]GCD base'!$A$1:$M$200,7,FALSE)</f>
        <v>682.55657250000002</v>
      </c>
      <c r="T805" t="s">
        <v>109</v>
      </c>
      <c r="U805" t="s">
        <v>205</v>
      </c>
      <c r="V805" t="s">
        <v>202</v>
      </c>
      <c r="W805" t="s">
        <v>210</v>
      </c>
      <c r="X805" t="s">
        <v>1612</v>
      </c>
      <c r="Y805">
        <v>0</v>
      </c>
      <c r="Z805">
        <v>0</v>
      </c>
      <c r="AA805">
        <v>361.68</v>
      </c>
      <c r="AB805">
        <v>0</v>
      </c>
      <c r="AC805" s="49">
        <v>45262</v>
      </c>
      <c r="AD805" s="116" t="s">
        <v>10</v>
      </c>
      <c r="AE805" s="113" t="str" cm="1">
        <f t="array" ref="AE805">_xlfn.IFS(S805&lt;=Constantes!$G$2,"Muito Curta (evitável)",S805&lt;=Constantes!$H$2,"Curta Distância",S805&gt;Constantes!$H$2,"Longa Distância")</f>
        <v>Curta Distância</v>
      </c>
      <c r="AF805" s="114">
        <f>IFERROR(VLOOKUP(AE805,Constantes!$A$1:$E$5,MATCH(AD805,Constantes!$A$1:$E$1,0),0),"")</f>
        <v>0.18286935436241611</v>
      </c>
      <c r="AG805" s="115">
        <f t="shared" si="25"/>
        <v>124.81867972889866</v>
      </c>
    </row>
    <row r="806" spans="1:33" x14ac:dyDescent="0.3">
      <c r="A806">
        <f>COUNTIF($B$2:B806,B806)</f>
        <v>1</v>
      </c>
      <c r="B806">
        <v>19454075</v>
      </c>
      <c r="C806" t="s">
        <v>1613</v>
      </c>
      <c r="D806" t="s">
        <v>1614</v>
      </c>
      <c r="E806" t="s">
        <v>1615</v>
      </c>
      <c r="F806" t="s">
        <v>198</v>
      </c>
      <c r="G806" t="s">
        <v>207</v>
      </c>
      <c r="H806" t="s">
        <v>204</v>
      </c>
      <c r="I806" s="49">
        <v>45272</v>
      </c>
      <c r="J806" s="49">
        <v>45276</v>
      </c>
      <c r="K806" t="s">
        <v>1616</v>
      </c>
      <c r="L806" s="49">
        <v>45272</v>
      </c>
      <c r="M806" s="49">
        <v>45275</v>
      </c>
      <c r="N806" t="s">
        <v>107</v>
      </c>
      <c r="O806" t="s">
        <v>116</v>
      </c>
      <c r="P806">
        <f>VLOOKUP(N806,[1]ID_Cidades!$A$1:$E$5900,2,FALSE)</f>
        <v>295765</v>
      </c>
      <c r="Q806">
        <f>VLOOKUP(O806,[1]ID_Cidades!$A$1:$E$5900,2,FALSE)</f>
        <v>295778</v>
      </c>
      <c r="R806">
        <f t="shared" si="24"/>
        <v>87480780170</v>
      </c>
      <c r="S806" s="42">
        <f>VLOOKUP(R806,'[1]GCD base'!$A$1:$M$200,7,FALSE)</f>
        <v>1961.5007860000001</v>
      </c>
      <c r="T806" t="s">
        <v>109</v>
      </c>
      <c r="U806" t="s">
        <v>205</v>
      </c>
      <c r="V806" t="s">
        <v>202</v>
      </c>
      <c r="W806" t="s">
        <v>203</v>
      </c>
      <c r="X806" t="s">
        <v>204</v>
      </c>
      <c r="Y806">
        <v>0</v>
      </c>
      <c r="Z806">
        <v>0</v>
      </c>
      <c r="AA806">
        <v>731.59</v>
      </c>
      <c r="AB806">
        <v>0</v>
      </c>
      <c r="AC806" s="49">
        <v>45226</v>
      </c>
      <c r="AD806" s="116" t="s">
        <v>10</v>
      </c>
      <c r="AE806" s="113" t="str" cm="1">
        <f t="array" ref="AE806">_xlfn.IFS(S806&lt;=Constantes!$G$2,"Muito Curta (evitável)",S806&lt;=Constantes!$H$2,"Curta Distância",S806&gt;Constantes!$H$2,"Longa Distância")</f>
        <v>Curta Distância</v>
      </c>
      <c r="AF806" s="114">
        <f>IFERROR(VLOOKUP(AE806,Constantes!$A$1:$E$5,MATCH(AD806,Constantes!$A$1:$E$1,0),0),"")</f>
        <v>0.18286935436241611</v>
      </c>
      <c r="AG806" s="115">
        <f t="shared" si="25"/>
        <v>358.69838231719172</v>
      </c>
    </row>
    <row r="807" spans="1:33" x14ac:dyDescent="0.3">
      <c r="A807">
        <f>COUNTIF($B$2:B807,B807)</f>
        <v>2</v>
      </c>
      <c r="B807">
        <v>19454075</v>
      </c>
      <c r="C807" t="s">
        <v>1613</v>
      </c>
      <c r="D807" t="s">
        <v>1614</v>
      </c>
      <c r="E807" t="s">
        <v>1615</v>
      </c>
      <c r="F807" t="s">
        <v>198</v>
      </c>
      <c r="G807" t="s">
        <v>207</v>
      </c>
      <c r="H807" t="s">
        <v>204</v>
      </c>
      <c r="I807" s="49">
        <v>45272</v>
      </c>
      <c r="J807" s="49">
        <v>45276</v>
      </c>
      <c r="K807" t="s">
        <v>1616</v>
      </c>
      <c r="L807" s="49">
        <v>45275</v>
      </c>
      <c r="M807" s="49">
        <v>45276</v>
      </c>
      <c r="N807" t="s">
        <v>116</v>
      </c>
      <c r="O807" t="s">
        <v>107</v>
      </c>
      <c r="P807">
        <f>VLOOKUP(N807,[1]ID_Cidades!$A$1:$E$5900,2,FALSE)</f>
        <v>295778</v>
      </c>
      <c r="Q807">
        <f>VLOOKUP(O807,[1]ID_Cidades!$A$1:$E$5900,2,FALSE)</f>
        <v>295765</v>
      </c>
      <c r="R807">
        <f t="shared" si="24"/>
        <v>87480780170</v>
      </c>
      <c r="S807" s="42">
        <f>VLOOKUP(R807,'[1]GCD base'!$A$1:$M$200,7,FALSE)</f>
        <v>1961.5007860000001</v>
      </c>
      <c r="T807" t="s">
        <v>109</v>
      </c>
      <c r="U807" t="s">
        <v>201</v>
      </c>
      <c r="V807" t="s">
        <v>202</v>
      </c>
      <c r="W807" t="s">
        <v>203</v>
      </c>
      <c r="X807" t="s">
        <v>204</v>
      </c>
      <c r="Y807">
        <v>0</v>
      </c>
      <c r="Z807">
        <v>0</v>
      </c>
      <c r="AA807">
        <v>939.9</v>
      </c>
      <c r="AB807">
        <v>0</v>
      </c>
      <c r="AC807" s="49">
        <v>45226</v>
      </c>
      <c r="AD807" s="116" t="s">
        <v>10</v>
      </c>
      <c r="AE807" s="113" t="str" cm="1">
        <f t="array" ref="AE807">_xlfn.IFS(S807&lt;=Constantes!$G$2,"Muito Curta (evitável)",S807&lt;=Constantes!$H$2,"Curta Distância",S807&gt;Constantes!$H$2,"Longa Distância")</f>
        <v>Curta Distância</v>
      </c>
      <c r="AF807" s="114">
        <f>IFERROR(VLOOKUP(AE807,Constantes!$A$1:$E$5,MATCH(AD807,Constantes!$A$1:$E$1,0),0),"")</f>
        <v>0.18286935436241611</v>
      </c>
      <c r="AG807" s="115">
        <f t="shared" si="25"/>
        <v>358.69838231719172</v>
      </c>
    </row>
    <row r="808" spans="1:33" x14ac:dyDescent="0.3">
      <c r="A808">
        <f>COUNTIF($B$2:B808,B808)</f>
        <v>1</v>
      </c>
      <c r="B808">
        <v>19578420</v>
      </c>
      <c r="C808" t="s">
        <v>1747</v>
      </c>
      <c r="D808" t="s">
        <v>208</v>
      </c>
      <c r="E808" t="s">
        <v>132</v>
      </c>
      <c r="F808" t="s">
        <v>198</v>
      </c>
      <c r="G808" t="s">
        <v>209</v>
      </c>
      <c r="H808" t="s">
        <v>200</v>
      </c>
      <c r="I808" s="49">
        <v>45272</v>
      </c>
      <c r="J808" s="49">
        <v>45274</v>
      </c>
      <c r="K808" t="s">
        <v>1748</v>
      </c>
      <c r="L808" s="49">
        <v>45274</v>
      </c>
      <c r="M808" s="49">
        <v>45274</v>
      </c>
      <c r="N808" t="s">
        <v>110</v>
      </c>
      <c r="O808" t="s">
        <v>107</v>
      </c>
      <c r="P808">
        <f>VLOOKUP(N808,[1]ID_Cidades!$A$1:$E$5900,2,FALSE)</f>
        <v>295763</v>
      </c>
      <c r="Q808">
        <f>VLOOKUP(O808,[1]ID_Cidades!$A$1:$E$5900,2,FALSE)</f>
        <v>295765</v>
      </c>
      <c r="R808">
        <f t="shared" si="24"/>
        <v>87476343695</v>
      </c>
      <c r="S808" s="42">
        <f>VLOOKUP(R808,'[1]GCD base'!$A$1:$M$200,7,FALSE)</f>
        <v>1713.419991</v>
      </c>
      <c r="T808" t="s">
        <v>109</v>
      </c>
      <c r="U808" t="s">
        <v>201</v>
      </c>
      <c r="V808" t="s">
        <v>202</v>
      </c>
      <c r="W808" t="s">
        <v>203</v>
      </c>
      <c r="X808" t="s">
        <v>204</v>
      </c>
      <c r="Y808">
        <v>1088.99</v>
      </c>
      <c r="Z808">
        <v>0</v>
      </c>
      <c r="AA808">
        <v>2001.71</v>
      </c>
      <c r="AB808">
        <v>0</v>
      </c>
      <c r="AC808" s="49">
        <v>45257</v>
      </c>
      <c r="AD808" s="116" t="s">
        <v>10</v>
      </c>
      <c r="AE808" s="113" t="str" cm="1">
        <f t="array" ref="AE808">_xlfn.IFS(S808&lt;=Constantes!$G$2,"Muito Curta (evitável)",S808&lt;=Constantes!$H$2,"Curta Distância",S808&gt;Constantes!$H$2,"Longa Distância")</f>
        <v>Curta Distância</v>
      </c>
      <c r="AF808" s="114">
        <f>IFERROR(VLOOKUP(AE808,Constantes!$A$1:$E$5,MATCH(AD808,Constantes!$A$1:$E$1,0),0),"")</f>
        <v>0.18286935436241611</v>
      </c>
      <c r="AG808" s="115">
        <f t="shared" si="25"/>
        <v>313.33200750582682</v>
      </c>
    </row>
    <row r="809" spans="1:33" x14ac:dyDescent="0.3">
      <c r="A809">
        <f>COUNTIF($B$2:B809,B809)</f>
        <v>2</v>
      </c>
      <c r="B809">
        <v>19578420</v>
      </c>
      <c r="C809" t="s">
        <v>1747</v>
      </c>
      <c r="D809" t="s">
        <v>208</v>
      </c>
      <c r="E809" t="s">
        <v>132</v>
      </c>
      <c r="F809" t="s">
        <v>198</v>
      </c>
      <c r="G809" t="s">
        <v>209</v>
      </c>
      <c r="H809" t="s">
        <v>200</v>
      </c>
      <c r="I809" s="49">
        <v>45272</v>
      </c>
      <c r="J809" s="49">
        <v>45274</v>
      </c>
      <c r="K809" t="s">
        <v>1748</v>
      </c>
      <c r="L809" s="49">
        <v>45272</v>
      </c>
      <c r="M809" s="49">
        <v>45274</v>
      </c>
      <c r="N809" t="s">
        <v>107</v>
      </c>
      <c r="O809" t="s">
        <v>110</v>
      </c>
      <c r="P809">
        <f>VLOOKUP(N809,[1]ID_Cidades!$A$1:$E$5900,2,FALSE)</f>
        <v>295765</v>
      </c>
      <c r="Q809">
        <f>VLOOKUP(O809,[1]ID_Cidades!$A$1:$E$5900,2,FALSE)</f>
        <v>295763</v>
      </c>
      <c r="R809">
        <f t="shared" si="24"/>
        <v>87476343695</v>
      </c>
      <c r="S809" s="42">
        <f>VLOOKUP(R809,'[1]GCD base'!$A$1:$M$200,7,FALSE)</f>
        <v>1713.419991</v>
      </c>
      <c r="T809" t="s">
        <v>109</v>
      </c>
      <c r="U809" t="s">
        <v>205</v>
      </c>
      <c r="V809" t="s">
        <v>202</v>
      </c>
      <c r="W809" t="s">
        <v>203</v>
      </c>
      <c r="X809" t="s">
        <v>204</v>
      </c>
      <c r="Y809">
        <v>0</v>
      </c>
      <c r="Z809">
        <v>0</v>
      </c>
      <c r="AA809">
        <v>615.49</v>
      </c>
      <c r="AB809">
        <v>0</v>
      </c>
      <c r="AC809" s="49">
        <v>45257</v>
      </c>
      <c r="AD809" s="116" t="s">
        <v>10</v>
      </c>
      <c r="AE809" s="113" t="str" cm="1">
        <f t="array" ref="AE809">_xlfn.IFS(S809&lt;=Constantes!$G$2,"Muito Curta (evitável)",S809&lt;=Constantes!$H$2,"Curta Distância",S809&gt;Constantes!$H$2,"Longa Distância")</f>
        <v>Curta Distância</v>
      </c>
      <c r="AF809" s="114">
        <f>IFERROR(VLOOKUP(AE809,Constantes!$A$1:$E$5,MATCH(AD809,Constantes!$A$1:$E$1,0),0),"")</f>
        <v>0.18286935436241611</v>
      </c>
      <c r="AG809" s="115">
        <f t="shared" si="25"/>
        <v>313.33200750582682</v>
      </c>
    </row>
    <row r="810" spans="1:33" x14ac:dyDescent="0.3">
      <c r="A810">
        <f>COUNTIF($B$2:B810,B810)</f>
        <v>1</v>
      </c>
      <c r="B810">
        <v>19285122</v>
      </c>
      <c r="C810" t="s">
        <v>999</v>
      </c>
      <c r="D810" t="s">
        <v>1000</v>
      </c>
      <c r="E810" t="s">
        <v>1001</v>
      </c>
      <c r="F810" t="s">
        <v>218</v>
      </c>
      <c r="G810" t="s">
        <v>207</v>
      </c>
      <c r="H810" t="s">
        <v>204</v>
      </c>
      <c r="I810" s="49">
        <v>45273</v>
      </c>
      <c r="J810" s="49">
        <v>45276</v>
      </c>
      <c r="K810" t="s">
        <v>1002</v>
      </c>
      <c r="L810" s="49">
        <v>45276</v>
      </c>
      <c r="M810" s="49">
        <v>45276</v>
      </c>
      <c r="N810" t="s">
        <v>107</v>
      </c>
      <c r="O810" t="s">
        <v>115</v>
      </c>
      <c r="P810">
        <f>VLOOKUP(N810,[1]ID_Cidades!$A$1:$E$5900,2,FALSE)</f>
        <v>295765</v>
      </c>
      <c r="Q810">
        <f>VLOOKUP(O810,[1]ID_Cidades!$A$1:$E$5900,2,FALSE)</f>
        <v>295770</v>
      </c>
      <c r="R810">
        <f t="shared" si="24"/>
        <v>87478414050</v>
      </c>
      <c r="S810" s="42">
        <f>VLOOKUP(R810,'[1]GCD base'!$A$1:$M$200,7,FALSE)</f>
        <v>741.11941309999997</v>
      </c>
      <c r="T810" t="s">
        <v>109</v>
      </c>
      <c r="U810" t="s">
        <v>201</v>
      </c>
      <c r="V810" t="s">
        <v>202</v>
      </c>
      <c r="W810" t="s">
        <v>203</v>
      </c>
      <c r="X810" t="s">
        <v>204</v>
      </c>
      <c r="Y810">
        <v>1254.22</v>
      </c>
      <c r="Z810">
        <v>0</v>
      </c>
      <c r="AA810">
        <v>1390.18</v>
      </c>
      <c r="AB810">
        <v>0</v>
      </c>
      <c r="AC810" s="49">
        <v>45184</v>
      </c>
      <c r="AD810" s="116" t="s">
        <v>10</v>
      </c>
      <c r="AE810" s="113" t="str" cm="1">
        <f t="array" ref="AE810">_xlfn.IFS(S810&lt;=Constantes!$G$2,"Muito Curta (evitável)",S810&lt;=Constantes!$H$2,"Curta Distância",S810&gt;Constantes!$H$2,"Longa Distância")</f>
        <v>Curta Distância</v>
      </c>
      <c r="AF810" s="114">
        <f>IFERROR(VLOOKUP(AE810,Constantes!$A$1:$E$5,MATCH(AD810,Constantes!$A$1:$E$1,0),0),"")</f>
        <v>0.18286935436241611</v>
      </c>
      <c r="AG810" s="115">
        <f t="shared" si="25"/>
        <v>135.52802857904976</v>
      </c>
    </row>
    <row r="811" spans="1:33" x14ac:dyDescent="0.3">
      <c r="A811">
        <f>COUNTIF($B$2:B811,B811)</f>
        <v>2</v>
      </c>
      <c r="B811">
        <v>19285122</v>
      </c>
      <c r="C811" t="s">
        <v>999</v>
      </c>
      <c r="D811" t="s">
        <v>1000</v>
      </c>
      <c r="E811" t="s">
        <v>1001</v>
      </c>
      <c r="F811" t="s">
        <v>218</v>
      </c>
      <c r="G811" t="s">
        <v>207</v>
      </c>
      <c r="H811" t="s">
        <v>204</v>
      </c>
      <c r="I811" s="49">
        <v>45273</v>
      </c>
      <c r="J811" s="49">
        <v>45276</v>
      </c>
      <c r="K811" t="s">
        <v>1002</v>
      </c>
      <c r="L811" s="49">
        <v>45273</v>
      </c>
      <c r="M811" s="49">
        <v>45276</v>
      </c>
      <c r="N811" t="s">
        <v>115</v>
      </c>
      <c r="O811" t="s">
        <v>107</v>
      </c>
      <c r="P811">
        <f>VLOOKUP(N811,[1]ID_Cidades!$A$1:$E$5900,2,FALSE)</f>
        <v>295770</v>
      </c>
      <c r="Q811">
        <f>VLOOKUP(O811,[1]ID_Cidades!$A$1:$E$5900,2,FALSE)</f>
        <v>295765</v>
      </c>
      <c r="R811">
        <f t="shared" si="24"/>
        <v>87478414050</v>
      </c>
      <c r="S811" s="42">
        <f>VLOOKUP(R811,'[1]GCD base'!$A$1:$M$200,7,FALSE)</f>
        <v>741.11941309999997</v>
      </c>
      <c r="T811" t="s">
        <v>109</v>
      </c>
      <c r="U811" t="s">
        <v>205</v>
      </c>
      <c r="V811" t="s">
        <v>202</v>
      </c>
      <c r="W811" t="s">
        <v>203</v>
      </c>
      <c r="X811" t="s">
        <v>204</v>
      </c>
      <c r="Y811">
        <v>0</v>
      </c>
      <c r="Z811">
        <v>0</v>
      </c>
      <c r="AA811">
        <v>0</v>
      </c>
      <c r="AB811">
        <v>0</v>
      </c>
      <c r="AC811">
        <v>0</v>
      </c>
      <c r="AD811" s="116" t="s">
        <v>10</v>
      </c>
      <c r="AE811" s="113" t="str" cm="1">
        <f t="array" ref="AE811">_xlfn.IFS(S811&lt;=Constantes!$G$2,"Muito Curta (evitável)",S811&lt;=Constantes!$H$2,"Curta Distância",S811&gt;Constantes!$H$2,"Longa Distância")</f>
        <v>Curta Distância</v>
      </c>
      <c r="AF811" s="114">
        <f>IFERROR(VLOOKUP(AE811,Constantes!$A$1:$E$5,MATCH(AD811,Constantes!$A$1:$E$1,0),0),"")</f>
        <v>0.18286935436241611</v>
      </c>
      <c r="AG811" s="115">
        <f t="shared" si="25"/>
        <v>135.52802857904976</v>
      </c>
    </row>
    <row r="812" spans="1:33" x14ac:dyDescent="0.3">
      <c r="A812">
        <f>COUNTIF($B$2:B812,B812)</f>
        <v>1</v>
      </c>
      <c r="B812">
        <v>19355222</v>
      </c>
      <c r="C812" t="s">
        <v>1331</v>
      </c>
      <c r="D812" t="s">
        <v>1332</v>
      </c>
      <c r="E812" t="s">
        <v>1333</v>
      </c>
      <c r="F812" t="s">
        <v>198</v>
      </c>
      <c r="G812" t="s">
        <v>207</v>
      </c>
      <c r="H812" t="s">
        <v>204</v>
      </c>
      <c r="I812" s="49">
        <v>45273</v>
      </c>
      <c r="J812" s="49">
        <v>45276</v>
      </c>
      <c r="K812" t="s">
        <v>1334</v>
      </c>
      <c r="L812" s="49">
        <v>45276</v>
      </c>
      <c r="M812" s="49">
        <v>45276</v>
      </c>
      <c r="N812" t="s">
        <v>107</v>
      </c>
      <c r="O812" t="s">
        <v>118</v>
      </c>
      <c r="P812">
        <f>VLOOKUP(N812,[1]ID_Cidades!$A$1:$E$5900,2,FALSE)</f>
        <v>295765</v>
      </c>
      <c r="Q812">
        <f>VLOOKUP(O812,[1]ID_Cidades!$A$1:$E$5900,2,FALSE)</f>
        <v>295780</v>
      </c>
      <c r="R812">
        <f t="shared" si="24"/>
        <v>87481371700</v>
      </c>
      <c r="S812" s="42">
        <f>VLOOKUP(R812,'[1]GCD base'!$A$1:$M$200,7,FALSE)</f>
        <v>2541.6476309999998</v>
      </c>
      <c r="T812" t="s">
        <v>109</v>
      </c>
      <c r="U812" t="s">
        <v>201</v>
      </c>
      <c r="V812" t="s">
        <v>202</v>
      </c>
      <c r="W812" t="s">
        <v>203</v>
      </c>
      <c r="X812" t="s">
        <v>204</v>
      </c>
      <c r="Y812">
        <v>1198.8399999999999</v>
      </c>
      <c r="Z812">
        <v>0</v>
      </c>
      <c r="AA812">
        <v>1220.3900000000001</v>
      </c>
      <c r="AB812">
        <v>0</v>
      </c>
      <c r="AC812" s="49">
        <v>45216</v>
      </c>
      <c r="AD812" s="116" t="s">
        <v>10</v>
      </c>
      <c r="AE812" s="113" t="str" cm="1">
        <f t="array" ref="AE812">_xlfn.IFS(S812&lt;=Constantes!$G$2,"Muito Curta (evitável)",S812&lt;=Constantes!$H$2,"Curta Distância",S812&gt;Constantes!$H$2,"Longa Distância")</f>
        <v>Curta Distância</v>
      </c>
      <c r="AF812" s="114">
        <f>IFERROR(VLOOKUP(AE812,Constantes!$A$1:$E$5,MATCH(AD812,Constantes!$A$1:$E$1,0),0),"")</f>
        <v>0.18286935436241611</v>
      </c>
      <c r="AG812" s="115">
        <f t="shared" si="25"/>
        <v>464.78946129773436</v>
      </c>
    </row>
    <row r="813" spans="1:33" x14ac:dyDescent="0.3">
      <c r="A813">
        <f>COUNTIF($B$2:B813,B813)</f>
        <v>2</v>
      </c>
      <c r="B813">
        <v>19355222</v>
      </c>
      <c r="C813" t="s">
        <v>1331</v>
      </c>
      <c r="D813" t="s">
        <v>1332</v>
      </c>
      <c r="E813" t="s">
        <v>1333</v>
      </c>
      <c r="F813" t="s">
        <v>198</v>
      </c>
      <c r="G813" t="s">
        <v>207</v>
      </c>
      <c r="H813" t="s">
        <v>204</v>
      </c>
      <c r="I813" s="49">
        <v>45273</v>
      </c>
      <c r="J813" s="49">
        <v>45276</v>
      </c>
      <c r="K813" t="s">
        <v>1334</v>
      </c>
      <c r="L813" s="49">
        <v>45273</v>
      </c>
      <c r="M813" s="49">
        <v>45276</v>
      </c>
      <c r="N813" t="s">
        <v>118</v>
      </c>
      <c r="O813" t="s">
        <v>107</v>
      </c>
      <c r="P813">
        <f>VLOOKUP(N813,[1]ID_Cidades!$A$1:$E$5900,2,FALSE)</f>
        <v>295780</v>
      </c>
      <c r="Q813">
        <f>VLOOKUP(O813,[1]ID_Cidades!$A$1:$E$5900,2,FALSE)</f>
        <v>295765</v>
      </c>
      <c r="R813">
        <f t="shared" si="24"/>
        <v>87481371700</v>
      </c>
      <c r="S813" s="42">
        <f>VLOOKUP(R813,'[1]GCD base'!$A$1:$M$200,7,FALSE)</f>
        <v>2541.6476309999998</v>
      </c>
      <c r="T813" t="s">
        <v>109</v>
      </c>
      <c r="U813" t="s">
        <v>205</v>
      </c>
      <c r="V813" t="s">
        <v>202</v>
      </c>
      <c r="W813" t="s">
        <v>203</v>
      </c>
      <c r="X813" t="s">
        <v>204</v>
      </c>
      <c r="Y813">
        <v>0</v>
      </c>
      <c r="Z813">
        <v>0</v>
      </c>
      <c r="AA813">
        <v>905.49</v>
      </c>
      <c r="AB813">
        <v>0</v>
      </c>
      <c r="AC813" s="49">
        <v>45216</v>
      </c>
      <c r="AD813" s="116" t="s">
        <v>10</v>
      </c>
      <c r="AE813" s="113" t="str" cm="1">
        <f t="array" ref="AE813">_xlfn.IFS(S813&lt;=Constantes!$G$2,"Muito Curta (evitável)",S813&lt;=Constantes!$H$2,"Curta Distância",S813&gt;Constantes!$H$2,"Longa Distância")</f>
        <v>Curta Distância</v>
      </c>
      <c r="AF813" s="114">
        <f>IFERROR(VLOOKUP(AE813,Constantes!$A$1:$E$5,MATCH(AD813,Constantes!$A$1:$E$1,0),0),"")</f>
        <v>0.18286935436241611</v>
      </c>
      <c r="AG813" s="115">
        <f t="shared" si="25"/>
        <v>464.78946129773436</v>
      </c>
    </row>
    <row r="814" spans="1:33" x14ac:dyDescent="0.3">
      <c r="A814">
        <f>COUNTIF($B$2:B814,B814)</f>
        <v>1</v>
      </c>
      <c r="B814">
        <v>19445293</v>
      </c>
      <c r="C814" t="s">
        <v>1588</v>
      </c>
      <c r="D814" t="s">
        <v>1589</v>
      </c>
      <c r="E814" t="s">
        <v>1590</v>
      </c>
      <c r="F814" t="s">
        <v>198</v>
      </c>
      <c r="G814" t="s">
        <v>207</v>
      </c>
      <c r="H814" t="s">
        <v>204</v>
      </c>
      <c r="I814" s="49">
        <v>45273</v>
      </c>
      <c r="J814" s="49">
        <v>45274</v>
      </c>
      <c r="K814" t="s">
        <v>1591</v>
      </c>
      <c r="L814" s="49">
        <v>45273</v>
      </c>
      <c r="M814" s="49">
        <v>45273</v>
      </c>
      <c r="N814" t="s">
        <v>121</v>
      </c>
      <c r="O814" t="s">
        <v>112</v>
      </c>
      <c r="P814">
        <f>VLOOKUP(N814,[1]ID_Cidades!$A$1:$E$5900,2,FALSE)</f>
        <v>314439</v>
      </c>
      <c r="Q814">
        <f>VLOOKUP(O814,[1]ID_Cidades!$A$1:$E$5900,2,FALSE)</f>
        <v>295766</v>
      </c>
      <c r="R814">
        <f t="shared" si="24"/>
        <v>93000365274</v>
      </c>
      <c r="S814" s="42">
        <f>VLOOKUP(R814,'[1]GCD base'!$A$1:$M$200,7,FALSE)</f>
        <v>627.62636250000003</v>
      </c>
      <c r="T814" t="s">
        <v>109</v>
      </c>
      <c r="U814" t="s">
        <v>201</v>
      </c>
      <c r="V814" t="s">
        <v>202</v>
      </c>
      <c r="W814" t="s">
        <v>203</v>
      </c>
      <c r="X814" t="s">
        <v>204</v>
      </c>
      <c r="Y814">
        <v>486.53</v>
      </c>
      <c r="Z814">
        <v>0</v>
      </c>
      <c r="AA814">
        <v>325.43</v>
      </c>
      <c r="AB814">
        <v>0</v>
      </c>
      <c r="AC814" s="49">
        <v>45236</v>
      </c>
      <c r="AD814" s="116" t="s">
        <v>10</v>
      </c>
      <c r="AE814" s="113" t="str" cm="1">
        <f t="array" ref="AE814">_xlfn.IFS(S814&lt;=Constantes!$G$2,"Muito Curta (evitável)",S814&lt;=Constantes!$H$2,"Curta Distância",S814&gt;Constantes!$H$2,"Longa Distância")</f>
        <v>Curta Distância</v>
      </c>
      <c r="AF814" s="114">
        <f>IFERROR(VLOOKUP(AE814,Constantes!$A$1:$E$5,MATCH(AD814,Constantes!$A$1:$E$1,0),0),"")</f>
        <v>0.18286935436241611</v>
      </c>
      <c r="AG814" s="115">
        <f t="shared" si="25"/>
        <v>114.77362769120674</v>
      </c>
    </row>
    <row r="815" spans="1:33" x14ac:dyDescent="0.3">
      <c r="A815">
        <f>COUNTIF($B$2:B815,B815)</f>
        <v>2</v>
      </c>
      <c r="B815">
        <v>19445293</v>
      </c>
      <c r="C815" t="s">
        <v>1588</v>
      </c>
      <c r="D815" t="s">
        <v>1589</v>
      </c>
      <c r="E815" t="s">
        <v>1590</v>
      </c>
      <c r="F815" t="s">
        <v>198</v>
      </c>
      <c r="G815" t="s">
        <v>207</v>
      </c>
      <c r="H815" t="s">
        <v>204</v>
      </c>
      <c r="I815" s="49">
        <v>45273</v>
      </c>
      <c r="J815" s="49">
        <v>45274</v>
      </c>
      <c r="K815" t="s">
        <v>1591</v>
      </c>
      <c r="L815" s="49">
        <v>45274</v>
      </c>
      <c r="M815" s="49">
        <v>45274</v>
      </c>
      <c r="N815" t="s">
        <v>112</v>
      </c>
      <c r="O815" t="s">
        <v>121</v>
      </c>
      <c r="P815">
        <f>VLOOKUP(N815,[1]ID_Cidades!$A$1:$E$5900,2,FALSE)</f>
        <v>295766</v>
      </c>
      <c r="Q815">
        <f>VLOOKUP(O815,[1]ID_Cidades!$A$1:$E$5900,2,FALSE)</f>
        <v>314439</v>
      </c>
      <c r="R815">
        <f t="shared" si="24"/>
        <v>93000365274</v>
      </c>
      <c r="S815" s="42">
        <f>VLOOKUP(R815,'[1]GCD base'!$A$1:$M$200,7,FALSE)</f>
        <v>627.62636250000003</v>
      </c>
      <c r="T815" t="s">
        <v>109</v>
      </c>
      <c r="U815" t="s">
        <v>201</v>
      </c>
      <c r="V815" t="s">
        <v>202</v>
      </c>
      <c r="W815" t="s">
        <v>203</v>
      </c>
      <c r="X815" t="s">
        <v>204</v>
      </c>
      <c r="Y815">
        <v>0</v>
      </c>
      <c r="Z815">
        <v>0</v>
      </c>
      <c r="AA815">
        <v>433.72</v>
      </c>
      <c r="AB815">
        <v>0</v>
      </c>
      <c r="AC815" s="49">
        <v>45236</v>
      </c>
      <c r="AD815" s="116" t="s">
        <v>10</v>
      </c>
      <c r="AE815" s="113" t="str" cm="1">
        <f t="array" ref="AE815">_xlfn.IFS(S815&lt;=Constantes!$G$2,"Muito Curta (evitável)",S815&lt;=Constantes!$H$2,"Curta Distância",S815&gt;Constantes!$H$2,"Longa Distância")</f>
        <v>Curta Distância</v>
      </c>
      <c r="AF815" s="114">
        <f>IFERROR(VLOOKUP(AE815,Constantes!$A$1:$E$5,MATCH(AD815,Constantes!$A$1:$E$1,0),0),"")</f>
        <v>0.18286935436241611</v>
      </c>
      <c r="AG815" s="115">
        <f t="shared" si="25"/>
        <v>114.77362769120674</v>
      </c>
    </row>
    <row r="816" spans="1:33" x14ac:dyDescent="0.3">
      <c r="A816">
        <f>COUNTIF($B$2:B816,B816)</f>
        <v>1</v>
      </c>
      <c r="B816">
        <v>19321397</v>
      </c>
      <c r="C816" t="s">
        <v>1199</v>
      </c>
      <c r="D816" t="s">
        <v>1200</v>
      </c>
      <c r="E816" t="s">
        <v>1201</v>
      </c>
      <c r="F816" t="s">
        <v>198</v>
      </c>
      <c r="G816" t="s">
        <v>233</v>
      </c>
      <c r="H816" t="s">
        <v>233</v>
      </c>
      <c r="I816" s="49">
        <v>45277</v>
      </c>
      <c r="J816" s="49">
        <v>45279</v>
      </c>
      <c r="K816" t="s">
        <v>1202</v>
      </c>
      <c r="L816" s="49">
        <v>45279</v>
      </c>
      <c r="M816" s="49">
        <v>45279</v>
      </c>
      <c r="N816" t="s">
        <v>107</v>
      </c>
      <c r="O816" t="s">
        <v>116</v>
      </c>
      <c r="P816">
        <f>VLOOKUP(N816,[1]ID_Cidades!$A$1:$E$5900,2,FALSE)</f>
        <v>295765</v>
      </c>
      <c r="Q816">
        <f>VLOOKUP(O816,[1]ID_Cidades!$A$1:$E$5900,2,FALSE)</f>
        <v>295778</v>
      </c>
      <c r="R816">
        <f t="shared" si="24"/>
        <v>87480780170</v>
      </c>
      <c r="S816" s="42">
        <f>VLOOKUP(R816,'[1]GCD base'!$A$1:$M$200,7,FALSE)</f>
        <v>1961.5007860000001</v>
      </c>
      <c r="T816" t="s">
        <v>109</v>
      </c>
      <c r="U816" t="s">
        <v>201</v>
      </c>
      <c r="V816" t="s">
        <v>202</v>
      </c>
      <c r="W816" t="s">
        <v>203</v>
      </c>
      <c r="X816" t="s">
        <v>204</v>
      </c>
      <c r="Y816">
        <v>95</v>
      </c>
      <c r="Z816">
        <v>0</v>
      </c>
      <c r="AA816">
        <v>992.29</v>
      </c>
      <c r="AB816">
        <v>0</v>
      </c>
      <c r="AC816" s="49">
        <v>45195</v>
      </c>
      <c r="AD816" s="116" t="s">
        <v>10</v>
      </c>
      <c r="AE816" s="113" t="str" cm="1">
        <f t="array" ref="AE816">_xlfn.IFS(S816&lt;=Constantes!$G$2,"Muito Curta (evitável)",S816&lt;=Constantes!$H$2,"Curta Distância",S816&gt;Constantes!$H$2,"Longa Distância")</f>
        <v>Curta Distância</v>
      </c>
      <c r="AF816" s="114">
        <f>IFERROR(VLOOKUP(AE816,Constantes!$A$1:$E$5,MATCH(AD816,Constantes!$A$1:$E$1,0),0),"")</f>
        <v>0.18286935436241611</v>
      </c>
      <c r="AG816" s="115">
        <f t="shared" si="25"/>
        <v>358.69838231719172</v>
      </c>
    </row>
    <row r="817" spans="1:33" x14ac:dyDescent="0.3">
      <c r="A817">
        <f>COUNTIF($B$2:B817,B817)</f>
        <v>2</v>
      </c>
      <c r="B817">
        <v>19321397</v>
      </c>
      <c r="C817" t="s">
        <v>1199</v>
      </c>
      <c r="D817" t="s">
        <v>1200</v>
      </c>
      <c r="E817" t="s">
        <v>1201</v>
      </c>
      <c r="F817" t="s">
        <v>198</v>
      </c>
      <c r="G817" t="s">
        <v>233</v>
      </c>
      <c r="H817" t="s">
        <v>233</v>
      </c>
      <c r="I817" s="49">
        <v>45277</v>
      </c>
      <c r="J817" s="49">
        <v>45279</v>
      </c>
      <c r="K817" t="s">
        <v>1202</v>
      </c>
      <c r="L817" s="49">
        <v>45277</v>
      </c>
      <c r="M817" s="49">
        <v>45279</v>
      </c>
      <c r="N817" t="s">
        <v>116</v>
      </c>
      <c r="O817" t="s">
        <v>107</v>
      </c>
      <c r="P817">
        <f>VLOOKUP(N817,[1]ID_Cidades!$A$1:$E$5900,2,FALSE)</f>
        <v>295778</v>
      </c>
      <c r="Q817">
        <f>VLOOKUP(O817,[1]ID_Cidades!$A$1:$E$5900,2,FALSE)</f>
        <v>295765</v>
      </c>
      <c r="R817">
        <f t="shared" si="24"/>
        <v>87480780170</v>
      </c>
      <c r="S817" s="42">
        <f>VLOOKUP(R817,'[1]GCD base'!$A$1:$M$200,7,FALSE)</f>
        <v>1961.5007860000001</v>
      </c>
      <c r="T817" t="s">
        <v>109</v>
      </c>
      <c r="U817" t="s">
        <v>205</v>
      </c>
      <c r="V817" t="s">
        <v>202</v>
      </c>
      <c r="W817" t="s">
        <v>203</v>
      </c>
      <c r="X817" t="s">
        <v>204</v>
      </c>
      <c r="Y817">
        <v>0</v>
      </c>
      <c r="Z817">
        <v>0</v>
      </c>
      <c r="AA817">
        <v>989</v>
      </c>
      <c r="AB817">
        <v>0</v>
      </c>
      <c r="AC817" s="49">
        <v>45195</v>
      </c>
      <c r="AD817" s="116" t="s">
        <v>10</v>
      </c>
      <c r="AE817" s="113" t="str" cm="1">
        <f t="array" ref="AE817">_xlfn.IFS(S817&lt;=Constantes!$G$2,"Muito Curta (evitável)",S817&lt;=Constantes!$H$2,"Curta Distância",S817&gt;Constantes!$H$2,"Longa Distância")</f>
        <v>Curta Distância</v>
      </c>
      <c r="AF817" s="114">
        <f>IFERROR(VLOOKUP(AE817,Constantes!$A$1:$E$5,MATCH(AD817,Constantes!$A$1:$E$1,0),0),"")</f>
        <v>0.18286935436241611</v>
      </c>
      <c r="AG817" s="115">
        <f t="shared" si="25"/>
        <v>358.69838231719172</v>
      </c>
    </row>
    <row r="818" spans="1:33" x14ac:dyDescent="0.3">
      <c r="A818">
        <f>COUNTIF($B$2:B818,B818)</f>
        <v>1</v>
      </c>
      <c r="B818">
        <v>19323168</v>
      </c>
      <c r="C818" t="s">
        <v>1214</v>
      </c>
      <c r="D818" t="s">
        <v>1215</v>
      </c>
      <c r="E818" t="s">
        <v>1216</v>
      </c>
      <c r="F818" t="s">
        <v>214</v>
      </c>
      <c r="G818" t="s">
        <v>207</v>
      </c>
      <c r="H818" t="s">
        <v>204</v>
      </c>
      <c r="I818" s="49">
        <v>45277</v>
      </c>
      <c r="J818" s="49">
        <v>45279</v>
      </c>
      <c r="K818" t="s">
        <v>1217</v>
      </c>
      <c r="L818" s="49">
        <v>45279</v>
      </c>
      <c r="M818" s="49">
        <v>45279</v>
      </c>
      <c r="N818" t="s">
        <v>107</v>
      </c>
      <c r="O818" t="s">
        <v>146</v>
      </c>
      <c r="P818">
        <f>VLOOKUP(N818,[1]ID_Cidades!$A$1:$E$5900,2,FALSE)</f>
        <v>295765</v>
      </c>
      <c r="Q818">
        <f>VLOOKUP(O818,[1]ID_Cidades!$A$1:$E$5900,2,FALSE)</f>
        <v>304803</v>
      </c>
      <c r="R818">
        <f t="shared" si="24"/>
        <v>90150059295</v>
      </c>
      <c r="S818" s="42">
        <f>VLOOKUP(R818,'[1]GCD base'!$A$1:$M$200,7,FALSE)</f>
        <v>2573.2532590000001</v>
      </c>
      <c r="T818" t="s">
        <v>109</v>
      </c>
      <c r="U818" t="s">
        <v>201</v>
      </c>
      <c r="V818" t="s">
        <v>202</v>
      </c>
      <c r="W818" t="s">
        <v>203</v>
      </c>
      <c r="X818" t="s">
        <v>204</v>
      </c>
      <c r="Y818">
        <v>95</v>
      </c>
      <c r="Z818">
        <v>0</v>
      </c>
      <c r="AA818">
        <v>1132.51</v>
      </c>
      <c r="AB818">
        <v>0</v>
      </c>
      <c r="AC818" s="49">
        <v>45195</v>
      </c>
      <c r="AD818" s="116" t="s">
        <v>10</v>
      </c>
      <c r="AE818" s="113" t="str" cm="1">
        <f t="array" ref="AE818">_xlfn.IFS(S818&lt;=Constantes!$G$2,"Muito Curta (evitável)",S818&lt;=Constantes!$H$2,"Curta Distância",S818&gt;Constantes!$H$2,"Longa Distância")</f>
        <v>Curta Distância</v>
      </c>
      <c r="AF818" s="114">
        <f>IFERROR(VLOOKUP(AE818,Constantes!$A$1:$E$5,MATCH(AD818,Constantes!$A$1:$E$1,0),0),"")</f>
        <v>0.18286935436241611</v>
      </c>
      <c r="AG818" s="115">
        <f t="shared" si="25"/>
        <v>470.56916208431312</v>
      </c>
    </row>
    <row r="819" spans="1:33" x14ac:dyDescent="0.3">
      <c r="A819">
        <f>COUNTIF($B$2:B819,B819)</f>
        <v>2</v>
      </c>
      <c r="B819">
        <v>19323168</v>
      </c>
      <c r="C819" t="s">
        <v>1214</v>
      </c>
      <c r="D819" t="s">
        <v>1215</v>
      </c>
      <c r="E819" t="s">
        <v>1216</v>
      </c>
      <c r="F819" t="s">
        <v>214</v>
      </c>
      <c r="G819" t="s">
        <v>207</v>
      </c>
      <c r="H819" t="s">
        <v>204</v>
      </c>
      <c r="I819" s="49">
        <v>45277</v>
      </c>
      <c r="J819" s="49">
        <v>45279</v>
      </c>
      <c r="K819" t="s">
        <v>1217</v>
      </c>
      <c r="L819" s="49">
        <v>45277</v>
      </c>
      <c r="M819" s="49">
        <v>45279</v>
      </c>
      <c r="N819" t="s">
        <v>146</v>
      </c>
      <c r="O819" t="s">
        <v>107</v>
      </c>
      <c r="P819">
        <f>VLOOKUP(N819,[1]ID_Cidades!$A$1:$E$5900,2,FALSE)</f>
        <v>304803</v>
      </c>
      <c r="Q819">
        <f>VLOOKUP(O819,[1]ID_Cidades!$A$1:$E$5900,2,FALSE)</f>
        <v>295765</v>
      </c>
      <c r="R819">
        <f t="shared" si="24"/>
        <v>90150059295</v>
      </c>
      <c r="S819" s="42">
        <f>VLOOKUP(R819,'[1]GCD base'!$A$1:$M$200,7,FALSE)</f>
        <v>2573.2532590000001</v>
      </c>
      <c r="T819" t="s">
        <v>109</v>
      </c>
      <c r="U819" t="s">
        <v>205</v>
      </c>
      <c r="V819" t="s">
        <v>202</v>
      </c>
      <c r="W819" t="s">
        <v>203</v>
      </c>
      <c r="X819" t="s">
        <v>204</v>
      </c>
      <c r="Y819">
        <v>0</v>
      </c>
      <c r="Z819">
        <v>0</v>
      </c>
      <c r="AA819">
        <v>2006.49</v>
      </c>
      <c r="AB819">
        <v>0</v>
      </c>
      <c r="AC819" s="49">
        <v>45195</v>
      </c>
      <c r="AD819" s="116" t="s">
        <v>10</v>
      </c>
      <c r="AE819" s="113" t="str" cm="1">
        <f t="array" ref="AE819">_xlfn.IFS(S819&lt;=Constantes!$G$2,"Muito Curta (evitável)",S819&lt;=Constantes!$H$2,"Curta Distância",S819&gt;Constantes!$H$2,"Longa Distância")</f>
        <v>Curta Distância</v>
      </c>
      <c r="AF819" s="114">
        <f>IFERROR(VLOOKUP(AE819,Constantes!$A$1:$E$5,MATCH(AD819,Constantes!$A$1:$E$1,0),0),"")</f>
        <v>0.18286935436241611</v>
      </c>
      <c r="AG819" s="115">
        <f t="shared" si="25"/>
        <v>470.56916208431312</v>
      </c>
    </row>
    <row r="820" spans="1:33" x14ac:dyDescent="0.3">
      <c r="A820">
        <f>COUNTIF($B$2:B820,B820)</f>
        <v>1</v>
      </c>
      <c r="B820">
        <v>19342313</v>
      </c>
      <c r="C820" t="s">
        <v>1292</v>
      </c>
      <c r="D820" t="s">
        <v>1013</v>
      </c>
      <c r="E820" t="s">
        <v>1014</v>
      </c>
      <c r="F820" t="s">
        <v>214</v>
      </c>
      <c r="G820" t="s">
        <v>207</v>
      </c>
      <c r="H820" t="s">
        <v>204</v>
      </c>
      <c r="I820" s="49">
        <v>45277</v>
      </c>
      <c r="J820" s="49">
        <v>45279</v>
      </c>
      <c r="K820" t="s">
        <v>1293</v>
      </c>
      <c r="L820" s="49">
        <v>45277</v>
      </c>
      <c r="M820" s="49">
        <v>45279</v>
      </c>
      <c r="N820" t="s">
        <v>160</v>
      </c>
      <c r="O820" t="s">
        <v>107</v>
      </c>
      <c r="P820">
        <f>VLOOKUP(N820,[1]ID_Cidades!$A$1:$E$5900,2,FALSE)</f>
        <v>301428</v>
      </c>
      <c r="Q820">
        <f>VLOOKUP(O820,[1]ID_Cidades!$A$1:$E$5900,2,FALSE)</f>
        <v>295765</v>
      </c>
      <c r="R820">
        <f t="shared" si="24"/>
        <v>89151852420</v>
      </c>
      <c r="S820" s="42">
        <f>VLOOKUP(R820,'[1]GCD base'!$A$1:$M$200,7,FALSE)</f>
        <v>665.73965859999998</v>
      </c>
      <c r="T820" t="s">
        <v>109</v>
      </c>
      <c r="U820" t="s">
        <v>205</v>
      </c>
      <c r="V820" t="s">
        <v>202</v>
      </c>
      <c r="W820" t="s">
        <v>203</v>
      </c>
      <c r="X820" t="s">
        <v>204</v>
      </c>
      <c r="Y820">
        <v>887.73</v>
      </c>
      <c r="Z820">
        <v>0</v>
      </c>
      <c r="AA820">
        <v>1132.79</v>
      </c>
      <c r="AB820">
        <v>0</v>
      </c>
      <c r="AC820" s="49">
        <v>45201</v>
      </c>
      <c r="AD820" s="116" t="s">
        <v>10</v>
      </c>
      <c r="AE820" s="113" t="str" cm="1">
        <f t="array" ref="AE820">_xlfn.IFS(S820&lt;=Constantes!$G$2,"Muito Curta (evitável)",S820&lt;=Constantes!$H$2,"Curta Distância",S820&gt;Constantes!$H$2,"Longa Distância")</f>
        <v>Curta Distância</v>
      </c>
      <c r="AF820" s="114">
        <f>IFERROR(VLOOKUP(AE820,Constantes!$A$1:$E$5,MATCH(AD820,Constantes!$A$1:$E$1,0),0),"")</f>
        <v>0.18286935436241611</v>
      </c>
      <c r="AG820" s="115">
        <f t="shared" si="25"/>
        <v>121.74338154163732</v>
      </c>
    </row>
    <row r="821" spans="1:33" x14ac:dyDescent="0.3">
      <c r="A821">
        <f>COUNTIF($B$2:B821,B821)</f>
        <v>2</v>
      </c>
      <c r="B821">
        <v>19342313</v>
      </c>
      <c r="C821" t="s">
        <v>1292</v>
      </c>
      <c r="D821" t="s">
        <v>1013</v>
      </c>
      <c r="E821" t="s">
        <v>1014</v>
      </c>
      <c r="F821" t="s">
        <v>214</v>
      </c>
      <c r="G821" t="s">
        <v>207</v>
      </c>
      <c r="H821" t="s">
        <v>204</v>
      </c>
      <c r="I821" s="49">
        <v>45277</v>
      </c>
      <c r="J821" s="49">
        <v>45279</v>
      </c>
      <c r="K821" t="s">
        <v>1293</v>
      </c>
      <c r="L821" s="49">
        <v>45279</v>
      </c>
      <c r="M821" s="49">
        <v>45279</v>
      </c>
      <c r="N821" t="s">
        <v>107</v>
      </c>
      <c r="O821" t="s">
        <v>160</v>
      </c>
      <c r="P821">
        <f>VLOOKUP(N821,[1]ID_Cidades!$A$1:$E$5900,2,FALSE)</f>
        <v>295765</v>
      </c>
      <c r="Q821">
        <f>VLOOKUP(O821,[1]ID_Cidades!$A$1:$E$5900,2,FALSE)</f>
        <v>301428</v>
      </c>
      <c r="R821">
        <f t="shared" si="24"/>
        <v>89151852420</v>
      </c>
      <c r="S821" s="42">
        <f>VLOOKUP(R821,'[1]GCD base'!$A$1:$M$200,7,FALSE)</f>
        <v>665.73965859999998</v>
      </c>
      <c r="T821" t="s">
        <v>109</v>
      </c>
      <c r="U821" t="s">
        <v>201</v>
      </c>
      <c r="V821" t="s">
        <v>202</v>
      </c>
      <c r="W821" t="s">
        <v>203</v>
      </c>
      <c r="X821" t="s">
        <v>204</v>
      </c>
      <c r="Y821">
        <v>0</v>
      </c>
      <c r="Z821">
        <v>0</v>
      </c>
      <c r="AA821">
        <v>1229.99</v>
      </c>
      <c r="AB821">
        <v>0</v>
      </c>
      <c r="AC821" s="49">
        <v>45201</v>
      </c>
      <c r="AD821" s="116" t="s">
        <v>10</v>
      </c>
      <c r="AE821" s="113" t="str" cm="1">
        <f t="array" ref="AE821">_xlfn.IFS(S821&lt;=Constantes!$G$2,"Muito Curta (evitável)",S821&lt;=Constantes!$H$2,"Curta Distância",S821&gt;Constantes!$H$2,"Longa Distância")</f>
        <v>Curta Distância</v>
      </c>
      <c r="AF821" s="114">
        <f>IFERROR(VLOOKUP(AE821,Constantes!$A$1:$E$5,MATCH(AD821,Constantes!$A$1:$E$1,0),0),"")</f>
        <v>0.18286935436241611</v>
      </c>
      <c r="AG821" s="115">
        <f t="shared" si="25"/>
        <v>121.74338154163732</v>
      </c>
    </row>
    <row r="822" spans="1:33" x14ac:dyDescent="0.3">
      <c r="A822">
        <f>COUNTIF($B$2:B822,B822)</f>
        <v>1</v>
      </c>
      <c r="B822">
        <v>19432095</v>
      </c>
      <c r="C822" t="s">
        <v>1568</v>
      </c>
      <c r="D822" t="s">
        <v>1569</v>
      </c>
      <c r="E822" t="s">
        <v>1570</v>
      </c>
      <c r="F822" t="s">
        <v>198</v>
      </c>
      <c r="G822" t="s">
        <v>207</v>
      </c>
      <c r="H822" t="s">
        <v>204</v>
      </c>
      <c r="I822" s="49">
        <v>45277</v>
      </c>
      <c r="J822" s="49">
        <v>45281</v>
      </c>
      <c r="K822" t="s">
        <v>1571</v>
      </c>
      <c r="L822" s="49">
        <v>45277</v>
      </c>
      <c r="M822" s="49">
        <v>45277</v>
      </c>
      <c r="N822" t="s">
        <v>114</v>
      </c>
      <c r="O822" t="s">
        <v>107</v>
      </c>
      <c r="P822">
        <f>VLOOKUP(N822,[1]ID_Cidades!$A$1:$E$5900,2,FALSE)</f>
        <v>295777</v>
      </c>
      <c r="Q822">
        <f>VLOOKUP(O822,[1]ID_Cidades!$A$1:$E$5900,2,FALSE)</f>
        <v>295765</v>
      </c>
      <c r="R822">
        <f t="shared" si="24"/>
        <v>87480484405</v>
      </c>
      <c r="S822" s="42">
        <f>VLOOKUP(R822,'[1]GCD base'!$A$1:$M$200,7,FALSE)</f>
        <v>1714.8365369999999</v>
      </c>
      <c r="T822" t="s">
        <v>109</v>
      </c>
      <c r="U822" t="s">
        <v>201</v>
      </c>
      <c r="V822" t="s">
        <v>202</v>
      </c>
      <c r="W822" t="s">
        <v>203</v>
      </c>
      <c r="X822" t="s">
        <v>204</v>
      </c>
      <c r="Y822">
        <v>887.73</v>
      </c>
      <c r="Z822">
        <v>0</v>
      </c>
      <c r="AA822">
        <v>1331.29</v>
      </c>
      <c r="AB822">
        <v>0</v>
      </c>
      <c r="AC822" s="49">
        <v>45225</v>
      </c>
      <c r="AD822" s="116" t="s">
        <v>10</v>
      </c>
      <c r="AE822" s="113" t="str" cm="1">
        <f t="array" ref="AE822">_xlfn.IFS(S822&lt;=Constantes!$G$2,"Muito Curta (evitável)",S822&lt;=Constantes!$H$2,"Curta Distância",S822&gt;Constantes!$H$2,"Longa Distância")</f>
        <v>Curta Distância</v>
      </c>
      <c r="AF822" s="114">
        <f>IFERROR(VLOOKUP(AE822,Constantes!$A$1:$E$5,MATCH(AD822,Constantes!$A$1:$E$1,0),0),"")</f>
        <v>0.18286935436241611</v>
      </c>
      <c r="AG822" s="115">
        <f t="shared" si="25"/>
        <v>313.59105035827145</v>
      </c>
    </row>
    <row r="823" spans="1:33" x14ac:dyDescent="0.3">
      <c r="A823">
        <f>COUNTIF($B$2:B823,B823)</f>
        <v>2</v>
      </c>
      <c r="B823">
        <v>19432095</v>
      </c>
      <c r="C823" t="s">
        <v>1568</v>
      </c>
      <c r="D823" t="s">
        <v>1569</v>
      </c>
      <c r="E823" t="s">
        <v>1570</v>
      </c>
      <c r="F823" t="s">
        <v>198</v>
      </c>
      <c r="G823" t="s">
        <v>207</v>
      </c>
      <c r="H823" t="s">
        <v>204</v>
      </c>
      <c r="I823" s="49">
        <v>45277</v>
      </c>
      <c r="J823" s="49">
        <v>45281</v>
      </c>
      <c r="K823" t="s">
        <v>1571</v>
      </c>
      <c r="L823" s="49">
        <v>45281</v>
      </c>
      <c r="M823" s="49">
        <v>45281</v>
      </c>
      <c r="N823" t="s">
        <v>107</v>
      </c>
      <c r="O823" t="s">
        <v>114</v>
      </c>
      <c r="P823">
        <f>VLOOKUP(N823,[1]ID_Cidades!$A$1:$E$5900,2,FALSE)</f>
        <v>295765</v>
      </c>
      <c r="Q823">
        <f>VLOOKUP(O823,[1]ID_Cidades!$A$1:$E$5900,2,FALSE)</f>
        <v>295777</v>
      </c>
      <c r="R823">
        <f t="shared" si="24"/>
        <v>87480484405</v>
      </c>
      <c r="S823" s="42">
        <f>VLOOKUP(R823,'[1]GCD base'!$A$1:$M$200,7,FALSE)</f>
        <v>1714.8365369999999</v>
      </c>
      <c r="T823" t="s">
        <v>109</v>
      </c>
      <c r="U823" t="s">
        <v>201</v>
      </c>
      <c r="V823" t="s">
        <v>202</v>
      </c>
      <c r="W823" t="s">
        <v>203</v>
      </c>
      <c r="X823" t="s">
        <v>204</v>
      </c>
      <c r="Y823">
        <v>0</v>
      </c>
      <c r="Z823">
        <v>0</v>
      </c>
      <c r="AA823">
        <v>1316.6</v>
      </c>
      <c r="AB823">
        <v>0</v>
      </c>
      <c r="AC823" s="49">
        <v>45225</v>
      </c>
      <c r="AD823" s="116" t="s">
        <v>10</v>
      </c>
      <c r="AE823" s="113" t="str" cm="1">
        <f t="array" ref="AE823">_xlfn.IFS(S823&lt;=Constantes!$G$2,"Muito Curta (evitável)",S823&lt;=Constantes!$H$2,"Curta Distância",S823&gt;Constantes!$H$2,"Longa Distância")</f>
        <v>Curta Distância</v>
      </c>
      <c r="AF823" s="114">
        <f>IFERROR(VLOOKUP(AE823,Constantes!$A$1:$E$5,MATCH(AD823,Constantes!$A$1:$E$1,0),0),"")</f>
        <v>0.18286935436241611</v>
      </c>
      <c r="AG823" s="115">
        <f t="shared" si="25"/>
        <v>313.59105035827145</v>
      </c>
    </row>
  </sheetData>
  <autoFilter ref="A1:AC823" xr:uid="{78C93F3A-D1A4-4665-BE71-5CBA2B47A82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6E7C-5C6C-4BA0-BBBF-E9A3C29D8EFE}">
  <dimension ref="A1:BG1011"/>
  <sheetViews>
    <sheetView tabSelected="1" topLeftCell="W1" zoomScaleNormal="100" workbookViewId="0">
      <pane ySplit="1" topLeftCell="A2" activePane="bottomLeft" state="frozen"/>
      <selection activeCell="W1" sqref="W1"/>
      <selection pane="bottomLeft" activeCell="AE2" sqref="AE2"/>
    </sheetView>
  </sheetViews>
  <sheetFormatPr defaultRowHeight="14.4" x14ac:dyDescent="0.3"/>
  <cols>
    <col min="1" max="1" width="4.109375" bestFit="1" customWidth="1"/>
    <col min="2" max="2" width="34.33203125" bestFit="1" customWidth="1"/>
    <col min="3" max="3" width="26.33203125" bestFit="1" customWidth="1"/>
    <col min="4" max="4" width="14" bestFit="1" customWidth="1"/>
    <col min="5" max="5" width="54.33203125" bestFit="1" customWidth="1"/>
    <col min="6" max="6" width="44.44140625" bestFit="1" customWidth="1"/>
    <col min="7" max="7" width="9.109375" bestFit="1" customWidth="1"/>
    <col min="8" max="8" width="29.33203125" bestFit="1" customWidth="1"/>
    <col min="9" max="9" width="21.6640625" bestFit="1" customWidth="1"/>
    <col min="10" max="10" width="19.88671875" bestFit="1" customWidth="1"/>
    <col min="11" max="11" width="9.44140625" customWidth="1"/>
    <col min="12" max="12" width="12.44140625" bestFit="1" customWidth="1"/>
    <col min="13" max="13" width="16.6640625" bestFit="1" customWidth="1"/>
    <col min="14" max="14" width="15.109375" bestFit="1" customWidth="1"/>
    <col min="15" max="15" width="16.109375" bestFit="1" customWidth="1"/>
    <col min="16" max="16" width="15.44140625" bestFit="1" customWidth="1"/>
    <col min="17" max="17" width="15.5546875" bestFit="1" customWidth="1"/>
    <col min="18" max="18" width="12" bestFit="1" customWidth="1"/>
    <col min="19" max="19" width="18.109375" bestFit="1" customWidth="1"/>
    <col min="20" max="20" width="17.6640625" bestFit="1" customWidth="1"/>
    <col min="21" max="21" width="14.5546875" bestFit="1" customWidth="1"/>
    <col min="22" max="22" width="21.6640625" bestFit="1" customWidth="1"/>
    <col min="23" max="23" width="16.6640625" customWidth="1"/>
    <col min="24" max="24" width="16.109375" bestFit="1" customWidth="1"/>
    <col min="25" max="25" width="16" bestFit="1" customWidth="1"/>
    <col min="26" max="26" width="19.44140625" bestFit="1" customWidth="1"/>
    <col min="27" max="27" width="14.5546875" bestFit="1" customWidth="1"/>
    <col min="28" max="28" width="36.6640625" bestFit="1" customWidth="1"/>
    <col min="29" max="29" width="21.44140625" bestFit="1" customWidth="1"/>
    <col min="30" max="30" width="20.33203125" bestFit="1" customWidth="1"/>
    <col min="31" max="31" width="29.33203125" bestFit="1" customWidth="1"/>
    <col min="32" max="32" width="11.109375" bestFit="1" customWidth="1"/>
    <col min="33" max="33" width="11.109375" customWidth="1"/>
    <col min="34" max="34" width="12" customWidth="1"/>
    <col min="35" max="35" width="11.33203125" bestFit="1" customWidth="1"/>
    <col min="36" max="36" width="11.5546875" bestFit="1" customWidth="1"/>
    <col min="38" max="38" width="13.33203125" bestFit="1" customWidth="1"/>
    <col min="39" max="39" width="9.33203125" bestFit="1" customWidth="1"/>
    <col min="40" max="40" width="9.33203125" customWidth="1"/>
    <col min="41" max="41" width="11.5546875" bestFit="1" customWidth="1"/>
    <col min="44" max="44" width="7.109375" bestFit="1" customWidth="1"/>
    <col min="47" max="47" width="14.33203125" bestFit="1" customWidth="1"/>
    <col min="48" max="48" width="13" bestFit="1" customWidth="1"/>
    <col min="49" max="49" width="10.5546875" bestFit="1" customWidth="1"/>
    <col min="50" max="51" width="12.5546875" customWidth="1"/>
    <col min="54" max="54" width="8.109375" customWidth="1"/>
    <col min="55" max="55" width="7.88671875" customWidth="1"/>
    <col min="56" max="56" width="20.33203125" customWidth="1"/>
    <col min="57" max="57" width="18.5546875" bestFit="1" customWidth="1"/>
    <col min="58" max="58" width="18.109375" bestFit="1" customWidth="1"/>
    <col min="59" max="59" width="14.109375" bestFit="1" customWidth="1"/>
    <col min="60" max="60" width="15.33203125" bestFit="1" customWidth="1"/>
    <col min="61" max="61" width="15.6640625" bestFit="1" customWidth="1"/>
  </cols>
  <sheetData>
    <row r="1" spans="1:57" x14ac:dyDescent="0.3">
      <c r="A1" t="s">
        <v>1783</v>
      </c>
      <c r="B1" t="str" cm="1">
        <f t="array" ref="B1:B415">_xlfn.UNIQUE(Entradas!B1:B823)</f>
        <v xml:space="preserve">Identificador do processo de viagem </v>
      </c>
      <c r="C1" t="s">
        <v>1758</v>
      </c>
      <c r="D1" t="s">
        <v>1759</v>
      </c>
      <c r="E1" t="s">
        <v>1760</v>
      </c>
      <c r="F1" t="s">
        <v>1761</v>
      </c>
      <c r="G1" t="s">
        <v>1762</v>
      </c>
      <c r="H1" t="s">
        <v>1763</v>
      </c>
      <c r="I1" t="s">
        <v>1764</v>
      </c>
      <c r="J1" t="s">
        <v>1765</v>
      </c>
      <c r="K1" t="s">
        <v>1766</v>
      </c>
      <c r="L1" t="s">
        <v>184</v>
      </c>
      <c r="M1" t="s">
        <v>1774</v>
      </c>
      <c r="N1" t="s">
        <v>1775</v>
      </c>
      <c r="O1" t="s">
        <v>106</v>
      </c>
      <c r="P1" t="s">
        <v>1776</v>
      </c>
      <c r="Q1" t="s">
        <v>1777</v>
      </c>
      <c r="R1" t="s">
        <v>1778</v>
      </c>
      <c r="S1" t="s">
        <v>1779</v>
      </c>
      <c r="T1" t="s">
        <v>1780</v>
      </c>
      <c r="U1" t="s">
        <v>1781</v>
      </c>
      <c r="V1" t="s">
        <v>1782</v>
      </c>
      <c r="W1" s="57" t="s">
        <v>1790</v>
      </c>
      <c r="X1" s="28" t="s">
        <v>0</v>
      </c>
      <c r="Y1" s="28" t="s">
        <v>23</v>
      </c>
      <c r="Z1" s="28" t="s">
        <v>1</v>
      </c>
      <c r="AA1" s="28" t="s">
        <v>2</v>
      </c>
      <c r="AB1" s="28" t="s">
        <v>37</v>
      </c>
      <c r="AC1" s="28" t="s">
        <v>9</v>
      </c>
      <c r="AD1" s="31" t="s">
        <v>3</v>
      </c>
      <c r="AE1" s="31" t="s">
        <v>1850</v>
      </c>
      <c r="AF1" s="31" t="s">
        <v>1791</v>
      </c>
      <c r="AG1" s="31" t="s">
        <v>91</v>
      </c>
      <c r="AH1" s="35" t="s">
        <v>92</v>
      </c>
      <c r="AI1" s="35" t="s">
        <v>93</v>
      </c>
      <c r="AJ1" s="35" t="s">
        <v>4</v>
      </c>
      <c r="AK1" s="35" t="s">
        <v>6</v>
      </c>
      <c r="AL1" s="35" t="s">
        <v>51</v>
      </c>
      <c r="AM1" s="26" t="s">
        <v>5</v>
      </c>
      <c r="AN1" s="26" t="s">
        <v>1807</v>
      </c>
      <c r="AO1" s="35" t="s">
        <v>1808</v>
      </c>
      <c r="AP1" s="35" t="s">
        <v>1809</v>
      </c>
      <c r="AQ1" s="35" t="s">
        <v>69</v>
      </c>
      <c r="AR1" s="35" t="s">
        <v>68</v>
      </c>
      <c r="AS1" s="35" t="s">
        <v>70</v>
      </c>
      <c r="AT1" s="35" t="s">
        <v>1805</v>
      </c>
      <c r="AU1" s="35" t="s">
        <v>7</v>
      </c>
      <c r="AV1" s="35" t="s">
        <v>8</v>
      </c>
      <c r="AW1" s="36" t="s">
        <v>1806</v>
      </c>
      <c r="AX1" s="35" t="s">
        <v>1795</v>
      </c>
      <c r="AY1" s="35" t="s">
        <v>1796</v>
      </c>
      <c r="AZ1" s="27" t="s">
        <v>1823</v>
      </c>
      <c r="BA1" s="27" t="s">
        <v>1824</v>
      </c>
      <c r="BB1" s="27" t="s">
        <v>1825</v>
      </c>
      <c r="BC1" s="7" t="s">
        <v>1826</v>
      </c>
      <c r="BD1" s="27" t="s">
        <v>38</v>
      </c>
    </row>
    <row r="2" spans="1:57" x14ac:dyDescent="0.3">
      <c r="A2">
        <f>_xlfn.XLOOKUP(B2,Entradas!B:B,Entradas!A:A,,0,-1)</f>
        <v>2</v>
      </c>
      <c r="B2">
        <v>19001658</v>
      </c>
      <c r="C2" t="str">
        <f>_xlfn.XLOOKUP($B2,Entradas!$B:$B,Entradas!C:C,,0,1)</f>
        <v>000450/23</v>
      </c>
      <c r="D2" t="str">
        <f>_xlfn.XLOOKUP($B2,Entradas!$B:$B,Entradas!D:D,,0,1)</f>
        <v>***.518.375-**</v>
      </c>
      <c r="E2" t="str">
        <f>_xlfn.XLOOKUP($B2,Entradas!$B:$B,Entradas!E:E,,0,1)</f>
        <v>ANGELA DE OLIVEIRA CARNEIRO</v>
      </c>
      <c r="F2" t="str">
        <f>_xlfn.XLOOKUP($B2,Entradas!$B:$B,Entradas!F:F,,0,1)</f>
        <v>PROFESSOR DO MAGISTERIO SUPERIOR</v>
      </c>
      <c r="G2" t="str">
        <f>_xlfn.XLOOKUP($B2,Entradas!$B:$B,Entradas!G:G,,0,1)</f>
        <v>-1</v>
      </c>
      <c r="H2" t="str">
        <f>_xlfn.XLOOKUP($B2,Entradas!$B:$B,Entradas!H:H,,0,1)</f>
        <v>Sem informação</v>
      </c>
      <c r="I2" s="49">
        <f>_xlfn.XLOOKUP($B2,Entradas!$B:$B,Entradas!I:I,,0,1)</f>
        <v>45109</v>
      </c>
      <c r="J2" s="49">
        <f>_xlfn.XLOOKUP($B2,Entradas!$B:$B,Entradas!J:J,,0,1)</f>
        <v>45121</v>
      </c>
      <c r="K2" t="str">
        <f>_xlfn.XLOOKUP($B2,Entradas!$B:$B,Entradas!K:K,,0,1)</f>
        <v>O PROPOSTO IRÁ PARTICIPAR COMO MEMBRO DE BANCA DE CONCURSO PÚBLICO DO DEPARTAMENTO DE ENFERMAGEM CLÍNICA</v>
      </c>
      <c r="L2">
        <f>SUMIF(Entradas!$B:$B,'Entrada Lvl 5-4 qt'!$B2,Entradas!S:S)</f>
        <v>1331.4793172</v>
      </c>
      <c r="M2" t="str">
        <f>_xlfn.XLOOKUP($B2,Entradas!$B:$B,Entradas!T:T,,0,1)</f>
        <v>Aéreo</v>
      </c>
      <c r="N2" t="str">
        <f>_xlfn.XLOOKUP($B2,Entradas!$B:$B,Entradas!U:U,,0,1)</f>
        <v>Sim</v>
      </c>
      <c r="O2" t="str">
        <f>_xlfn.XLOOKUP($B2,Entradas!$B:$B,Entradas!V:V,,0,1)</f>
        <v>Realizada</v>
      </c>
      <c r="P2" t="str">
        <f>_xlfn.XLOOKUP($B2,Entradas!$B:$B,Entradas!W:W,,0,1)</f>
        <v>SIM</v>
      </c>
      <c r="Q2" t="str">
        <f>_xlfn.XLOOKUP($B2,Entradas!$B:$B,Entradas!X:X,,0,1)</f>
        <v>justificativa em anexo.</v>
      </c>
      <c r="R2" s="36">
        <f>SUMIF(Entradas!$B:$B,'Entrada Lvl 5-4 qt'!$B2,Entradas!Y:Y)</f>
        <v>4058.65</v>
      </c>
      <c r="S2" s="36">
        <f>SUMIF(Entradas!$B:$B,'Entrada Lvl 5-4 qt'!$B2,Entradas!Z:Z)</f>
        <v>0</v>
      </c>
      <c r="T2" s="36">
        <f>SUMIF(Entradas!$B:$B,'Entrada Lvl 5-4 qt'!$B2,Entradas!AA:AA)</f>
        <v>4880.9799999999996</v>
      </c>
      <c r="U2" s="36">
        <f>SUMIF(Entradas!$B:$B,'Entrada Lvl 5-4 qt'!$B2,Entradas!AB:AB)</f>
        <v>0</v>
      </c>
      <c r="V2" s="49">
        <f>_xlfn.XLOOKUP($B2,Entradas!$B:$B,Entradas!AC:AC,,0,1)</f>
        <v>45097</v>
      </c>
      <c r="W2" s="58">
        <f>J2-I2</f>
        <v>12</v>
      </c>
      <c r="X2" s="28" t="s">
        <v>10</v>
      </c>
      <c r="Y2" s="32">
        <f t="shared" ref="Y2:Y65" si="0">IF(A2&lt;3,0,1)</f>
        <v>0</v>
      </c>
      <c r="Z2" s="33">
        <f t="shared" ref="Z2:Z65" si="1">IFERROR(SUM(T2:U2),0)</f>
        <v>4880.9799999999996</v>
      </c>
      <c r="AA2" s="34">
        <f t="shared" ref="AA2:AA65" si="2">IFERROR(SUM(R2:S2),0)</f>
        <v>4058.65</v>
      </c>
      <c r="AB2" s="28" t="s">
        <v>1812</v>
      </c>
      <c r="AC2" s="28" t="s">
        <v>1820</v>
      </c>
      <c r="AD2" s="29" t="str" cm="1">
        <f t="array" ref="AD2">_xlfn.IFS(L2&lt;=Constantes!$G$2,"Muito Curta (evitável)",L2&lt;=Constantes!$H$2,"Curta Distância",L2&gt;Constantes!$H$2,"Longa Distância")</f>
        <v>Curta Distância</v>
      </c>
      <c r="AE2" s="30" t="str">
        <f>IF(P2="SIM",IF(Q2="Sem Informação","SIM","NÃO"),"NÃO")</f>
        <v>NÃO</v>
      </c>
      <c r="AF2" s="30">
        <f>SUMIF(Entradas!$B:$B,'Entrada Lvl 5-4 qt'!$B2,Entradas!$AG:$AG)</f>
        <v>243.48676308327464</v>
      </c>
      <c r="AG2" s="30">
        <f>SUMIF($AD:$AD,"Muito Curta (evitável)",$AF:$AF)</f>
        <v>805.8664733696146</v>
      </c>
      <c r="AH2" s="1">
        <f>SUMIF($AD:$AD,"Curta Distância",$AF:$AF)</f>
        <v>103690.81686499911</v>
      </c>
      <c r="AI2" s="1">
        <f>SUMIF($AD:$AD,"Longa Distância",$AF:$AF)</f>
        <v>194561.12258085949</v>
      </c>
      <c r="AJ2" s="1">
        <f>SUM(AG2:AI2)</f>
        <v>299057.80591922824</v>
      </c>
      <c r="AK2" s="1">
        <f>IFERROR(AJ2/AQ2,0)</f>
        <v>722.36185004644506</v>
      </c>
      <c r="AL2" s="26">
        <f>SUM(L:L)</f>
        <v>1610128.7746285002</v>
      </c>
      <c r="AM2" s="26">
        <f>AL2/AQ2</f>
        <v>3889.1999387161841</v>
      </c>
      <c r="AN2" s="2">
        <f>COUNTIF($AD:$AD,"Muito Curta (evitável)")</f>
        <v>6</v>
      </c>
      <c r="AO2" s="2">
        <f>COUNTIF($AD:$AD,"Curta Distância")</f>
        <v>204</v>
      </c>
      <c r="AP2" s="2">
        <f>COUNTIF($AD:$AD,"Longa Distância")</f>
        <v>204</v>
      </c>
      <c r="AQ2" s="2">
        <f>SUM(AN2:AP2)</f>
        <v>414</v>
      </c>
      <c r="AR2" s="53">
        <f>SUM(Y:Y)/AQ2</f>
        <v>7.246376811594203E-3</v>
      </c>
      <c r="AS2">
        <f>COUNTIF(X:X,"Econômica")</f>
        <v>414</v>
      </c>
      <c r="AT2" s="10">
        <f>AS2/AQ2</f>
        <v>1</v>
      </c>
      <c r="AU2" s="36">
        <f>SUM(Z:Z)</f>
        <v>1150238.0099999981</v>
      </c>
      <c r="AV2" s="36">
        <f>SUM(AA:AA)</f>
        <v>547335.04</v>
      </c>
      <c r="AW2" s="36">
        <f>SUM(AU2:AV2)/AQ2</f>
        <v>4100.4179951690776</v>
      </c>
      <c r="AX2" s="108">
        <f>(SUM((COUNTIF(W:W,"&lt;"&amp;2)),COUNTIF(AD:AD,"Muito Curta (evitável)")))/AQ2</f>
        <v>3.140096618357488E-2</v>
      </c>
      <c r="AY2">
        <f>COUNTIFS(P:P,"SIM",Q:Q,"Sem informação")/AS2</f>
        <v>0</v>
      </c>
      <c r="AZ2" s="1">
        <f>(COUNTIF($AC:$AC,"Servidor"))/AQ2</f>
        <v>0.3188405797101449</v>
      </c>
      <c r="BA2" s="1">
        <f>COUNTIF($AC:$AC,"Acadêmico")/AQ2</f>
        <v>0.42995169082125606</v>
      </c>
      <c r="BB2" s="1">
        <f>COUNTIF($AC:$AC,"Discente")/AQ2</f>
        <v>0.15217391304347827</v>
      </c>
      <c r="BC2" s="1">
        <f>COUNTIF($AC:$AC,"Externo")/AQ2</f>
        <v>9.9033816425120769E-2</v>
      </c>
      <c r="BD2" s="26">
        <f>SUM(AZ2:BC2)</f>
        <v>1</v>
      </c>
      <c r="BE2" s="49"/>
    </row>
    <row r="3" spans="1:57" x14ac:dyDescent="0.3">
      <c r="A3">
        <f>_xlfn.XLOOKUP(B3,Entradas!B:B,Entradas!A:A,,0,-1)</f>
        <v>2</v>
      </c>
      <c r="B3">
        <v>19016293</v>
      </c>
      <c r="C3" t="str">
        <f>_xlfn.XLOOKUP($B3,Entradas!$B:$B,Entradas!C:C,,0,1)</f>
        <v>000452/23</v>
      </c>
      <c r="D3" t="str">
        <f>_xlfn.XLOOKUP($B3,Entradas!$B:$B,Entradas!D:D,,0,1)</f>
        <v>***.187.354-**</v>
      </c>
      <c r="E3" t="str">
        <f>_xlfn.XLOOKUP($B3,Entradas!$B:$B,Entradas!E:E,,0,1)</f>
        <v>MARIA FATIMA DE SOUSA</v>
      </c>
      <c r="F3" t="str">
        <f>_xlfn.XLOOKUP($B3,Entradas!$B:$B,Entradas!F:F,,0,1)</f>
        <v>PROFESSOR DO MAGISTERIO SUPERIOR</v>
      </c>
      <c r="G3" t="str">
        <f>_xlfn.XLOOKUP($B3,Entradas!$B:$B,Entradas!G:G,,0,1)</f>
        <v>-1</v>
      </c>
      <c r="H3" t="str">
        <f>_xlfn.XLOOKUP($B3,Entradas!$B:$B,Entradas!H:H,,0,1)</f>
        <v>Sem informação</v>
      </c>
      <c r="I3" s="49">
        <f>_xlfn.XLOOKUP($B3,Entradas!$B:$B,Entradas!I:I,,0,1)</f>
        <v>45109</v>
      </c>
      <c r="J3" s="49">
        <f>_xlfn.XLOOKUP($B3,Entradas!$B:$B,Entradas!J:J,,0,1)</f>
        <v>45122</v>
      </c>
      <c r="K3" t="str">
        <f>_xlfn.XLOOKUP($B3,Entradas!$B:$B,Entradas!K:K,,0,1)</f>
        <v>O PROPOSTO IRÁ PARTICIPAR COMO MEMBRO DE BANCA DE CONCURSO PÚBLICO DO DEPARTAMENTO DE ENFERMAGEM CLÍNICA</v>
      </c>
      <c r="L3">
        <f>SUMIF(Entradas!$B:$B,'Entrada Lvl 5-4 qt'!$B3,Entradas!S:S)</f>
        <v>3426.839982</v>
      </c>
      <c r="M3" t="str">
        <f>_xlfn.XLOOKUP($B3,Entradas!$B:$B,Entradas!T:T,,0,1)</f>
        <v>Aéreo</v>
      </c>
      <c r="N3" t="str">
        <f>_xlfn.XLOOKUP($B3,Entradas!$B:$B,Entradas!U:U,,0,1)</f>
        <v>Não</v>
      </c>
      <c r="O3" t="str">
        <f>_xlfn.XLOOKUP($B3,Entradas!$B:$B,Entradas!V:V,,0,1)</f>
        <v>Realizada</v>
      </c>
      <c r="P3" t="str">
        <f>_xlfn.XLOOKUP($B3,Entradas!$B:$B,Entradas!W:W,,0,1)</f>
        <v>SIM</v>
      </c>
      <c r="Q3" t="str">
        <f>_xlfn.XLOOKUP($B3,Entradas!$B:$B,Entradas!X:X,,0,1)</f>
        <v>justificativa em anexo.</v>
      </c>
      <c r="R3" s="36">
        <f>SUMIF(Entradas!$B:$B,'Entrada Lvl 5-4 qt'!$B3,Entradas!Y:Y)</f>
        <v>4399.67</v>
      </c>
      <c r="S3" s="36">
        <f>SUMIF(Entradas!$B:$B,'Entrada Lvl 5-4 qt'!$B3,Entradas!Z:Z)</f>
        <v>0</v>
      </c>
      <c r="T3" s="36">
        <f>SUMIF(Entradas!$B:$B,'Entrada Lvl 5-4 qt'!$B3,Entradas!AA:AA)</f>
        <v>2590.96</v>
      </c>
      <c r="U3" s="36">
        <f>SUMIF(Entradas!$B:$B,'Entrada Lvl 5-4 qt'!$B3,Entradas!AB:AB)</f>
        <v>0</v>
      </c>
      <c r="V3" s="49">
        <f>_xlfn.XLOOKUP($B3,Entradas!$B:$B,Entradas!AC:AC,,0,1)</f>
        <v>45097</v>
      </c>
      <c r="W3" s="58">
        <f t="shared" ref="W3:W66" si="3">J3-I3</f>
        <v>13</v>
      </c>
      <c r="X3" s="28" t="s">
        <v>10</v>
      </c>
      <c r="Y3" s="32">
        <f t="shared" si="0"/>
        <v>0</v>
      </c>
      <c r="Z3" s="33">
        <f t="shared" si="1"/>
        <v>2590.96</v>
      </c>
      <c r="AA3" s="34">
        <f t="shared" si="2"/>
        <v>4399.67</v>
      </c>
      <c r="AB3" s="28" t="s">
        <v>1812</v>
      </c>
      <c r="AC3" s="28" t="s">
        <v>1820</v>
      </c>
      <c r="AD3" s="29" t="str" cm="1">
        <f t="array" ref="AD3">_xlfn.IFS(L3&lt;=Constantes!$G$2,"Muito Curta (evitável)",L3&lt;=Constantes!$H$2,"Curta Distância",L3&gt;Constantes!$H$2,"Longa Distância")</f>
        <v>Curta Distância</v>
      </c>
      <c r="AE3" s="30" t="str">
        <f t="shared" ref="AE3:AE65" si="4">IF(P3="SIM",IF(Q3="Sem Informação","SIM","NÃO"),"NÃO")</f>
        <v>NÃO</v>
      </c>
      <c r="AF3" s="30">
        <f>SUMIF(Entradas!$B:$B,'Entrada Lvl 5-4 qt'!$B3,Entradas!$AG:$AG)</f>
        <v>626.66401501165365</v>
      </c>
      <c r="AG3" s="30"/>
      <c r="AH3" s="50"/>
      <c r="AI3" s="50"/>
      <c r="AJ3" s="50"/>
      <c r="AK3" s="50"/>
      <c r="AL3" s="26"/>
      <c r="AM3" s="26"/>
      <c r="AN3" s="26"/>
      <c r="AO3" s="51"/>
      <c r="AP3" s="51"/>
      <c r="AQ3" s="51"/>
      <c r="AR3" s="52"/>
      <c r="AT3" s="10"/>
      <c r="AU3" s="36"/>
      <c r="AV3" s="36"/>
      <c r="AW3" s="36"/>
      <c r="AX3" s="36"/>
      <c r="AY3" s="36"/>
      <c r="AZ3" s="50"/>
      <c r="BA3" s="50"/>
      <c r="BB3" s="50"/>
      <c r="BC3" s="50"/>
      <c r="BD3" s="49"/>
      <c r="BE3" s="49"/>
    </row>
    <row r="4" spans="1:57" x14ac:dyDescent="0.3">
      <c r="A4">
        <f>_xlfn.XLOOKUP(B4,Entradas!B:B,Entradas!A:A,,0,-1)</f>
        <v>2</v>
      </c>
      <c r="B4">
        <v>19019910</v>
      </c>
      <c r="C4" t="str">
        <f>_xlfn.XLOOKUP($B4,Entradas!$B:$B,Entradas!C:C,,0,1)</f>
        <v>000457/23</v>
      </c>
      <c r="D4" t="str">
        <f>_xlfn.XLOOKUP($B4,Entradas!$B:$B,Entradas!D:D,,0,1)</f>
        <v>***.105.073-**</v>
      </c>
      <c r="E4" t="str">
        <f>_xlfn.XLOOKUP($B4,Entradas!$B:$B,Entradas!E:E,,0,1)</f>
        <v>ROBERTA MENESES OLIVEIRA</v>
      </c>
      <c r="F4" t="str">
        <f>_xlfn.XLOOKUP($B4,Entradas!$B:$B,Entradas!F:F,,0,1)</f>
        <v>PROFESSOR DO MAGISTERIO SUPERIOR</v>
      </c>
      <c r="G4" t="str">
        <f>_xlfn.XLOOKUP($B4,Entradas!$B:$B,Entradas!G:G,,0,1)</f>
        <v>-1</v>
      </c>
      <c r="H4" t="str">
        <f>_xlfn.XLOOKUP($B4,Entradas!$B:$B,Entradas!H:H,,0,1)</f>
        <v>Sem informação</v>
      </c>
      <c r="I4" s="49">
        <f>_xlfn.XLOOKUP($B4,Entradas!$B:$B,Entradas!I:I,,0,1)</f>
        <v>45109</v>
      </c>
      <c r="J4" s="49">
        <f>_xlfn.XLOOKUP($B4,Entradas!$B:$B,Entradas!J:J,,0,1)</f>
        <v>45122</v>
      </c>
      <c r="K4" t="str">
        <f>_xlfn.XLOOKUP($B4,Entradas!$B:$B,Entradas!K:K,,0,1)</f>
        <v>O PROPOSTO IRÁ PARTICIPAR COMO MEMBRO DE BANCA DE CONCURSO PÚBLICO DO DEPARTAMENTO DE ENFERMAGEM CLÍNICA</v>
      </c>
      <c r="L4">
        <f>SUMIF(Entradas!$B:$B,'Entrada Lvl 5-4 qt'!$B4,Entradas!S:S)</f>
        <v>1092.4728600000001</v>
      </c>
      <c r="M4" t="str">
        <f>_xlfn.XLOOKUP($B4,Entradas!$B:$B,Entradas!T:T,,0,1)</f>
        <v>Aéreo</v>
      </c>
      <c r="N4" t="str">
        <f>_xlfn.XLOOKUP($B4,Entradas!$B:$B,Entradas!U:U,,0,1)</f>
        <v>Sim</v>
      </c>
      <c r="O4" t="str">
        <f>_xlfn.XLOOKUP($B4,Entradas!$B:$B,Entradas!V:V,,0,1)</f>
        <v>Realizada</v>
      </c>
      <c r="P4" t="str">
        <f>_xlfn.XLOOKUP($B4,Entradas!$B:$B,Entradas!W:W,,0,1)</f>
        <v>SIM</v>
      </c>
      <c r="Q4" t="str">
        <f>_xlfn.XLOOKUP($B4,Entradas!$B:$B,Entradas!X:X,,0,1)</f>
        <v>justificativa em anexo.</v>
      </c>
      <c r="R4" s="36">
        <f>SUMIF(Entradas!$B:$B,'Entrada Lvl 5-4 qt'!$B4,Entradas!Y:Y)</f>
        <v>4399.67</v>
      </c>
      <c r="S4" s="36">
        <f>SUMIF(Entradas!$B:$B,'Entrada Lvl 5-4 qt'!$B4,Entradas!Z:Z)</f>
        <v>0</v>
      </c>
      <c r="T4" s="36">
        <f>SUMIF(Entradas!$B:$B,'Entrada Lvl 5-4 qt'!$B4,Entradas!AA:AA)</f>
        <v>1709.6999999999998</v>
      </c>
      <c r="U4" s="36">
        <f>SUMIF(Entradas!$B:$B,'Entrada Lvl 5-4 qt'!$B4,Entradas!AB:AB)</f>
        <v>0</v>
      </c>
      <c r="V4" s="49">
        <f>_xlfn.XLOOKUP($B4,Entradas!$B:$B,Entradas!AC:AC,,0,1)</f>
        <v>45098</v>
      </c>
      <c r="W4" s="58">
        <f t="shared" si="3"/>
        <v>13</v>
      </c>
      <c r="X4" s="28" t="s">
        <v>10</v>
      </c>
      <c r="Y4" s="32">
        <f t="shared" si="0"/>
        <v>0</v>
      </c>
      <c r="Z4" s="33">
        <f t="shared" si="1"/>
        <v>1709.6999999999998</v>
      </c>
      <c r="AA4" s="34">
        <f t="shared" si="2"/>
        <v>4399.67</v>
      </c>
      <c r="AB4" s="28" t="s">
        <v>1812</v>
      </c>
      <c r="AC4" s="28" t="s">
        <v>1820</v>
      </c>
      <c r="AD4" s="29" t="str" cm="1">
        <f t="array" ref="AD4">_xlfn.IFS(L4&lt;=Constantes!$G$2,"Muito Curta (evitável)",L4&lt;=Constantes!$H$2,"Curta Distância",L4&gt;Constantes!$H$2,"Longa Distância")</f>
        <v>Curta Distância</v>
      </c>
      <c r="AE4" s="30" t="str">
        <f t="shared" si="4"/>
        <v>NÃO</v>
      </c>
      <c r="AF4" s="30">
        <f>SUMIF(Entradas!$B:$B,'Entrada Lvl 5-4 qt'!$B4,Entradas!$AG:$AG)</f>
        <v>297.78274013517625</v>
      </c>
      <c r="AG4" s="30"/>
      <c r="AR4" s="54"/>
      <c r="BD4" s="49"/>
      <c r="BE4" s="49"/>
    </row>
    <row r="5" spans="1:57" x14ac:dyDescent="0.3">
      <c r="A5">
        <f>_xlfn.XLOOKUP(B5,Entradas!B:B,Entradas!A:A,,0,-1)</f>
        <v>2</v>
      </c>
      <c r="B5">
        <v>19041737</v>
      </c>
      <c r="C5" t="str">
        <f>_xlfn.XLOOKUP($B5,Entradas!$B:$B,Entradas!C:C,,0,1)</f>
        <v>000481/23-3C</v>
      </c>
      <c r="D5" t="str">
        <f>_xlfn.XLOOKUP($B5,Entradas!$B:$B,Entradas!D:D,,0,1)</f>
        <v>***.567.773-**</v>
      </c>
      <c r="E5" t="str">
        <f>_xlfn.XLOOKUP($B5,Entradas!$B:$B,Entradas!E:E,,0,1)</f>
        <v>BERLA MOREIRA DE MORAES</v>
      </c>
      <c r="F5" t="str">
        <f>_xlfn.XLOOKUP($B5,Entradas!$B:$B,Entradas!F:F,,0,1)</f>
        <v>PROFESSOR DO MAGISTERIO SUPERIOR</v>
      </c>
      <c r="G5" t="str">
        <f>_xlfn.XLOOKUP($B5,Entradas!$B:$B,Entradas!G:G,,0,1)</f>
        <v>CD-0002</v>
      </c>
      <c r="H5" t="str">
        <f>_xlfn.XLOOKUP($B5,Entradas!$B:$B,Entradas!H:H,,0,1)</f>
        <v>Cargo Comissionado de Direção</v>
      </c>
      <c r="I5" s="49">
        <f>_xlfn.XLOOKUP($B5,Entradas!$B:$B,Entradas!I:I,,0,1)</f>
        <v>45110</v>
      </c>
      <c r="J5" s="49">
        <f>_xlfn.XLOOKUP($B5,Entradas!$B:$B,Entradas!J:J,,0,1)</f>
        <v>45113</v>
      </c>
      <c r="K5" t="str">
        <f>_xlfn.XLOOKUP($B5,Entradas!$B:$B,Entradas!K:K,,0,1)</f>
        <v>Participar do I ENCONTRO NACIONAL DE CULTURA &amp; ARTE NAS UNIVERSIDADES FEDERAIS BRASILEIRAS, em Salvador/BA, no período de 03 a 05/07/2023</v>
      </c>
      <c r="L5">
        <f>SUMIF(Entradas!$B:$B,'Entrada Lvl 5-4 qt'!$B5,Entradas!S:S)</f>
        <v>1482.2388261999999</v>
      </c>
      <c r="M5" t="str">
        <f>_xlfn.XLOOKUP($B5,Entradas!$B:$B,Entradas!T:T,,0,1)</f>
        <v>Aéreo</v>
      </c>
      <c r="N5" t="str">
        <f>_xlfn.XLOOKUP($B5,Entradas!$B:$B,Entradas!U:U,,0,1)</f>
        <v>Sim</v>
      </c>
      <c r="O5" t="str">
        <f>_xlfn.XLOOKUP($B5,Entradas!$B:$B,Entradas!V:V,,0,1)</f>
        <v>Realizada</v>
      </c>
      <c r="P5" t="str">
        <f>_xlfn.XLOOKUP($B5,Entradas!$B:$B,Entradas!W:W,,0,1)</f>
        <v>SIM</v>
      </c>
      <c r="Q5" t="str">
        <f>_xlfn.XLOOKUP($B5,Entradas!$B:$B,Entradas!X:X,,0,1)</f>
        <v>0 convite para participar do evento chegou fora do prazo, conforme justificativa no formulário de solicitação</v>
      </c>
      <c r="R5" s="36">
        <f>SUMIF(Entradas!$B:$B,'Entrada Lvl 5-4 qt'!$B5,Entradas!Y:Y)</f>
        <v>1720.73</v>
      </c>
      <c r="S5" s="36">
        <f>SUMIF(Entradas!$B:$B,'Entrada Lvl 5-4 qt'!$B5,Entradas!Z:Z)</f>
        <v>0</v>
      </c>
      <c r="T5" s="36">
        <f>SUMIF(Entradas!$B:$B,'Entrada Lvl 5-4 qt'!$B5,Entradas!AA:AA)</f>
        <v>3694.45</v>
      </c>
      <c r="U5" s="36">
        <f>SUMIF(Entradas!$B:$B,'Entrada Lvl 5-4 qt'!$B5,Entradas!AB:AB)</f>
        <v>0</v>
      </c>
      <c r="V5" s="49">
        <f>_xlfn.XLOOKUP($B5,Entradas!$B:$B,Entradas!AC:AC,,0,1)</f>
        <v>45104</v>
      </c>
      <c r="W5" s="58">
        <f t="shared" si="3"/>
        <v>3</v>
      </c>
      <c r="X5" s="28" t="s">
        <v>10</v>
      </c>
      <c r="Y5" s="32">
        <f t="shared" si="0"/>
        <v>0</v>
      </c>
      <c r="Z5" s="33">
        <f t="shared" si="1"/>
        <v>3694.45</v>
      </c>
      <c r="AA5" s="34">
        <f t="shared" si="2"/>
        <v>1720.73</v>
      </c>
      <c r="AB5" s="28" t="s">
        <v>1813</v>
      </c>
      <c r="AC5" s="28" t="s">
        <v>1784</v>
      </c>
      <c r="AD5" s="29" t="str" cm="1">
        <f t="array" ref="AD5">_xlfn.IFS(L5&lt;=Constantes!$G$2,"Muito Curta (evitável)",L5&lt;=Constantes!$H$2,"Curta Distância",L5&gt;Constantes!$H$2,"Longa Distância")</f>
        <v>Curta Distância</v>
      </c>
      <c r="AE5" s="30" t="str">
        <f t="shared" si="4"/>
        <v>NÃO</v>
      </c>
      <c r="AF5" s="30">
        <f>SUMIF(Entradas!$B:$B,'Entrada Lvl 5-4 qt'!$B5,Entradas!$AG:$AG)</f>
        <v>271.05605715809952</v>
      </c>
      <c r="AG5" s="30"/>
      <c r="BD5" s="49"/>
      <c r="BE5" s="49"/>
    </row>
    <row r="6" spans="1:57" x14ac:dyDescent="0.3">
      <c r="A6">
        <f>_xlfn.XLOOKUP(B6,Entradas!B:B,Entradas!A:A,,0,-1)</f>
        <v>2</v>
      </c>
      <c r="B6">
        <v>19041166</v>
      </c>
      <c r="C6" t="str">
        <f>_xlfn.XLOOKUP($B6,Entradas!$B:$B,Entradas!C:C,,0,1)</f>
        <v>000484/23</v>
      </c>
      <c r="D6" t="str">
        <f>_xlfn.XLOOKUP($B6,Entradas!$B:$B,Entradas!D:D,,0,1)</f>
        <v>***.028.207-**</v>
      </c>
      <c r="E6" t="str">
        <f>_xlfn.XLOOKUP($B6,Entradas!$B:$B,Entradas!E:E,,0,1)</f>
        <v>MARCELO FERNANDES</v>
      </c>
      <c r="F6" t="str">
        <f>_xlfn.XLOOKUP($B6,Entradas!$B:$B,Entradas!F:F,,0,1)</f>
        <v/>
      </c>
      <c r="G6" t="str">
        <f>_xlfn.XLOOKUP($B6,Entradas!$B:$B,Entradas!G:G,,0,1)</f>
        <v>-1</v>
      </c>
      <c r="H6" t="str">
        <f>_xlfn.XLOOKUP($B6,Entradas!$B:$B,Entradas!H:H,,0,1)</f>
        <v>Sem informação</v>
      </c>
      <c r="I6" s="49">
        <f>_xlfn.XLOOKUP($B6,Entradas!$B:$B,Entradas!I:I,,0,1)</f>
        <v>45112</v>
      </c>
      <c r="J6" s="49">
        <f>_xlfn.XLOOKUP($B6,Entradas!$B:$B,Entradas!J:J,,0,1)</f>
        <v>45114</v>
      </c>
      <c r="K6" t="str">
        <f>_xlfn.XLOOKUP($B6,Entradas!$B:$B,Entradas!K:K,,0,1)</f>
        <v>Ministrar um mini-curso e seminário acadêmico no PPGE/CCSA, nos dias 06 e 07 de julho de 2023.</v>
      </c>
      <c r="L6">
        <f>SUMIF(Entradas!$B:$B,'Entrada Lvl 5-4 qt'!$B6,Entradas!S:S)</f>
        <v>4379.9484839999996</v>
      </c>
      <c r="M6" t="str">
        <f>_xlfn.XLOOKUP($B6,Entradas!$B:$B,Entradas!T:T,,0,1)</f>
        <v>Aéreo</v>
      </c>
      <c r="N6" t="str">
        <f>_xlfn.XLOOKUP($B6,Entradas!$B:$B,Entradas!U:U,,0,1)</f>
        <v>Não</v>
      </c>
      <c r="O6" t="str">
        <f>_xlfn.XLOOKUP($B6,Entradas!$B:$B,Entradas!V:V,,0,1)</f>
        <v>Realizada</v>
      </c>
      <c r="P6" t="str">
        <f>_xlfn.XLOOKUP($B6,Entradas!$B:$B,Entradas!W:W,,0,1)</f>
        <v>SIM</v>
      </c>
      <c r="Q6" t="str">
        <f>_xlfn.XLOOKUP($B6,Entradas!$B:$B,Entradas!X:X,,0,1)</f>
        <v>Aguardava-se a liberação dos recurso do PROAP, por essa razão, não foi solicitado antes.</v>
      </c>
      <c r="R6" s="36">
        <f>SUMIF(Entradas!$B:$B,'Entrada Lvl 5-4 qt'!$B6,Entradas!Y:Y)</f>
        <v>947.55</v>
      </c>
      <c r="S6" s="36">
        <f>SUMIF(Entradas!$B:$B,'Entrada Lvl 5-4 qt'!$B6,Entradas!Z:Z)</f>
        <v>0</v>
      </c>
      <c r="T6" s="36">
        <f>SUMIF(Entradas!$B:$B,'Entrada Lvl 5-4 qt'!$B6,Entradas!AA:AA)</f>
        <v>3147.8199999999997</v>
      </c>
      <c r="U6" s="36">
        <f>SUMIF(Entradas!$B:$B,'Entrada Lvl 5-4 qt'!$B6,Entradas!AB:AB)</f>
        <v>0</v>
      </c>
      <c r="V6" s="49">
        <f>_xlfn.XLOOKUP($B6,Entradas!$B:$B,Entradas!AC:AC,,0,1)</f>
        <v>45105</v>
      </c>
      <c r="W6" s="58">
        <f t="shared" si="3"/>
        <v>2</v>
      </c>
      <c r="X6" s="28" t="s">
        <v>10</v>
      </c>
      <c r="Y6" s="32">
        <f t="shared" si="0"/>
        <v>0</v>
      </c>
      <c r="Z6" s="33">
        <f t="shared" si="1"/>
        <v>3147.8199999999997</v>
      </c>
      <c r="AA6" s="34">
        <f t="shared" si="2"/>
        <v>947.55</v>
      </c>
      <c r="AB6" s="28" t="s">
        <v>1814</v>
      </c>
      <c r="AC6" s="28" t="s">
        <v>1821</v>
      </c>
      <c r="AD6" s="29" t="str" cm="1">
        <f t="array" ref="AD6">_xlfn.IFS(L6&lt;=Constantes!$G$2,"Muito Curta (evitável)",L6&lt;=Constantes!$H$2,"Curta Distância",L6&gt;Constantes!$H$2,"Longa Distância")</f>
        <v>Longa Distância</v>
      </c>
      <c r="AE6" s="30" t="str">
        <f t="shared" si="4"/>
        <v>NÃO</v>
      </c>
      <c r="AF6" s="30">
        <f>SUMIF(Entradas!$B:$B,'Entrada Lvl 5-4 qt'!$B6,Entradas!$AG:$AG)</f>
        <v>800.95835140972315</v>
      </c>
      <c r="AG6" s="30"/>
      <c r="AK6" s="38"/>
      <c r="BD6" s="49"/>
      <c r="BE6" s="49"/>
    </row>
    <row r="7" spans="1:57" x14ac:dyDescent="0.3">
      <c r="A7">
        <f>_xlfn.XLOOKUP(B7,Entradas!B:B,Entradas!A:A,,0,-1)</f>
        <v>2</v>
      </c>
      <c r="B7">
        <v>19062585</v>
      </c>
      <c r="C7" t="str">
        <f>_xlfn.XLOOKUP($B7,Entradas!$B:$B,Entradas!C:C,,0,1)</f>
        <v>000508/23</v>
      </c>
      <c r="D7" t="str">
        <f>_xlfn.XLOOKUP($B7,Entradas!$B:$B,Entradas!D:D,,0,1)</f>
        <v>***.731.370-**</v>
      </c>
      <c r="E7" t="str">
        <f>_xlfn.XLOOKUP($B7,Entradas!$B:$B,Entradas!E:E,,0,1)</f>
        <v>SERGIO BOTTON BARCELLOS</v>
      </c>
      <c r="F7" t="str">
        <f>_xlfn.XLOOKUP($B7,Entradas!$B:$B,Entradas!F:F,,0,1)</f>
        <v>PROFESSOR DO MAGISTERIO SUPERIOR</v>
      </c>
      <c r="G7" t="str">
        <f>_xlfn.XLOOKUP($B7,Entradas!$B:$B,Entradas!G:G,,0,1)</f>
        <v>FUC-0001</v>
      </c>
      <c r="H7" t="str">
        <f>_xlfn.XLOOKUP($B7,Entradas!$B:$B,Entradas!H:H,,0,1)</f>
        <v>FUC-0001</v>
      </c>
      <c r="I7" s="49">
        <f>_xlfn.XLOOKUP($B7,Entradas!$B:$B,Entradas!I:I,,0,1)</f>
        <v>45117</v>
      </c>
      <c r="J7" s="49">
        <f>_xlfn.XLOOKUP($B7,Entradas!$B:$B,Entradas!J:J,,0,1)</f>
        <v>45122</v>
      </c>
      <c r="K7" t="str">
        <f>_xlfn.XLOOKUP($B7,Entradas!$B:$B,Entradas!K:K,,0,1)</f>
        <v>Participação no 21º Congresso Brasileiro de Sociologia para mediação de um Comitê de Pesquisa e apresentação de um trabalho em GT. Ao mesmo tempo irei representando o PPGS-UFOB como coordenador na Plenária de Programas da área de Sociologia.</v>
      </c>
      <c r="L7">
        <f>SUMIF(Entradas!$B:$B,'Entrada Lvl 5-4 qt'!$B7,Entradas!S:S)</f>
        <v>3262.9122579999998</v>
      </c>
      <c r="M7" t="str">
        <f>_xlfn.XLOOKUP($B7,Entradas!$B:$B,Entradas!T:T,,0,1)</f>
        <v>Aéreo</v>
      </c>
      <c r="N7" t="str">
        <f>_xlfn.XLOOKUP($B7,Entradas!$B:$B,Entradas!U:U,,0,1)</f>
        <v>Sim</v>
      </c>
      <c r="O7" t="str">
        <f>_xlfn.XLOOKUP($B7,Entradas!$B:$B,Entradas!V:V,,0,1)</f>
        <v>Realizada</v>
      </c>
      <c r="P7" t="str">
        <f>_xlfn.XLOOKUP($B7,Entradas!$B:$B,Entradas!W:W,,0,1)</f>
        <v>SIM</v>
      </c>
      <c r="Q7" t="str">
        <f>_xlfn.XLOOKUP($B7,Entradas!$B:$B,Entradas!X:X,,0,1)</f>
        <v>Recurso PROAP não foi disponibilizado com antecedência.</v>
      </c>
      <c r="R7" s="36">
        <f>SUMIF(Entradas!$B:$B,'Entrada Lvl 5-4 qt'!$B7,Entradas!Y:Y)</f>
        <v>1821.06</v>
      </c>
      <c r="S7" s="36">
        <f>SUMIF(Entradas!$B:$B,'Entrada Lvl 5-4 qt'!$B7,Entradas!Z:Z)</f>
        <v>0</v>
      </c>
      <c r="T7" s="36">
        <f>SUMIF(Entradas!$B:$B,'Entrada Lvl 5-4 qt'!$B7,Entradas!AA:AA)</f>
        <v>5292.78</v>
      </c>
      <c r="U7" s="36">
        <f>SUMIF(Entradas!$B:$B,'Entrada Lvl 5-4 qt'!$B7,Entradas!AB:AB)</f>
        <v>0</v>
      </c>
      <c r="V7" s="49">
        <f>_xlfn.XLOOKUP($B7,Entradas!$B:$B,Entradas!AC:AC,,0,1)</f>
        <v>45113</v>
      </c>
      <c r="W7" s="58">
        <f t="shared" si="3"/>
        <v>5</v>
      </c>
      <c r="X7" s="28" t="s">
        <v>10</v>
      </c>
      <c r="Y7" s="32">
        <f t="shared" si="0"/>
        <v>0</v>
      </c>
      <c r="Z7" s="33">
        <f t="shared" si="1"/>
        <v>5292.78</v>
      </c>
      <c r="AA7" s="34">
        <f t="shared" si="2"/>
        <v>1821.06</v>
      </c>
      <c r="AB7" s="28" t="s">
        <v>1814</v>
      </c>
      <c r="AC7" s="28" t="s">
        <v>1820</v>
      </c>
      <c r="AD7" s="29" t="str" cm="1">
        <f t="array" ref="AD7">_xlfn.IFS(L7&lt;=Constantes!$G$2,"Muito Curta (evitável)",L7&lt;=Constantes!$H$2,"Curta Distância",L7&gt;Constantes!$H$2,"Longa Distância")</f>
        <v>Curta Distância</v>
      </c>
      <c r="AE7" s="30" t="str">
        <f t="shared" si="4"/>
        <v>NÃO</v>
      </c>
      <c r="AF7" s="30">
        <f>SUMIF(Entradas!$B:$B,'Entrada Lvl 5-4 qt'!$B7,Entradas!$AG:$AG)</f>
        <v>596.68665796167329</v>
      </c>
      <c r="AG7" s="30"/>
      <c r="BD7" s="49"/>
      <c r="BE7" s="49"/>
    </row>
    <row r="8" spans="1:57" x14ac:dyDescent="0.3">
      <c r="A8">
        <f>_xlfn.XLOOKUP(B8,Entradas!B:B,Entradas!A:A,,0,-1)</f>
        <v>2</v>
      </c>
      <c r="B8">
        <v>19065213</v>
      </c>
      <c r="C8" t="str">
        <f>_xlfn.XLOOKUP($B8,Entradas!$B:$B,Entradas!C:C,,0,1)</f>
        <v>000509/23</v>
      </c>
      <c r="D8" t="str">
        <f>_xlfn.XLOOKUP($B8,Entradas!$B:$B,Entradas!D:D,,0,1)</f>
        <v>***.585.343-**</v>
      </c>
      <c r="E8" t="str">
        <f>_xlfn.XLOOKUP($B8,Entradas!$B:$B,Entradas!E:E,,0,1)</f>
        <v>TERESA CRISTINA FURTADO MATOS</v>
      </c>
      <c r="F8" t="str">
        <f>_xlfn.XLOOKUP($B8,Entradas!$B:$B,Entradas!F:F,,0,1)</f>
        <v>PROFESSOR DO MAGISTERIO SUPERIOR</v>
      </c>
      <c r="G8" t="str">
        <f>_xlfn.XLOOKUP($B8,Entradas!$B:$B,Entradas!G:G,,0,1)</f>
        <v>-1</v>
      </c>
      <c r="H8" t="str">
        <f>_xlfn.XLOOKUP($B8,Entradas!$B:$B,Entradas!H:H,,0,1)</f>
        <v>Sem informação</v>
      </c>
      <c r="I8" s="49">
        <f>_xlfn.XLOOKUP($B8,Entradas!$B:$B,Entradas!I:I,,0,1)</f>
        <v>45117</v>
      </c>
      <c r="J8" s="49">
        <f>_xlfn.XLOOKUP($B8,Entradas!$B:$B,Entradas!J:J,,0,1)</f>
        <v>45122</v>
      </c>
      <c r="K8" t="str">
        <f>_xlfn.XLOOKUP($B8,Entradas!$B:$B,Entradas!K:K,,0,1)</f>
        <v>Participação no 21º Congresso Brasileiro de Sociologia, com apresentação de trabalho no GT 10 do evento.</v>
      </c>
      <c r="L8">
        <f>SUMIF(Entradas!$B:$B,'Entrada Lvl 5-4 qt'!$B8,Entradas!S:S)</f>
        <v>3262.9122579999998</v>
      </c>
      <c r="M8" t="str">
        <f>_xlfn.XLOOKUP($B8,Entradas!$B:$B,Entradas!T:T,,0,1)</f>
        <v>Aéreo</v>
      </c>
      <c r="N8" t="str">
        <f>_xlfn.XLOOKUP($B8,Entradas!$B:$B,Entradas!U:U,,0,1)</f>
        <v>Sim</v>
      </c>
      <c r="O8" t="str">
        <f>_xlfn.XLOOKUP($B8,Entradas!$B:$B,Entradas!V:V,,0,1)</f>
        <v>Realizada</v>
      </c>
      <c r="P8" t="str">
        <f>_xlfn.XLOOKUP($B8,Entradas!$B:$B,Entradas!W:W,,0,1)</f>
        <v>SIM</v>
      </c>
      <c r="Q8" t="str">
        <f>_xlfn.XLOOKUP($B8,Entradas!$B:$B,Entradas!X:X,,0,1)</f>
        <v>PROAP não foi liberado anteriormente.</v>
      </c>
      <c r="R8" s="36">
        <f>SUMIF(Entradas!$B:$B,'Entrada Lvl 5-4 qt'!$B8,Entradas!Y:Y)</f>
        <v>1821.06</v>
      </c>
      <c r="S8" s="36">
        <f>SUMIF(Entradas!$B:$B,'Entrada Lvl 5-4 qt'!$B8,Entradas!Z:Z)</f>
        <v>0</v>
      </c>
      <c r="T8" s="36">
        <f>SUMIF(Entradas!$B:$B,'Entrada Lvl 5-4 qt'!$B8,Entradas!AA:AA)</f>
        <v>5292.78</v>
      </c>
      <c r="U8" s="36">
        <f>SUMIF(Entradas!$B:$B,'Entrada Lvl 5-4 qt'!$B8,Entradas!AB:AB)</f>
        <v>0</v>
      </c>
      <c r="V8" s="49">
        <f>_xlfn.XLOOKUP($B8,Entradas!$B:$B,Entradas!AC:AC,,0,1)</f>
        <v>45114</v>
      </c>
      <c r="W8" s="58">
        <f t="shared" si="3"/>
        <v>5</v>
      </c>
      <c r="X8" s="28" t="s">
        <v>10</v>
      </c>
      <c r="Y8" s="32">
        <f t="shared" si="0"/>
        <v>0</v>
      </c>
      <c r="Z8" s="33">
        <f t="shared" si="1"/>
        <v>5292.78</v>
      </c>
      <c r="AA8" s="34">
        <f t="shared" si="2"/>
        <v>1821.06</v>
      </c>
      <c r="AB8" s="28" t="s">
        <v>1814</v>
      </c>
      <c r="AC8" s="28" t="s">
        <v>1820</v>
      </c>
      <c r="AD8" s="29" t="str" cm="1">
        <f t="array" ref="AD8">_xlfn.IFS(L8&lt;=Constantes!$G$2,"Muito Curta (evitável)",L8&lt;=Constantes!$H$2,"Curta Distância",L8&gt;Constantes!$H$2,"Longa Distância")</f>
        <v>Curta Distância</v>
      </c>
      <c r="AE8" s="30" t="str">
        <f t="shared" si="4"/>
        <v>NÃO</v>
      </c>
      <c r="AF8" s="30">
        <f>SUMIF(Entradas!$B:$B,'Entrada Lvl 5-4 qt'!$B8,Entradas!$AG:$AG)</f>
        <v>596.68665796167329</v>
      </c>
      <c r="AG8" s="30"/>
      <c r="BD8" s="49"/>
      <c r="BE8" s="49"/>
    </row>
    <row r="9" spans="1:57" x14ac:dyDescent="0.3">
      <c r="A9">
        <f>_xlfn.XLOOKUP(B9,Entradas!B:B,Entradas!A:A,,0,-1)</f>
        <v>2</v>
      </c>
      <c r="B9">
        <v>19012122</v>
      </c>
      <c r="C9" t="str">
        <f>_xlfn.XLOOKUP($B9,Entradas!$B:$B,Entradas!C:C,,0,1)</f>
        <v>000532/23</v>
      </c>
      <c r="D9" t="str">
        <f>_xlfn.XLOOKUP($B9,Entradas!$B:$B,Entradas!D:D,,0,1)</f>
        <v>***.103.474-**</v>
      </c>
      <c r="E9" t="str">
        <f>_xlfn.XLOOKUP($B9,Entradas!$B:$B,Entradas!E:E,,0,1)</f>
        <v>HIDELBRANDO JOSE FARKAT DIOGENES</v>
      </c>
      <c r="F9" t="str">
        <f>_xlfn.XLOOKUP($B9,Entradas!$B:$B,Entradas!F:F,,0,1)</f>
        <v>PROFESSOR DO MAGISTERIO SUPERIOR</v>
      </c>
      <c r="G9" t="str">
        <f>_xlfn.XLOOKUP($B9,Entradas!$B:$B,Entradas!G:G,,0,1)</f>
        <v>FUC-0001</v>
      </c>
      <c r="H9" t="str">
        <f>_xlfn.XLOOKUP($B9,Entradas!$B:$B,Entradas!H:H,,0,1)</f>
        <v>FUC-0001</v>
      </c>
      <c r="I9" s="49">
        <f>_xlfn.XLOOKUP($B9,Entradas!$B:$B,Entradas!I:I,,0,1)</f>
        <v>45118</v>
      </c>
      <c r="J9" s="49">
        <f>_xlfn.XLOOKUP($B9,Entradas!$B:$B,Entradas!J:J,,0,1)</f>
        <v>45123</v>
      </c>
      <c r="K9" t="str">
        <f>_xlfn.XLOOKUP($B9,Entradas!$B:$B,Entradas!K:K,,0,1)</f>
        <v>Trata-se da participação em evento científico internacional, a fim de divulgar resultados parciais do doutoramento de Lays Costa, aluna do PPGECAM sob orientação do Prof. Hidelbrando José Farkat Diógenes.</v>
      </c>
      <c r="L9">
        <f>SUMIF(Entradas!$B:$B,'Entrada Lvl 5-4 qt'!$B9,Entradas!S:S)</f>
        <v>9403.3228820000004</v>
      </c>
      <c r="M9" t="str">
        <f>_xlfn.XLOOKUP($B9,Entradas!$B:$B,Entradas!T:T,,0,1)</f>
        <v>Aéreo</v>
      </c>
      <c r="N9" t="str">
        <f>_xlfn.XLOOKUP($B9,Entradas!$B:$B,Entradas!U:U,,0,1)</f>
        <v>Não</v>
      </c>
      <c r="O9" t="str">
        <f>_xlfn.XLOOKUP($B9,Entradas!$B:$B,Entradas!V:V,,0,1)</f>
        <v>Realizada</v>
      </c>
      <c r="P9" t="str">
        <f>_xlfn.XLOOKUP($B9,Entradas!$B:$B,Entradas!W:W,,0,1)</f>
        <v>SIM</v>
      </c>
      <c r="Q9" t="str">
        <f>_xlfn.XLOOKUP($B9,Entradas!$B:$B,Entradas!X:X,,0,1)</f>
        <v>A viagem só pode ser cadastrada nesta data devido ao recurso do PROAP destinado ao pagamento da despesa só foi liberado dia 05/07 e estávamos aguardando, também, a realização do empenho específico.</v>
      </c>
      <c r="R9" s="36">
        <f>SUMIF(Entradas!$B:$B,'Entrada Lvl 5-4 qt'!$B9,Entradas!Y:Y)</f>
        <v>4252.24</v>
      </c>
      <c r="S9" s="36">
        <f>SUMIF(Entradas!$B:$B,'Entrada Lvl 5-4 qt'!$B9,Entradas!Z:Z)</f>
        <v>0</v>
      </c>
      <c r="T9" s="36">
        <f>SUMIF(Entradas!$B:$B,'Entrada Lvl 5-4 qt'!$B9,Entradas!AA:AA)</f>
        <v>6690.84</v>
      </c>
      <c r="U9" s="36">
        <f>SUMIF(Entradas!$B:$B,'Entrada Lvl 5-4 qt'!$B9,Entradas!AB:AB)</f>
        <v>0</v>
      </c>
      <c r="V9" s="49">
        <f>_xlfn.XLOOKUP($B9,Entradas!$B:$B,Entradas!AC:AC,,0,1)</f>
        <v>45113</v>
      </c>
      <c r="W9" s="58">
        <f t="shared" si="3"/>
        <v>5</v>
      </c>
      <c r="X9" s="28" t="s">
        <v>10</v>
      </c>
      <c r="Y9" s="32">
        <f t="shared" si="0"/>
        <v>0</v>
      </c>
      <c r="Z9" s="33">
        <f t="shared" si="1"/>
        <v>6690.84</v>
      </c>
      <c r="AA9" s="34">
        <f t="shared" si="2"/>
        <v>4252.24</v>
      </c>
      <c r="AB9" s="28" t="s">
        <v>1814</v>
      </c>
      <c r="AC9" s="28" t="s">
        <v>1820</v>
      </c>
      <c r="AD9" s="29" t="str" cm="1">
        <f t="array" ref="AD9">_xlfn.IFS(L9&lt;=Constantes!$G$2,"Muito Curta (evitável)",L9&lt;=Constantes!$H$2,"Curta Distância",L9&gt;Constantes!$H$2,"Longa Distância")</f>
        <v>Longa Distância</v>
      </c>
      <c r="AE9" s="30" t="str">
        <f t="shared" si="4"/>
        <v>NÃO</v>
      </c>
      <c r="AF9" s="30">
        <f>SUMIF(Entradas!$B:$B,'Entrada Lvl 5-4 qt'!$B9,Entradas!$AG:$AG)</f>
        <v>1881.6827732504271</v>
      </c>
      <c r="AG9" s="30"/>
      <c r="BD9" s="49"/>
      <c r="BE9" s="49"/>
    </row>
    <row r="10" spans="1:57" x14ac:dyDescent="0.3">
      <c r="A10">
        <f>_xlfn.XLOOKUP(B10,Entradas!B:B,Entradas!A:A,,0,-1)</f>
        <v>2</v>
      </c>
      <c r="B10">
        <v>18932951</v>
      </c>
      <c r="C10" t="str">
        <f>_xlfn.XLOOKUP($B10,Entradas!$B:$B,Entradas!C:C,,0,1)</f>
        <v>000393/23</v>
      </c>
      <c r="D10" t="str">
        <f>_xlfn.XLOOKUP($B10,Entradas!$B:$B,Entradas!D:D,,0,1)</f>
        <v>***.778.616-**</v>
      </c>
      <c r="E10" t="str">
        <f>_xlfn.XLOOKUP($B10,Entradas!$B:$B,Entradas!E:E,,0,1)</f>
        <v>PRISCILLA GONTIJO LEITE</v>
      </c>
      <c r="F10" t="str">
        <f>_xlfn.XLOOKUP($B10,Entradas!$B:$B,Entradas!F:F,,0,1)</f>
        <v>PROFESSOR DO MAGISTERIO SUPERIOR</v>
      </c>
      <c r="G10" t="str">
        <f>_xlfn.XLOOKUP($B10,Entradas!$B:$B,Entradas!G:G,,0,1)</f>
        <v>-1</v>
      </c>
      <c r="H10" t="str">
        <f>_xlfn.XLOOKUP($B10,Entradas!$B:$B,Entradas!H:H,,0,1)</f>
        <v>Sem informação</v>
      </c>
      <c r="I10" s="49">
        <f>_xlfn.XLOOKUP($B10,Entradas!$B:$B,Entradas!I:I,,0,1)</f>
        <v>45120</v>
      </c>
      <c r="J10" s="49">
        <f>_xlfn.XLOOKUP($B10,Entradas!$B:$B,Entradas!J:J,,0,1)</f>
        <v>45128</v>
      </c>
      <c r="K10" t="str">
        <f>_xlfn.XLOOKUP($B10,Entradas!$B:$B,Entradas!K:K,,0,1)</f>
        <v>Participação da Plenária de Coordenadores do ProfHistória que reúne duas vezes por ano. Esta será a primeira plenária que tem como finalidade de debater e deliberar sobre temas e questões pertinentes ao ProfHistória, propostos pela Comissão Acadêmica Nacional e ou pelas Comissões Acadêmicas Locais. Participação do 32º Simpósio Nacional de História da ANPUH com a comunicação 'Ensino de História Antiga e gamificação para a aprendizagem das formas de governo'.</v>
      </c>
      <c r="L10">
        <f>SUMIF(Entradas!$B:$B,'Entrada Lvl 5-4 qt'!$B10,Entradas!S:S)</f>
        <v>2294.693906</v>
      </c>
      <c r="M10" t="str">
        <f>_xlfn.XLOOKUP($B10,Entradas!$B:$B,Entradas!T:T,,0,1)</f>
        <v>Aéreo</v>
      </c>
      <c r="N10" t="str">
        <f>_xlfn.XLOOKUP($B10,Entradas!$B:$B,Entradas!U:U,,0,1)</f>
        <v>Não</v>
      </c>
      <c r="O10" t="str">
        <f>_xlfn.XLOOKUP($B10,Entradas!$B:$B,Entradas!V:V,,0,1)</f>
        <v>Realizada</v>
      </c>
      <c r="P10" t="str">
        <f>_xlfn.XLOOKUP($B10,Entradas!$B:$B,Entradas!W:W,,0,1)</f>
        <v>NÃO</v>
      </c>
      <c r="Q10" t="str">
        <f>_xlfn.XLOOKUP($B10,Entradas!$B:$B,Entradas!X:X,,0,1)</f>
        <v>Sem informação</v>
      </c>
      <c r="R10" s="36">
        <f>SUMIF(Entradas!$B:$B,'Entrada Lvl 5-4 qt'!$B10,Entradas!Y:Y)</f>
        <v>2784.3</v>
      </c>
      <c r="S10" s="36">
        <f>SUMIF(Entradas!$B:$B,'Entrada Lvl 5-4 qt'!$B10,Entradas!Z:Z)</f>
        <v>0</v>
      </c>
      <c r="T10" s="36">
        <f>SUMIF(Entradas!$B:$B,'Entrada Lvl 5-4 qt'!$B10,Entradas!AA:AA)</f>
        <v>3284.38</v>
      </c>
      <c r="U10" s="36">
        <f>SUMIF(Entradas!$B:$B,'Entrada Lvl 5-4 qt'!$B10,Entradas!AB:AB)</f>
        <v>0</v>
      </c>
      <c r="V10" s="49">
        <f>_xlfn.XLOOKUP($B10,Entradas!$B:$B,Entradas!AC:AC,,0,1)</f>
        <v>45083</v>
      </c>
      <c r="W10" s="58">
        <f t="shared" si="3"/>
        <v>8</v>
      </c>
      <c r="X10" s="28" t="s">
        <v>10</v>
      </c>
      <c r="Y10" s="32">
        <f t="shared" si="0"/>
        <v>0</v>
      </c>
      <c r="Z10" s="33">
        <f t="shared" si="1"/>
        <v>3284.38</v>
      </c>
      <c r="AA10" s="34">
        <f t="shared" si="2"/>
        <v>2784.3</v>
      </c>
      <c r="AB10" s="28" t="s">
        <v>1815</v>
      </c>
      <c r="AC10" s="28" t="s">
        <v>1820</v>
      </c>
      <c r="AD10" s="29" t="str" cm="1">
        <f t="array" ref="AD10">_xlfn.IFS(L10&lt;=Constantes!$G$2,"Muito Curta (evitável)",L10&lt;=Constantes!$H$2,"Curta Distância",L10&gt;Constantes!$H$2,"Longa Distância")</f>
        <v>Curta Distância</v>
      </c>
      <c r="AE10" s="30" t="str">
        <f t="shared" si="4"/>
        <v>NÃO</v>
      </c>
      <c r="AF10" s="30">
        <f>SUMIF(Entradas!$B:$B,'Entrada Lvl 5-4 qt'!$B10,Entradas!$AG:$AG)</f>
        <v>419.62919304959075</v>
      </c>
      <c r="AG10" s="30"/>
      <c r="BD10" s="49"/>
      <c r="BE10" s="49"/>
    </row>
    <row r="11" spans="1:57" x14ac:dyDescent="0.3">
      <c r="A11">
        <f>_xlfn.XLOOKUP(B11,Entradas!B:B,Entradas!A:A,,0,-1)</f>
        <v>2</v>
      </c>
      <c r="B11">
        <v>19032444</v>
      </c>
      <c r="C11" t="str">
        <f>_xlfn.XLOOKUP($B11,Entradas!$B:$B,Entradas!C:C,,0,1)</f>
        <v>000472/23</v>
      </c>
      <c r="D11" t="str">
        <f>_xlfn.XLOOKUP($B11,Entradas!$B:$B,Entradas!D:D,,0,1)</f>
        <v>***.888.244-**</v>
      </c>
      <c r="E11" t="str">
        <f>_xlfn.XLOOKUP($B11,Entradas!$B:$B,Entradas!E:E,,0,1)</f>
        <v>CARLOS ALBERTO OLIVEIRA BONIFACIO JUNIOR</v>
      </c>
      <c r="F11" t="str">
        <f>_xlfn.XLOOKUP($B11,Entradas!$B:$B,Entradas!F:F,,0,1)</f>
        <v/>
      </c>
      <c r="G11" t="str">
        <f>_xlfn.XLOOKUP($B11,Entradas!$B:$B,Entradas!G:G,,0,1)</f>
        <v>-1</v>
      </c>
      <c r="H11" t="str">
        <f>_xlfn.XLOOKUP($B11,Entradas!$B:$B,Entradas!H:H,,0,1)</f>
        <v>Sem informação</v>
      </c>
      <c r="I11" s="49">
        <f>_xlfn.XLOOKUP($B11,Entradas!$B:$B,Entradas!I:I,,0,1)</f>
        <v>45120</v>
      </c>
      <c r="J11" s="49">
        <f>_xlfn.XLOOKUP($B11,Entradas!$B:$B,Entradas!J:J,,0,1)</f>
        <v>45125</v>
      </c>
      <c r="K11" t="str">
        <f>_xlfn.XLOOKUP($B11,Entradas!$B:$B,Entradas!K:K,,0,1)</f>
        <v>PROPOSTO APRESENTARÁ TRABALHO NO 25º FONEPE, QUE OCORRERÁ EM DOURADOS (MS), ENTRE OS DIAS 14,15 E 16 DE JULHO.</v>
      </c>
      <c r="L11">
        <f>SUMIF(Entradas!$B:$B,'Entrada Lvl 5-4 qt'!$B11,Entradas!S:S)</f>
        <v>5177.7978640000001</v>
      </c>
      <c r="M11" t="str">
        <f>_xlfn.XLOOKUP($B11,Entradas!$B:$B,Entradas!T:T,,0,1)</f>
        <v>Aéreo</v>
      </c>
      <c r="N11" t="str">
        <f>_xlfn.XLOOKUP($B11,Entradas!$B:$B,Entradas!U:U,,0,1)</f>
        <v>Não</v>
      </c>
      <c r="O11" t="str">
        <f>_xlfn.XLOOKUP($B11,Entradas!$B:$B,Entradas!V:V,,0,1)</f>
        <v>Realizada</v>
      </c>
      <c r="P11" t="str">
        <f>_xlfn.XLOOKUP($B11,Entradas!$B:$B,Entradas!W:W,,0,1)</f>
        <v>SIM</v>
      </c>
      <c r="Q11" t="str">
        <f>_xlfn.XLOOKUP($B11,Entradas!$B:$B,Entradas!X:X,,0,1)</f>
        <v>Tendo em vista problemas na emissão da passagem terrestre, a viagem entrou em período de urgência.</v>
      </c>
      <c r="R11" s="36">
        <f>SUMIF(Entradas!$B:$B,'Entrada Lvl 5-4 qt'!$B11,Entradas!Y:Y)</f>
        <v>0</v>
      </c>
      <c r="S11" s="36">
        <f>SUMIF(Entradas!$B:$B,'Entrada Lvl 5-4 qt'!$B11,Entradas!Z:Z)</f>
        <v>0</v>
      </c>
      <c r="T11" s="36">
        <f>SUMIF(Entradas!$B:$B,'Entrada Lvl 5-4 qt'!$B11,Entradas!AA:AA)</f>
        <v>2012.46</v>
      </c>
      <c r="U11" s="36">
        <f>SUMIF(Entradas!$B:$B,'Entrada Lvl 5-4 qt'!$B11,Entradas!AB:AB)</f>
        <v>0</v>
      </c>
      <c r="V11" s="49">
        <f>_xlfn.XLOOKUP($B11,Entradas!$B:$B,Entradas!AC:AC,,0,1)</f>
        <v>45103</v>
      </c>
      <c r="W11" s="58">
        <f t="shared" si="3"/>
        <v>5</v>
      </c>
      <c r="X11" s="28" t="s">
        <v>10</v>
      </c>
      <c r="Y11" s="32">
        <f t="shared" si="0"/>
        <v>0</v>
      </c>
      <c r="Z11" s="33">
        <f t="shared" si="1"/>
        <v>2012.46</v>
      </c>
      <c r="AA11" s="34">
        <f t="shared" si="2"/>
        <v>0</v>
      </c>
      <c r="AB11" s="28" t="s">
        <v>1814</v>
      </c>
      <c r="AC11" s="28" t="s">
        <v>1822</v>
      </c>
      <c r="AD11" s="29" t="str" cm="1">
        <f t="array" ref="AD11">_xlfn.IFS(L11&lt;=Constantes!$G$2,"Muito Curta (evitável)",L11&lt;=Constantes!$H$2,"Curta Distância",L11&gt;Constantes!$H$2,"Longa Distância")</f>
        <v>Longa Distância</v>
      </c>
      <c r="AE11" s="30" t="str">
        <f t="shared" si="4"/>
        <v>NÃO</v>
      </c>
      <c r="AF11" s="30">
        <f>SUMIF(Entradas!$B:$B,'Entrada Lvl 5-4 qt'!$B11,Entradas!$AG:$AG)</f>
        <v>946.86055240877727</v>
      </c>
      <c r="AG11" s="30"/>
      <c r="BD11" s="49"/>
      <c r="BE11" s="49"/>
    </row>
    <row r="12" spans="1:57" x14ac:dyDescent="0.3">
      <c r="A12">
        <f>_xlfn.XLOOKUP(B12,Entradas!B:B,Entradas!A:A,,0,-1)</f>
        <v>2</v>
      </c>
      <c r="B12">
        <v>19098667</v>
      </c>
      <c r="C12" t="str">
        <f>_xlfn.XLOOKUP($B12,Entradas!$B:$B,Entradas!C:C,,0,1)</f>
        <v>000601/23</v>
      </c>
      <c r="D12" t="str">
        <f>_xlfn.XLOOKUP($B12,Entradas!$B:$B,Entradas!D:D,,0,1)</f>
        <v>***.096.714-**</v>
      </c>
      <c r="E12" t="str">
        <f>_xlfn.XLOOKUP($B12,Entradas!$B:$B,Entradas!E:E,,0,1)</f>
        <v>FRANCISCO HUMBERTO XAVIER JUNIOR</v>
      </c>
      <c r="F12" t="str">
        <f>_xlfn.XLOOKUP($B12,Entradas!$B:$B,Entradas!F:F,,0,1)</f>
        <v>PROFESSOR DO MAGISTERIO SUPERIOR</v>
      </c>
      <c r="G12" t="str">
        <f>_xlfn.XLOOKUP($B12,Entradas!$B:$B,Entradas!G:G,,0,1)</f>
        <v>-1</v>
      </c>
      <c r="H12" t="str">
        <f>_xlfn.XLOOKUP($B12,Entradas!$B:$B,Entradas!H:H,,0,1)</f>
        <v>Sem informação</v>
      </c>
      <c r="I12" s="49">
        <f>_xlfn.XLOOKUP($B12,Entradas!$B:$B,Entradas!I:I,,0,1)</f>
        <v>45129</v>
      </c>
      <c r="J12" s="49">
        <f>_xlfn.XLOOKUP($B12,Entradas!$B:$B,Entradas!J:J,,0,1)</f>
        <v>45134</v>
      </c>
      <c r="K12" t="str">
        <f>_xlfn.XLOOKUP($B12,Entradas!$B:$B,Entradas!K:K,,0,1)</f>
        <v>Recebimento do prêmio da 20ª edição do Destaque na Iniciação Científica e Tecnológica entregue pelo presidente do Conselho Nacional de Desenvolvimento Científico e Tecnológico (CNPq), o qual foi concedido a premiação na categoria Iniciação Tecnológica na área das Ciências da Vida para a aluna Ana Flávia Chaves Uchôa, sob minha orientação (anexo I), e será entregue na 75ª Reunião Anual da Sociedade Brasileira para o Progresso da Ciência (SBPC) entre os dias 23 a 29 de julho na Universidade Federal do Paraná (UFPR), em Curitiba</v>
      </c>
      <c r="L12">
        <f>SUMIF(Entradas!$B:$B,'Entrada Lvl 5-4 qt'!$B12,Entradas!S:S)</f>
        <v>5083.2952619999996</v>
      </c>
      <c r="M12" t="str">
        <f>_xlfn.XLOOKUP($B12,Entradas!$B:$B,Entradas!T:T,,0,1)</f>
        <v>Aéreo</v>
      </c>
      <c r="N12" t="str">
        <f>_xlfn.XLOOKUP($B12,Entradas!$B:$B,Entradas!U:U,,0,1)</f>
        <v>Não</v>
      </c>
      <c r="O12" t="str">
        <f>_xlfn.XLOOKUP($B12,Entradas!$B:$B,Entradas!V:V,,0,1)</f>
        <v>Realizada</v>
      </c>
      <c r="P12" t="str">
        <f>_xlfn.XLOOKUP($B12,Entradas!$B:$B,Entradas!W:W,,0,1)</f>
        <v>SIM</v>
      </c>
      <c r="Q12" t="str">
        <f>_xlfn.XLOOKUP($B12,Entradas!$B:$B,Entradas!X:X,,0,1)</f>
        <v>Formulário em anexo</v>
      </c>
      <c r="R12" s="36">
        <f>SUMIF(Entradas!$B:$B,'Entrada Lvl 5-4 qt'!$B12,Entradas!Y:Y)</f>
        <v>1850.97</v>
      </c>
      <c r="S12" s="36">
        <f>SUMIF(Entradas!$B:$B,'Entrada Lvl 5-4 qt'!$B12,Entradas!Z:Z)</f>
        <v>0</v>
      </c>
      <c r="T12" s="36">
        <f>SUMIF(Entradas!$B:$B,'Entrada Lvl 5-4 qt'!$B12,Entradas!AA:AA)</f>
        <v>2660.48</v>
      </c>
      <c r="U12" s="36">
        <f>SUMIF(Entradas!$B:$B,'Entrada Lvl 5-4 qt'!$B12,Entradas!AB:AB)</f>
        <v>0</v>
      </c>
      <c r="V12" s="49">
        <f>_xlfn.XLOOKUP($B12,Entradas!$B:$B,Entradas!AC:AC,,0,1)</f>
        <v>45125</v>
      </c>
      <c r="W12" s="58">
        <f t="shared" si="3"/>
        <v>5</v>
      </c>
      <c r="X12" s="28" t="s">
        <v>10</v>
      </c>
      <c r="Y12" s="32">
        <f t="shared" si="0"/>
        <v>0</v>
      </c>
      <c r="Z12" s="33">
        <f t="shared" si="1"/>
        <v>2660.48</v>
      </c>
      <c r="AA12" s="34">
        <f t="shared" si="2"/>
        <v>1850.97</v>
      </c>
      <c r="AB12" s="28" t="s">
        <v>1814</v>
      </c>
      <c r="AC12" s="28" t="s">
        <v>1820</v>
      </c>
      <c r="AD12" s="29" t="str" cm="1">
        <f t="array" ref="AD12">_xlfn.IFS(L12&lt;=Constantes!$G$2,"Muito Curta (evitável)",L12&lt;=Constantes!$H$2,"Curta Distância",L12&gt;Constantes!$H$2,"Longa Distância")</f>
        <v>Longa Distância</v>
      </c>
      <c r="AE12" s="30" t="str">
        <f t="shared" si="4"/>
        <v>NÃO</v>
      </c>
      <c r="AF12" s="30">
        <f>SUMIF(Entradas!$B:$B,'Entrada Lvl 5-4 qt'!$B12,Entradas!$AG:$AG)</f>
        <v>929.57892259546873</v>
      </c>
      <c r="AG12" s="30"/>
      <c r="BD12" s="49"/>
      <c r="BE12" s="49"/>
    </row>
    <row r="13" spans="1:57" x14ac:dyDescent="0.3">
      <c r="A13">
        <f>_xlfn.XLOOKUP(B13,Entradas!B:B,Entradas!A:A,,0,-1)</f>
        <v>2</v>
      </c>
      <c r="B13">
        <v>18973156</v>
      </c>
      <c r="C13" t="str">
        <f>_xlfn.XLOOKUP($B13,Entradas!$B:$B,Entradas!C:C,,0,1)</f>
        <v>000407/23</v>
      </c>
      <c r="D13" t="str">
        <f>_xlfn.XLOOKUP($B13,Entradas!$B:$B,Entradas!D:D,,0,1)</f>
        <v>***.961.302-**</v>
      </c>
      <c r="E13" t="str">
        <f>_xlfn.XLOOKUP($B13,Entradas!$B:$B,Entradas!E:E,,0,1)</f>
        <v>MARCIA CRISTINA SILVA PAIXAO</v>
      </c>
      <c r="F13" t="str">
        <f>_xlfn.XLOOKUP($B13,Entradas!$B:$B,Entradas!F:F,,0,1)</f>
        <v>PROFESSOR DO MAGISTERIO SUPERIOR</v>
      </c>
      <c r="G13" t="str">
        <f>_xlfn.XLOOKUP($B13,Entradas!$B:$B,Entradas!G:G,,0,1)</f>
        <v>-1</v>
      </c>
      <c r="H13" t="str">
        <f>_xlfn.XLOOKUP($B13,Entradas!$B:$B,Entradas!H:H,,0,1)</f>
        <v>Sem informação</v>
      </c>
      <c r="I13" s="49">
        <f>_xlfn.XLOOKUP($B13,Entradas!$B:$B,Entradas!I:I,,0,1)</f>
        <v>45130</v>
      </c>
      <c r="J13" s="49">
        <f>_xlfn.XLOOKUP($B13,Entradas!$B:$B,Entradas!J:J,,0,1)</f>
        <v>45135</v>
      </c>
      <c r="K13" t="str">
        <f>_xlfn.XLOOKUP($B13,Entradas!$B:$B,Entradas!K:K,,0,1)</f>
        <v>Participação do Congresso Nacional da SOBER - Sociedade Brasileira de Economia, Administração e Sociologia Rural como apresentadora de trabalhos, caso o primeiro autor não possa comparecer ao evento. ? Participação do evento como um todo na condição de congressista. Participação da Assembleia Geral da SOBER como componente do seu Conselho Fiscal.</v>
      </c>
      <c r="L13">
        <f>SUMIF(Entradas!$B:$B,'Entrada Lvl 5-4 qt'!$B13,Entradas!S:S)</f>
        <v>4398.3350620000001</v>
      </c>
      <c r="M13" t="str">
        <f>_xlfn.XLOOKUP($B13,Entradas!$B:$B,Entradas!T:T,,0,1)</f>
        <v>Aéreo</v>
      </c>
      <c r="N13" t="str">
        <f>_xlfn.XLOOKUP($B13,Entradas!$B:$B,Entradas!U:U,,0,1)</f>
        <v>Sim</v>
      </c>
      <c r="O13" t="str">
        <f>_xlfn.XLOOKUP($B13,Entradas!$B:$B,Entradas!V:V,,0,1)</f>
        <v>Realizada</v>
      </c>
      <c r="P13" t="str">
        <f>_xlfn.XLOOKUP($B13,Entradas!$B:$B,Entradas!W:W,,0,1)</f>
        <v>NÃO</v>
      </c>
      <c r="Q13" t="str">
        <f>_xlfn.XLOOKUP($B13,Entradas!$B:$B,Entradas!X:X,,0,1)</f>
        <v>Sem informação</v>
      </c>
      <c r="R13" s="36">
        <f>SUMIF(Entradas!$B:$B,'Entrada Lvl 5-4 qt'!$B13,Entradas!Y:Y)</f>
        <v>1600.4</v>
      </c>
      <c r="S13" s="36">
        <f>SUMIF(Entradas!$B:$B,'Entrada Lvl 5-4 qt'!$B13,Entradas!Z:Z)</f>
        <v>0</v>
      </c>
      <c r="T13" s="36">
        <f>SUMIF(Entradas!$B:$B,'Entrada Lvl 5-4 qt'!$B13,Entradas!AA:AA)</f>
        <v>2831.6099999999997</v>
      </c>
      <c r="U13" s="36">
        <f>SUMIF(Entradas!$B:$B,'Entrada Lvl 5-4 qt'!$B13,Entradas!AB:AB)</f>
        <v>0</v>
      </c>
      <c r="V13" s="49">
        <f>_xlfn.XLOOKUP($B13,Entradas!$B:$B,Entradas!AC:AC,,0,1)</f>
        <v>45083</v>
      </c>
      <c r="W13" s="58">
        <f t="shared" si="3"/>
        <v>5</v>
      </c>
      <c r="X13" s="28" t="s">
        <v>10</v>
      </c>
      <c r="Y13" s="32">
        <f t="shared" si="0"/>
        <v>0</v>
      </c>
      <c r="Z13" s="33">
        <f t="shared" si="1"/>
        <v>2831.6099999999997</v>
      </c>
      <c r="AA13" s="34">
        <f t="shared" si="2"/>
        <v>1600.4</v>
      </c>
      <c r="AB13" s="28" t="s">
        <v>1814</v>
      </c>
      <c r="AC13" s="28" t="s">
        <v>1820</v>
      </c>
      <c r="AD13" s="29" t="str" cm="1">
        <f t="array" ref="AD13">_xlfn.IFS(L13&lt;=Constantes!$G$2,"Muito Curta (evitável)",L13&lt;=Constantes!$H$2,"Curta Distância",L13&gt;Constantes!$H$2,"Longa Distância")</f>
        <v>Longa Distância</v>
      </c>
      <c r="AE13" s="30" t="str">
        <f t="shared" si="4"/>
        <v>NÃO</v>
      </c>
      <c r="AF13" s="30">
        <f>SUMIF(Entradas!$B:$B,'Entrada Lvl 5-4 qt'!$B13,Entradas!$AG:$AG)</f>
        <v>804.32069305751747</v>
      </c>
      <c r="AG13" s="30"/>
      <c r="BD13" s="49"/>
      <c r="BE13" s="49"/>
    </row>
    <row r="14" spans="1:57" x14ac:dyDescent="0.3">
      <c r="A14">
        <f>_xlfn.XLOOKUP(B14,Entradas!B:B,Entradas!A:A,,0,-1)</f>
        <v>2</v>
      </c>
      <c r="B14">
        <v>19040494</v>
      </c>
      <c r="C14" t="str">
        <f>_xlfn.XLOOKUP($B14,Entradas!$B:$B,Entradas!C:C,,0,1)</f>
        <v>000477/23</v>
      </c>
      <c r="D14" t="str">
        <f>_xlfn.XLOOKUP($B14,Entradas!$B:$B,Entradas!D:D,,0,1)</f>
        <v>***.840.844-**</v>
      </c>
      <c r="E14" t="str">
        <f>_xlfn.XLOOKUP($B14,Entradas!$B:$B,Entradas!E:E,,0,1)</f>
        <v>HEMILIO FERNANDES CAMPOS COELHO</v>
      </c>
      <c r="F14" t="str">
        <f>_xlfn.XLOOKUP($B14,Entradas!$B:$B,Entradas!F:F,,0,1)</f>
        <v>PROFESSOR DO MAGISTERIO SUPERIOR</v>
      </c>
      <c r="G14" t="str">
        <f>_xlfn.XLOOKUP($B14,Entradas!$B:$B,Entradas!G:G,,0,1)</f>
        <v>FG-0001</v>
      </c>
      <c r="H14" t="str">
        <f>_xlfn.XLOOKUP($B14,Entradas!$B:$B,Entradas!H:H,,0,1)</f>
        <v>FG-0001</v>
      </c>
      <c r="I14" s="49">
        <f>_xlfn.XLOOKUP($B14,Entradas!$B:$B,Entradas!I:I,,0,1)</f>
        <v>45130</v>
      </c>
      <c r="J14" s="49">
        <f>_xlfn.XLOOKUP($B14,Entradas!$B:$B,Entradas!J:J,,0,1)</f>
        <v>45136</v>
      </c>
      <c r="K14" t="str">
        <f>_xlfn.XLOOKUP($B14,Entradas!$B:$B,Entradas!K:K,,0,1)</f>
        <v>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v>
      </c>
      <c r="L14">
        <f>SUMIF(Entradas!$B:$B,'Entrada Lvl 5-4 qt'!$B14,Entradas!S:S)</f>
        <v>4992.8231340000002</v>
      </c>
      <c r="M14" t="str">
        <f>_xlfn.XLOOKUP($B14,Entradas!$B:$B,Entradas!T:T,,0,1)</f>
        <v>Aéreo</v>
      </c>
      <c r="N14" t="str">
        <f>_xlfn.XLOOKUP($B14,Entradas!$B:$B,Entradas!U:U,,0,1)</f>
        <v>Sim</v>
      </c>
      <c r="O14" t="str">
        <f>_xlfn.XLOOKUP($B14,Entradas!$B:$B,Entradas!V:V,,0,1)</f>
        <v>Realizada</v>
      </c>
      <c r="P14" t="str">
        <f>_xlfn.XLOOKUP($B14,Entradas!$B:$B,Entradas!W:W,,0,1)</f>
        <v>NÃO</v>
      </c>
      <c r="Q14" t="str">
        <f>_xlfn.XLOOKUP($B14,Entradas!$B:$B,Entradas!X:X,,0,1)</f>
        <v>Sem informação</v>
      </c>
      <c r="R14" s="36">
        <f>SUMIF(Entradas!$B:$B,'Entrada Lvl 5-4 qt'!$B14,Entradas!Y:Y)</f>
        <v>1901.3</v>
      </c>
      <c r="S14" s="36">
        <f>SUMIF(Entradas!$B:$B,'Entrada Lvl 5-4 qt'!$B14,Entradas!Z:Z)</f>
        <v>0</v>
      </c>
      <c r="T14" s="36">
        <f>SUMIF(Entradas!$B:$B,'Entrada Lvl 5-4 qt'!$B14,Entradas!AA:AA)</f>
        <v>3020.87</v>
      </c>
      <c r="U14" s="36">
        <f>SUMIF(Entradas!$B:$B,'Entrada Lvl 5-4 qt'!$B14,Entradas!AB:AB)</f>
        <v>0</v>
      </c>
      <c r="V14" s="49">
        <f>_xlfn.XLOOKUP($B14,Entradas!$B:$B,Entradas!AC:AC,,0,1)</f>
        <v>45106</v>
      </c>
      <c r="W14" s="58">
        <f t="shared" si="3"/>
        <v>6</v>
      </c>
      <c r="X14" s="28" t="s">
        <v>10</v>
      </c>
      <c r="Y14" s="32">
        <f t="shared" si="0"/>
        <v>0</v>
      </c>
      <c r="Z14" s="33">
        <f t="shared" si="1"/>
        <v>3020.87</v>
      </c>
      <c r="AA14" s="34">
        <f t="shared" si="2"/>
        <v>1901.3</v>
      </c>
      <c r="AB14" s="28" t="s">
        <v>1814</v>
      </c>
      <c r="AC14" s="28" t="s">
        <v>1820</v>
      </c>
      <c r="AD14" s="29" t="str" cm="1">
        <f t="array" ref="AD14">_xlfn.IFS(L14&lt;=Constantes!$G$2,"Muito Curta (evitável)",L14&lt;=Constantes!$H$2,"Curta Distância",L14&gt;Constantes!$H$2,"Longa Distância")</f>
        <v>Longa Distância</v>
      </c>
      <c r="AE14" s="30" t="str">
        <f t="shared" si="4"/>
        <v>NÃO</v>
      </c>
      <c r="AF14" s="30">
        <f>SUMIF(Entradas!$B:$B,'Entrada Lvl 5-4 qt'!$B14,Entradas!$AG:$AG)</f>
        <v>913.03434296031503</v>
      </c>
      <c r="AG14" s="30"/>
      <c r="BD14" s="49"/>
      <c r="BE14" s="49"/>
    </row>
    <row r="15" spans="1:57" x14ac:dyDescent="0.3">
      <c r="A15">
        <f>_xlfn.XLOOKUP(B15,Entradas!B:B,Entradas!A:A,,0,-1)</f>
        <v>2</v>
      </c>
      <c r="B15">
        <v>19040802</v>
      </c>
      <c r="C15" t="str">
        <f>_xlfn.XLOOKUP($B15,Entradas!$B:$B,Entradas!C:C,,0,1)</f>
        <v>000480/23</v>
      </c>
      <c r="D15" t="str">
        <f>_xlfn.XLOOKUP($B15,Entradas!$B:$B,Entradas!D:D,,0,1)</f>
        <v>***.447.734-**</v>
      </c>
      <c r="E15" t="str">
        <f>_xlfn.XLOOKUP($B15,Entradas!$B:$B,Entradas!E:E,,0,1)</f>
        <v>ANA HERMINIA ANDRADE E SILVA</v>
      </c>
      <c r="F15" t="str">
        <f>_xlfn.XLOOKUP($B15,Entradas!$B:$B,Entradas!F:F,,0,1)</f>
        <v>PROFESSOR DO MAGISTERIO SUPERIOR</v>
      </c>
      <c r="G15" t="str">
        <f>_xlfn.XLOOKUP($B15,Entradas!$B:$B,Entradas!G:G,,0,1)</f>
        <v>-1</v>
      </c>
      <c r="H15" t="str">
        <f>_xlfn.XLOOKUP($B15,Entradas!$B:$B,Entradas!H:H,,0,1)</f>
        <v>Sem informação</v>
      </c>
      <c r="I15" s="49">
        <f>_xlfn.XLOOKUP($B15,Entradas!$B:$B,Entradas!I:I,,0,1)</f>
        <v>45130</v>
      </c>
      <c r="J15" s="49">
        <f>_xlfn.XLOOKUP($B15,Entradas!$B:$B,Entradas!J:J,,0,1)</f>
        <v>45136</v>
      </c>
      <c r="K15" t="str">
        <f>_xlfn.XLOOKUP($B15,Entradas!$B:$B,Entradas!K:K,,0,1)</f>
        <v>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v>
      </c>
      <c r="L15">
        <f>SUMIF(Entradas!$B:$B,'Entrada Lvl 5-4 qt'!$B15,Entradas!S:S)</f>
        <v>4992.8231340000002</v>
      </c>
      <c r="M15" t="str">
        <f>_xlfn.XLOOKUP($B15,Entradas!$B:$B,Entradas!T:T,,0,1)</f>
        <v>Aéreo</v>
      </c>
      <c r="N15" t="str">
        <f>_xlfn.XLOOKUP($B15,Entradas!$B:$B,Entradas!U:U,,0,1)</f>
        <v>Sim</v>
      </c>
      <c r="O15" t="str">
        <f>_xlfn.XLOOKUP($B15,Entradas!$B:$B,Entradas!V:V,,0,1)</f>
        <v>Realizada</v>
      </c>
      <c r="P15" t="str">
        <f>_xlfn.XLOOKUP($B15,Entradas!$B:$B,Entradas!W:W,,0,1)</f>
        <v>NÃO</v>
      </c>
      <c r="Q15" t="str">
        <f>_xlfn.XLOOKUP($B15,Entradas!$B:$B,Entradas!X:X,,0,1)</f>
        <v>Sem informação</v>
      </c>
      <c r="R15" s="36">
        <f>SUMIF(Entradas!$B:$B,'Entrada Lvl 5-4 qt'!$B15,Entradas!Y:Y)</f>
        <v>1901.3</v>
      </c>
      <c r="S15" s="36">
        <f>SUMIF(Entradas!$B:$B,'Entrada Lvl 5-4 qt'!$B15,Entradas!Z:Z)</f>
        <v>0</v>
      </c>
      <c r="T15" s="36">
        <f>SUMIF(Entradas!$B:$B,'Entrada Lvl 5-4 qt'!$B15,Entradas!AA:AA)</f>
        <v>3742.9700000000003</v>
      </c>
      <c r="U15" s="36">
        <f>SUMIF(Entradas!$B:$B,'Entrada Lvl 5-4 qt'!$B15,Entradas!AB:AB)</f>
        <v>0</v>
      </c>
      <c r="V15" s="49">
        <f>_xlfn.XLOOKUP($B15,Entradas!$B:$B,Entradas!AC:AC,,0,1)</f>
        <v>45104</v>
      </c>
      <c r="W15" s="58">
        <f t="shared" si="3"/>
        <v>6</v>
      </c>
      <c r="X15" s="28" t="s">
        <v>10</v>
      </c>
      <c r="Y15" s="32">
        <f t="shared" si="0"/>
        <v>0</v>
      </c>
      <c r="Z15" s="33">
        <f t="shared" si="1"/>
        <v>3742.9700000000003</v>
      </c>
      <c r="AA15" s="34">
        <f t="shared" si="2"/>
        <v>1901.3</v>
      </c>
      <c r="AB15" s="28" t="s">
        <v>1814</v>
      </c>
      <c r="AC15" s="28" t="s">
        <v>1820</v>
      </c>
      <c r="AD15" s="29" t="str" cm="1">
        <f t="array" ref="AD15">_xlfn.IFS(L15&lt;=Constantes!$G$2,"Muito Curta (evitável)",L15&lt;=Constantes!$H$2,"Curta Distância",L15&gt;Constantes!$H$2,"Longa Distância")</f>
        <v>Longa Distância</v>
      </c>
      <c r="AE15" s="30" t="str">
        <f t="shared" si="4"/>
        <v>NÃO</v>
      </c>
      <c r="AF15" s="30">
        <f>SUMIF(Entradas!$B:$B,'Entrada Lvl 5-4 qt'!$B15,Entradas!$AG:$AG)</f>
        <v>913.03434296031503</v>
      </c>
      <c r="AG15" s="30"/>
      <c r="BD15" s="49"/>
      <c r="BE15" s="49"/>
    </row>
    <row r="16" spans="1:57" x14ac:dyDescent="0.3">
      <c r="A16">
        <f>_xlfn.XLOOKUP(B16,Entradas!B:B,Entradas!A:A,,0,-1)</f>
        <v>2</v>
      </c>
      <c r="B16">
        <v>19045645</v>
      </c>
      <c r="C16" t="str">
        <f>_xlfn.XLOOKUP($B16,Entradas!$B:$B,Entradas!C:C,,0,1)</f>
        <v>000488/23</v>
      </c>
      <c r="D16" t="str">
        <f>_xlfn.XLOOKUP($B16,Entradas!$B:$B,Entradas!D:D,,0,1)</f>
        <v>***.260.334-**</v>
      </c>
      <c r="E16" t="str">
        <f>_xlfn.XLOOKUP($B16,Entradas!$B:$B,Entradas!E:E,,0,1)</f>
        <v>EVERLANE SUANE DE ARAUJO DA SILVA</v>
      </c>
      <c r="F16" t="str">
        <f>_xlfn.XLOOKUP($B16,Entradas!$B:$B,Entradas!F:F,,0,1)</f>
        <v>PROFESSOR DO MAGISTERIO SUPERIOR</v>
      </c>
      <c r="G16" t="str">
        <f>_xlfn.XLOOKUP($B16,Entradas!$B:$B,Entradas!G:G,,0,1)</f>
        <v>-1</v>
      </c>
      <c r="H16" t="str">
        <f>_xlfn.XLOOKUP($B16,Entradas!$B:$B,Entradas!H:H,,0,1)</f>
        <v>Sem informação</v>
      </c>
      <c r="I16" s="49">
        <f>_xlfn.XLOOKUP($B16,Entradas!$B:$B,Entradas!I:I,,0,1)</f>
        <v>45130</v>
      </c>
      <c r="J16" s="49">
        <f>_xlfn.XLOOKUP($B16,Entradas!$B:$B,Entradas!J:J,,0,1)</f>
        <v>45136</v>
      </c>
      <c r="K16" t="str">
        <f>_xlfn.XLOOKUP($B16,Entradas!$B:$B,Entradas!K:K,,0,1)</f>
        <v>Participação e apresentação em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v>
      </c>
      <c r="L16">
        <f>SUMIF(Entradas!$B:$B,'Entrada Lvl 5-4 qt'!$B16,Entradas!S:S)</f>
        <v>4992.8231340000002</v>
      </c>
      <c r="M16" t="str">
        <f>_xlfn.XLOOKUP($B16,Entradas!$B:$B,Entradas!T:T,,0,1)</f>
        <v>Aéreo</v>
      </c>
      <c r="N16" t="str">
        <f>_xlfn.XLOOKUP($B16,Entradas!$B:$B,Entradas!U:U,,0,1)</f>
        <v>Não</v>
      </c>
      <c r="O16" t="str">
        <f>_xlfn.XLOOKUP($B16,Entradas!$B:$B,Entradas!V:V,,0,1)</f>
        <v>Realizada</v>
      </c>
      <c r="P16" t="str">
        <f>_xlfn.XLOOKUP($B16,Entradas!$B:$B,Entradas!W:W,,0,1)</f>
        <v>NÃO</v>
      </c>
      <c r="Q16" t="str">
        <f>_xlfn.XLOOKUP($B16,Entradas!$B:$B,Entradas!X:X,,0,1)</f>
        <v>Sem informação</v>
      </c>
      <c r="R16" s="36">
        <f>SUMIF(Entradas!$B:$B,'Entrada Lvl 5-4 qt'!$B16,Entradas!Y:Y)</f>
        <v>1901.3</v>
      </c>
      <c r="S16" s="36">
        <f>SUMIF(Entradas!$B:$B,'Entrada Lvl 5-4 qt'!$B16,Entradas!Z:Z)</f>
        <v>0</v>
      </c>
      <c r="T16" s="36">
        <f>SUMIF(Entradas!$B:$B,'Entrada Lvl 5-4 qt'!$B16,Entradas!AA:AA)</f>
        <v>3020.87</v>
      </c>
      <c r="U16" s="36">
        <f>SUMIF(Entradas!$B:$B,'Entrada Lvl 5-4 qt'!$B16,Entradas!AB:AB)</f>
        <v>0</v>
      </c>
      <c r="V16" s="49">
        <f>_xlfn.XLOOKUP($B16,Entradas!$B:$B,Entradas!AC:AC,,0,1)</f>
        <v>45106</v>
      </c>
      <c r="W16" s="58">
        <f t="shared" si="3"/>
        <v>6</v>
      </c>
      <c r="X16" s="28" t="s">
        <v>10</v>
      </c>
      <c r="Y16" s="32">
        <f t="shared" si="0"/>
        <v>0</v>
      </c>
      <c r="Z16" s="33">
        <f t="shared" si="1"/>
        <v>3020.87</v>
      </c>
      <c r="AA16" s="34">
        <f t="shared" si="2"/>
        <v>1901.3</v>
      </c>
      <c r="AB16" s="28" t="s">
        <v>1814</v>
      </c>
      <c r="AC16" s="28" t="s">
        <v>1820</v>
      </c>
      <c r="AD16" s="29" t="str" cm="1">
        <f t="array" ref="AD16">_xlfn.IFS(L16&lt;=Constantes!$G$2,"Muito Curta (evitável)",L16&lt;=Constantes!$H$2,"Curta Distância",L16&gt;Constantes!$H$2,"Longa Distância")</f>
        <v>Longa Distância</v>
      </c>
      <c r="AE16" s="30" t="str">
        <f t="shared" si="4"/>
        <v>NÃO</v>
      </c>
      <c r="AF16" s="30">
        <f>SUMIF(Entradas!$B:$B,'Entrada Lvl 5-4 qt'!$B16,Entradas!$AG:$AG)</f>
        <v>913.03434296031503</v>
      </c>
      <c r="AG16" s="30"/>
      <c r="BD16" s="49"/>
      <c r="BE16" s="49"/>
    </row>
    <row r="17" spans="1:57" x14ac:dyDescent="0.3">
      <c r="A17">
        <f>_xlfn.XLOOKUP(B17,Entradas!B:B,Entradas!A:A,,0,-1)</f>
        <v>2</v>
      </c>
      <c r="B17">
        <v>19104129</v>
      </c>
      <c r="C17" t="str">
        <f>_xlfn.XLOOKUP($B17,Entradas!$B:$B,Entradas!C:C,,0,1)</f>
        <v>000627/23</v>
      </c>
      <c r="D17" t="str">
        <f>_xlfn.XLOOKUP($B17,Entradas!$B:$B,Entradas!D:D,,0,1)</f>
        <v>***.919.154-**</v>
      </c>
      <c r="E17" t="str">
        <f>_xlfn.XLOOKUP($B17,Entradas!$B:$B,Entradas!E:E,,0,1)</f>
        <v>SANDRA CRISTINA MORAES DE SOUZA</v>
      </c>
      <c r="F17" t="str">
        <f>_xlfn.XLOOKUP($B17,Entradas!$B:$B,Entradas!F:F,,0,1)</f>
        <v>PROFESSOR ENS BASICO TECN TECNOLOGICO</v>
      </c>
      <c r="G17" t="str">
        <f>_xlfn.XLOOKUP($B17,Entradas!$B:$B,Entradas!G:G,,0,1)</f>
        <v>-1</v>
      </c>
      <c r="H17" t="str">
        <f>_xlfn.XLOOKUP($B17,Entradas!$B:$B,Entradas!H:H,,0,1)</f>
        <v>Sem informação</v>
      </c>
      <c r="I17" s="49">
        <f>_xlfn.XLOOKUP($B17,Entradas!$B:$B,Entradas!I:I,,0,1)</f>
        <v>45130</v>
      </c>
      <c r="J17" s="49">
        <f>_xlfn.XLOOKUP($B17,Entradas!$B:$B,Entradas!J:J,,0,1)</f>
        <v>45135</v>
      </c>
      <c r="K17" t="str">
        <f>_xlfn.XLOOKUP($B17,Entradas!$B:$B,Entradas!K:K,,0,1)</f>
        <v>Participar de Oficina na formação na Metodologia Acesso, Permanência e Êxito no Programa Mulheres Mil no período de 24 a 28 de julho de 2023 em Brasília-DF.</v>
      </c>
      <c r="L17">
        <f>SUMIF(Entradas!$B:$B,'Entrada Lvl 5-4 qt'!$B17,Entradas!S:S)</f>
        <v>3426.839982</v>
      </c>
      <c r="M17" t="str">
        <f>_xlfn.XLOOKUP($B17,Entradas!$B:$B,Entradas!T:T,,0,1)</f>
        <v>Aéreo</v>
      </c>
      <c r="N17" t="str">
        <f>_xlfn.XLOOKUP($B17,Entradas!$B:$B,Entradas!U:U,,0,1)</f>
        <v>Sim</v>
      </c>
      <c r="O17" t="str">
        <f>_xlfn.XLOOKUP($B17,Entradas!$B:$B,Entradas!V:V,,0,1)</f>
        <v>Realizada</v>
      </c>
      <c r="P17" t="str">
        <f>_xlfn.XLOOKUP($B17,Entradas!$B:$B,Entradas!W:W,,0,1)</f>
        <v>SIM</v>
      </c>
      <c r="Q17" t="str">
        <f>_xlfn.XLOOKUP($B17,Entradas!$B:$B,Entradas!X:X,,0,1)</f>
        <v>De acordo com a justificativa anexa.</v>
      </c>
      <c r="R17" s="36">
        <f>SUMIF(Entradas!$B:$B,'Entrada Lvl 5-4 qt'!$B17,Entradas!Y:Y)</f>
        <v>2041.72</v>
      </c>
      <c r="S17" s="36">
        <f>SUMIF(Entradas!$B:$B,'Entrada Lvl 5-4 qt'!$B17,Entradas!Z:Z)</f>
        <v>0</v>
      </c>
      <c r="T17" s="36">
        <f>SUMIF(Entradas!$B:$B,'Entrada Lvl 5-4 qt'!$B17,Entradas!AA:AA)</f>
        <v>4683.0599999999995</v>
      </c>
      <c r="U17" s="36">
        <f>SUMIF(Entradas!$B:$B,'Entrada Lvl 5-4 qt'!$B17,Entradas!AB:AB)</f>
        <v>0</v>
      </c>
      <c r="V17" s="49">
        <f>_xlfn.XLOOKUP($B17,Entradas!$B:$B,Entradas!AC:AC,,0,1)</f>
        <v>45126</v>
      </c>
      <c r="W17" s="58">
        <f t="shared" si="3"/>
        <v>5</v>
      </c>
      <c r="X17" s="28" t="s">
        <v>10</v>
      </c>
      <c r="Y17" s="32">
        <f t="shared" si="0"/>
        <v>0</v>
      </c>
      <c r="Z17" s="33">
        <f t="shared" si="1"/>
        <v>4683.0599999999995</v>
      </c>
      <c r="AA17" s="34">
        <f t="shared" si="2"/>
        <v>2041.72</v>
      </c>
      <c r="AB17" s="28" t="s">
        <v>1816</v>
      </c>
      <c r="AC17" s="28" t="s">
        <v>1820</v>
      </c>
      <c r="AD17" s="29" t="str" cm="1">
        <f t="array" ref="AD17">_xlfn.IFS(L17&lt;=Constantes!$G$2,"Muito Curta (evitável)",L17&lt;=Constantes!$H$2,"Curta Distância",L17&gt;Constantes!$H$2,"Longa Distância")</f>
        <v>Curta Distância</v>
      </c>
      <c r="AE17" s="30" t="str">
        <f t="shared" si="4"/>
        <v>NÃO</v>
      </c>
      <c r="AF17" s="30">
        <f>SUMIF(Entradas!$B:$B,'Entrada Lvl 5-4 qt'!$B17,Entradas!$AG:$AG)</f>
        <v>626.66401501165365</v>
      </c>
      <c r="AG17" s="30"/>
      <c r="BD17" s="49"/>
      <c r="BE17" s="49"/>
    </row>
    <row r="18" spans="1:57" x14ac:dyDescent="0.3">
      <c r="A18">
        <f>_xlfn.XLOOKUP(B18,Entradas!B:B,Entradas!A:A,,0,-1)</f>
        <v>2</v>
      </c>
      <c r="B18">
        <v>19024524</v>
      </c>
      <c r="C18" t="str">
        <f>_xlfn.XLOOKUP($B18,Entradas!$B:$B,Entradas!C:C,,0,1)</f>
        <v>000466/23</v>
      </c>
      <c r="D18" t="str">
        <f>_xlfn.XLOOKUP($B18,Entradas!$B:$B,Entradas!D:D,,0,1)</f>
        <v>***.051.554-**</v>
      </c>
      <c r="E18" t="str">
        <f>_xlfn.XLOOKUP($B18,Entradas!$B:$B,Entradas!E:E,,0,1)</f>
        <v>VALDINEY VELOSO GOUVEIA</v>
      </c>
      <c r="F18" t="str">
        <f>_xlfn.XLOOKUP($B18,Entradas!$B:$B,Entradas!F:F,,0,1)</f>
        <v>PROFESSOR DO MAGISTERIO SUPERIOR</v>
      </c>
      <c r="G18" t="str">
        <f>_xlfn.XLOOKUP($B18,Entradas!$B:$B,Entradas!G:G,,0,1)</f>
        <v>CD-0001</v>
      </c>
      <c r="H18" t="str">
        <f>_xlfn.XLOOKUP($B18,Entradas!$B:$B,Entradas!H:H,,0,1)</f>
        <v>Cargo Comissionado de Direção</v>
      </c>
      <c r="I18" s="49">
        <f>_xlfn.XLOOKUP($B18,Entradas!$B:$B,Entradas!I:I,,0,1)</f>
        <v>45131</v>
      </c>
      <c r="J18" s="49">
        <f>_xlfn.XLOOKUP($B18,Entradas!$B:$B,Entradas!J:J,,0,1)</f>
        <v>45136</v>
      </c>
      <c r="K18" t="str">
        <f>_xlfn.XLOOKUP($B18,Entradas!$B:$B,Entradas!K:K,,0,1)</f>
        <v>Participar do 20º Prêmio Destaque na Iniciação Científica e Tecnológica - PICT, em Curitiba/PR, no dia 24/07/2023 e da CXCIV Reunião Ordinária do Conselho Pleno da Andifes, a ser realizada na UFPR, em Curitiba/PR, nos dias 27 e 28 de julho de 2023.</v>
      </c>
      <c r="L18">
        <f>SUMIF(Entradas!$B:$B,'Entrada Lvl 5-4 qt'!$B18,Entradas!S:S)</f>
        <v>5083.2952619999996</v>
      </c>
      <c r="M18" t="str">
        <f>_xlfn.XLOOKUP($B18,Entradas!$B:$B,Entradas!T:T,,0,1)</f>
        <v>Aéreo</v>
      </c>
      <c r="N18" t="str">
        <f>_xlfn.XLOOKUP($B18,Entradas!$B:$B,Entradas!U:U,,0,1)</f>
        <v>Não</v>
      </c>
      <c r="O18" t="str">
        <f>_xlfn.XLOOKUP($B18,Entradas!$B:$B,Entradas!V:V,,0,1)</f>
        <v>Realizada</v>
      </c>
      <c r="P18" t="str">
        <f>_xlfn.XLOOKUP($B18,Entradas!$B:$B,Entradas!W:W,,0,1)</f>
        <v>SIM</v>
      </c>
      <c r="Q18" t="str">
        <f>_xlfn.XLOOKUP($B18,Entradas!$B:$B,Entradas!X:X,,0,1)</f>
        <v>Em função da alteração da data de reunião pelo MEC no dia 13/07/2023, conforme justificativa anexa.</v>
      </c>
      <c r="R18" s="36">
        <f>SUMIF(Entradas!$B:$B,'Entrada Lvl 5-4 qt'!$B18,Entradas!Y:Y)</f>
        <v>2078.6799999999998</v>
      </c>
      <c r="S18" s="36">
        <f>SUMIF(Entradas!$B:$B,'Entrada Lvl 5-4 qt'!$B18,Entradas!Z:Z)</f>
        <v>0</v>
      </c>
      <c r="T18" s="36">
        <f>SUMIF(Entradas!$B:$B,'Entrada Lvl 5-4 qt'!$B18,Entradas!AA:AA)</f>
        <v>1561.56</v>
      </c>
      <c r="U18" s="36">
        <f>SUMIF(Entradas!$B:$B,'Entrada Lvl 5-4 qt'!$B18,Entradas!AB:AB)</f>
        <v>0</v>
      </c>
      <c r="V18" s="49">
        <f>_xlfn.XLOOKUP($B18,Entradas!$B:$B,Entradas!AC:AC,,0,1)</f>
        <v>45104</v>
      </c>
      <c r="W18" s="58">
        <f t="shared" si="3"/>
        <v>5</v>
      </c>
      <c r="X18" s="28" t="s">
        <v>10</v>
      </c>
      <c r="Y18" s="32">
        <f t="shared" si="0"/>
        <v>0</v>
      </c>
      <c r="Z18" s="33">
        <f t="shared" si="1"/>
        <v>1561.56</v>
      </c>
      <c r="AA18" s="34">
        <f t="shared" si="2"/>
        <v>2078.6799999999998</v>
      </c>
      <c r="AB18" s="28" t="s">
        <v>1814</v>
      </c>
      <c r="AC18" s="28" t="s">
        <v>1820</v>
      </c>
      <c r="AD18" s="29" t="str" cm="1">
        <f t="array" ref="AD18">_xlfn.IFS(L18&lt;=Constantes!$G$2,"Muito Curta (evitável)",L18&lt;=Constantes!$H$2,"Curta Distância",L18&gt;Constantes!$H$2,"Longa Distância")</f>
        <v>Longa Distância</v>
      </c>
      <c r="AE18" s="30" t="str">
        <f t="shared" si="4"/>
        <v>NÃO</v>
      </c>
      <c r="AF18" s="30">
        <f>SUMIF(Entradas!$B:$B,'Entrada Lvl 5-4 qt'!$B18,Entradas!$AG:$AG)</f>
        <v>929.57892259546873</v>
      </c>
      <c r="AG18" s="30"/>
      <c r="BD18" s="49"/>
      <c r="BE18" s="49"/>
    </row>
    <row r="19" spans="1:57" x14ac:dyDescent="0.3">
      <c r="A19">
        <f>_xlfn.XLOOKUP(B19,Entradas!B:B,Entradas!A:A,,0,-1)</f>
        <v>2</v>
      </c>
      <c r="B19">
        <v>19100577</v>
      </c>
      <c r="C19" t="str">
        <f>_xlfn.XLOOKUP($B19,Entradas!$B:$B,Entradas!C:C,,0,1)</f>
        <v>000629/23</v>
      </c>
      <c r="D19" t="str">
        <f>_xlfn.XLOOKUP($B19,Entradas!$B:$B,Entradas!D:D,,0,1)</f>
        <v>***.334.884-**</v>
      </c>
      <c r="E19" t="str">
        <f>_xlfn.XLOOKUP($B19,Entradas!$B:$B,Entradas!E:E,,0,1)</f>
        <v>CONCEICAO CRISTINA PEREIRA DA SILVA</v>
      </c>
      <c r="F19" t="str">
        <f>_xlfn.XLOOKUP($B19,Entradas!$B:$B,Entradas!F:F,,0,1)</f>
        <v>PEDAGOGO-AREA</v>
      </c>
      <c r="G19" t="str">
        <f>_xlfn.XLOOKUP($B19,Entradas!$B:$B,Entradas!G:G,,0,1)</f>
        <v>-1</v>
      </c>
      <c r="H19" t="str">
        <f>_xlfn.XLOOKUP($B19,Entradas!$B:$B,Entradas!H:H,,0,1)</f>
        <v>Sem informação</v>
      </c>
      <c r="I19" s="49">
        <f>_xlfn.XLOOKUP($B19,Entradas!$B:$B,Entradas!I:I,,0,1)</f>
        <v>45131</v>
      </c>
      <c r="J19" s="49">
        <f>_xlfn.XLOOKUP($B19,Entradas!$B:$B,Entradas!J:J,,0,1)</f>
        <v>45136</v>
      </c>
      <c r="K19" t="str">
        <f>_xlfn.XLOOKUP($B19,Entradas!$B:$B,Entradas!K:K,,0,1)</f>
        <v>Convite para as Oficinas de Formação na Metodologia Acesso, Permanência e Êxito do Programa Mulheres Mil.</v>
      </c>
      <c r="L19">
        <f>SUMIF(Entradas!$B:$B,'Entrada Lvl 5-4 qt'!$B19,Entradas!S:S)</f>
        <v>3426.839982</v>
      </c>
      <c r="M19" t="str">
        <f>_xlfn.XLOOKUP($B19,Entradas!$B:$B,Entradas!T:T,,0,1)</f>
        <v>Aéreo</v>
      </c>
      <c r="N19" t="str">
        <f>_xlfn.XLOOKUP($B19,Entradas!$B:$B,Entradas!U:U,,0,1)</f>
        <v>Não</v>
      </c>
      <c r="O19" t="str">
        <f>_xlfn.XLOOKUP($B19,Entradas!$B:$B,Entradas!V:V,,0,1)</f>
        <v>Realizada</v>
      </c>
      <c r="P19" t="str">
        <f>_xlfn.XLOOKUP($B19,Entradas!$B:$B,Entradas!W:W,,0,1)</f>
        <v>SIM</v>
      </c>
      <c r="Q19" t="str">
        <f>_xlfn.XLOOKUP($B19,Entradas!$B:$B,Entradas!X:X,,0,1)</f>
        <v>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v>
      </c>
      <c r="R19" s="36">
        <f>SUMIF(Entradas!$B:$B,'Entrada Lvl 5-4 qt'!$B19,Entradas!Y:Y)</f>
        <v>1814.09</v>
      </c>
      <c r="S19" s="36">
        <f>SUMIF(Entradas!$B:$B,'Entrada Lvl 5-4 qt'!$B19,Entradas!Z:Z)</f>
        <v>0</v>
      </c>
      <c r="T19" s="36">
        <f>SUMIF(Entradas!$B:$B,'Entrada Lvl 5-4 qt'!$B19,Entradas!AA:AA)</f>
        <v>3300.26</v>
      </c>
      <c r="U19" s="36">
        <f>SUMIF(Entradas!$B:$B,'Entrada Lvl 5-4 qt'!$B19,Entradas!AB:AB)</f>
        <v>0</v>
      </c>
      <c r="V19" s="49">
        <f>_xlfn.XLOOKUP($B19,Entradas!$B:$B,Entradas!AC:AC,,0,1)</f>
        <v>45127</v>
      </c>
      <c r="W19" s="58">
        <f t="shared" si="3"/>
        <v>5</v>
      </c>
      <c r="X19" s="28" t="s">
        <v>10</v>
      </c>
      <c r="Y19" s="32">
        <f t="shared" si="0"/>
        <v>0</v>
      </c>
      <c r="Z19" s="33">
        <f t="shared" si="1"/>
        <v>3300.26</v>
      </c>
      <c r="AA19" s="34">
        <f t="shared" si="2"/>
        <v>1814.09</v>
      </c>
      <c r="AB19" s="28" t="s">
        <v>1816</v>
      </c>
      <c r="AC19" s="28" t="s">
        <v>1784</v>
      </c>
      <c r="AD19" s="29" t="str" cm="1">
        <f t="array" ref="AD19">_xlfn.IFS(L19&lt;=Constantes!$G$2,"Muito Curta (evitável)",L19&lt;=Constantes!$H$2,"Curta Distância",L19&gt;Constantes!$H$2,"Longa Distância")</f>
        <v>Curta Distância</v>
      </c>
      <c r="AE19" s="30" t="str">
        <f t="shared" si="4"/>
        <v>NÃO</v>
      </c>
      <c r="AF19" s="30">
        <f>SUMIF(Entradas!$B:$B,'Entrada Lvl 5-4 qt'!$B19,Entradas!$AG:$AG)</f>
        <v>626.66401501165365</v>
      </c>
      <c r="AG19" s="30"/>
      <c r="BD19" s="49"/>
      <c r="BE19" s="49"/>
    </row>
    <row r="20" spans="1:57" x14ac:dyDescent="0.3">
      <c r="A20">
        <f>_xlfn.XLOOKUP(B20,Entradas!B:B,Entradas!A:A,,0,-1)</f>
        <v>2</v>
      </c>
      <c r="B20">
        <v>19104392</v>
      </c>
      <c r="C20" t="str">
        <f>_xlfn.XLOOKUP($B20,Entradas!$B:$B,Entradas!C:C,,0,1)</f>
        <v>000630/23</v>
      </c>
      <c r="D20" t="str">
        <f>_xlfn.XLOOKUP($B20,Entradas!$B:$B,Entradas!D:D,,0,1)</f>
        <v>***.744.854-**</v>
      </c>
      <c r="E20" t="str">
        <f>_xlfn.XLOOKUP($B20,Entradas!$B:$B,Entradas!E:E,,0,1)</f>
        <v>IRIS BRAZ DA SILVA ARAUJO</v>
      </c>
      <c r="F20" t="str">
        <f>_xlfn.XLOOKUP($B20,Entradas!$B:$B,Entradas!F:F,,0,1)</f>
        <v>PROFESSOR ENS BASICO TECN TECNOLOGICO</v>
      </c>
      <c r="G20" t="str">
        <f>_xlfn.XLOOKUP($B20,Entradas!$B:$B,Entradas!G:G,,0,1)</f>
        <v>-1</v>
      </c>
      <c r="H20" t="str">
        <f>_xlfn.XLOOKUP($B20,Entradas!$B:$B,Entradas!H:H,,0,1)</f>
        <v>Sem informação</v>
      </c>
      <c r="I20" s="49">
        <f>_xlfn.XLOOKUP($B20,Entradas!$B:$B,Entradas!I:I,,0,1)</f>
        <v>45131</v>
      </c>
      <c r="J20" s="49">
        <f>_xlfn.XLOOKUP($B20,Entradas!$B:$B,Entradas!J:J,,0,1)</f>
        <v>45136</v>
      </c>
      <c r="K20" t="str">
        <f>_xlfn.XLOOKUP($B20,Entradas!$B:$B,Entradas!K:K,,0,1)</f>
        <v>Convite para as Oficinas de Formação na Metodologia Acesso, Permanência e Êxito do Programa Mulheres Mil.</v>
      </c>
      <c r="L20">
        <f>SUMIF(Entradas!$B:$B,'Entrada Lvl 5-4 qt'!$B20,Entradas!S:S)</f>
        <v>3426.839982</v>
      </c>
      <c r="M20" t="str">
        <f>_xlfn.XLOOKUP($B20,Entradas!$B:$B,Entradas!T:T,,0,1)</f>
        <v>Aéreo</v>
      </c>
      <c r="N20" t="str">
        <f>_xlfn.XLOOKUP($B20,Entradas!$B:$B,Entradas!U:U,,0,1)</f>
        <v>Não</v>
      </c>
      <c r="O20" t="str">
        <f>_xlfn.XLOOKUP($B20,Entradas!$B:$B,Entradas!V:V,,0,1)</f>
        <v>Realizada</v>
      </c>
      <c r="P20" t="str">
        <f>_xlfn.XLOOKUP($B20,Entradas!$B:$B,Entradas!W:W,,0,1)</f>
        <v>SIM</v>
      </c>
      <c r="Q20" t="str">
        <f>_xlfn.XLOOKUP($B20,Entradas!$B:$B,Entradas!X:X,,0,1)</f>
        <v>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v>
      </c>
      <c r="R20" s="36">
        <f>SUMIF(Entradas!$B:$B,'Entrada Lvl 5-4 qt'!$B20,Entradas!Y:Y)</f>
        <v>1981.54</v>
      </c>
      <c r="S20" s="36">
        <f>SUMIF(Entradas!$B:$B,'Entrada Lvl 5-4 qt'!$B20,Entradas!Z:Z)</f>
        <v>0</v>
      </c>
      <c r="T20" s="36">
        <f>SUMIF(Entradas!$B:$B,'Entrada Lvl 5-4 qt'!$B20,Entradas!AA:AA)</f>
        <v>3300.26</v>
      </c>
      <c r="U20" s="36">
        <f>SUMIF(Entradas!$B:$B,'Entrada Lvl 5-4 qt'!$B20,Entradas!AB:AB)</f>
        <v>0</v>
      </c>
      <c r="V20" s="49">
        <f>_xlfn.XLOOKUP($B20,Entradas!$B:$B,Entradas!AC:AC,,0,1)</f>
        <v>45127</v>
      </c>
      <c r="W20" s="58">
        <f t="shared" si="3"/>
        <v>5</v>
      </c>
      <c r="X20" s="28" t="s">
        <v>10</v>
      </c>
      <c r="Y20" s="32">
        <f t="shared" si="0"/>
        <v>0</v>
      </c>
      <c r="Z20" s="33">
        <f t="shared" si="1"/>
        <v>3300.26</v>
      </c>
      <c r="AA20" s="34">
        <f t="shared" si="2"/>
        <v>1981.54</v>
      </c>
      <c r="AB20" s="28" t="s">
        <v>1816</v>
      </c>
      <c r="AC20" s="28" t="s">
        <v>1784</v>
      </c>
      <c r="AD20" s="29" t="str" cm="1">
        <f t="array" ref="AD20">_xlfn.IFS(L20&lt;=Constantes!$G$2,"Muito Curta (evitável)",L20&lt;=Constantes!$H$2,"Curta Distância",L20&gt;Constantes!$H$2,"Longa Distância")</f>
        <v>Curta Distância</v>
      </c>
      <c r="AE20" s="30" t="str">
        <f t="shared" si="4"/>
        <v>NÃO</v>
      </c>
      <c r="AF20" s="30">
        <f>SUMIF(Entradas!$B:$B,'Entrada Lvl 5-4 qt'!$B20,Entradas!$AG:$AG)</f>
        <v>626.66401501165365</v>
      </c>
      <c r="AG20" s="30"/>
      <c r="BD20" s="49"/>
      <c r="BE20" s="49"/>
    </row>
    <row r="21" spans="1:57" x14ac:dyDescent="0.3">
      <c r="A21">
        <f>_xlfn.XLOOKUP(B21,Entradas!B:B,Entradas!A:A,,0,-1)</f>
        <v>2</v>
      </c>
      <c r="B21">
        <v>18924776</v>
      </c>
      <c r="C21" t="str">
        <f>_xlfn.XLOOKUP($B21,Entradas!$B:$B,Entradas!C:C,,0,1)</f>
        <v>000329/23</v>
      </c>
      <c r="D21" t="str">
        <f>_xlfn.XLOOKUP($B21,Entradas!$B:$B,Entradas!D:D,,0,1)</f>
        <v>***.687.994-**</v>
      </c>
      <c r="E21" t="str">
        <f>_xlfn.XLOOKUP($B21,Entradas!$B:$B,Entradas!E:E,,0,1)</f>
        <v>KARLA KATIUSCIA NOBREGA DE ALMEIDA</v>
      </c>
      <c r="F21" t="str">
        <f>_xlfn.XLOOKUP($B21,Entradas!$B:$B,Entradas!F:F,,0,1)</f>
        <v>PROFESSOR DO MAGISTERIO SUPERIOR</v>
      </c>
      <c r="G21" t="str">
        <f>_xlfn.XLOOKUP($B21,Entradas!$B:$B,Entradas!G:G,,0,1)</f>
        <v>-1</v>
      </c>
      <c r="H21" t="str">
        <f>_xlfn.XLOOKUP($B21,Entradas!$B:$B,Entradas!H:H,,0,1)</f>
        <v>Sem informação</v>
      </c>
      <c r="I21" s="49">
        <f>_xlfn.XLOOKUP($B21,Entradas!$B:$B,Entradas!I:I,,0,1)</f>
        <v>45132</v>
      </c>
      <c r="J21" s="49">
        <f>_xlfn.XLOOKUP($B21,Entradas!$B:$B,Entradas!J:J,,0,1)</f>
        <v>45135</v>
      </c>
      <c r="K21" t="str">
        <f>_xlfn.XLOOKUP($B21,Entradas!$B:$B,Entradas!K:K,,0,1)</f>
        <v>Apresentação de 02 artigos científicos de minha co-autoria no 23° USP INTERNATIONAL CONFERENCE ON ACCOUNTING E 20° CONGRESSO USP DE INICIAÇÃO CIENTÍFICA EM CONTABILIDADE - PRESENCIAL</v>
      </c>
      <c r="L21">
        <f>SUMIF(Entradas!$B:$B,'Entrada Lvl 5-4 qt'!$B21,Entradas!S:S)</f>
        <v>4379.9484839999996</v>
      </c>
      <c r="M21" t="str">
        <f>_xlfn.XLOOKUP($B21,Entradas!$B:$B,Entradas!T:T,,0,1)</f>
        <v>Aéreo</v>
      </c>
      <c r="N21" t="str">
        <f>_xlfn.XLOOKUP($B21,Entradas!$B:$B,Entradas!U:U,,0,1)</f>
        <v>Sim</v>
      </c>
      <c r="O21" t="str">
        <f>_xlfn.XLOOKUP($B21,Entradas!$B:$B,Entradas!V:V,,0,1)</f>
        <v>Realizada</v>
      </c>
      <c r="P21" t="str">
        <f>_xlfn.XLOOKUP($B21,Entradas!$B:$B,Entradas!W:W,,0,1)</f>
        <v>NÃO</v>
      </c>
      <c r="Q21" t="str">
        <f>_xlfn.XLOOKUP($B21,Entradas!$B:$B,Entradas!X:X,,0,1)</f>
        <v>Sem informação</v>
      </c>
      <c r="R21" s="36">
        <f>SUMIF(Entradas!$B:$B,'Entrada Lvl 5-4 qt'!$B21,Entradas!Y:Y)</f>
        <v>1309.3499999999999</v>
      </c>
      <c r="S21" s="36">
        <f>SUMIF(Entradas!$B:$B,'Entrada Lvl 5-4 qt'!$B21,Entradas!Z:Z)</f>
        <v>0</v>
      </c>
      <c r="T21" s="36">
        <f>SUMIF(Entradas!$B:$B,'Entrada Lvl 5-4 qt'!$B21,Entradas!AA:AA)</f>
        <v>1553.2199999999998</v>
      </c>
      <c r="U21" s="36">
        <f>SUMIF(Entradas!$B:$B,'Entrada Lvl 5-4 qt'!$B21,Entradas!AB:AB)</f>
        <v>0</v>
      </c>
      <c r="V21" s="49">
        <f>_xlfn.XLOOKUP($B21,Entradas!$B:$B,Entradas!AC:AC,,0,1)</f>
        <v>45065</v>
      </c>
      <c r="W21" s="58">
        <f t="shared" si="3"/>
        <v>3</v>
      </c>
      <c r="X21" s="28" t="s">
        <v>10</v>
      </c>
      <c r="Y21" s="32">
        <f t="shared" si="0"/>
        <v>0</v>
      </c>
      <c r="Z21" s="33">
        <f t="shared" si="1"/>
        <v>1553.2199999999998</v>
      </c>
      <c r="AA21" s="34">
        <f t="shared" si="2"/>
        <v>1309.3499999999999</v>
      </c>
      <c r="AB21" s="28" t="s">
        <v>1814</v>
      </c>
      <c r="AC21" s="28" t="s">
        <v>1784</v>
      </c>
      <c r="AD21" s="29" t="str" cm="1">
        <f t="array" ref="AD21">_xlfn.IFS(L21&lt;=Constantes!$G$2,"Muito Curta (evitável)",L21&lt;=Constantes!$H$2,"Curta Distância",L21&gt;Constantes!$H$2,"Longa Distância")</f>
        <v>Longa Distância</v>
      </c>
      <c r="AE21" s="30" t="str">
        <f t="shared" si="4"/>
        <v>NÃO</v>
      </c>
      <c r="AF21" s="30">
        <f>SUMIF(Entradas!$B:$B,'Entrada Lvl 5-4 qt'!$B21,Entradas!$AG:$AG)</f>
        <v>800.95835140972315</v>
      </c>
      <c r="AG21" s="30"/>
      <c r="BD21" s="49"/>
      <c r="BE21" s="49"/>
    </row>
    <row r="22" spans="1:57" x14ac:dyDescent="0.3">
      <c r="A22">
        <f>_xlfn.XLOOKUP(B22,Entradas!B:B,Entradas!A:A,,0,-1)</f>
        <v>2</v>
      </c>
      <c r="B22">
        <v>18940972</v>
      </c>
      <c r="C22" t="str">
        <f>_xlfn.XLOOKUP($B22,Entradas!$B:$B,Entradas!C:C,,0,1)</f>
        <v>000348/23</v>
      </c>
      <c r="D22" t="str">
        <f>_xlfn.XLOOKUP($B22,Entradas!$B:$B,Entradas!D:D,,0,1)</f>
        <v>***.834.974-**</v>
      </c>
      <c r="E22" t="str">
        <f>_xlfn.XLOOKUP($B22,Entradas!$B:$B,Entradas!E:E,,0,1)</f>
        <v>EDSON FERREIRA DE ARAUJO</v>
      </c>
      <c r="F22" t="str">
        <f>_xlfn.XLOOKUP($B22,Entradas!$B:$B,Entradas!F:F,,0,1)</f>
        <v/>
      </c>
      <c r="G22" t="str">
        <f>_xlfn.XLOOKUP($B22,Entradas!$B:$B,Entradas!G:G,,0,1)</f>
        <v>-1</v>
      </c>
      <c r="H22" t="str">
        <f>_xlfn.XLOOKUP($B22,Entradas!$B:$B,Entradas!H:H,,0,1)</f>
        <v>Sem informação</v>
      </c>
      <c r="I22" s="49">
        <f>_xlfn.XLOOKUP($B22,Entradas!$B:$B,Entradas!I:I,,0,1)</f>
        <v>45132</v>
      </c>
      <c r="J22" s="49">
        <f>_xlfn.XLOOKUP($B22,Entradas!$B:$B,Entradas!J:J,,0,1)</f>
        <v>45136</v>
      </c>
      <c r="K22" t="str">
        <f>_xlfn.XLOOKUP($B22,Entradas!$B:$B,Entradas!K:K,,0,1)</f>
        <v>PROPOSTO APRESENTARÁ TRABALHO NO 20º CONGRESSO USP DE INICIAÇÃO CIENTÍFICA EM CONTABILIDADE, QUE OCORRERÁ EM SÃO PAULO, ENTRE 26 E 28 DE JULHO DE 2023.</v>
      </c>
      <c r="L22">
        <f>SUMIF(Entradas!$B:$B,'Entrada Lvl 5-4 qt'!$B22,Entradas!S:S)</f>
        <v>4379.9484839999996</v>
      </c>
      <c r="M22" t="str">
        <f>_xlfn.XLOOKUP($B22,Entradas!$B:$B,Entradas!T:T,,0,1)</f>
        <v>Aéreo</v>
      </c>
      <c r="N22" t="str">
        <f>_xlfn.XLOOKUP($B22,Entradas!$B:$B,Entradas!U:U,,0,1)</f>
        <v>Não</v>
      </c>
      <c r="O22" t="str">
        <f>_xlfn.XLOOKUP($B22,Entradas!$B:$B,Entradas!V:V,,0,1)</f>
        <v>Realizada</v>
      </c>
      <c r="P22" t="str">
        <f>_xlfn.XLOOKUP($B22,Entradas!$B:$B,Entradas!W:W,,0,1)</f>
        <v>NÃO</v>
      </c>
      <c r="Q22" t="str">
        <f>_xlfn.XLOOKUP($B22,Entradas!$B:$B,Entradas!X:X,,0,1)</f>
        <v>Sem informação</v>
      </c>
      <c r="R22" s="36">
        <f>SUMIF(Entradas!$B:$B,'Entrada Lvl 5-4 qt'!$B22,Entradas!Y:Y)</f>
        <v>0</v>
      </c>
      <c r="S22" s="36">
        <f>SUMIF(Entradas!$B:$B,'Entrada Lvl 5-4 qt'!$B22,Entradas!Z:Z)</f>
        <v>0</v>
      </c>
      <c r="T22" s="36">
        <f>SUMIF(Entradas!$B:$B,'Entrada Lvl 5-4 qt'!$B22,Entradas!AA:AA)</f>
        <v>1479.32</v>
      </c>
      <c r="U22" s="36">
        <f>SUMIF(Entradas!$B:$B,'Entrada Lvl 5-4 qt'!$B22,Entradas!AB:AB)</f>
        <v>0</v>
      </c>
      <c r="V22" s="49">
        <f>_xlfn.XLOOKUP($B22,Entradas!$B:$B,Entradas!AC:AC,,0,1)</f>
        <v>45071</v>
      </c>
      <c r="W22" s="58">
        <f t="shared" si="3"/>
        <v>4</v>
      </c>
      <c r="X22" s="28" t="s">
        <v>10</v>
      </c>
      <c r="Y22" s="32">
        <f t="shared" si="0"/>
        <v>0</v>
      </c>
      <c r="Z22" s="33">
        <f t="shared" si="1"/>
        <v>1479.32</v>
      </c>
      <c r="AA22" s="34">
        <f t="shared" si="2"/>
        <v>0</v>
      </c>
      <c r="AB22" s="28" t="s">
        <v>1814</v>
      </c>
      <c r="AC22" s="28" t="s">
        <v>1822</v>
      </c>
      <c r="AD22" s="29" t="str" cm="1">
        <f t="array" ref="AD22">_xlfn.IFS(L22&lt;=Constantes!$G$2,"Muito Curta (evitável)",L22&lt;=Constantes!$H$2,"Curta Distância",L22&gt;Constantes!$H$2,"Longa Distância")</f>
        <v>Longa Distância</v>
      </c>
      <c r="AE22" s="30" t="str">
        <f t="shared" si="4"/>
        <v>NÃO</v>
      </c>
      <c r="AF22" s="30">
        <f>SUMIF(Entradas!$B:$B,'Entrada Lvl 5-4 qt'!$B22,Entradas!$AG:$AG)</f>
        <v>800.95835140972315</v>
      </c>
      <c r="AG22" s="30"/>
      <c r="BD22" s="49"/>
      <c r="BE22" s="49"/>
    </row>
    <row r="23" spans="1:57" x14ac:dyDescent="0.3">
      <c r="A23">
        <f>_xlfn.XLOOKUP(B23,Entradas!B:B,Entradas!A:A,,0,-1)</f>
        <v>2</v>
      </c>
      <c r="B23">
        <v>19006789</v>
      </c>
      <c r="C23" t="str">
        <f>_xlfn.XLOOKUP($B23,Entradas!$B:$B,Entradas!C:C,,0,1)</f>
        <v>000546/23</v>
      </c>
      <c r="D23" t="str">
        <f>_xlfn.XLOOKUP($B23,Entradas!$B:$B,Entradas!D:D,,0,1)</f>
        <v>***.219.784-**</v>
      </c>
      <c r="E23" t="str">
        <f>_xlfn.XLOOKUP($B23,Entradas!$B:$B,Entradas!E:E,,0,1)</f>
        <v>WENNER GLAUCIO LOPES LUCENA</v>
      </c>
      <c r="F23" t="str">
        <f>_xlfn.XLOOKUP($B23,Entradas!$B:$B,Entradas!F:F,,0,1)</f>
        <v>PROFESSOR DO MAGISTERIO SUPERIOR</v>
      </c>
      <c r="G23" t="str">
        <f>_xlfn.XLOOKUP($B23,Entradas!$B:$B,Entradas!G:G,,0,1)</f>
        <v>FUC-0001</v>
      </c>
      <c r="H23" t="str">
        <f>_xlfn.XLOOKUP($B23,Entradas!$B:$B,Entradas!H:H,,0,1)</f>
        <v>FUC-0001</v>
      </c>
      <c r="I23" s="49">
        <f>_xlfn.XLOOKUP($B23,Entradas!$B:$B,Entradas!I:I,,0,1)</f>
        <v>45132</v>
      </c>
      <c r="J23" s="49">
        <f>_xlfn.XLOOKUP($B23,Entradas!$B:$B,Entradas!J:J,,0,1)</f>
        <v>45136</v>
      </c>
      <c r="K23" t="str">
        <f>_xlfn.XLOOKUP($B23,Entradas!$B:$B,Entradas!K:K,,0,1)</f>
        <v>Participação com aprovação de artigo científico no USP Internacional Conference in Accounting da Universidade de São Paulo - USP que será realizado nos dias 26 a 28 de julho de 2023.</v>
      </c>
      <c r="L23">
        <f>SUMIF(Entradas!$B:$B,'Entrada Lvl 5-4 qt'!$B23,Entradas!S:S)</f>
        <v>4379.9484839999996</v>
      </c>
      <c r="M23" t="str">
        <f>_xlfn.XLOOKUP($B23,Entradas!$B:$B,Entradas!T:T,,0,1)</f>
        <v>Aéreo</v>
      </c>
      <c r="N23" t="str">
        <f>_xlfn.XLOOKUP($B23,Entradas!$B:$B,Entradas!U:U,,0,1)</f>
        <v>Sim</v>
      </c>
      <c r="O23" t="str">
        <f>_xlfn.XLOOKUP($B23,Entradas!$B:$B,Entradas!V:V,,0,1)</f>
        <v>Realizada</v>
      </c>
      <c r="P23" t="str">
        <f>_xlfn.XLOOKUP($B23,Entradas!$B:$B,Entradas!W:W,,0,1)</f>
        <v>NÃO</v>
      </c>
      <c r="Q23" t="str">
        <f>_xlfn.XLOOKUP($B23,Entradas!$B:$B,Entradas!X:X,,0,1)</f>
        <v>Sem informação</v>
      </c>
      <c r="R23" s="36">
        <f>SUMIF(Entradas!$B:$B,'Entrada Lvl 5-4 qt'!$B23,Entradas!Y:Y)</f>
        <v>1690.49</v>
      </c>
      <c r="S23" s="36">
        <f>SUMIF(Entradas!$B:$B,'Entrada Lvl 5-4 qt'!$B23,Entradas!Z:Z)</f>
        <v>0</v>
      </c>
      <c r="T23" s="36">
        <f>SUMIF(Entradas!$B:$B,'Entrada Lvl 5-4 qt'!$B23,Entradas!AA:AA)</f>
        <v>2103.92</v>
      </c>
      <c r="U23" s="36">
        <f>SUMIF(Entradas!$B:$B,'Entrada Lvl 5-4 qt'!$B23,Entradas!AB:AB)</f>
        <v>0</v>
      </c>
      <c r="V23" s="49">
        <f>_xlfn.XLOOKUP($B23,Entradas!$B:$B,Entradas!AC:AC,,0,1)</f>
        <v>45117</v>
      </c>
      <c r="W23" s="58">
        <f t="shared" si="3"/>
        <v>4</v>
      </c>
      <c r="X23" s="28" t="s">
        <v>10</v>
      </c>
      <c r="Y23" s="32">
        <f t="shared" si="0"/>
        <v>0</v>
      </c>
      <c r="Z23" s="33">
        <f t="shared" si="1"/>
        <v>2103.92</v>
      </c>
      <c r="AA23" s="34">
        <f t="shared" si="2"/>
        <v>1690.49</v>
      </c>
      <c r="AB23" s="28" t="s">
        <v>1814</v>
      </c>
      <c r="AC23" s="28" t="s">
        <v>1820</v>
      </c>
      <c r="AD23" s="29" t="str" cm="1">
        <f t="array" ref="AD23">_xlfn.IFS(L23&lt;=Constantes!$G$2,"Muito Curta (evitável)",L23&lt;=Constantes!$H$2,"Curta Distância",L23&gt;Constantes!$H$2,"Longa Distância")</f>
        <v>Longa Distância</v>
      </c>
      <c r="AE23" s="30" t="str">
        <f t="shared" si="4"/>
        <v>NÃO</v>
      </c>
      <c r="AF23" s="30">
        <f>SUMIF(Entradas!$B:$B,'Entrada Lvl 5-4 qt'!$B23,Entradas!$AG:$AG)</f>
        <v>800.95835140972315</v>
      </c>
      <c r="AG23" s="30"/>
      <c r="BD23" s="49"/>
      <c r="BE23" s="49"/>
    </row>
    <row r="24" spans="1:57" x14ac:dyDescent="0.3">
      <c r="A24">
        <f>_xlfn.XLOOKUP(B24,Entradas!B:B,Entradas!A:A,,0,-1)</f>
        <v>2</v>
      </c>
      <c r="B24">
        <v>19052755</v>
      </c>
      <c r="C24" t="str">
        <f>_xlfn.XLOOKUP($B24,Entradas!$B:$B,Entradas!C:C,,0,1)</f>
        <v>000545/23</v>
      </c>
      <c r="D24" t="str">
        <f>_xlfn.XLOOKUP($B24,Entradas!$B:$B,Entradas!D:D,,0,1)</f>
        <v>***.591.764-**</v>
      </c>
      <c r="E24" t="str">
        <f>_xlfn.XLOOKUP($B24,Entradas!$B:$B,Entradas!E:E,,0,1)</f>
        <v>ROBERIO DANTAS DE FRANCA</v>
      </c>
      <c r="F24" t="str">
        <f>_xlfn.XLOOKUP($B24,Entradas!$B:$B,Entradas!F:F,,0,1)</f>
        <v>PROFESSOR DO MAGISTERIO SUPERIOR</v>
      </c>
      <c r="G24" t="str">
        <f>_xlfn.XLOOKUP($B24,Entradas!$B:$B,Entradas!G:G,,0,1)</f>
        <v>FUC-0001</v>
      </c>
      <c r="H24" t="str">
        <f>_xlfn.XLOOKUP($B24,Entradas!$B:$B,Entradas!H:H,,0,1)</f>
        <v>FUC-0001</v>
      </c>
      <c r="I24" s="49">
        <f>_xlfn.XLOOKUP($B24,Entradas!$B:$B,Entradas!I:I,,0,1)</f>
        <v>45132</v>
      </c>
      <c r="J24" s="49">
        <f>_xlfn.XLOOKUP($B24,Entradas!$B:$B,Entradas!J:J,,0,1)</f>
        <v>45136</v>
      </c>
      <c r="K24" t="str">
        <f>_xlfn.XLOOKUP($B24,Entradas!$B:$B,Entradas!K:K,,0,1)</f>
        <v>Participação no evento USP Internacional Conference in Accounting da Universidade de São Paulo - USP que será realizado nos dias 26 a 28 de julho de 2023, em São Paulo-SP.</v>
      </c>
      <c r="L24">
        <f>SUMIF(Entradas!$B:$B,'Entrada Lvl 5-4 qt'!$B24,Entradas!S:S)</f>
        <v>4379.9484839999996</v>
      </c>
      <c r="M24" t="str">
        <f>_xlfn.XLOOKUP($B24,Entradas!$B:$B,Entradas!T:T,,0,1)</f>
        <v>Aéreo</v>
      </c>
      <c r="N24" t="str">
        <f>_xlfn.XLOOKUP($B24,Entradas!$B:$B,Entradas!U:U,,0,1)</f>
        <v>Sim</v>
      </c>
      <c r="O24" t="str">
        <f>_xlfn.XLOOKUP($B24,Entradas!$B:$B,Entradas!V:V,,0,1)</f>
        <v>Realizada</v>
      </c>
      <c r="P24" t="str">
        <f>_xlfn.XLOOKUP($B24,Entradas!$B:$B,Entradas!W:W,,0,1)</f>
        <v>NÃO</v>
      </c>
      <c r="Q24" t="str">
        <f>_xlfn.XLOOKUP($B24,Entradas!$B:$B,Entradas!X:X,,0,1)</f>
        <v>Sem informação</v>
      </c>
      <c r="R24" s="36">
        <f>SUMIF(Entradas!$B:$B,'Entrada Lvl 5-4 qt'!$B24,Entradas!Y:Y)</f>
        <v>1690.49</v>
      </c>
      <c r="S24" s="36">
        <f>SUMIF(Entradas!$B:$B,'Entrada Lvl 5-4 qt'!$B24,Entradas!Z:Z)</f>
        <v>0</v>
      </c>
      <c r="T24" s="36">
        <f>SUMIF(Entradas!$B:$B,'Entrada Lvl 5-4 qt'!$B24,Entradas!AA:AA)</f>
        <v>2103.92</v>
      </c>
      <c r="U24" s="36">
        <f>SUMIF(Entradas!$B:$B,'Entrada Lvl 5-4 qt'!$B24,Entradas!AB:AB)</f>
        <v>0</v>
      </c>
      <c r="V24" s="49">
        <f>_xlfn.XLOOKUP($B24,Entradas!$B:$B,Entradas!AC:AC,,0,1)</f>
        <v>45117</v>
      </c>
      <c r="W24" s="58">
        <f t="shared" si="3"/>
        <v>4</v>
      </c>
      <c r="X24" s="28" t="s">
        <v>10</v>
      </c>
      <c r="Y24" s="32">
        <f t="shared" si="0"/>
        <v>0</v>
      </c>
      <c r="Z24" s="33">
        <f t="shared" si="1"/>
        <v>2103.92</v>
      </c>
      <c r="AA24" s="34">
        <f t="shared" si="2"/>
        <v>1690.49</v>
      </c>
      <c r="AB24" s="28" t="s">
        <v>1814</v>
      </c>
      <c r="AC24" s="28" t="s">
        <v>1820</v>
      </c>
      <c r="AD24" s="29" t="str" cm="1">
        <f t="array" ref="AD24">_xlfn.IFS(L24&lt;=Constantes!$G$2,"Muito Curta (evitável)",L24&lt;=Constantes!$H$2,"Curta Distância",L24&gt;Constantes!$H$2,"Longa Distância")</f>
        <v>Longa Distância</v>
      </c>
      <c r="AE24" s="30" t="str">
        <f t="shared" si="4"/>
        <v>NÃO</v>
      </c>
      <c r="AF24" s="30">
        <f>SUMIF(Entradas!$B:$B,'Entrada Lvl 5-4 qt'!$B24,Entradas!$AG:$AG)</f>
        <v>800.95835140972315</v>
      </c>
      <c r="AG24" s="30"/>
      <c r="BD24" s="49"/>
      <c r="BE24" s="49"/>
    </row>
    <row r="25" spans="1:57" x14ac:dyDescent="0.3">
      <c r="A25">
        <f>_xlfn.XLOOKUP(B25,Entradas!B:B,Entradas!A:A,,0,-1)</f>
        <v>2</v>
      </c>
      <c r="B25">
        <v>19052806</v>
      </c>
      <c r="C25" t="str">
        <f>_xlfn.XLOOKUP($B25,Entradas!$B:$B,Entradas!C:C,,0,1)</f>
        <v>000544/23</v>
      </c>
      <c r="D25" t="str">
        <f>_xlfn.XLOOKUP($B25,Entradas!$B:$B,Entradas!D:D,,0,1)</f>
        <v>***.079.524-**</v>
      </c>
      <c r="E25" t="str">
        <f>_xlfn.XLOOKUP($B25,Entradas!$B:$B,Entradas!E:E,,0,1)</f>
        <v>DIMAS BARRETO DE QUEIROZ</v>
      </c>
      <c r="F25" t="str">
        <f>_xlfn.XLOOKUP($B25,Entradas!$B:$B,Entradas!F:F,,0,1)</f>
        <v>PROFESSOR DO MAGISTERIO SUPERIOR</v>
      </c>
      <c r="G25" t="str">
        <f>_xlfn.XLOOKUP($B25,Entradas!$B:$B,Entradas!G:G,,0,1)</f>
        <v>-1</v>
      </c>
      <c r="H25" t="str">
        <f>_xlfn.XLOOKUP($B25,Entradas!$B:$B,Entradas!H:H,,0,1)</f>
        <v>Sem informação</v>
      </c>
      <c r="I25" s="49">
        <f>_xlfn.XLOOKUP($B25,Entradas!$B:$B,Entradas!I:I,,0,1)</f>
        <v>45132</v>
      </c>
      <c r="J25" s="49">
        <f>_xlfn.XLOOKUP($B25,Entradas!$B:$B,Entradas!J:J,,0,1)</f>
        <v>45136</v>
      </c>
      <c r="K25" t="str">
        <f>_xlfn.XLOOKUP($B25,Entradas!$B:$B,Entradas!K:K,,0,1)</f>
        <v>Participação com aprovação de artigo científico no USP Internacional Conference in Accounting da Universidade de São Paulo - USP que será realizado nos dias 26 a 28 de julho de 2023.</v>
      </c>
      <c r="L25">
        <f>SUMIF(Entradas!$B:$B,'Entrada Lvl 5-4 qt'!$B25,Entradas!S:S)</f>
        <v>4379.9484839999996</v>
      </c>
      <c r="M25" t="str">
        <f>_xlfn.XLOOKUP($B25,Entradas!$B:$B,Entradas!T:T,,0,1)</f>
        <v>Aéreo</v>
      </c>
      <c r="N25" t="str">
        <f>_xlfn.XLOOKUP($B25,Entradas!$B:$B,Entradas!U:U,,0,1)</f>
        <v>Não</v>
      </c>
      <c r="O25" t="str">
        <f>_xlfn.XLOOKUP($B25,Entradas!$B:$B,Entradas!V:V,,0,1)</f>
        <v>Realizada</v>
      </c>
      <c r="P25" t="str">
        <f>_xlfn.XLOOKUP($B25,Entradas!$B:$B,Entradas!W:W,,0,1)</f>
        <v>NÃO</v>
      </c>
      <c r="Q25" t="str">
        <f>_xlfn.XLOOKUP($B25,Entradas!$B:$B,Entradas!X:X,,0,1)</f>
        <v>Sem informação</v>
      </c>
      <c r="R25" s="36">
        <f>SUMIF(Entradas!$B:$B,'Entrada Lvl 5-4 qt'!$B25,Entradas!Y:Y)</f>
        <v>1690.49</v>
      </c>
      <c r="S25" s="36">
        <f>SUMIF(Entradas!$B:$B,'Entrada Lvl 5-4 qt'!$B25,Entradas!Z:Z)</f>
        <v>0</v>
      </c>
      <c r="T25" s="36">
        <f>SUMIF(Entradas!$B:$B,'Entrada Lvl 5-4 qt'!$B25,Entradas!AA:AA)</f>
        <v>2103.92</v>
      </c>
      <c r="U25" s="36">
        <f>SUMIF(Entradas!$B:$B,'Entrada Lvl 5-4 qt'!$B25,Entradas!AB:AB)</f>
        <v>0</v>
      </c>
      <c r="V25" s="49">
        <f>_xlfn.XLOOKUP($B25,Entradas!$B:$B,Entradas!AC:AC,,0,1)</f>
        <v>45117</v>
      </c>
      <c r="W25" s="58">
        <f t="shared" si="3"/>
        <v>4</v>
      </c>
      <c r="X25" s="28" t="s">
        <v>10</v>
      </c>
      <c r="Y25" s="32">
        <f t="shared" si="0"/>
        <v>0</v>
      </c>
      <c r="Z25" s="33">
        <f t="shared" si="1"/>
        <v>2103.92</v>
      </c>
      <c r="AA25" s="34">
        <f t="shared" si="2"/>
        <v>1690.49</v>
      </c>
      <c r="AB25" s="28" t="s">
        <v>1814</v>
      </c>
      <c r="AC25" s="28" t="s">
        <v>1820</v>
      </c>
      <c r="AD25" s="29" t="str" cm="1">
        <f t="array" ref="AD25">_xlfn.IFS(L25&lt;=Constantes!$G$2,"Muito Curta (evitável)",L25&lt;=Constantes!$H$2,"Curta Distância",L25&gt;Constantes!$H$2,"Longa Distância")</f>
        <v>Longa Distância</v>
      </c>
      <c r="AE25" s="30" t="str">
        <f t="shared" si="4"/>
        <v>NÃO</v>
      </c>
      <c r="AF25" s="30">
        <f>SUMIF(Entradas!$B:$B,'Entrada Lvl 5-4 qt'!$B25,Entradas!$AG:$AG)</f>
        <v>800.95835140972315</v>
      </c>
      <c r="AG25" s="30"/>
      <c r="BD25" s="49"/>
      <c r="BE25" s="49"/>
    </row>
    <row r="26" spans="1:57" x14ac:dyDescent="0.3">
      <c r="A26">
        <f>_xlfn.XLOOKUP(B26,Entradas!B:B,Entradas!A:A,,0,-1)</f>
        <v>3</v>
      </c>
      <c r="B26">
        <v>19073413</v>
      </c>
      <c r="C26" t="str">
        <f>_xlfn.XLOOKUP($B26,Entradas!$B:$B,Entradas!C:C,,0,1)</f>
        <v>000547/23</v>
      </c>
      <c r="D26" t="str">
        <f>_xlfn.XLOOKUP($B26,Entradas!$B:$B,Entradas!D:D,,0,1)</f>
        <v>***.265.564-**</v>
      </c>
      <c r="E26" t="str">
        <f>_xlfn.XLOOKUP($B26,Entradas!$B:$B,Entradas!E:E,,0,1)</f>
        <v>CASSIO NUNES DOS ANJOS</v>
      </c>
      <c r="F26" t="str">
        <f>_xlfn.XLOOKUP($B26,Entradas!$B:$B,Entradas!F:F,,0,1)</f>
        <v/>
      </c>
      <c r="G26" t="str">
        <f>_xlfn.XLOOKUP($B26,Entradas!$B:$B,Entradas!G:G,,0,1)</f>
        <v>-1</v>
      </c>
      <c r="H26" t="str">
        <f>_xlfn.XLOOKUP($B26,Entradas!$B:$B,Entradas!H:H,,0,1)</f>
        <v>Sem informação</v>
      </c>
      <c r="I26" s="49">
        <f>_xlfn.XLOOKUP($B26,Entradas!$B:$B,Entradas!I:I,,0,1)</f>
        <v>45133</v>
      </c>
      <c r="J26" s="49">
        <f>_xlfn.XLOOKUP($B26,Entradas!$B:$B,Entradas!J:J,,0,1)</f>
        <v>45141</v>
      </c>
      <c r="K26" t="str">
        <f>_xlfn.XLOOKUP($B26,Entradas!$B:$B,Entradas!K:K,,0,1)</f>
        <v>O proposto apresentará o artigo 'Oil proce forecast: a comparison between ARIMA, LSTM and ARI-MA-LSTM models' no XXIII Encontro Brasileiro de Finanças(EBFIN), que ocorrerá na cidade de São Paulo e também apresentará artigo na XX Escola de Séries Temporais e Econometria (ESTE), na cidade de Florianópolis-SC.</v>
      </c>
      <c r="L26">
        <f>SUMIF(Entradas!$B:$B,'Entrada Lvl 5-4 qt'!$B26,Entradas!S:S)</f>
        <v>5401.4639273999992</v>
      </c>
      <c r="M26" t="str">
        <f>_xlfn.XLOOKUP($B26,Entradas!$B:$B,Entradas!T:T,,0,1)</f>
        <v>Aéreo</v>
      </c>
      <c r="N26" t="str">
        <f>_xlfn.XLOOKUP($B26,Entradas!$B:$B,Entradas!U:U,,0,1)</f>
        <v>Não</v>
      </c>
      <c r="O26" t="str">
        <f>_xlfn.XLOOKUP($B26,Entradas!$B:$B,Entradas!V:V,,0,1)</f>
        <v>Realizada</v>
      </c>
      <c r="P26" t="str">
        <f>_xlfn.XLOOKUP($B26,Entradas!$B:$B,Entradas!W:W,,0,1)</f>
        <v>SIM</v>
      </c>
      <c r="Q26" t="str">
        <f>_xlfn.XLOOKUP($B26,Entradas!$B:$B,Entradas!X:X,,0,1)</f>
        <v>O pedido de viagem se deu no prazo correto, mas as intercorrências que têm atrasado o processamento da PCDP.</v>
      </c>
      <c r="R26" s="36">
        <f>SUMIF(Entradas!$B:$B,'Entrada Lvl 5-4 qt'!$B26,Entradas!Y:Y)</f>
        <v>0</v>
      </c>
      <c r="S26" s="36">
        <f>SUMIF(Entradas!$B:$B,'Entrada Lvl 5-4 qt'!$B26,Entradas!Z:Z)</f>
        <v>0</v>
      </c>
      <c r="T26" s="36">
        <f>SUMIF(Entradas!$B:$B,'Entrada Lvl 5-4 qt'!$B26,Entradas!AA:AA)</f>
        <v>2592.4899999999998</v>
      </c>
      <c r="U26" s="36">
        <f>SUMIF(Entradas!$B:$B,'Entrada Lvl 5-4 qt'!$B26,Entradas!AB:AB)</f>
        <v>0</v>
      </c>
      <c r="V26" s="49">
        <f>_xlfn.XLOOKUP($B26,Entradas!$B:$B,Entradas!AC:AC,,0,1)</f>
        <v>45119</v>
      </c>
      <c r="W26" s="58">
        <f t="shared" si="3"/>
        <v>8</v>
      </c>
      <c r="X26" s="28" t="s">
        <v>10</v>
      </c>
      <c r="Y26" s="32">
        <f t="shared" si="0"/>
        <v>1</v>
      </c>
      <c r="Z26" s="33">
        <f t="shared" si="1"/>
        <v>2592.4899999999998</v>
      </c>
      <c r="AA26" s="34">
        <f t="shared" si="2"/>
        <v>0</v>
      </c>
      <c r="AB26" s="28" t="s">
        <v>1814</v>
      </c>
      <c r="AC26" s="28" t="s">
        <v>1822</v>
      </c>
      <c r="AD26" s="29" t="str" cm="1">
        <f t="array" ref="AD26">_xlfn.IFS(L26&lt;=Constantes!$G$2,"Muito Curta (evitável)",L26&lt;=Constantes!$H$2,"Curta Distância",L26&gt;Constantes!$H$2,"Longa Distância")</f>
        <v>Longa Distância</v>
      </c>
      <c r="AE26" s="30" t="str">
        <f t="shared" si="4"/>
        <v>NÃO</v>
      </c>
      <c r="AF26" s="30">
        <f>SUMIF(Entradas!$B:$B,'Entrada Lvl 5-4 qt'!$B26,Entradas!$AG:$AG)</f>
        <v>1034.0429439881323</v>
      </c>
      <c r="AG26" s="30"/>
      <c r="BD26" s="49"/>
      <c r="BE26" s="49"/>
    </row>
    <row r="27" spans="1:57" x14ac:dyDescent="0.3">
      <c r="A27">
        <f>_xlfn.XLOOKUP(B27,Entradas!B:B,Entradas!A:A,,0,-1)</f>
        <v>2</v>
      </c>
      <c r="B27">
        <v>19119044</v>
      </c>
      <c r="C27" t="str">
        <f>_xlfn.XLOOKUP($B27,Entradas!$B:$B,Entradas!C:C,,0,1)</f>
        <v>000677/23</v>
      </c>
      <c r="D27" t="str">
        <f>_xlfn.XLOOKUP($B27,Entradas!$B:$B,Entradas!D:D,,0,1)</f>
        <v>***.134.274-**</v>
      </c>
      <c r="E27" t="str">
        <f>_xlfn.XLOOKUP($B27,Entradas!$B:$B,Entradas!E:E,,0,1)</f>
        <v>FABRINA TAYANE GUEDES FARIAS</v>
      </c>
      <c r="F27" t="str">
        <f>_xlfn.XLOOKUP($B27,Entradas!$B:$B,Entradas!F:F,,0,1)</f>
        <v/>
      </c>
      <c r="G27" t="str">
        <f>_xlfn.XLOOKUP($B27,Entradas!$B:$B,Entradas!G:G,,0,1)</f>
        <v>-1</v>
      </c>
      <c r="H27" t="str">
        <f>_xlfn.XLOOKUP($B27,Entradas!$B:$B,Entradas!H:H,,0,1)</f>
        <v>Sem informação</v>
      </c>
      <c r="I27" s="49">
        <f>_xlfn.XLOOKUP($B27,Entradas!$B:$B,Entradas!I:I,,0,1)</f>
        <v>45141</v>
      </c>
      <c r="J27" s="49">
        <f>_xlfn.XLOOKUP($B27,Entradas!$B:$B,Entradas!J:J,,0,1)</f>
        <v>45145</v>
      </c>
      <c r="K27" t="str">
        <f>_xlfn.XLOOKUP($B27,Entradas!$B:$B,Entradas!K:K,,0,1)</f>
        <v>PROPOSTO IRÁ PARTICIPAR DA II CONFERÊNCIA INTERNACIONAL DA CANNABIS MEDICINAL, NO CENTRO DE CONVENÇÕES FREI CANECA, NA CIDADE DE SÃO PAULO, NO PERÍODO DE 4 A 5 DE AGOSTO DO CORRENTE ANO, ONDE IRÁ APRESENTAR TRABALHO COMO ATIVIDADE ACADÊMICA DO SEU CURSO NA UFPB.</v>
      </c>
      <c r="L27">
        <f>SUMIF(Entradas!$B:$B,'Entrada Lvl 5-4 qt'!$B27,Entradas!S:S)</f>
        <v>4379.9484839999996</v>
      </c>
      <c r="M27" t="str">
        <f>_xlfn.XLOOKUP($B27,Entradas!$B:$B,Entradas!T:T,,0,1)</f>
        <v>Aéreo</v>
      </c>
      <c r="N27" t="str">
        <f>_xlfn.XLOOKUP($B27,Entradas!$B:$B,Entradas!U:U,,0,1)</f>
        <v>Não</v>
      </c>
      <c r="O27" t="str">
        <f>_xlfn.XLOOKUP($B27,Entradas!$B:$B,Entradas!V:V,,0,1)</f>
        <v>Realizada</v>
      </c>
      <c r="P27" t="str">
        <f>_xlfn.XLOOKUP($B27,Entradas!$B:$B,Entradas!W:W,,0,1)</f>
        <v>SIM</v>
      </c>
      <c r="Q27" t="str">
        <f>_xlfn.XLOOKUP($B27,Entradas!$B:$B,Entradas!X:X,,0,1)</f>
        <v>O PROPOSTO APENAS CONSEGUIU A CARTA DE ACEITE DO EVENTO JÁ DENTRO DO PERÍODO DE VIAGEM URGENTE.</v>
      </c>
      <c r="R27" s="36">
        <f>SUMIF(Entradas!$B:$B,'Entrada Lvl 5-4 qt'!$B27,Entradas!Y:Y)</f>
        <v>0</v>
      </c>
      <c r="S27" s="36">
        <f>SUMIF(Entradas!$B:$B,'Entrada Lvl 5-4 qt'!$B27,Entradas!Z:Z)</f>
        <v>0</v>
      </c>
      <c r="T27" s="36">
        <f>SUMIF(Entradas!$B:$B,'Entrada Lvl 5-4 qt'!$B27,Entradas!AA:AA)</f>
        <v>2009.2199999999998</v>
      </c>
      <c r="U27" s="36">
        <f>SUMIF(Entradas!$B:$B,'Entrada Lvl 5-4 qt'!$B27,Entradas!AB:AB)</f>
        <v>0</v>
      </c>
      <c r="V27" s="49">
        <f>_xlfn.XLOOKUP($B27,Entradas!$B:$B,Entradas!AC:AC,,0,1)</f>
        <v>45134</v>
      </c>
      <c r="W27" s="58">
        <f t="shared" si="3"/>
        <v>4</v>
      </c>
      <c r="X27" s="28" t="s">
        <v>10</v>
      </c>
      <c r="Y27" s="32">
        <f t="shared" si="0"/>
        <v>0</v>
      </c>
      <c r="Z27" s="33">
        <f t="shared" si="1"/>
        <v>2009.2199999999998</v>
      </c>
      <c r="AA27" s="34">
        <f t="shared" si="2"/>
        <v>0</v>
      </c>
      <c r="AB27" s="28" t="s">
        <v>1814</v>
      </c>
      <c r="AC27" s="28" t="s">
        <v>1822</v>
      </c>
      <c r="AD27" s="29" t="str" cm="1">
        <f t="array" ref="AD27">_xlfn.IFS(L27&lt;=Constantes!$G$2,"Muito Curta (evitável)",L27&lt;=Constantes!$H$2,"Curta Distância",L27&gt;Constantes!$H$2,"Longa Distância")</f>
        <v>Longa Distância</v>
      </c>
      <c r="AE27" s="30" t="str">
        <f t="shared" si="4"/>
        <v>NÃO</v>
      </c>
      <c r="AF27" s="30">
        <f>SUMIF(Entradas!$B:$B,'Entrada Lvl 5-4 qt'!$B27,Entradas!$AG:$AG)</f>
        <v>800.95835140972315</v>
      </c>
      <c r="AG27" s="30"/>
      <c r="BD27" s="49"/>
      <c r="BE27" s="49"/>
    </row>
    <row r="28" spans="1:57" x14ac:dyDescent="0.3">
      <c r="A28">
        <f>_xlfn.XLOOKUP(B28,Entradas!B:B,Entradas!A:A,,0,-1)</f>
        <v>2</v>
      </c>
      <c r="B28">
        <v>19119322</v>
      </c>
      <c r="C28" t="str">
        <f>_xlfn.XLOOKUP($B28,Entradas!$B:$B,Entradas!C:C,,0,1)</f>
        <v>000676/23</v>
      </c>
      <c r="D28" t="str">
        <f>_xlfn.XLOOKUP($B28,Entradas!$B:$B,Entradas!D:D,,0,1)</f>
        <v>***.349.934-**</v>
      </c>
      <c r="E28" t="str">
        <f>_xlfn.XLOOKUP($B28,Entradas!$B:$B,Entradas!E:E,,0,1)</f>
        <v>JOAO AURILIO CARDOSO DE MORAES</v>
      </c>
      <c r="F28" t="str">
        <f>_xlfn.XLOOKUP($B28,Entradas!$B:$B,Entradas!F:F,,0,1)</f>
        <v/>
      </c>
      <c r="G28" t="str">
        <f>_xlfn.XLOOKUP($B28,Entradas!$B:$B,Entradas!G:G,,0,1)</f>
        <v>-1</v>
      </c>
      <c r="H28" t="str">
        <f>_xlfn.XLOOKUP($B28,Entradas!$B:$B,Entradas!H:H,,0,1)</f>
        <v>Sem informação</v>
      </c>
      <c r="I28" s="49">
        <f>_xlfn.XLOOKUP($B28,Entradas!$B:$B,Entradas!I:I,,0,1)</f>
        <v>45141</v>
      </c>
      <c r="J28" s="49">
        <f>_xlfn.XLOOKUP($B28,Entradas!$B:$B,Entradas!J:J,,0,1)</f>
        <v>45144</v>
      </c>
      <c r="K28" t="str">
        <f>_xlfn.XLOOKUP($B28,Entradas!$B:$B,Entradas!K:K,,0,1)</f>
        <v>PROPOSTO IRÁ PARTICIPAR DA II CONFERÊNCIA INTERNACIONAL DA CANNABIS MEDICINAL, NO CENTRO DE CONVENÇÕES FREI CANECA, NA CIDADE DE SÃO PAULO, NO PERÍODO DE 4 A 5 DE AGOSTO DO CORRENTE ANO, ONDE IRÁ APRESENTAR TRABALHO COMO ATIVIDADE ACADÊMICA DO SEU CURSO NA UFPB.</v>
      </c>
      <c r="L28">
        <f>SUMIF(Entradas!$B:$B,'Entrada Lvl 5-4 qt'!$B28,Entradas!S:S)</f>
        <v>4379.9484839999996</v>
      </c>
      <c r="M28" t="str">
        <f>_xlfn.XLOOKUP($B28,Entradas!$B:$B,Entradas!T:T,,0,1)</f>
        <v>Aéreo</v>
      </c>
      <c r="N28" t="str">
        <f>_xlfn.XLOOKUP($B28,Entradas!$B:$B,Entradas!U:U,,0,1)</f>
        <v>Sim</v>
      </c>
      <c r="O28" t="str">
        <f>_xlfn.XLOOKUP($B28,Entradas!$B:$B,Entradas!V:V,,0,1)</f>
        <v>Realizada</v>
      </c>
      <c r="P28" t="str">
        <f>_xlfn.XLOOKUP($B28,Entradas!$B:$B,Entradas!W:W,,0,1)</f>
        <v>SIM</v>
      </c>
      <c r="Q28" t="str">
        <f>_xlfn.XLOOKUP($B28,Entradas!$B:$B,Entradas!X:X,,0,1)</f>
        <v>O PROPOSTO APENAS CONSEGUIU A CARTA DE ACEITE DO EVENTO JÁ DENTRO DO PERÍODO DE VIAGEM URGENTE.</v>
      </c>
      <c r="R28" s="36">
        <f>SUMIF(Entradas!$B:$B,'Entrada Lvl 5-4 qt'!$B28,Entradas!Y:Y)</f>
        <v>0</v>
      </c>
      <c r="S28" s="36">
        <f>SUMIF(Entradas!$B:$B,'Entrada Lvl 5-4 qt'!$B28,Entradas!Z:Z)</f>
        <v>0</v>
      </c>
      <c r="T28" s="36">
        <f>SUMIF(Entradas!$B:$B,'Entrada Lvl 5-4 qt'!$B28,Entradas!AA:AA)</f>
        <v>2009.2199999999998</v>
      </c>
      <c r="U28" s="36">
        <f>SUMIF(Entradas!$B:$B,'Entrada Lvl 5-4 qt'!$B28,Entradas!AB:AB)</f>
        <v>0</v>
      </c>
      <c r="V28" s="49">
        <f>_xlfn.XLOOKUP($B28,Entradas!$B:$B,Entradas!AC:AC,,0,1)</f>
        <v>45134</v>
      </c>
      <c r="W28" s="58">
        <f t="shared" si="3"/>
        <v>3</v>
      </c>
      <c r="X28" s="28" t="s">
        <v>10</v>
      </c>
      <c r="Y28" s="32">
        <f t="shared" si="0"/>
        <v>0</v>
      </c>
      <c r="Z28" s="33">
        <f t="shared" si="1"/>
        <v>2009.2199999999998</v>
      </c>
      <c r="AA28" s="34">
        <f t="shared" si="2"/>
        <v>0</v>
      </c>
      <c r="AB28" s="28" t="s">
        <v>1814</v>
      </c>
      <c r="AC28" s="28" t="s">
        <v>1822</v>
      </c>
      <c r="AD28" s="29" t="str" cm="1">
        <f t="array" ref="AD28">_xlfn.IFS(L28&lt;=Constantes!$G$2,"Muito Curta (evitável)",L28&lt;=Constantes!$H$2,"Curta Distância",L28&gt;Constantes!$H$2,"Longa Distância")</f>
        <v>Longa Distância</v>
      </c>
      <c r="AE28" s="30" t="str">
        <f t="shared" si="4"/>
        <v>NÃO</v>
      </c>
      <c r="AF28" s="30">
        <f>SUMIF(Entradas!$B:$B,'Entrada Lvl 5-4 qt'!$B28,Entradas!$AG:$AG)</f>
        <v>800.95835140972315</v>
      </c>
      <c r="AG28" s="30"/>
      <c r="BD28" s="49"/>
      <c r="BE28" s="49"/>
    </row>
    <row r="29" spans="1:57" x14ac:dyDescent="0.3">
      <c r="A29">
        <f>_xlfn.XLOOKUP(B29,Entradas!B:B,Entradas!A:A,,0,-1)</f>
        <v>2</v>
      </c>
      <c r="B29">
        <v>19109815</v>
      </c>
      <c r="C29" t="str">
        <f>_xlfn.XLOOKUP($B29,Entradas!$B:$B,Entradas!C:C,,0,1)</f>
        <v>000660/23</v>
      </c>
      <c r="D29" t="str">
        <f>_xlfn.XLOOKUP($B29,Entradas!$B:$B,Entradas!D:D,,0,1)</f>
        <v>***.051.554-**</v>
      </c>
      <c r="E29" t="str">
        <f>_xlfn.XLOOKUP($B29,Entradas!$B:$B,Entradas!E:E,,0,1)</f>
        <v>VALDINEY VELOSO GOUVEIA</v>
      </c>
      <c r="F29" t="str">
        <f>_xlfn.XLOOKUP($B29,Entradas!$B:$B,Entradas!F:F,,0,1)</f>
        <v>PROFESSOR DO MAGISTERIO SUPERIOR</v>
      </c>
      <c r="G29" t="str">
        <f>_xlfn.XLOOKUP($B29,Entradas!$B:$B,Entradas!G:G,,0,1)</f>
        <v>CD-0001</v>
      </c>
      <c r="H29" t="str">
        <f>_xlfn.XLOOKUP($B29,Entradas!$B:$B,Entradas!H:H,,0,1)</f>
        <v>Cargo Comissionado de Direção</v>
      </c>
      <c r="I29" s="49">
        <f>_xlfn.XLOOKUP($B29,Entradas!$B:$B,Entradas!I:I,,0,1)</f>
        <v>45142</v>
      </c>
      <c r="J29" s="49">
        <f>_xlfn.XLOOKUP($B29,Entradas!$B:$B,Entradas!J:J,,0,1)</f>
        <v>45143</v>
      </c>
      <c r="K29" t="str">
        <f>_xlfn.XLOOKUP($B29,Entradas!$B:$B,Entradas!K:K,,0,1)</f>
        <v>Participar da Cerimônia de Transmissão de Cargos de Reitor e Vice-Reitora da Universidade Federal do Rio de Janeiro, no Rio de Janeiro/RJ, no dia 04/08/2023.</v>
      </c>
      <c r="L29">
        <f>SUMIF(Entradas!$B:$B,'Entrada Lvl 5-4 qt'!$B29,Entradas!S:S)</f>
        <v>3923.0015720000001</v>
      </c>
      <c r="M29" t="str">
        <f>_xlfn.XLOOKUP($B29,Entradas!$B:$B,Entradas!T:T,,0,1)</f>
        <v>Aéreo</v>
      </c>
      <c r="N29" t="str">
        <f>_xlfn.XLOOKUP($B29,Entradas!$B:$B,Entradas!U:U,,0,1)</f>
        <v>Não</v>
      </c>
      <c r="O29" t="str">
        <f>_xlfn.XLOOKUP($B29,Entradas!$B:$B,Entradas!V:V,,0,1)</f>
        <v>Realizada</v>
      </c>
      <c r="P29" t="str">
        <f>_xlfn.XLOOKUP($B29,Entradas!$B:$B,Entradas!W:W,,0,1)</f>
        <v>SIM</v>
      </c>
      <c r="Q29" t="str">
        <f>_xlfn.XLOOKUP($B29,Entradas!$B:$B,Entradas!X:X,,0,1)</f>
        <v>Em razão da agenda da Reitoria, somente na data de 20/07/2023, proposto confirmou a ida, conforme justificativa no item 7 do Formulário de Solicitação.</v>
      </c>
      <c r="R29" s="36">
        <f>SUMIF(Entradas!$B:$B,'Entrada Lvl 5-4 qt'!$B29,Entradas!Y:Y)</f>
        <v>715.32</v>
      </c>
      <c r="S29" s="36">
        <f>SUMIF(Entradas!$B:$B,'Entrada Lvl 5-4 qt'!$B29,Entradas!Z:Z)</f>
        <v>0</v>
      </c>
      <c r="T29" s="36">
        <f>SUMIF(Entradas!$B:$B,'Entrada Lvl 5-4 qt'!$B29,Entradas!AA:AA)</f>
        <v>1470.0900000000001</v>
      </c>
      <c r="U29" s="36">
        <f>SUMIF(Entradas!$B:$B,'Entrada Lvl 5-4 qt'!$B29,Entradas!AB:AB)</f>
        <v>0</v>
      </c>
      <c r="V29" s="49">
        <f>_xlfn.XLOOKUP($B29,Entradas!$B:$B,Entradas!AC:AC,,0,1)</f>
        <v>45128</v>
      </c>
      <c r="W29" s="58">
        <f t="shared" si="3"/>
        <v>1</v>
      </c>
      <c r="X29" s="28" t="s">
        <v>10</v>
      </c>
      <c r="Y29" s="32">
        <f t="shared" si="0"/>
        <v>0</v>
      </c>
      <c r="Z29" s="33">
        <f t="shared" si="1"/>
        <v>1470.0900000000001</v>
      </c>
      <c r="AA29" s="34">
        <f t="shared" si="2"/>
        <v>715.32</v>
      </c>
      <c r="AB29" s="28" t="s">
        <v>1813</v>
      </c>
      <c r="AC29" s="28" t="s">
        <v>1784</v>
      </c>
      <c r="AD29" s="29" t="str" cm="1">
        <f t="array" ref="AD29">_xlfn.IFS(L29&lt;=Constantes!$G$2,"Muito Curta (evitável)",L29&lt;=Constantes!$H$2,"Curta Distância",L29&gt;Constantes!$H$2,"Longa Distância")</f>
        <v>Longa Distância</v>
      </c>
      <c r="AE29" s="30" t="str">
        <f t="shared" si="4"/>
        <v>NÃO</v>
      </c>
      <c r="AF29" s="30">
        <f>SUMIF(Entradas!$B:$B,'Entrada Lvl 5-4 qt'!$B29,Entradas!$AG:$AG)</f>
        <v>717.39676463438343</v>
      </c>
      <c r="AG29" s="30"/>
      <c r="BD29" s="49"/>
      <c r="BE29" s="49"/>
    </row>
    <row r="30" spans="1:57" x14ac:dyDescent="0.3">
      <c r="A30">
        <f>_xlfn.XLOOKUP(B30,Entradas!B:B,Entradas!A:A,,0,-1)</f>
        <v>2</v>
      </c>
      <c r="B30">
        <v>19076735</v>
      </c>
      <c r="C30" t="str">
        <f>_xlfn.XLOOKUP($B30,Entradas!$B:$B,Entradas!C:C,,0,1)</f>
        <v>000561/23</v>
      </c>
      <c r="D30" t="str">
        <f>_xlfn.XLOOKUP($B30,Entradas!$B:$B,Entradas!D:D,,0,1)</f>
        <v>***.427.978-**</v>
      </c>
      <c r="E30" t="str">
        <f>_xlfn.XLOOKUP($B30,Entradas!$B:$B,Entradas!E:E,,0,1)</f>
        <v>MARCELO DE SOUZA BISPO</v>
      </c>
      <c r="F30" t="str">
        <f>_xlfn.XLOOKUP($B30,Entradas!$B:$B,Entradas!F:F,,0,1)</f>
        <v>PROFESSOR DO MAGISTERIO SUPERIOR</v>
      </c>
      <c r="G30" t="str">
        <f>_xlfn.XLOOKUP($B30,Entradas!$B:$B,Entradas!G:G,,0,1)</f>
        <v>FUC-0001</v>
      </c>
      <c r="H30" t="str">
        <f>_xlfn.XLOOKUP($B30,Entradas!$B:$B,Entradas!H:H,,0,1)</f>
        <v>FUC-0001</v>
      </c>
      <c r="I30" s="49">
        <f>_xlfn.XLOOKUP($B30,Entradas!$B:$B,Entradas!I:I,,0,1)</f>
        <v>45143</v>
      </c>
      <c r="J30" s="49">
        <f>_xlfn.XLOOKUP($B30,Entradas!$B:$B,Entradas!J:J,,0,1)</f>
        <v>45146</v>
      </c>
      <c r="K30" t="str">
        <f>_xlfn.XLOOKUP($B30,Entradas!$B:$B,Entradas!K:K,,0,1)</f>
        <v>O Coordenador irá participar de uma reunião convidado pela Capes juntamente com todos os coordenadores de pós-graduação das Regiões Norte, Nordeste e Centro-Oeste da área de Administração Pública e de Empresas, Ciências Contábeis e Turismo (área 27).</v>
      </c>
      <c r="L30">
        <f>SUMIF(Entradas!$B:$B,'Entrada Lvl 5-4 qt'!$B30,Entradas!S:S)</f>
        <v>1482.2388261999999</v>
      </c>
      <c r="M30" t="str">
        <f>_xlfn.XLOOKUP($B30,Entradas!$B:$B,Entradas!T:T,,0,1)</f>
        <v>Aéreo</v>
      </c>
      <c r="N30" t="str">
        <f>_xlfn.XLOOKUP($B30,Entradas!$B:$B,Entradas!U:U,,0,1)</f>
        <v>Sim</v>
      </c>
      <c r="O30" t="str">
        <f>_xlfn.XLOOKUP($B30,Entradas!$B:$B,Entradas!V:V,,0,1)</f>
        <v>Realizada</v>
      </c>
      <c r="P30" t="str">
        <f>_xlfn.XLOOKUP($B30,Entradas!$B:$B,Entradas!W:W,,0,1)</f>
        <v>NÃO</v>
      </c>
      <c r="Q30" t="str">
        <f>_xlfn.XLOOKUP($B30,Entradas!$B:$B,Entradas!X:X,,0,1)</f>
        <v>Sem informação</v>
      </c>
      <c r="R30" s="36">
        <f>SUMIF(Entradas!$B:$B,'Entrada Lvl 5-4 qt'!$B30,Entradas!Y:Y)</f>
        <v>1228.75</v>
      </c>
      <c r="S30" s="36">
        <f>SUMIF(Entradas!$B:$B,'Entrada Lvl 5-4 qt'!$B30,Entradas!Z:Z)</f>
        <v>0</v>
      </c>
      <c r="T30" s="36">
        <f>SUMIF(Entradas!$B:$B,'Entrada Lvl 5-4 qt'!$B30,Entradas!AA:AA)</f>
        <v>1302.3499999999999</v>
      </c>
      <c r="U30" s="36">
        <f>SUMIF(Entradas!$B:$B,'Entrada Lvl 5-4 qt'!$B30,Entradas!AB:AB)</f>
        <v>0</v>
      </c>
      <c r="V30" s="49">
        <f>_xlfn.XLOOKUP($B30,Entradas!$B:$B,Entradas!AC:AC,,0,1)</f>
        <v>45117</v>
      </c>
      <c r="W30" s="58">
        <f t="shared" si="3"/>
        <v>3</v>
      </c>
      <c r="X30" s="28" t="s">
        <v>10</v>
      </c>
      <c r="Y30" s="32">
        <f t="shared" si="0"/>
        <v>0</v>
      </c>
      <c r="Z30" s="33">
        <f t="shared" si="1"/>
        <v>1302.3499999999999</v>
      </c>
      <c r="AA30" s="34">
        <f t="shared" si="2"/>
        <v>1228.75</v>
      </c>
      <c r="AB30" s="28" t="s">
        <v>1815</v>
      </c>
      <c r="AC30" s="28" t="s">
        <v>1784</v>
      </c>
      <c r="AD30" s="29" t="str" cm="1">
        <f t="array" ref="AD30">_xlfn.IFS(L30&lt;=Constantes!$G$2,"Muito Curta (evitável)",L30&lt;=Constantes!$H$2,"Curta Distância",L30&gt;Constantes!$H$2,"Longa Distância")</f>
        <v>Curta Distância</v>
      </c>
      <c r="AE30" s="30" t="str">
        <f t="shared" si="4"/>
        <v>NÃO</v>
      </c>
      <c r="AF30" s="30">
        <f>SUMIF(Entradas!$B:$B,'Entrada Lvl 5-4 qt'!$B30,Entradas!$AG:$AG)</f>
        <v>271.05605715809952</v>
      </c>
      <c r="AG30" s="30"/>
      <c r="BD30" s="49"/>
      <c r="BE30" s="49"/>
    </row>
    <row r="31" spans="1:57" x14ac:dyDescent="0.3">
      <c r="A31">
        <f>_xlfn.XLOOKUP(B31,Entradas!B:B,Entradas!A:A,,0,-1)</f>
        <v>2</v>
      </c>
      <c r="B31">
        <v>19041175</v>
      </c>
      <c r="C31" t="str">
        <f>_xlfn.XLOOKUP($B31,Entradas!$B:$B,Entradas!C:C,,0,1)</f>
        <v>000491/23</v>
      </c>
      <c r="D31" t="str">
        <f>_xlfn.XLOOKUP($B31,Entradas!$B:$B,Entradas!D:D,,0,1)</f>
        <v>***.514.605-**</v>
      </c>
      <c r="E31" t="str">
        <f>_xlfn.XLOOKUP($B31,Entradas!$B:$B,Entradas!E:E,,0,1)</f>
        <v>ILKA DIAS BICHARA</v>
      </c>
      <c r="F31" t="str">
        <f>_xlfn.XLOOKUP($B31,Entradas!$B:$B,Entradas!F:F,,0,1)</f>
        <v/>
      </c>
      <c r="G31" t="str">
        <f>_xlfn.XLOOKUP($B31,Entradas!$B:$B,Entradas!G:G,,0,1)</f>
        <v>-1</v>
      </c>
      <c r="H31" t="str">
        <f>_xlfn.XLOOKUP($B31,Entradas!$B:$B,Entradas!H:H,,0,1)</f>
        <v>Sem informação</v>
      </c>
      <c r="I31" s="49">
        <f>_xlfn.XLOOKUP($B31,Entradas!$B:$B,Entradas!I:I,,0,1)</f>
        <v>45144</v>
      </c>
      <c r="J31" s="49">
        <f>_xlfn.XLOOKUP($B31,Entradas!$B:$B,Entradas!J:J,,0,1)</f>
        <v>45159</v>
      </c>
      <c r="K31" t="str">
        <f>_xlfn.XLOOKUP($B31,Entradas!$B:$B,Entradas!K:K,,0,1)</f>
        <v>Participar como membro efetivo em banca examinadora de Concurso Público na área de Psicologia do Desenvolvimento Infantil, Edital nº 57/2022/UFPB.</v>
      </c>
      <c r="L31">
        <f>SUMIF(Entradas!$B:$B,'Entrada Lvl 5-4 qt'!$B31,Entradas!S:S)</f>
        <v>1482.2388261999999</v>
      </c>
      <c r="M31" t="str">
        <f>_xlfn.XLOOKUP($B31,Entradas!$B:$B,Entradas!T:T,,0,1)</f>
        <v>Aéreo</v>
      </c>
      <c r="N31" t="str">
        <f>_xlfn.XLOOKUP($B31,Entradas!$B:$B,Entradas!U:U,,0,1)</f>
        <v>Sim</v>
      </c>
      <c r="O31" t="str">
        <f>_xlfn.XLOOKUP($B31,Entradas!$B:$B,Entradas!V:V,,0,1)</f>
        <v>Realizada</v>
      </c>
      <c r="P31" t="str">
        <f>_xlfn.XLOOKUP($B31,Entradas!$B:$B,Entradas!W:W,,0,1)</f>
        <v>NÃO</v>
      </c>
      <c r="Q31" t="str">
        <f>_xlfn.XLOOKUP($B31,Entradas!$B:$B,Entradas!X:X,,0,1)</f>
        <v>Sem informação</v>
      </c>
      <c r="R31" s="36">
        <f>SUMIF(Entradas!$B:$B,'Entrada Lvl 5-4 qt'!$B31,Entradas!Y:Y)</f>
        <v>0</v>
      </c>
      <c r="S31" s="36">
        <f>SUMIF(Entradas!$B:$B,'Entrada Lvl 5-4 qt'!$B31,Entradas!Z:Z)</f>
        <v>0</v>
      </c>
      <c r="T31" s="36">
        <f>SUMIF(Entradas!$B:$B,'Entrada Lvl 5-4 qt'!$B31,Entradas!AA:AA)</f>
        <v>1178.1500000000001</v>
      </c>
      <c r="U31" s="36">
        <f>SUMIF(Entradas!$B:$B,'Entrada Lvl 5-4 qt'!$B31,Entradas!AB:AB)</f>
        <v>0</v>
      </c>
      <c r="V31" s="49">
        <f>_xlfn.XLOOKUP($B31,Entradas!$B:$B,Entradas!AC:AC,,0,1)</f>
        <v>45111</v>
      </c>
      <c r="W31" s="58">
        <f t="shared" si="3"/>
        <v>15</v>
      </c>
      <c r="X31" s="28" t="s">
        <v>10</v>
      </c>
      <c r="Y31" s="32">
        <f t="shared" si="0"/>
        <v>0</v>
      </c>
      <c r="Z31" s="33">
        <f t="shared" si="1"/>
        <v>1178.1500000000001</v>
      </c>
      <c r="AA31" s="34">
        <f t="shared" si="2"/>
        <v>0</v>
      </c>
      <c r="AB31" s="28" t="s">
        <v>1812</v>
      </c>
      <c r="AC31" s="28" t="s">
        <v>1821</v>
      </c>
      <c r="AD31" s="29" t="str" cm="1">
        <f t="array" ref="AD31">_xlfn.IFS(L31&lt;=Constantes!$G$2,"Muito Curta (evitável)",L31&lt;=Constantes!$H$2,"Curta Distância",L31&gt;Constantes!$H$2,"Longa Distância")</f>
        <v>Curta Distância</v>
      </c>
      <c r="AE31" s="30" t="str">
        <f t="shared" si="4"/>
        <v>NÃO</v>
      </c>
      <c r="AF31" s="30">
        <f>SUMIF(Entradas!$B:$B,'Entrada Lvl 5-4 qt'!$B31,Entradas!$AG:$AG)</f>
        <v>271.05605715809952</v>
      </c>
      <c r="AG31" s="30"/>
      <c r="BD31" s="49"/>
      <c r="BE31" s="49"/>
    </row>
    <row r="32" spans="1:57" x14ac:dyDescent="0.3">
      <c r="A32">
        <f>_xlfn.XLOOKUP(B32,Entradas!B:B,Entradas!A:A,,0,-1)</f>
        <v>2</v>
      </c>
      <c r="B32">
        <v>19044799</v>
      </c>
      <c r="C32" t="str">
        <f>_xlfn.XLOOKUP($B32,Entradas!$B:$B,Entradas!C:C,,0,1)</f>
        <v>000507/23</v>
      </c>
      <c r="D32" t="str">
        <f>_xlfn.XLOOKUP($B32,Entradas!$B:$B,Entradas!D:D,,0,1)</f>
        <v>***.042.567-**</v>
      </c>
      <c r="E32" t="str">
        <f>_xlfn.XLOOKUP($B32,Entradas!$B:$B,Entradas!E:E,,0,1)</f>
        <v>VERA MARIA RAMOS DE VASCONCELLOS</v>
      </c>
      <c r="F32" t="str">
        <f>_xlfn.XLOOKUP($B32,Entradas!$B:$B,Entradas!F:F,,0,1)</f>
        <v/>
      </c>
      <c r="G32" t="str">
        <f>_xlfn.XLOOKUP($B32,Entradas!$B:$B,Entradas!G:G,,0,1)</f>
        <v>-1</v>
      </c>
      <c r="H32" t="str">
        <f>_xlfn.XLOOKUP($B32,Entradas!$B:$B,Entradas!H:H,,0,1)</f>
        <v>Sem informação</v>
      </c>
      <c r="I32" s="49">
        <f>_xlfn.XLOOKUP($B32,Entradas!$B:$B,Entradas!I:I,,0,1)</f>
        <v>45144</v>
      </c>
      <c r="J32" s="49">
        <f>_xlfn.XLOOKUP($B32,Entradas!$B:$B,Entradas!J:J,,0,1)</f>
        <v>45159</v>
      </c>
      <c r="K32" t="str">
        <f>_xlfn.XLOOKUP($B32,Entradas!$B:$B,Entradas!K:K,,0,1)</f>
        <v>Participar como membro efetivo em banca examinadora de Concurso Público na área de Psicologia do Desenvolvimento Infantil, Edital nº 57/2022/UFPB.</v>
      </c>
      <c r="L32">
        <f>SUMIF(Entradas!$B:$B,'Entrada Lvl 5-4 qt'!$B32,Entradas!S:S)</f>
        <v>3923.0015720000001</v>
      </c>
      <c r="M32" t="str">
        <f>_xlfn.XLOOKUP($B32,Entradas!$B:$B,Entradas!T:T,,0,1)</f>
        <v>Aéreo</v>
      </c>
      <c r="N32" t="str">
        <f>_xlfn.XLOOKUP($B32,Entradas!$B:$B,Entradas!U:U,,0,1)</f>
        <v>Não</v>
      </c>
      <c r="O32" t="str">
        <f>_xlfn.XLOOKUP($B32,Entradas!$B:$B,Entradas!V:V,,0,1)</f>
        <v>Realizada</v>
      </c>
      <c r="P32" t="str">
        <f>_xlfn.XLOOKUP($B32,Entradas!$B:$B,Entradas!W:W,,0,1)</f>
        <v>NÃO</v>
      </c>
      <c r="Q32" t="str">
        <f>_xlfn.XLOOKUP($B32,Entradas!$B:$B,Entradas!X:X,,0,1)</f>
        <v>Sem informação</v>
      </c>
      <c r="R32" s="36">
        <f>SUMIF(Entradas!$B:$B,'Entrada Lvl 5-4 qt'!$B32,Entradas!Y:Y)</f>
        <v>5380.81</v>
      </c>
      <c r="S32" s="36">
        <f>SUMIF(Entradas!$B:$B,'Entrada Lvl 5-4 qt'!$B32,Entradas!Z:Z)</f>
        <v>0</v>
      </c>
      <c r="T32" s="36">
        <f>SUMIF(Entradas!$B:$B,'Entrada Lvl 5-4 qt'!$B32,Entradas!AA:AA)</f>
        <v>1716.49</v>
      </c>
      <c r="U32" s="36">
        <f>SUMIF(Entradas!$B:$B,'Entrada Lvl 5-4 qt'!$B32,Entradas!AB:AB)</f>
        <v>0</v>
      </c>
      <c r="V32" s="49">
        <f>_xlfn.XLOOKUP($B32,Entradas!$B:$B,Entradas!AC:AC,,0,1)</f>
        <v>45112</v>
      </c>
      <c r="W32" s="58">
        <f t="shared" si="3"/>
        <v>15</v>
      </c>
      <c r="X32" s="28" t="s">
        <v>10</v>
      </c>
      <c r="Y32" s="32">
        <f t="shared" si="0"/>
        <v>0</v>
      </c>
      <c r="Z32" s="33">
        <f t="shared" si="1"/>
        <v>1716.49</v>
      </c>
      <c r="AA32" s="34">
        <f t="shared" si="2"/>
        <v>5380.81</v>
      </c>
      <c r="AB32" s="28" t="s">
        <v>1812</v>
      </c>
      <c r="AC32" s="28" t="s">
        <v>1821</v>
      </c>
      <c r="AD32" s="29" t="str" cm="1">
        <f t="array" ref="AD32">_xlfn.IFS(L32&lt;=Constantes!$G$2,"Muito Curta (evitável)",L32&lt;=Constantes!$H$2,"Curta Distância",L32&gt;Constantes!$H$2,"Longa Distância")</f>
        <v>Longa Distância</v>
      </c>
      <c r="AE32" s="30" t="str">
        <f t="shared" si="4"/>
        <v>NÃO</v>
      </c>
      <c r="AF32" s="30">
        <f>SUMIF(Entradas!$B:$B,'Entrada Lvl 5-4 qt'!$B32,Entradas!$AG:$AG)</f>
        <v>717.39676463438343</v>
      </c>
      <c r="AG32" s="30"/>
      <c r="BD32" s="49"/>
      <c r="BE32" s="49"/>
    </row>
    <row r="33" spans="1:57" x14ac:dyDescent="0.3">
      <c r="A33">
        <f>_xlfn.XLOOKUP(B33,Entradas!B:B,Entradas!A:A,,0,-1)</f>
        <v>2</v>
      </c>
      <c r="B33">
        <v>19052875</v>
      </c>
      <c r="C33" t="str">
        <f>_xlfn.XLOOKUP($B33,Entradas!$B:$B,Entradas!C:C,,0,1)</f>
        <v>000565/23</v>
      </c>
      <c r="D33" t="str">
        <f>_xlfn.XLOOKUP($B33,Entradas!$B:$B,Entradas!D:D,,0,1)</f>
        <v>***.219.784-**</v>
      </c>
      <c r="E33" t="str">
        <f>_xlfn.XLOOKUP($B33,Entradas!$B:$B,Entradas!E:E,,0,1)</f>
        <v>WENNER GLAUCIO LOPES LUCENA</v>
      </c>
      <c r="F33" t="str">
        <f>_xlfn.XLOOKUP($B33,Entradas!$B:$B,Entradas!F:F,,0,1)</f>
        <v>PROFESSOR DO MAGISTERIO SUPERIOR</v>
      </c>
      <c r="G33" t="str">
        <f>_xlfn.XLOOKUP($B33,Entradas!$B:$B,Entradas!G:G,,0,1)</f>
        <v>FUC-0001</v>
      </c>
      <c r="H33" t="str">
        <f>_xlfn.XLOOKUP($B33,Entradas!$B:$B,Entradas!H:H,,0,1)</f>
        <v>FUC-0001</v>
      </c>
      <c r="I33" s="49">
        <f>_xlfn.XLOOKUP($B33,Entradas!$B:$B,Entradas!I:I,,0,1)</f>
        <v>45144</v>
      </c>
      <c r="J33" s="49">
        <f>_xlfn.XLOOKUP($B33,Entradas!$B:$B,Entradas!J:J,,0,1)</f>
        <v>45146</v>
      </c>
      <c r="K33" t="str">
        <f>_xlfn.XLOOKUP($B33,Entradas!$B:$B,Entradas!K:K,,0,1)</f>
        <v>Participação da reunião de coordenadores de programas de pós-graduação das Regiões Norte, Nordeste e Centro-Oeste da área de Administração Pública e de Empresas, Ciências Contábeis e Turismo (área 27).</v>
      </c>
      <c r="L33">
        <f>SUMIF(Entradas!$B:$B,'Entrada Lvl 5-4 qt'!$B33,Entradas!S:S)</f>
        <v>1482.2388261999999</v>
      </c>
      <c r="M33" t="str">
        <f>_xlfn.XLOOKUP($B33,Entradas!$B:$B,Entradas!T:T,,0,1)</f>
        <v>Aéreo</v>
      </c>
      <c r="N33" t="str">
        <f>_xlfn.XLOOKUP($B33,Entradas!$B:$B,Entradas!U:U,,0,1)</f>
        <v>Não</v>
      </c>
      <c r="O33" t="str">
        <f>_xlfn.XLOOKUP($B33,Entradas!$B:$B,Entradas!V:V,,0,1)</f>
        <v>Realizada</v>
      </c>
      <c r="P33" t="str">
        <f>_xlfn.XLOOKUP($B33,Entradas!$B:$B,Entradas!W:W,,0,1)</f>
        <v>NÃO</v>
      </c>
      <c r="Q33" t="str">
        <f>_xlfn.XLOOKUP($B33,Entradas!$B:$B,Entradas!X:X,,0,1)</f>
        <v>Sem informação</v>
      </c>
      <c r="R33" s="36">
        <f>SUMIF(Entradas!$B:$B,'Entrada Lvl 5-4 qt'!$B33,Entradas!Y:Y)</f>
        <v>887.73</v>
      </c>
      <c r="S33" s="36">
        <f>SUMIF(Entradas!$B:$B,'Entrada Lvl 5-4 qt'!$B33,Entradas!Z:Z)</f>
        <v>0</v>
      </c>
      <c r="T33" s="36">
        <f>SUMIF(Entradas!$B:$B,'Entrada Lvl 5-4 qt'!$B33,Entradas!AA:AA)</f>
        <v>954.75</v>
      </c>
      <c r="U33" s="36">
        <f>SUMIF(Entradas!$B:$B,'Entrada Lvl 5-4 qt'!$B33,Entradas!AB:AB)</f>
        <v>0</v>
      </c>
      <c r="V33" s="49">
        <f>_xlfn.XLOOKUP($B33,Entradas!$B:$B,Entradas!AC:AC,,0,1)</f>
        <v>45118</v>
      </c>
      <c r="W33" s="58">
        <f t="shared" si="3"/>
        <v>2</v>
      </c>
      <c r="X33" s="28" t="s">
        <v>10</v>
      </c>
      <c r="Y33" s="32">
        <f t="shared" si="0"/>
        <v>0</v>
      </c>
      <c r="Z33" s="33">
        <f t="shared" si="1"/>
        <v>954.75</v>
      </c>
      <c r="AA33" s="34">
        <f t="shared" si="2"/>
        <v>887.73</v>
      </c>
      <c r="AB33" s="28" t="s">
        <v>1815</v>
      </c>
      <c r="AC33" s="28" t="s">
        <v>1784</v>
      </c>
      <c r="AD33" s="29" t="str" cm="1">
        <f t="array" ref="AD33">_xlfn.IFS(L33&lt;=Constantes!$G$2,"Muito Curta (evitável)",L33&lt;=Constantes!$H$2,"Curta Distância",L33&gt;Constantes!$H$2,"Longa Distância")</f>
        <v>Curta Distância</v>
      </c>
      <c r="AE33" s="30" t="str">
        <f t="shared" si="4"/>
        <v>NÃO</v>
      </c>
      <c r="AF33" s="30">
        <f>SUMIF(Entradas!$B:$B,'Entrada Lvl 5-4 qt'!$B33,Entradas!$AG:$AG)</f>
        <v>271.05605715809952</v>
      </c>
      <c r="AG33" s="30"/>
      <c r="BD33" s="49"/>
      <c r="BE33" s="49"/>
    </row>
    <row r="34" spans="1:57" x14ac:dyDescent="0.3">
      <c r="A34">
        <f>_xlfn.XLOOKUP(B34,Entradas!B:B,Entradas!A:A,,0,-1)</f>
        <v>2</v>
      </c>
      <c r="B34">
        <v>19086266</v>
      </c>
      <c r="C34" t="str">
        <f>_xlfn.XLOOKUP($B34,Entradas!$B:$B,Entradas!C:C,,0,1)</f>
        <v>000588/23</v>
      </c>
      <c r="D34" t="str">
        <f>_xlfn.XLOOKUP($B34,Entradas!$B:$B,Entradas!D:D,,0,1)</f>
        <v>***.932.194-**</v>
      </c>
      <c r="E34" t="str">
        <f>_xlfn.XLOOKUP($B34,Entradas!$B:$B,Entradas!E:E,,0,1)</f>
        <v>ANA CAROLINA KRUTA DE ARAUJO BISPO</v>
      </c>
      <c r="F34" t="str">
        <f>_xlfn.XLOOKUP($B34,Entradas!$B:$B,Entradas!F:F,,0,1)</f>
        <v>PROFESSOR DO MAGISTERIO SUPERIOR</v>
      </c>
      <c r="G34" t="str">
        <f>_xlfn.XLOOKUP($B34,Entradas!$B:$B,Entradas!G:G,,0,1)</f>
        <v>-1</v>
      </c>
      <c r="H34" t="str">
        <f>_xlfn.XLOOKUP($B34,Entradas!$B:$B,Entradas!H:H,,0,1)</f>
        <v>Sem informação</v>
      </c>
      <c r="I34" s="49">
        <f>_xlfn.XLOOKUP($B34,Entradas!$B:$B,Entradas!I:I,,0,1)</f>
        <v>45144</v>
      </c>
      <c r="J34" s="49">
        <f>_xlfn.XLOOKUP($B34,Entradas!$B:$B,Entradas!J:J,,0,1)</f>
        <v>45146</v>
      </c>
      <c r="K34" t="str">
        <f>_xlfn.XLOOKUP($B34,Entradas!$B:$B,Entradas!K:K,,0,1)</f>
        <v>Trata-se de participação para a reunião de coordenadores de programas de pós-graduação das Regiões Norte, Nordeste e Centro-Oeste da área de Administração Pública e de Empresas, Ciências Contábeis e Turismo (área 27), que acontecerá no dia 07 de agosto de 2023, das 9h00 às 18h00, em Salvador/BA, na Escola de Administração da Universidade Federal da Bahia (EAUFBA).</v>
      </c>
      <c r="L34">
        <f>SUMIF(Entradas!$B:$B,'Entrada Lvl 5-4 qt'!$B34,Entradas!S:S)</f>
        <v>1482.2388261999999</v>
      </c>
      <c r="M34" t="str">
        <f>_xlfn.XLOOKUP($B34,Entradas!$B:$B,Entradas!T:T,,0,1)</f>
        <v>Aéreo</v>
      </c>
      <c r="N34" t="str">
        <f>_xlfn.XLOOKUP($B34,Entradas!$B:$B,Entradas!U:U,,0,1)</f>
        <v>Sim</v>
      </c>
      <c r="O34" t="str">
        <f>_xlfn.XLOOKUP($B34,Entradas!$B:$B,Entradas!V:V,,0,1)</f>
        <v>Realizada</v>
      </c>
      <c r="P34" t="str">
        <f>_xlfn.XLOOKUP($B34,Entradas!$B:$B,Entradas!W:W,,0,1)</f>
        <v>NÃO</v>
      </c>
      <c r="Q34" t="str">
        <f>_xlfn.XLOOKUP($B34,Entradas!$B:$B,Entradas!X:X,,0,1)</f>
        <v>Sem informação</v>
      </c>
      <c r="R34" s="36">
        <f>SUMIF(Entradas!$B:$B,'Entrada Lvl 5-4 qt'!$B34,Entradas!Y:Y)</f>
        <v>887.73</v>
      </c>
      <c r="S34" s="36">
        <f>SUMIF(Entradas!$B:$B,'Entrada Lvl 5-4 qt'!$B34,Entradas!Z:Z)</f>
        <v>0</v>
      </c>
      <c r="T34" s="36">
        <f>SUMIF(Entradas!$B:$B,'Entrada Lvl 5-4 qt'!$B34,Entradas!AA:AA)</f>
        <v>1533.9499999999998</v>
      </c>
      <c r="U34" s="36">
        <f>SUMIF(Entradas!$B:$B,'Entrada Lvl 5-4 qt'!$B34,Entradas!AB:AB)</f>
        <v>0</v>
      </c>
      <c r="V34" s="49">
        <f>_xlfn.XLOOKUP($B34,Entradas!$B:$B,Entradas!AC:AC,,0,1)</f>
        <v>45119</v>
      </c>
      <c r="W34" s="58">
        <f t="shared" si="3"/>
        <v>2</v>
      </c>
      <c r="X34" s="28" t="s">
        <v>10</v>
      </c>
      <c r="Y34" s="32">
        <f t="shared" si="0"/>
        <v>0</v>
      </c>
      <c r="Z34" s="33">
        <f t="shared" si="1"/>
        <v>1533.9499999999998</v>
      </c>
      <c r="AA34" s="34">
        <f t="shared" si="2"/>
        <v>887.73</v>
      </c>
      <c r="AB34" s="28" t="s">
        <v>1815</v>
      </c>
      <c r="AC34" s="28" t="s">
        <v>1820</v>
      </c>
      <c r="AD34" s="29" t="str" cm="1">
        <f t="array" ref="AD34">_xlfn.IFS(L34&lt;=Constantes!$G$2,"Muito Curta (evitável)",L34&lt;=Constantes!$H$2,"Curta Distância",L34&gt;Constantes!$H$2,"Longa Distância")</f>
        <v>Curta Distância</v>
      </c>
      <c r="AE34" s="30" t="str">
        <f t="shared" si="4"/>
        <v>NÃO</v>
      </c>
      <c r="AF34" s="30">
        <f>SUMIF(Entradas!$B:$B,'Entrada Lvl 5-4 qt'!$B34,Entradas!$AG:$AG)</f>
        <v>271.05605715809952</v>
      </c>
      <c r="AG34" s="30"/>
      <c r="BD34" s="49"/>
      <c r="BE34" s="49"/>
    </row>
    <row r="35" spans="1:57" x14ac:dyDescent="0.3">
      <c r="A35">
        <f>_xlfn.XLOOKUP(B35,Entradas!B:B,Entradas!A:A,,0,-1)</f>
        <v>2</v>
      </c>
      <c r="B35">
        <v>19105380</v>
      </c>
      <c r="C35" t="str">
        <f>_xlfn.XLOOKUP($B35,Entradas!$B:$B,Entradas!C:C,,0,1)</f>
        <v>000667/23</v>
      </c>
      <c r="D35" t="str">
        <f>_xlfn.XLOOKUP($B35,Entradas!$B:$B,Entradas!D:D,,0,1)</f>
        <v>***.720.987-**</v>
      </c>
      <c r="E35" t="str">
        <f>_xlfn.XLOOKUP($B35,Entradas!$B:$B,Entradas!E:E,,0,1)</f>
        <v>NELSON MACULAN FILHO</v>
      </c>
      <c r="F35" t="str">
        <f>_xlfn.XLOOKUP($B35,Entradas!$B:$B,Entradas!F:F,,0,1)</f>
        <v/>
      </c>
      <c r="G35" t="str">
        <f>_xlfn.XLOOKUP($B35,Entradas!$B:$B,Entradas!G:G,,0,1)</f>
        <v>-1</v>
      </c>
      <c r="H35" t="str">
        <f>_xlfn.XLOOKUP($B35,Entradas!$B:$B,Entradas!H:H,,0,1)</f>
        <v>Sem informação</v>
      </c>
      <c r="I35" s="49">
        <f>_xlfn.XLOOKUP($B35,Entradas!$B:$B,Entradas!I:I,,0,1)</f>
        <v>45144</v>
      </c>
      <c r="J35" s="49">
        <f>_xlfn.XLOOKUP($B35,Entradas!$B:$B,Entradas!J:J,,0,1)</f>
        <v>45147</v>
      </c>
      <c r="K35" t="str">
        <f>_xlfn.XLOOKUP($B35,Entradas!$B:$B,Entradas!K:K,,0,1)</f>
        <v>Reunião de pesquisa com o grupo de pesquisa em Otimização do PPGI, no período de 7 a 8 de agosto, dando continuidades às pesquisas em Programação Geométrica na sua parceria com o Professor Roberto Quirino</v>
      </c>
      <c r="L35">
        <f>SUMIF(Entradas!$B:$B,'Entrada Lvl 5-4 qt'!$B35,Entradas!S:S)</f>
        <v>3923.0015720000001</v>
      </c>
      <c r="M35" t="str">
        <f>_xlfn.XLOOKUP($B35,Entradas!$B:$B,Entradas!T:T,,0,1)</f>
        <v>Aéreo</v>
      </c>
      <c r="N35" t="str">
        <f>_xlfn.XLOOKUP($B35,Entradas!$B:$B,Entradas!U:U,,0,1)</f>
        <v>Não</v>
      </c>
      <c r="O35" t="str">
        <f>_xlfn.XLOOKUP($B35,Entradas!$B:$B,Entradas!V:V,,0,1)</f>
        <v>Realizada</v>
      </c>
      <c r="P35" t="str">
        <f>_xlfn.XLOOKUP($B35,Entradas!$B:$B,Entradas!W:W,,0,1)</f>
        <v>SIM</v>
      </c>
      <c r="Q35" t="str">
        <f>_xlfn.XLOOKUP($B35,Entradas!$B:$B,Entradas!X:X,,0,1)</f>
        <v>Foi necessário solicitar o empenho de diárias, o que se deu na data de 24/07/2023.</v>
      </c>
      <c r="R35" s="36">
        <f>SUMIF(Entradas!$B:$B,'Entrada Lvl 5-4 qt'!$B35,Entradas!Y:Y)</f>
        <v>1288.57</v>
      </c>
      <c r="S35" s="36">
        <f>SUMIF(Entradas!$B:$B,'Entrada Lvl 5-4 qt'!$B35,Entradas!Z:Z)</f>
        <v>0</v>
      </c>
      <c r="T35" s="36">
        <f>SUMIF(Entradas!$B:$B,'Entrada Lvl 5-4 qt'!$B35,Entradas!AA:AA)</f>
        <v>1713.78</v>
      </c>
      <c r="U35" s="36">
        <f>SUMIF(Entradas!$B:$B,'Entrada Lvl 5-4 qt'!$B35,Entradas!AB:AB)</f>
        <v>0</v>
      </c>
      <c r="V35" s="49">
        <f>_xlfn.XLOOKUP($B35,Entradas!$B:$B,Entradas!AC:AC,,0,1)</f>
        <v>45132</v>
      </c>
      <c r="W35" s="58">
        <f t="shared" si="3"/>
        <v>3</v>
      </c>
      <c r="X35" s="28" t="s">
        <v>10</v>
      </c>
      <c r="Y35" s="32">
        <f t="shared" si="0"/>
        <v>0</v>
      </c>
      <c r="Z35" s="33">
        <f t="shared" si="1"/>
        <v>1713.78</v>
      </c>
      <c r="AA35" s="34">
        <f t="shared" si="2"/>
        <v>1288.57</v>
      </c>
      <c r="AB35" s="28" t="s">
        <v>1815</v>
      </c>
      <c r="AC35" s="28" t="s">
        <v>1822</v>
      </c>
      <c r="AD35" s="29" t="str" cm="1">
        <f t="array" ref="AD35">_xlfn.IFS(L35&lt;=Constantes!$G$2,"Muito Curta (evitável)",L35&lt;=Constantes!$H$2,"Curta Distância",L35&gt;Constantes!$H$2,"Longa Distância")</f>
        <v>Longa Distância</v>
      </c>
      <c r="AE35" s="30" t="str">
        <f t="shared" si="4"/>
        <v>NÃO</v>
      </c>
      <c r="AF35" s="30">
        <f>SUMIF(Entradas!$B:$B,'Entrada Lvl 5-4 qt'!$B35,Entradas!$AG:$AG)</f>
        <v>717.39676463438343</v>
      </c>
      <c r="AG35" s="30"/>
      <c r="BD35" s="49"/>
      <c r="BE35" s="49"/>
    </row>
    <row r="36" spans="1:57" x14ac:dyDescent="0.3">
      <c r="A36">
        <f>_xlfn.XLOOKUP(B36,Entradas!B:B,Entradas!A:A,,0,-1)</f>
        <v>1</v>
      </c>
      <c r="B36">
        <v>19109127</v>
      </c>
      <c r="C36" t="str">
        <f>_xlfn.XLOOKUP($B36,Entradas!$B:$B,Entradas!C:C,,0,1)</f>
        <v>000696/23</v>
      </c>
      <c r="D36" t="str">
        <f>_xlfn.XLOOKUP($B36,Entradas!$B:$B,Entradas!D:D,,0,1)</f>
        <v>***.374.698-**</v>
      </c>
      <c r="E36" t="str">
        <f>_xlfn.XLOOKUP($B36,Entradas!$B:$B,Entradas!E:E,,0,1)</f>
        <v>REGINA STELA CORREA VIEIRA</v>
      </c>
      <c r="F36" t="str">
        <f>_xlfn.XLOOKUP($B36,Entradas!$B:$B,Entradas!F:F,,0,1)</f>
        <v>PROFESSOR DO MAGISTERIO SUPERIOR</v>
      </c>
      <c r="G36" t="str">
        <f>_xlfn.XLOOKUP($B36,Entradas!$B:$B,Entradas!G:G,,0,1)</f>
        <v>-1</v>
      </c>
      <c r="H36" t="str">
        <f>_xlfn.XLOOKUP($B36,Entradas!$B:$B,Entradas!H:H,,0,1)</f>
        <v>Sem informação</v>
      </c>
      <c r="I36" s="49">
        <f>_xlfn.XLOOKUP($B36,Entradas!$B:$B,Entradas!I:I,,0,1)</f>
        <v>45144</v>
      </c>
      <c r="J36" s="49">
        <f>_xlfn.XLOOKUP($B36,Entradas!$B:$B,Entradas!J:J,,0,1)</f>
        <v>45148</v>
      </c>
      <c r="K36" t="str">
        <f>_xlfn.XLOOKUP($B36,Entradas!$B:$B,Entradas!K:K,,0,1)</f>
        <v>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v>
      </c>
      <c r="L36">
        <f>SUMIF(Entradas!$B:$B,'Entrada Lvl 5-4 qt'!$B36,Entradas!S:S)</f>
        <v>2100.4987289999999</v>
      </c>
      <c r="M36" t="str">
        <f>_xlfn.XLOOKUP($B36,Entradas!$B:$B,Entradas!T:T,,0,1)</f>
        <v>Aéreo</v>
      </c>
      <c r="N36" t="str">
        <f>_xlfn.XLOOKUP($B36,Entradas!$B:$B,Entradas!U:U,,0,1)</f>
        <v>Não</v>
      </c>
      <c r="O36" t="str">
        <f>_xlfn.XLOOKUP($B36,Entradas!$B:$B,Entradas!V:V,,0,1)</f>
        <v>Realizada</v>
      </c>
      <c r="P36" t="str">
        <f>_xlfn.XLOOKUP($B36,Entradas!$B:$B,Entradas!W:W,,0,1)</f>
        <v>SIM</v>
      </c>
      <c r="Q36" t="str">
        <f>_xlfn.XLOOKUP($B36,Entradas!$B:$B,Entradas!X:X,,0,1)</f>
        <v>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v>
      </c>
      <c r="R36" s="36">
        <f>SUMIF(Entradas!$B:$B,'Entrada Lvl 5-4 qt'!$B36,Entradas!Y:Y)</f>
        <v>1449.05</v>
      </c>
      <c r="S36" s="36">
        <f>SUMIF(Entradas!$B:$B,'Entrada Lvl 5-4 qt'!$B36,Entradas!Z:Z)</f>
        <v>0</v>
      </c>
      <c r="T36" s="36">
        <f>SUMIF(Entradas!$B:$B,'Entrada Lvl 5-4 qt'!$B36,Entradas!AA:AA)</f>
        <v>0</v>
      </c>
      <c r="U36" s="36">
        <f>SUMIF(Entradas!$B:$B,'Entrada Lvl 5-4 qt'!$B36,Entradas!AB:AB)</f>
        <v>0</v>
      </c>
      <c r="V36" s="49">
        <f>_xlfn.XLOOKUP($B36,Entradas!$B:$B,Entradas!AC:AC,,0,1)</f>
        <v>0</v>
      </c>
      <c r="W36" s="58">
        <f t="shared" si="3"/>
        <v>4</v>
      </c>
      <c r="X36" s="28" t="s">
        <v>10</v>
      </c>
      <c r="Y36" s="32">
        <f t="shared" si="0"/>
        <v>0</v>
      </c>
      <c r="Z36" s="33">
        <f t="shared" si="1"/>
        <v>0</v>
      </c>
      <c r="AA36" s="34">
        <f t="shared" si="2"/>
        <v>1449.05</v>
      </c>
      <c r="AB36" s="28" t="s">
        <v>1812</v>
      </c>
      <c r="AC36" s="28" t="s">
        <v>1820</v>
      </c>
      <c r="AD36" s="29" t="str" cm="1">
        <f t="array" ref="AD36">_xlfn.IFS(L36&lt;=Constantes!$G$2,"Muito Curta (evitável)",L36&lt;=Constantes!$H$2,"Curta Distância",L36&gt;Constantes!$H$2,"Longa Distância")</f>
        <v>Curta Distância</v>
      </c>
      <c r="AE36" s="30" t="str">
        <f t="shared" si="4"/>
        <v>NÃO</v>
      </c>
      <c r="AF36" s="30">
        <f>SUMIF(Entradas!$B:$B,'Entrada Lvl 5-4 qt'!$B36,Entradas!$AG:$AG)</f>
        <v>384.11684641130563</v>
      </c>
      <c r="AG36" s="30"/>
      <c r="BD36" s="49"/>
      <c r="BE36" s="49"/>
    </row>
    <row r="37" spans="1:57" x14ac:dyDescent="0.3">
      <c r="A37">
        <f>_xlfn.XLOOKUP(B37,Entradas!B:B,Entradas!A:A,,0,-1)</f>
        <v>2</v>
      </c>
      <c r="B37">
        <v>19132757</v>
      </c>
      <c r="C37" t="str">
        <f>_xlfn.XLOOKUP($B37,Entradas!$B:$B,Entradas!C:C,,0,1)</f>
        <v>000719/23</v>
      </c>
      <c r="D37" t="str">
        <f>_xlfn.XLOOKUP($B37,Entradas!$B:$B,Entradas!D:D,,0,1)</f>
        <v>***.680.354-**</v>
      </c>
      <c r="E37" t="str">
        <f>_xlfn.XLOOKUP($B37,Entradas!$B:$B,Entradas!E:E,,0,1)</f>
        <v>SUELY AMORIM DE ARAUJO</v>
      </c>
      <c r="F37" t="str">
        <f>_xlfn.XLOOKUP($B37,Entradas!$B:$B,Entradas!F:F,,0,1)</f>
        <v>PROFESSOR DO MAGISTERIO SUPERIOR</v>
      </c>
      <c r="G37" t="str">
        <f>_xlfn.XLOOKUP($B37,Entradas!$B:$B,Entradas!G:G,,0,1)</f>
        <v>-1</v>
      </c>
      <c r="H37" t="str">
        <f>_xlfn.XLOOKUP($B37,Entradas!$B:$B,Entradas!H:H,,0,1)</f>
        <v>Sem informação</v>
      </c>
      <c r="I37" s="49">
        <f>_xlfn.XLOOKUP($B37,Entradas!$B:$B,Entradas!I:I,,0,1)</f>
        <v>45144</v>
      </c>
      <c r="J37" s="49">
        <f>_xlfn.XLOOKUP($B37,Entradas!$B:$B,Entradas!J:J,,0,1)</f>
        <v>45156</v>
      </c>
      <c r="K37" t="str">
        <f>_xlfn.XLOOKUP($B37,Entradas!$B:$B,Entradas!K:K,,0,1)</f>
        <v>O proposto vira participar como membro de banca do concurso do departamento de enfermagem clínicas.</v>
      </c>
      <c r="L37">
        <f>SUMIF(Entradas!$B:$B,'Entrada Lvl 5-4 qt'!$B37,Entradas!S:S)</f>
        <v>3882.7346040000002</v>
      </c>
      <c r="M37" t="str">
        <f>_xlfn.XLOOKUP($B37,Entradas!$B:$B,Entradas!T:T,,0,1)</f>
        <v>Aéreo</v>
      </c>
      <c r="N37" t="str">
        <f>_xlfn.XLOOKUP($B37,Entradas!$B:$B,Entradas!U:U,,0,1)</f>
        <v>Não</v>
      </c>
      <c r="O37" t="str">
        <f>_xlfn.XLOOKUP($B37,Entradas!$B:$B,Entradas!V:V,,0,1)</f>
        <v>Realizada</v>
      </c>
      <c r="P37" t="str">
        <f>_xlfn.XLOOKUP($B37,Entradas!$B:$B,Entradas!W:W,,0,1)</f>
        <v>SIM</v>
      </c>
      <c r="Q37" t="str">
        <f>_xlfn.XLOOKUP($B37,Entradas!$B:$B,Entradas!X:X,,0,1)</f>
        <v>Conforme justificativa em anexo.</v>
      </c>
      <c r="R37" s="36">
        <f>SUMIF(Entradas!$B:$B,'Entrada Lvl 5-4 qt'!$B37,Entradas!Y:Y)</f>
        <v>4058.65</v>
      </c>
      <c r="S37" s="36">
        <f>SUMIF(Entradas!$B:$B,'Entrada Lvl 5-4 qt'!$B37,Entradas!Z:Z)</f>
        <v>0</v>
      </c>
      <c r="T37" s="36">
        <f>SUMIF(Entradas!$B:$B,'Entrada Lvl 5-4 qt'!$B37,Entradas!AA:AA)</f>
        <v>4318.01</v>
      </c>
      <c r="U37" s="36">
        <f>SUMIF(Entradas!$B:$B,'Entrada Lvl 5-4 qt'!$B37,Entradas!AB:AB)</f>
        <v>0</v>
      </c>
      <c r="V37" s="49">
        <f>_xlfn.XLOOKUP($B37,Entradas!$B:$B,Entradas!AC:AC,,0,1)</f>
        <v>45141</v>
      </c>
      <c r="W37" s="58">
        <f t="shared" si="3"/>
        <v>12</v>
      </c>
      <c r="X37" s="28" t="s">
        <v>10</v>
      </c>
      <c r="Y37" s="32">
        <f t="shared" si="0"/>
        <v>0</v>
      </c>
      <c r="Z37" s="33">
        <f t="shared" si="1"/>
        <v>4318.01</v>
      </c>
      <c r="AA37" s="34">
        <f t="shared" si="2"/>
        <v>4058.65</v>
      </c>
      <c r="AB37" s="28" t="s">
        <v>1812</v>
      </c>
      <c r="AC37" s="28" t="s">
        <v>1820</v>
      </c>
      <c r="AD37" s="29" t="str" cm="1">
        <f t="array" ref="AD37">_xlfn.IFS(L37&lt;=Constantes!$G$2,"Muito Curta (evitável)",L37&lt;=Constantes!$H$2,"Curta Distância",L37&gt;Constantes!$H$2,"Longa Distância")</f>
        <v>Longa Distância</v>
      </c>
      <c r="AE37" s="30" t="str">
        <f t="shared" si="4"/>
        <v>NÃO</v>
      </c>
      <c r="AF37" s="30">
        <f>SUMIF(Entradas!$B:$B,'Entrada Lvl 5-4 qt'!$B37,Entradas!$AG:$AG)</f>
        <v>710.03317019409144</v>
      </c>
      <c r="AG37" s="30"/>
      <c r="BD37" s="49"/>
      <c r="BE37" s="49"/>
    </row>
    <row r="38" spans="1:57" x14ac:dyDescent="0.3">
      <c r="A38">
        <f>_xlfn.XLOOKUP(B38,Entradas!B:B,Entradas!A:A,,0,-1)</f>
        <v>2</v>
      </c>
      <c r="B38">
        <v>18937420</v>
      </c>
      <c r="C38" t="str">
        <f>_xlfn.XLOOKUP($B38,Entradas!$B:$B,Entradas!C:C,,0,1)</f>
        <v>000422/23</v>
      </c>
      <c r="D38" t="str">
        <f>_xlfn.XLOOKUP($B38,Entradas!$B:$B,Entradas!D:D,,0,1)</f>
        <v>***.795.756-**</v>
      </c>
      <c r="E38" t="str">
        <f>_xlfn.XLOOKUP($B38,Entradas!$B:$B,Entradas!E:E,,0,1)</f>
        <v>LUIZ GUSTAVO AZEVEDO CARVALHO PIMENTEL</v>
      </c>
      <c r="F38" t="str">
        <f>_xlfn.XLOOKUP($B38,Entradas!$B:$B,Entradas!F:F,,0,1)</f>
        <v/>
      </c>
      <c r="G38" t="str">
        <f>_xlfn.XLOOKUP($B38,Entradas!$B:$B,Entradas!G:G,,0,1)</f>
        <v>-1</v>
      </c>
      <c r="H38" t="str">
        <f>_xlfn.XLOOKUP($B38,Entradas!$B:$B,Entradas!H:H,,0,1)</f>
        <v>Sem informação</v>
      </c>
      <c r="I38" s="49">
        <f>_xlfn.XLOOKUP($B38,Entradas!$B:$B,Entradas!I:I,,0,1)</f>
        <v>45146</v>
      </c>
      <c r="J38" s="49">
        <f>_xlfn.XLOOKUP($B38,Entradas!$B:$B,Entradas!J:J,,0,1)</f>
        <v>45158</v>
      </c>
      <c r="K38" t="str">
        <f>_xlfn.XLOOKUP($B38,Entradas!$B:$B,Entradas!K:K,,0,1)</f>
        <v>Participar como um dos convidados especiais do PPGM/UFPB para participar do 6º Festival Internacional de Música de Câmara PPGM/UFPB, no período de 09 a 19/08/2023, em João Pessoa/PB</v>
      </c>
      <c r="L38">
        <f>SUMIF(Entradas!$B:$B,'Entrada Lvl 5-4 qt'!$B38,Entradas!S:S)</f>
        <v>3923.0015720000001</v>
      </c>
      <c r="M38" t="str">
        <f>_xlfn.XLOOKUP($B38,Entradas!$B:$B,Entradas!T:T,,0,1)</f>
        <v>Aéreo</v>
      </c>
      <c r="N38" t="str">
        <f>_xlfn.XLOOKUP($B38,Entradas!$B:$B,Entradas!U:U,,0,1)</f>
        <v>Sim</v>
      </c>
      <c r="O38" t="str">
        <f>_xlfn.XLOOKUP($B38,Entradas!$B:$B,Entradas!V:V,,0,1)</f>
        <v>Realizada</v>
      </c>
      <c r="P38" t="str">
        <f>_xlfn.XLOOKUP($B38,Entradas!$B:$B,Entradas!W:W,,0,1)</f>
        <v>NÃO</v>
      </c>
      <c r="Q38" t="str">
        <f>_xlfn.XLOOKUP($B38,Entradas!$B:$B,Entradas!X:X,,0,1)</f>
        <v>Sem informação</v>
      </c>
      <c r="R38" s="36">
        <f>SUMIF(Entradas!$B:$B,'Entrada Lvl 5-4 qt'!$B38,Entradas!Y:Y)</f>
        <v>0</v>
      </c>
      <c r="S38" s="36">
        <f>SUMIF(Entradas!$B:$B,'Entrada Lvl 5-4 qt'!$B38,Entradas!Z:Z)</f>
        <v>0</v>
      </c>
      <c r="T38" s="36">
        <f>SUMIF(Entradas!$B:$B,'Entrada Lvl 5-4 qt'!$B38,Entradas!AA:AA)</f>
        <v>1749.28</v>
      </c>
      <c r="U38" s="36">
        <f>SUMIF(Entradas!$B:$B,'Entrada Lvl 5-4 qt'!$B38,Entradas!AB:AB)</f>
        <v>0</v>
      </c>
      <c r="V38" s="49">
        <f>_xlfn.XLOOKUP($B38,Entradas!$B:$B,Entradas!AC:AC,,0,1)</f>
        <v>45089</v>
      </c>
      <c r="W38" s="58">
        <f t="shared" si="3"/>
        <v>12</v>
      </c>
      <c r="X38" s="28" t="s">
        <v>10</v>
      </c>
      <c r="Y38" s="32">
        <f t="shared" si="0"/>
        <v>0</v>
      </c>
      <c r="Z38" s="33">
        <f t="shared" si="1"/>
        <v>1749.28</v>
      </c>
      <c r="AA38" s="34">
        <f t="shared" si="2"/>
        <v>0</v>
      </c>
      <c r="AB38" s="28" t="s">
        <v>1814</v>
      </c>
      <c r="AC38" s="28" t="s">
        <v>1821</v>
      </c>
      <c r="AD38" s="29" t="str" cm="1">
        <f t="array" ref="AD38">_xlfn.IFS(L38&lt;=Constantes!$G$2,"Muito Curta (evitável)",L38&lt;=Constantes!$H$2,"Curta Distância",L38&gt;Constantes!$H$2,"Longa Distância")</f>
        <v>Longa Distância</v>
      </c>
      <c r="AE38" s="30" t="str">
        <f t="shared" si="4"/>
        <v>NÃO</v>
      </c>
      <c r="AF38" s="30">
        <f>SUMIF(Entradas!$B:$B,'Entrada Lvl 5-4 qt'!$B38,Entradas!$AG:$AG)</f>
        <v>717.39676463438343</v>
      </c>
      <c r="AG38" s="30"/>
      <c r="BD38" s="49"/>
      <c r="BE38" s="49"/>
    </row>
    <row r="39" spans="1:57" x14ac:dyDescent="0.3">
      <c r="A39">
        <f>_xlfn.XLOOKUP(B39,Entradas!B:B,Entradas!A:A,,0,-1)</f>
        <v>2</v>
      </c>
      <c r="B39">
        <v>19092693</v>
      </c>
      <c r="C39" t="str">
        <f>_xlfn.XLOOKUP($B39,Entradas!$B:$B,Entradas!C:C,,0,1)</f>
        <v>000625/23</v>
      </c>
      <c r="D39" t="str">
        <f>_xlfn.XLOOKUP($B39,Entradas!$B:$B,Entradas!D:D,,0,1)</f>
        <v>***.837.834-**</v>
      </c>
      <c r="E39" t="str">
        <f>_xlfn.XLOOKUP($B39,Entradas!$B:$B,Entradas!E:E,,0,1)</f>
        <v>RENATA DA SILVA LEITE</v>
      </c>
      <c r="F39" t="str">
        <f>_xlfn.XLOOKUP($B39,Entradas!$B:$B,Entradas!F:F,,0,1)</f>
        <v>FARMACEUTICO</v>
      </c>
      <c r="G39" t="str">
        <f>_xlfn.XLOOKUP($B39,Entradas!$B:$B,Entradas!G:G,,0,1)</f>
        <v>FG-0003</v>
      </c>
      <c r="H39" t="str">
        <f>_xlfn.XLOOKUP($B39,Entradas!$B:$B,Entradas!H:H,,0,1)</f>
        <v>FG-0003</v>
      </c>
      <c r="I39" s="49">
        <f>_xlfn.XLOOKUP($B39,Entradas!$B:$B,Entradas!I:I,,0,1)</f>
        <v>45146</v>
      </c>
      <c r="J39" s="49">
        <f>_xlfn.XLOOKUP($B39,Entradas!$B:$B,Entradas!J:J,,0,1)</f>
        <v>45149</v>
      </c>
      <c r="K39" t="str">
        <f>_xlfn.XLOOKUP($B39,Entradas!$B:$B,Entradas!K:K,,0,1)</f>
        <v>O Congresso está relacionado com área de tecnologia e produção de medicamentos, sendo importante a participação da Diretoria de Pesquisas Tecnológicas do IPeFarM no referido evento, além disso, o IPeFarM faz parte da Associação dos Laboratórios Farmacêuticos Oficiais do Brasil (ALFOB) que está promovendo o I Congresso dos Laboratórios Farmacêuticos Oficiais do Brasil.</v>
      </c>
      <c r="L39">
        <f>SUMIF(Entradas!$B:$B,'Entrada Lvl 5-4 qt'!$B39,Entradas!S:S)</f>
        <v>3426.839982</v>
      </c>
      <c r="M39" t="str">
        <f>_xlfn.XLOOKUP($B39,Entradas!$B:$B,Entradas!T:T,,0,1)</f>
        <v>Aéreo</v>
      </c>
      <c r="N39" t="str">
        <f>_xlfn.XLOOKUP($B39,Entradas!$B:$B,Entradas!U:U,,0,1)</f>
        <v>Sim</v>
      </c>
      <c r="O39" t="str">
        <f>_xlfn.XLOOKUP($B39,Entradas!$B:$B,Entradas!V:V,,0,1)</f>
        <v>Realizada</v>
      </c>
      <c r="P39" t="str">
        <f>_xlfn.XLOOKUP($B39,Entradas!$B:$B,Entradas!W:W,,0,1)</f>
        <v>NÃO</v>
      </c>
      <c r="Q39" t="str">
        <f>_xlfn.XLOOKUP($B39,Entradas!$B:$B,Entradas!X:X,,0,1)</f>
        <v>Sem informação</v>
      </c>
      <c r="R39" s="36">
        <f>SUMIF(Entradas!$B:$B,'Entrada Lvl 5-4 qt'!$B39,Entradas!Y:Y)</f>
        <v>1214.3499999999999</v>
      </c>
      <c r="S39" s="36">
        <f>SUMIF(Entradas!$B:$B,'Entrada Lvl 5-4 qt'!$B39,Entradas!Z:Z)</f>
        <v>0</v>
      </c>
      <c r="T39" s="36">
        <f>SUMIF(Entradas!$B:$B,'Entrada Lvl 5-4 qt'!$B39,Entradas!AA:AA)</f>
        <v>2376.2600000000002</v>
      </c>
      <c r="U39" s="36">
        <f>SUMIF(Entradas!$B:$B,'Entrada Lvl 5-4 qt'!$B39,Entradas!AB:AB)</f>
        <v>0</v>
      </c>
      <c r="V39" s="49">
        <f>_xlfn.XLOOKUP($B39,Entradas!$B:$B,Entradas!AC:AC,,0,1)</f>
        <v>45131</v>
      </c>
      <c r="W39" s="58">
        <f t="shared" si="3"/>
        <v>3</v>
      </c>
      <c r="X39" s="28" t="s">
        <v>10</v>
      </c>
      <c r="Y39" s="32">
        <f t="shared" si="0"/>
        <v>0</v>
      </c>
      <c r="Z39" s="33">
        <f t="shared" si="1"/>
        <v>2376.2600000000002</v>
      </c>
      <c r="AA39" s="34">
        <f t="shared" si="2"/>
        <v>1214.3499999999999</v>
      </c>
      <c r="AB39" s="28" t="s">
        <v>1814</v>
      </c>
      <c r="AC39" s="28" t="s">
        <v>1784</v>
      </c>
      <c r="AD39" s="29" t="str" cm="1">
        <f t="array" ref="AD39">_xlfn.IFS(L39&lt;=Constantes!$G$2,"Muito Curta (evitável)",L39&lt;=Constantes!$H$2,"Curta Distância",L39&gt;Constantes!$H$2,"Longa Distância")</f>
        <v>Curta Distância</v>
      </c>
      <c r="AE39" s="30" t="str">
        <f t="shared" si="4"/>
        <v>NÃO</v>
      </c>
      <c r="AF39" s="30">
        <f>SUMIF(Entradas!$B:$B,'Entrada Lvl 5-4 qt'!$B39,Entradas!$AG:$AG)</f>
        <v>626.66401501165365</v>
      </c>
      <c r="AG39" s="30"/>
      <c r="BD39" s="49"/>
      <c r="BE39" s="49"/>
    </row>
    <row r="40" spans="1:57" x14ac:dyDescent="0.3">
      <c r="A40">
        <f>_xlfn.XLOOKUP(B40,Entradas!B:B,Entradas!A:A,,0,-1)</f>
        <v>2</v>
      </c>
      <c r="B40">
        <v>19127610</v>
      </c>
      <c r="C40" t="str">
        <f>_xlfn.XLOOKUP($B40,Entradas!$B:$B,Entradas!C:C,,0,1)</f>
        <v>000690/23</v>
      </c>
      <c r="D40" t="str">
        <f>_xlfn.XLOOKUP($B40,Entradas!$B:$B,Entradas!D:D,,0,1)</f>
        <v>***.270.137-**</v>
      </c>
      <c r="E40" t="str">
        <f>_xlfn.XLOOKUP($B40,Entradas!$B:$B,Entradas!E:E,,0,1)</f>
        <v>PALOMA RODRIGUES DUARTE DA NOBREGA</v>
      </c>
      <c r="F40" t="str">
        <f>_xlfn.XLOOKUP($B40,Entradas!$B:$B,Entradas!F:F,,0,1)</f>
        <v>AUDITOR</v>
      </c>
      <c r="G40" t="str">
        <f>_xlfn.XLOOKUP($B40,Entradas!$B:$B,Entradas!G:G,,0,1)</f>
        <v>CD-0004</v>
      </c>
      <c r="H40" t="str">
        <f>_xlfn.XLOOKUP($B40,Entradas!$B:$B,Entradas!H:H,,0,1)</f>
        <v>Cargo Comissionado de Direção</v>
      </c>
      <c r="I40" s="49">
        <f>_xlfn.XLOOKUP($B40,Entradas!$B:$B,Entradas!I:I,,0,1)</f>
        <v>45146</v>
      </c>
      <c r="J40" s="49">
        <f>_xlfn.XLOOKUP($B40,Entradas!$B:$B,Entradas!J:J,,0,1)</f>
        <v>45150</v>
      </c>
      <c r="K40" t="str">
        <f>_xlfn.XLOOKUP($B40,Entradas!$B:$B,Entradas!K:K,,0,1)</f>
        <v>Participar do Congresso Brasileiro de Auditoria e Controle Interno COBACI/2023, que será realizado em Maceió/AL, no período de 09 a 11/08/2023</v>
      </c>
      <c r="L40">
        <f>SUMIF(Entradas!$B:$B,'Entrada Lvl 5-4 qt'!$B40,Entradas!S:S)</f>
        <v>558.13892280000005</v>
      </c>
      <c r="M40" t="str">
        <f>_xlfn.XLOOKUP($B40,Entradas!$B:$B,Entradas!T:T,,0,1)</f>
        <v>Aéreo</v>
      </c>
      <c r="N40" t="str">
        <f>_xlfn.XLOOKUP($B40,Entradas!$B:$B,Entradas!U:U,,0,1)</f>
        <v>Sim</v>
      </c>
      <c r="O40" t="str">
        <f>_xlfn.XLOOKUP($B40,Entradas!$B:$B,Entradas!V:V,,0,1)</f>
        <v>Realizada</v>
      </c>
      <c r="P40" t="str">
        <f>_xlfn.XLOOKUP($B40,Entradas!$B:$B,Entradas!W:W,,0,1)</f>
        <v>SIM</v>
      </c>
      <c r="Q40" t="str">
        <f>_xlfn.XLOOKUP($B40,Entradas!$B:$B,Entradas!X:X,,0,1)</f>
        <v>Viagem Urgente para participação de evento de capacitação. Por questões administrativas o Processo teve seu trâmite prejudicado, mas o pedido foi realizado com 20 dias, conforme justificativa no formulário de solicitação</v>
      </c>
      <c r="R40" s="36">
        <f>SUMIF(Entradas!$B:$B,'Entrada Lvl 5-4 qt'!$B40,Entradas!Y:Y)</f>
        <v>1509.95</v>
      </c>
      <c r="S40" s="36">
        <f>SUMIF(Entradas!$B:$B,'Entrada Lvl 5-4 qt'!$B40,Entradas!Z:Z)</f>
        <v>0</v>
      </c>
      <c r="T40" s="36">
        <f>SUMIF(Entradas!$B:$B,'Entrada Lvl 5-4 qt'!$B40,Entradas!AA:AA)</f>
        <v>1366.48</v>
      </c>
      <c r="U40" s="36">
        <f>SUMIF(Entradas!$B:$B,'Entrada Lvl 5-4 qt'!$B40,Entradas!AB:AB)</f>
        <v>0</v>
      </c>
      <c r="V40" s="49">
        <f>_xlfn.XLOOKUP($B40,Entradas!$B:$B,Entradas!AC:AC,,0,1)</f>
        <v>45134</v>
      </c>
      <c r="W40" s="58">
        <f t="shared" si="3"/>
        <v>4</v>
      </c>
      <c r="X40" s="28" t="s">
        <v>10</v>
      </c>
      <c r="Y40" s="32">
        <f t="shared" si="0"/>
        <v>0</v>
      </c>
      <c r="Z40" s="33">
        <f t="shared" si="1"/>
        <v>1366.48</v>
      </c>
      <c r="AA40" s="34">
        <f t="shared" si="2"/>
        <v>1509.95</v>
      </c>
      <c r="AB40" s="28" t="s">
        <v>1813</v>
      </c>
      <c r="AC40" s="28" t="s">
        <v>1784</v>
      </c>
      <c r="AD40" s="29" t="str" cm="1">
        <f t="array" ref="AD40">_xlfn.IFS(L40&lt;=Constantes!$G$2,"Muito Curta (evitável)",L40&lt;=Constantes!$H$2,"Curta Distância",L40&gt;Constantes!$H$2,"Longa Distância")</f>
        <v>Muito Curta (evitável)</v>
      </c>
      <c r="AE40" s="30" t="str">
        <f t="shared" si="4"/>
        <v>NÃO</v>
      </c>
      <c r="AF40" s="30">
        <f>SUMIF(Entradas!$B:$B,'Entrada Lvl 5-4 qt'!$B40,Entradas!$AG:$AG)</f>
        <v>152.13571329129365</v>
      </c>
      <c r="AG40" s="30"/>
      <c r="BD40" s="49"/>
      <c r="BE40" s="49"/>
    </row>
    <row r="41" spans="1:57" x14ac:dyDescent="0.3">
      <c r="A41">
        <f>_xlfn.XLOOKUP(B41,Entradas!B:B,Entradas!A:A,,0,-1)</f>
        <v>2</v>
      </c>
      <c r="B41">
        <v>18942342</v>
      </c>
      <c r="C41" t="str">
        <f>_xlfn.XLOOKUP($B41,Entradas!$B:$B,Entradas!C:C,,0,1)</f>
        <v>000435/23</v>
      </c>
      <c r="D41" t="str">
        <f>_xlfn.XLOOKUP($B41,Entradas!$B:$B,Entradas!D:D,,0,1)</f>
        <v>***.000.000-**</v>
      </c>
      <c r="E41" t="str">
        <f>_xlfn.XLOOKUP($B41,Entradas!$B:$B,Entradas!E:E,,0,1)</f>
        <v>NEIL DAVID WITTEN</v>
      </c>
      <c r="F41" t="str">
        <f>_xlfn.XLOOKUP($B41,Entradas!$B:$B,Entradas!F:F,,0,1)</f>
        <v/>
      </c>
      <c r="G41" t="str">
        <f>_xlfn.XLOOKUP($B41,Entradas!$B:$B,Entradas!G:G,,0,1)</f>
        <v>-1</v>
      </c>
      <c r="H41" t="str">
        <f>_xlfn.XLOOKUP($B41,Entradas!$B:$B,Entradas!H:H,,0,1)</f>
        <v>Sem informação</v>
      </c>
      <c r="I41" s="49">
        <f>_xlfn.XLOOKUP($B41,Entradas!$B:$B,Entradas!I:I,,0,1)</f>
        <v>45149</v>
      </c>
      <c r="J41" s="49">
        <f>_xlfn.XLOOKUP($B41,Entradas!$B:$B,Entradas!J:J,,0,1)</f>
        <v>45158</v>
      </c>
      <c r="K41" t="str">
        <f>_xlfn.XLOOKUP($B41,Entradas!$B:$B,Entradas!K:K,,0,1)</f>
        <v>Participação no 6º Festival Internacional de Música de Câmara PPGM-UFPB, em João Pessoa/PB, de 11 a 19/08/2023.</v>
      </c>
      <c r="L41">
        <f>SUMIF(Entradas!$B:$B,'Entrada Lvl 5-4 qt'!$B41,Entradas!S:S)</f>
        <v>6109.5910640000002</v>
      </c>
      <c r="M41" t="str">
        <f>_xlfn.XLOOKUP($B41,Entradas!$B:$B,Entradas!T:T,,0,1)</f>
        <v>Aéreo</v>
      </c>
      <c r="N41" t="str">
        <f>_xlfn.XLOOKUP($B41,Entradas!$B:$B,Entradas!U:U,,0,1)</f>
        <v>Sim</v>
      </c>
      <c r="O41" t="str">
        <f>_xlfn.XLOOKUP($B41,Entradas!$B:$B,Entradas!V:V,,0,1)</f>
        <v>Realizada</v>
      </c>
      <c r="P41" t="str">
        <f>_xlfn.XLOOKUP($B41,Entradas!$B:$B,Entradas!W:W,,0,1)</f>
        <v>NÃO</v>
      </c>
      <c r="Q41" t="str">
        <f>_xlfn.XLOOKUP($B41,Entradas!$B:$B,Entradas!X:X,,0,1)</f>
        <v>Sem informação</v>
      </c>
      <c r="R41" s="36">
        <f>SUMIF(Entradas!$B:$B,'Entrada Lvl 5-4 qt'!$B41,Entradas!Y:Y)</f>
        <v>0</v>
      </c>
      <c r="S41" s="36">
        <f>SUMIF(Entradas!$B:$B,'Entrada Lvl 5-4 qt'!$B41,Entradas!Z:Z)</f>
        <v>0</v>
      </c>
      <c r="T41" s="36">
        <f>SUMIF(Entradas!$B:$B,'Entrada Lvl 5-4 qt'!$B41,Entradas!AA:AA)</f>
        <v>2075.92</v>
      </c>
      <c r="U41" s="36">
        <f>SUMIF(Entradas!$B:$B,'Entrada Lvl 5-4 qt'!$B41,Entradas!AB:AB)</f>
        <v>0</v>
      </c>
      <c r="V41" s="49">
        <f>_xlfn.XLOOKUP($B41,Entradas!$B:$B,Entradas!AC:AC,,0,1)</f>
        <v>45093</v>
      </c>
      <c r="W41" s="58">
        <f t="shared" si="3"/>
        <v>9</v>
      </c>
      <c r="X41" s="28" t="s">
        <v>10</v>
      </c>
      <c r="Y41" s="32">
        <f t="shared" si="0"/>
        <v>0</v>
      </c>
      <c r="Z41" s="33">
        <f t="shared" si="1"/>
        <v>2075.92</v>
      </c>
      <c r="AA41" s="34">
        <f t="shared" si="2"/>
        <v>0</v>
      </c>
      <c r="AB41" s="28" t="s">
        <v>1814</v>
      </c>
      <c r="AC41" s="28" t="s">
        <v>1822</v>
      </c>
      <c r="AD41" s="29" t="str" cm="1">
        <f t="array" ref="AD41">_xlfn.IFS(L41&lt;=Constantes!$G$2,"Muito Curta (evitável)",L41&lt;=Constantes!$H$2,"Curta Distância",L41&gt;Constantes!$H$2,"Longa Distância")</f>
        <v>Longa Distância</v>
      </c>
      <c r="AE41" s="30" t="str">
        <f t="shared" si="4"/>
        <v>NÃO</v>
      </c>
      <c r="AF41" s="30">
        <f>SUMIF(Entradas!$B:$B,'Entrada Lvl 5-4 qt'!$B41,Entradas!$AG:$AG)</f>
        <v>1117.256973292067</v>
      </c>
      <c r="AG41" s="30"/>
      <c r="BD41" s="49"/>
      <c r="BE41" s="49"/>
    </row>
    <row r="42" spans="1:57" x14ac:dyDescent="0.3">
      <c r="A42">
        <f>_xlfn.XLOOKUP(B42,Entradas!B:B,Entradas!A:A,,0,-1)</f>
        <v>2</v>
      </c>
      <c r="B42">
        <v>19070440</v>
      </c>
      <c r="C42" t="str">
        <f>_xlfn.XLOOKUP($B42,Entradas!$B:$B,Entradas!C:C,,0,1)</f>
        <v>000592/23</v>
      </c>
      <c r="D42" t="str">
        <f>_xlfn.XLOOKUP($B42,Entradas!$B:$B,Entradas!D:D,,0,1)</f>
        <v>***.508.956-**</v>
      </c>
      <c r="E42" t="str">
        <f>_xlfn.XLOOKUP($B42,Entradas!$B:$B,Entradas!E:E,,0,1)</f>
        <v>VITOR SOMMAVILLA DE SOUZA BARROS</v>
      </c>
      <c r="F42" t="str">
        <f>_xlfn.XLOOKUP($B42,Entradas!$B:$B,Entradas!F:F,,0,1)</f>
        <v>PROFESSOR DO MAGISTERIO SUPERIOR</v>
      </c>
      <c r="G42" t="str">
        <f>_xlfn.XLOOKUP($B42,Entradas!$B:$B,Entradas!G:G,,0,1)</f>
        <v>-1</v>
      </c>
      <c r="H42" t="str">
        <f>_xlfn.XLOOKUP($B42,Entradas!$B:$B,Entradas!H:H,,0,1)</f>
        <v>Sem informação</v>
      </c>
      <c r="I42" s="49">
        <f>_xlfn.XLOOKUP($B42,Entradas!$B:$B,Entradas!I:I,,0,1)</f>
        <v>45151</v>
      </c>
      <c r="J42" s="49">
        <f>_xlfn.XLOOKUP($B42,Entradas!$B:$B,Entradas!J:J,,0,1)</f>
        <v>45156</v>
      </c>
      <c r="K42" t="str">
        <f>_xlfn.XLOOKUP($B42,Entradas!$B:$B,Entradas!K:K,,0,1)</f>
        <v>Participar como palestrante do evento 13th Principia International Symposium, em Florianópolis/SC.</v>
      </c>
      <c r="L42">
        <f>SUMIF(Entradas!$B:$B,'Entrada Lvl 5-4 qt'!$B42,Entradas!S:S)</f>
        <v>5391.1646700000001</v>
      </c>
      <c r="M42" t="str">
        <f>_xlfn.XLOOKUP($B42,Entradas!$B:$B,Entradas!T:T,,0,1)</f>
        <v>Aéreo</v>
      </c>
      <c r="N42" t="str">
        <f>_xlfn.XLOOKUP($B42,Entradas!$B:$B,Entradas!U:U,,0,1)</f>
        <v>Não</v>
      </c>
      <c r="O42" t="str">
        <f>_xlfn.XLOOKUP($B42,Entradas!$B:$B,Entradas!V:V,,0,1)</f>
        <v>Realizada</v>
      </c>
      <c r="P42" t="str">
        <f>_xlfn.XLOOKUP($B42,Entradas!$B:$B,Entradas!W:W,,0,1)</f>
        <v>NÃO</v>
      </c>
      <c r="Q42" t="str">
        <f>_xlfn.XLOOKUP($B42,Entradas!$B:$B,Entradas!X:X,,0,1)</f>
        <v>Sem informação</v>
      </c>
      <c r="R42" s="36">
        <f>SUMIF(Entradas!$B:$B,'Entrada Lvl 5-4 qt'!$B42,Entradas!Y:Y)</f>
        <v>1821.06</v>
      </c>
      <c r="S42" s="36">
        <f>SUMIF(Entradas!$B:$B,'Entrada Lvl 5-4 qt'!$B42,Entradas!Z:Z)</f>
        <v>0</v>
      </c>
      <c r="T42" s="36">
        <f>SUMIF(Entradas!$B:$B,'Entrada Lvl 5-4 qt'!$B42,Entradas!AA:AA)</f>
        <v>1689.46</v>
      </c>
      <c r="U42" s="36">
        <f>SUMIF(Entradas!$B:$B,'Entrada Lvl 5-4 qt'!$B42,Entradas!AB:AB)</f>
        <v>0</v>
      </c>
      <c r="V42" s="49">
        <f>_xlfn.XLOOKUP($B42,Entradas!$B:$B,Entradas!AC:AC,,0,1)</f>
        <v>45120</v>
      </c>
      <c r="W42" s="58">
        <f t="shared" si="3"/>
        <v>5</v>
      </c>
      <c r="X42" s="28" t="s">
        <v>10</v>
      </c>
      <c r="Y42" s="32">
        <f t="shared" si="0"/>
        <v>0</v>
      </c>
      <c r="Z42" s="33">
        <f t="shared" si="1"/>
        <v>1689.46</v>
      </c>
      <c r="AA42" s="34">
        <f t="shared" si="2"/>
        <v>1821.06</v>
      </c>
      <c r="AB42" s="28" t="s">
        <v>1814</v>
      </c>
      <c r="AC42" s="28" t="s">
        <v>1820</v>
      </c>
      <c r="AD42" s="29" t="str" cm="1">
        <f t="array" ref="AD42">_xlfn.IFS(L42&lt;=Constantes!$G$2,"Muito Curta (evitável)",L42&lt;=Constantes!$H$2,"Curta Distância",L42&gt;Constantes!$H$2,"Longa Distância")</f>
        <v>Longa Distância</v>
      </c>
      <c r="AE42" s="30" t="str">
        <f t="shared" si="4"/>
        <v>NÃO</v>
      </c>
      <c r="AF42" s="30">
        <f>SUMIF(Entradas!$B:$B,'Entrada Lvl 5-4 qt'!$B42,Entradas!$AG:$AG)</f>
        <v>985.87880246436816</v>
      </c>
      <c r="AG42" s="30"/>
      <c r="BD42" s="49"/>
      <c r="BE42" s="49"/>
    </row>
    <row r="43" spans="1:57" x14ac:dyDescent="0.3">
      <c r="A43">
        <f>_xlfn.XLOOKUP(B43,Entradas!B:B,Entradas!A:A,,0,-1)</f>
        <v>2</v>
      </c>
      <c r="B43">
        <v>19164813</v>
      </c>
      <c r="C43" t="str">
        <f>_xlfn.XLOOKUP($B43,Entradas!$B:$B,Entradas!C:C,,0,1)</f>
        <v>000779/23</v>
      </c>
      <c r="D43" t="str">
        <f>_xlfn.XLOOKUP($B43,Entradas!$B:$B,Entradas!D:D,,0,1)</f>
        <v>***.676.784-**</v>
      </c>
      <c r="E43" t="str">
        <f>_xlfn.XLOOKUP($B43,Entradas!$B:$B,Entradas!E:E,,0,1)</f>
        <v>LETICIA MELO MOREIRA</v>
      </c>
      <c r="F43" t="str">
        <f>_xlfn.XLOOKUP($B43,Entradas!$B:$B,Entradas!F:F,,0,1)</f>
        <v>PROFESSOR ENS BASICO TECN TECNOLOGICO</v>
      </c>
      <c r="G43" t="str">
        <f>_xlfn.XLOOKUP($B43,Entradas!$B:$B,Entradas!G:G,,0,1)</f>
        <v>-1</v>
      </c>
      <c r="H43" t="str">
        <f>_xlfn.XLOOKUP($B43,Entradas!$B:$B,Entradas!H:H,,0,1)</f>
        <v>Sem informação</v>
      </c>
      <c r="I43" s="49">
        <f>_xlfn.XLOOKUP($B43,Entradas!$B:$B,Entradas!I:I,,0,1)</f>
        <v>45152</v>
      </c>
      <c r="J43" s="49">
        <f>_xlfn.XLOOKUP($B43,Entradas!$B:$B,Entradas!J:J,,0,1)</f>
        <v>45158</v>
      </c>
      <c r="K43" t="str">
        <f>_xlfn.XLOOKUP($B43,Entradas!$B:$B,Entradas!K:K,,0,1)</f>
        <v>Participação em banca do concurso público Edital nº 30 de 03 de Maio de 2023 do Centro Profissional e Tecnológico da Universidade Federal da Paraíba.</v>
      </c>
      <c r="L43">
        <f>SUMIF(Entradas!$B:$B,'Entrada Lvl 5-4 qt'!$B43,Entradas!S:S)</f>
        <v>361.9596952</v>
      </c>
      <c r="M43" t="str">
        <f>_xlfn.XLOOKUP($B43,Entradas!$B:$B,Entradas!T:T,,0,1)</f>
        <v>Aéreo</v>
      </c>
      <c r="N43" t="str">
        <f>_xlfn.XLOOKUP($B43,Entradas!$B:$B,Entradas!U:U,,0,1)</f>
        <v>Não</v>
      </c>
      <c r="O43" t="str">
        <f>_xlfn.XLOOKUP($B43,Entradas!$B:$B,Entradas!V:V,,0,1)</f>
        <v>Realizada</v>
      </c>
      <c r="P43" t="str">
        <f>_xlfn.XLOOKUP($B43,Entradas!$B:$B,Entradas!W:W,,0,1)</f>
        <v>SIM</v>
      </c>
      <c r="Q43" t="str">
        <f>_xlfn.XLOOKUP($B43,Entradas!$B:$B,Entradas!X:X,,0,1)</f>
        <v>Conforme justificativa anexa.</v>
      </c>
      <c r="R43" s="36">
        <f>SUMIF(Entradas!$B:$B,'Entrada Lvl 5-4 qt'!$B43,Entradas!Y:Y)</f>
        <v>2162.08</v>
      </c>
      <c r="S43" s="36">
        <f>SUMIF(Entradas!$B:$B,'Entrada Lvl 5-4 qt'!$B43,Entradas!Z:Z)</f>
        <v>0</v>
      </c>
      <c r="T43" s="36">
        <f>SUMIF(Entradas!$B:$B,'Entrada Lvl 5-4 qt'!$B43,Entradas!AA:AA)</f>
        <v>2045.9299999999998</v>
      </c>
      <c r="U43" s="36">
        <f>SUMIF(Entradas!$B:$B,'Entrada Lvl 5-4 qt'!$B43,Entradas!AB:AB)</f>
        <v>0</v>
      </c>
      <c r="V43" s="49">
        <f>_xlfn.XLOOKUP($B43,Entradas!$B:$B,Entradas!AC:AC,,0,1)</f>
        <v>45149</v>
      </c>
      <c r="W43" s="58">
        <f t="shared" si="3"/>
        <v>6</v>
      </c>
      <c r="X43" s="28" t="s">
        <v>10</v>
      </c>
      <c r="Y43" s="32">
        <f t="shared" si="0"/>
        <v>0</v>
      </c>
      <c r="Z43" s="33">
        <f t="shared" si="1"/>
        <v>2045.9299999999998</v>
      </c>
      <c r="AA43" s="34">
        <f t="shared" si="2"/>
        <v>2162.08</v>
      </c>
      <c r="AB43" s="28" t="s">
        <v>1812</v>
      </c>
      <c r="AC43" s="28" t="s">
        <v>1820</v>
      </c>
      <c r="AD43" s="29" t="str" cm="1">
        <f t="array" ref="AD43">_xlfn.IFS(L43&lt;=Constantes!$G$2,"Muito Curta (evitável)",L43&lt;=Constantes!$H$2,"Curta Distância",L43&gt;Constantes!$H$2,"Longa Distância")</f>
        <v>Muito Curta (evitável)</v>
      </c>
      <c r="AE43" s="30" t="str">
        <f t="shared" si="4"/>
        <v>NÃO</v>
      </c>
      <c r="AF43" s="30">
        <f>SUMIF(Entradas!$B:$B,'Entrada Lvl 5-4 qt'!$B43,Entradas!$AG:$AG)</f>
        <v>98.661810102220016</v>
      </c>
      <c r="AG43" s="30"/>
      <c r="BD43" s="49"/>
      <c r="BE43" s="49"/>
    </row>
    <row r="44" spans="1:57" x14ac:dyDescent="0.3">
      <c r="A44">
        <f>_xlfn.XLOOKUP(B44,Entradas!B:B,Entradas!A:A,,0,-1)</f>
        <v>2</v>
      </c>
      <c r="B44">
        <v>19165091</v>
      </c>
      <c r="C44" t="str">
        <f>_xlfn.XLOOKUP($B44,Entradas!$B:$B,Entradas!C:C,,0,1)</f>
        <v>000778/23</v>
      </c>
      <c r="D44" t="str">
        <f>_xlfn.XLOOKUP($B44,Entradas!$B:$B,Entradas!D:D,,0,1)</f>
        <v>***.119.154-**</v>
      </c>
      <c r="E44" t="str">
        <f>_xlfn.XLOOKUP($B44,Entradas!$B:$B,Entradas!E:E,,0,1)</f>
        <v>MARCELA DE OLIVEIRA FEITOSA</v>
      </c>
      <c r="F44" t="str">
        <f>_xlfn.XLOOKUP($B44,Entradas!$B:$B,Entradas!F:F,,0,1)</f>
        <v>PROFESSOR DO MAGISTERIO SUPERIOR</v>
      </c>
      <c r="G44" t="str">
        <f>_xlfn.XLOOKUP($B44,Entradas!$B:$B,Entradas!G:G,,0,1)</f>
        <v>-1</v>
      </c>
      <c r="H44" t="str">
        <f>_xlfn.XLOOKUP($B44,Entradas!$B:$B,Entradas!H:H,,0,1)</f>
        <v>Sem informação</v>
      </c>
      <c r="I44" s="49">
        <f>_xlfn.XLOOKUP($B44,Entradas!$B:$B,Entradas!I:I,,0,1)</f>
        <v>45152</v>
      </c>
      <c r="J44" s="49">
        <f>_xlfn.XLOOKUP($B44,Entradas!$B:$B,Entradas!J:J,,0,1)</f>
        <v>45159</v>
      </c>
      <c r="K44" t="str">
        <f>_xlfn.XLOOKUP($B44,Entradas!$B:$B,Entradas!K:K,,0,1)</f>
        <v>Participação em banca do concurso público do Edital nº 30 de 03 de Maio de 2023 do Centro Profissional e Tecnológico da Universidade Federal da Paraíba.</v>
      </c>
      <c r="L44">
        <f>SUMIF(Entradas!$B:$B,'Entrada Lvl 5-4 qt'!$B44,Entradas!S:S)</f>
        <v>2826.9310740000001</v>
      </c>
      <c r="M44" t="str">
        <f>_xlfn.XLOOKUP($B44,Entradas!$B:$B,Entradas!T:T,,0,1)</f>
        <v>Aéreo</v>
      </c>
      <c r="N44" t="str">
        <f>_xlfn.XLOOKUP($B44,Entradas!$B:$B,Entradas!U:U,,0,1)</f>
        <v>Não</v>
      </c>
      <c r="O44" t="str">
        <f>_xlfn.XLOOKUP($B44,Entradas!$B:$B,Entradas!V:V,,0,1)</f>
        <v>Realizada</v>
      </c>
      <c r="P44" t="str">
        <f>_xlfn.XLOOKUP($B44,Entradas!$B:$B,Entradas!W:W,,0,1)</f>
        <v>SIM</v>
      </c>
      <c r="Q44" t="str">
        <f>_xlfn.XLOOKUP($B44,Entradas!$B:$B,Entradas!X:X,,0,1)</f>
        <v>Conforme justificativa anexa.</v>
      </c>
      <c r="R44" s="36">
        <f>SUMIF(Entradas!$B:$B,'Entrada Lvl 5-4 qt'!$B44,Entradas!Y:Y)</f>
        <v>2454.23</v>
      </c>
      <c r="S44" s="36">
        <f>SUMIF(Entradas!$B:$B,'Entrada Lvl 5-4 qt'!$B44,Entradas!Z:Z)</f>
        <v>0</v>
      </c>
      <c r="T44" s="36">
        <f>SUMIF(Entradas!$B:$B,'Entrada Lvl 5-4 qt'!$B44,Entradas!AA:AA)</f>
        <v>4723.03</v>
      </c>
      <c r="U44" s="36">
        <f>SUMIF(Entradas!$B:$B,'Entrada Lvl 5-4 qt'!$B44,Entradas!AB:AB)</f>
        <v>0</v>
      </c>
      <c r="V44" s="49">
        <f>_xlfn.XLOOKUP($B44,Entradas!$B:$B,Entradas!AC:AC,,0,1)</f>
        <v>45149</v>
      </c>
      <c r="W44" s="58">
        <f t="shared" si="3"/>
        <v>7</v>
      </c>
      <c r="X44" s="28" t="s">
        <v>10</v>
      </c>
      <c r="Y44" s="32">
        <f t="shared" si="0"/>
        <v>0</v>
      </c>
      <c r="Z44" s="33">
        <f t="shared" si="1"/>
        <v>4723.03</v>
      </c>
      <c r="AA44" s="34">
        <f t="shared" si="2"/>
        <v>2454.23</v>
      </c>
      <c r="AB44" s="28" t="s">
        <v>1812</v>
      </c>
      <c r="AC44" s="28" t="s">
        <v>1820</v>
      </c>
      <c r="AD44" s="29" t="str" cm="1">
        <f t="array" ref="AD44">_xlfn.IFS(L44&lt;=Constantes!$G$2,"Muito Curta (evitável)",L44&lt;=Constantes!$H$2,"Curta Distância",L44&gt;Constantes!$H$2,"Longa Distância")</f>
        <v>Curta Distância</v>
      </c>
      <c r="AE44" s="30" t="str">
        <f t="shared" si="4"/>
        <v>NÃO</v>
      </c>
      <c r="AF44" s="30">
        <f>SUMIF(Entradas!$B:$B,'Entrada Lvl 5-4 qt'!$B44,Entradas!$AG:$AG)</f>
        <v>516.95906032943162</v>
      </c>
      <c r="AG44" s="30"/>
      <c r="BD44" s="49"/>
      <c r="BE44" s="49"/>
    </row>
    <row r="45" spans="1:57" x14ac:dyDescent="0.3">
      <c r="A45">
        <f>_xlfn.XLOOKUP(B45,Entradas!B:B,Entradas!A:A,,0,-1)</f>
        <v>2</v>
      </c>
      <c r="B45">
        <v>19165330</v>
      </c>
      <c r="C45" t="str">
        <f>_xlfn.XLOOKUP($B45,Entradas!$B:$B,Entradas!C:C,,0,1)</f>
        <v>000780/23</v>
      </c>
      <c r="D45" t="str">
        <f>_xlfn.XLOOKUP($B45,Entradas!$B:$B,Entradas!D:D,,0,1)</f>
        <v>***.396.743-**</v>
      </c>
      <c r="E45" t="str">
        <f>_xlfn.XLOOKUP($B45,Entradas!$B:$B,Entradas!E:E,,0,1)</f>
        <v>FRANCISCO RICARDO MIRANDA PINTO</v>
      </c>
      <c r="F45" t="str">
        <f>_xlfn.XLOOKUP($B45,Entradas!$B:$B,Entradas!F:F,,0,1)</f>
        <v>PROFESSOR DO MAGISTERIO SUPERIOR</v>
      </c>
      <c r="G45" t="str">
        <f>_xlfn.XLOOKUP($B45,Entradas!$B:$B,Entradas!G:G,,0,1)</f>
        <v>FG-0001</v>
      </c>
      <c r="H45" t="str">
        <f>_xlfn.XLOOKUP($B45,Entradas!$B:$B,Entradas!H:H,,0,1)</f>
        <v>FG-0001</v>
      </c>
      <c r="I45" s="49">
        <f>_xlfn.XLOOKUP($B45,Entradas!$B:$B,Entradas!I:I,,0,1)</f>
        <v>45152</v>
      </c>
      <c r="J45" s="49">
        <f>_xlfn.XLOOKUP($B45,Entradas!$B:$B,Entradas!J:J,,0,1)</f>
        <v>45158</v>
      </c>
      <c r="K45" t="str">
        <f>_xlfn.XLOOKUP($B45,Entradas!$B:$B,Entradas!K:K,,0,1)</f>
        <v>Compor Banca de Concurso EDITAL Nº 30, 03 DE MAIO DE 2023 CONCURSO PÚBLICO DE PROVAS E TÍTULOS PARA PROFESSOR DO ENSINO BÁSICO, TÉCNICO E TECNOLÓGICO - EBTCPT-ETS-UFPB.</v>
      </c>
      <c r="L45">
        <f>SUMIF(Entradas!$B:$B,'Entrada Lvl 5-4 qt'!$B45,Entradas!S:S)</f>
        <v>3426.839982</v>
      </c>
      <c r="M45" t="str">
        <f>_xlfn.XLOOKUP($B45,Entradas!$B:$B,Entradas!T:T,,0,1)</f>
        <v>Aéreo</v>
      </c>
      <c r="N45" t="str">
        <f>_xlfn.XLOOKUP($B45,Entradas!$B:$B,Entradas!U:U,,0,1)</f>
        <v>Sim</v>
      </c>
      <c r="O45" t="str">
        <f>_xlfn.XLOOKUP($B45,Entradas!$B:$B,Entradas!V:V,,0,1)</f>
        <v>Realizada</v>
      </c>
      <c r="P45" t="str">
        <f>_xlfn.XLOOKUP($B45,Entradas!$B:$B,Entradas!W:W,,0,1)</f>
        <v>SIM</v>
      </c>
      <c r="Q45" t="str">
        <f>_xlfn.XLOOKUP($B45,Entradas!$B:$B,Entradas!X:X,,0,1)</f>
        <v>Conforme justificativa anexa.</v>
      </c>
      <c r="R45" s="36">
        <f>SUMIF(Entradas!$B:$B,'Entrada Lvl 5-4 qt'!$B45,Entradas!Y:Y)</f>
        <v>2162.08</v>
      </c>
      <c r="S45" s="36">
        <f>SUMIF(Entradas!$B:$B,'Entrada Lvl 5-4 qt'!$B45,Entradas!Z:Z)</f>
        <v>0</v>
      </c>
      <c r="T45" s="36">
        <f>SUMIF(Entradas!$B:$B,'Entrada Lvl 5-4 qt'!$B45,Entradas!AA:AA)</f>
        <v>4992.26</v>
      </c>
      <c r="U45" s="36">
        <f>SUMIF(Entradas!$B:$B,'Entrada Lvl 5-4 qt'!$B45,Entradas!AB:AB)</f>
        <v>0</v>
      </c>
      <c r="V45" s="49">
        <f>_xlfn.XLOOKUP($B45,Entradas!$B:$B,Entradas!AC:AC,,0,1)</f>
        <v>45149</v>
      </c>
      <c r="W45" s="58">
        <f t="shared" si="3"/>
        <v>6</v>
      </c>
      <c r="X45" s="28" t="s">
        <v>10</v>
      </c>
      <c r="Y45" s="32">
        <f t="shared" si="0"/>
        <v>0</v>
      </c>
      <c r="Z45" s="33">
        <f t="shared" si="1"/>
        <v>4992.26</v>
      </c>
      <c r="AA45" s="34">
        <f t="shared" si="2"/>
        <v>2162.08</v>
      </c>
      <c r="AB45" s="28" t="s">
        <v>1812</v>
      </c>
      <c r="AC45" s="28" t="s">
        <v>1820</v>
      </c>
      <c r="AD45" s="29" t="str" cm="1">
        <f t="array" ref="AD45">_xlfn.IFS(L45&lt;=Constantes!$G$2,"Muito Curta (evitável)",L45&lt;=Constantes!$H$2,"Curta Distância",L45&gt;Constantes!$H$2,"Longa Distância")</f>
        <v>Curta Distância</v>
      </c>
      <c r="AE45" s="30" t="str">
        <f t="shared" si="4"/>
        <v>NÃO</v>
      </c>
      <c r="AF45" s="30">
        <f>SUMIF(Entradas!$B:$B,'Entrada Lvl 5-4 qt'!$B45,Entradas!$AG:$AG)</f>
        <v>626.66401501165365</v>
      </c>
      <c r="AG45" s="30"/>
      <c r="BD45" s="49"/>
      <c r="BE45" s="49"/>
    </row>
    <row r="46" spans="1:57" x14ac:dyDescent="0.3">
      <c r="A46">
        <f>_xlfn.XLOOKUP(B46,Entradas!B:B,Entradas!A:A,,0,-1)</f>
        <v>2</v>
      </c>
      <c r="B46">
        <v>19145555</v>
      </c>
      <c r="C46" t="str">
        <f>_xlfn.XLOOKUP($B46,Entradas!$B:$B,Entradas!C:C,,0,1)</f>
        <v>000730/23</v>
      </c>
      <c r="D46" t="str">
        <f>_xlfn.XLOOKUP($B46,Entradas!$B:$B,Entradas!D:D,,0,1)</f>
        <v>***.474.766-**</v>
      </c>
      <c r="E46" t="str">
        <f>_xlfn.XLOOKUP($B46,Entradas!$B:$B,Entradas!E:E,,0,1)</f>
        <v>EDNA GUSMAO DE GOES BRENNAND</v>
      </c>
      <c r="F46" t="str">
        <f>_xlfn.XLOOKUP($B46,Entradas!$B:$B,Entradas!F:F,,0,1)</f>
        <v>PROFESSOR DO MAGISTERIO SUPERIOR</v>
      </c>
      <c r="G46" t="str">
        <f>_xlfn.XLOOKUP($B46,Entradas!$B:$B,Entradas!G:G,,0,1)</f>
        <v>-1</v>
      </c>
      <c r="H46" t="str">
        <f>_xlfn.XLOOKUP($B46,Entradas!$B:$B,Entradas!H:H,,0,1)</f>
        <v>Sem informação</v>
      </c>
      <c r="I46" s="49">
        <f>_xlfn.XLOOKUP($B46,Entradas!$B:$B,Entradas!I:I,,0,1)</f>
        <v>45153</v>
      </c>
      <c r="J46" s="49">
        <f>_xlfn.XLOOKUP($B46,Entradas!$B:$B,Entradas!J:J,,0,1)</f>
        <v>45157</v>
      </c>
      <c r="K46" t="str">
        <f>_xlfn.XLOOKUP($B46,Entradas!$B:$B,Entradas!K:K,,0,1)</f>
        <v>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v>
      </c>
      <c r="L46">
        <f>SUMIF(Entradas!$B:$B,'Entrada Lvl 5-4 qt'!$B46,Entradas!S:S)</f>
        <v>2163.0732859999998</v>
      </c>
      <c r="M46" t="str">
        <f>_xlfn.XLOOKUP($B46,Entradas!$B:$B,Entradas!T:T,,0,1)</f>
        <v>Aéreo</v>
      </c>
      <c r="N46" t="str">
        <f>_xlfn.XLOOKUP($B46,Entradas!$B:$B,Entradas!U:U,,0,1)</f>
        <v>Sim</v>
      </c>
      <c r="O46" t="str">
        <f>_xlfn.XLOOKUP($B46,Entradas!$B:$B,Entradas!V:V,,0,1)</f>
        <v>Realizada</v>
      </c>
      <c r="P46" t="str">
        <f>_xlfn.XLOOKUP($B46,Entradas!$B:$B,Entradas!W:W,,0,1)</f>
        <v>SIM</v>
      </c>
      <c r="Q46" t="str">
        <f>_xlfn.XLOOKUP($B46,Entradas!$B:$B,Entradas!X:X,,0,1)</f>
        <v>Não há solicitação de urgência.</v>
      </c>
      <c r="R46" s="36">
        <f>SUMIF(Entradas!$B:$B,'Entrada Lvl 5-4 qt'!$B46,Entradas!Y:Y)</f>
        <v>1329.41</v>
      </c>
      <c r="S46" s="36">
        <f>SUMIF(Entradas!$B:$B,'Entrada Lvl 5-4 qt'!$B46,Entradas!Z:Z)</f>
        <v>0</v>
      </c>
      <c r="T46" s="36">
        <f>SUMIF(Entradas!$B:$B,'Entrada Lvl 5-4 qt'!$B46,Entradas!AA:AA)</f>
        <v>3769.1</v>
      </c>
      <c r="U46" s="36">
        <f>SUMIF(Entradas!$B:$B,'Entrada Lvl 5-4 qt'!$B46,Entradas!AB:AB)</f>
        <v>0</v>
      </c>
      <c r="V46" s="49">
        <f>_xlfn.XLOOKUP($B46,Entradas!$B:$B,Entradas!AC:AC,,0,1)</f>
        <v>45147</v>
      </c>
      <c r="W46" s="58">
        <f t="shared" si="3"/>
        <v>4</v>
      </c>
      <c r="X46" s="28" t="s">
        <v>10</v>
      </c>
      <c r="Y46" s="32">
        <f t="shared" si="0"/>
        <v>0</v>
      </c>
      <c r="Z46" s="33">
        <f t="shared" si="1"/>
        <v>3769.1</v>
      </c>
      <c r="AA46" s="34">
        <f t="shared" si="2"/>
        <v>1329.41</v>
      </c>
      <c r="AB46" s="28" t="s">
        <v>1815</v>
      </c>
      <c r="AC46" s="28" t="s">
        <v>1820</v>
      </c>
      <c r="AD46" s="29" t="str" cm="1">
        <f t="array" ref="AD46">_xlfn.IFS(L46&lt;=Constantes!$G$2,"Muito Curta (evitável)",L46&lt;=Constantes!$H$2,"Curta Distância",L46&gt;Constantes!$H$2,"Longa Distância")</f>
        <v>Curta Distância</v>
      </c>
      <c r="AE46" s="30" t="str">
        <f t="shared" si="4"/>
        <v>NÃO</v>
      </c>
      <c r="AF46" s="30">
        <f>SUMIF(Entradas!$B:$B,'Entrada Lvl 5-4 qt'!$B46,Entradas!$AG:$AG)</f>
        <v>395.55981524940984</v>
      </c>
      <c r="AG46" s="30"/>
      <c r="BD46" s="49"/>
      <c r="BE46" s="49"/>
    </row>
    <row r="47" spans="1:57" x14ac:dyDescent="0.3">
      <c r="A47">
        <f>_xlfn.XLOOKUP(B47,Entradas!B:B,Entradas!A:A,,0,-1)</f>
        <v>2</v>
      </c>
      <c r="B47">
        <v>19146238</v>
      </c>
      <c r="C47" t="str">
        <f>_xlfn.XLOOKUP($B47,Entradas!$B:$B,Entradas!C:C,,0,1)</f>
        <v>000731/23</v>
      </c>
      <c r="D47" t="str">
        <f>_xlfn.XLOOKUP($B47,Entradas!$B:$B,Entradas!D:D,,0,1)</f>
        <v>***.080.908-**</v>
      </c>
      <c r="E47" t="str">
        <f>_xlfn.XLOOKUP($B47,Entradas!$B:$B,Entradas!E:E,,0,1)</f>
        <v>JORGE FERNANDO HERMIDA AVEIRO</v>
      </c>
      <c r="F47" t="str">
        <f>_xlfn.XLOOKUP($B47,Entradas!$B:$B,Entradas!F:F,,0,1)</f>
        <v>PROFESSOR DO MAGISTERIO SUPERIOR</v>
      </c>
      <c r="G47" t="str">
        <f>_xlfn.XLOOKUP($B47,Entradas!$B:$B,Entradas!G:G,,0,1)</f>
        <v>FUC-0001</v>
      </c>
      <c r="H47" t="str">
        <f>_xlfn.XLOOKUP($B47,Entradas!$B:$B,Entradas!H:H,,0,1)</f>
        <v>FUC-0001</v>
      </c>
      <c r="I47" s="49">
        <f>_xlfn.XLOOKUP($B47,Entradas!$B:$B,Entradas!I:I,,0,1)</f>
        <v>45153</v>
      </c>
      <c r="J47" s="49">
        <f>_xlfn.XLOOKUP($B47,Entradas!$B:$B,Entradas!J:J,,0,1)</f>
        <v>45157</v>
      </c>
      <c r="K47" t="str">
        <f>_xlfn.XLOOKUP($B47,Entradas!$B:$B,Entradas!K:K,,0,1)</f>
        <v>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v>
      </c>
      <c r="L47">
        <f>SUMIF(Entradas!$B:$B,'Entrada Lvl 5-4 qt'!$B47,Entradas!S:S)</f>
        <v>2163.0732859999998</v>
      </c>
      <c r="M47" t="str">
        <f>_xlfn.XLOOKUP($B47,Entradas!$B:$B,Entradas!T:T,,0,1)</f>
        <v>Aéreo</v>
      </c>
      <c r="N47" t="str">
        <f>_xlfn.XLOOKUP($B47,Entradas!$B:$B,Entradas!U:U,,0,1)</f>
        <v>Não</v>
      </c>
      <c r="O47" t="str">
        <f>_xlfn.XLOOKUP($B47,Entradas!$B:$B,Entradas!V:V,,0,1)</f>
        <v>Realizada</v>
      </c>
      <c r="P47" t="str">
        <f>_xlfn.XLOOKUP($B47,Entradas!$B:$B,Entradas!W:W,,0,1)</f>
        <v>SIM</v>
      </c>
      <c r="Q47" t="str">
        <f>_xlfn.XLOOKUP($B47,Entradas!$B:$B,Entradas!X:X,,0,1)</f>
        <v>Não há urgência.</v>
      </c>
      <c r="R47" s="36">
        <f>SUMIF(Entradas!$B:$B,'Entrada Lvl 5-4 qt'!$B47,Entradas!Y:Y)</f>
        <v>1329.41</v>
      </c>
      <c r="S47" s="36">
        <f>SUMIF(Entradas!$B:$B,'Entrada Lvl 5-4 qt'!$B47,Entradas!Z:Z)</f>
        <v>0</v>
      </c>
      <c r="T47" s="36">
        <f>SUMIF(Entradas!$B:$B,'Entrada Lvl 5-4 qt'!$B47,Entradas!AA:AA)</f>
        <v>3769.1</v>
      </c>
      <c r="U47" s="36">
        <f>SUMIF(Entradas!$B:$B,'Entrada Lvl 5-4 qt'!$B47,Entradas!AB:AB)</f>
        <v>0</v>
      </c>
      <c r="V47" s="49">
        <f>_xlfn.XLOOKUP($B47,Entradas!$B:$B,Entradas!AC:AC,,0,1)</f>
        <v>45147</v>
      </c>
      <c r="W47" s="58">
        <f t="shared" si="3"/>
        <v>4</v>
      </c>
      <c r="X47" s="28" t="s">
        <v>10</v>
      </c>
      <c r="Y47" s="32">
        <f t="shared" si="0"/>
        <v>0</v>
      </c>
      <c r="Z47" s="33">
        <f t="shared" si="1"/>
        <v>3769.1</v>
      </c>
      <c r="AA47" s="34">
        <f t="shared" si="2"/>
        <v>1329.41</v>
      </c>
      <c r="AB47" s="28" t="s">
        <v>1815</v>
      </c>
      <c r="AC47" s="28" t="s">
        <v>1820</v>
      </c>
      <c r="AD47" s="29" t="str" cm="1">
        <f t="array" ref="AD47">_xlfn.IFS(L47&lt;=Constantes!$G$2,"Muito Curta (evitável)",L47&lt;=Constantes!$H$2,"Curta Distância",L47&gt;Constantes!$H$2,"Longa Distância")</f>
        <v>Curta Distância</v>
      </c>
      <c r="AE47" s="30" t="str">
        <f t="shared" si="4"/>
        <v>NÃO</v>
      </c>
      <c r="AF47" s="30">
        <f>SUMIF(Entradas!$B:$B,'Entrada Lvl 5-4 qt'!$B47,Entradas!$AG:$AG)</f>
        <v>395.55981524940984</v>
      </c>
      <c r="AG47" s="30"/>
      <c r="BD47" s="49"/>
      <c r="BE47" s="49"/>
    </row>
    <row r="48" spans="1:57" x14ac:dyDescent="0.3">
      <c r="A48">
        <f>_xlfn.XLOOKUP(B48,Entradas!B:B,Entradas!A:A,,0,-1)</f>
        <v>2</v>
      </c>
      <c r="B48">
        <v>19147252</v>
      </c>
      <c r="C48" t="str">
        <f>_xlfn.XLOOKUP($B48,Entradas!$B:$B,Entradas!C:C,,0,1)</f>
        <v>000742/23</v>
      </c>
      <c r="D48" t="str">
        <f>_xlfn.XLOOKUP($B48,Entradas!$B:$B,Entradas!D:D,,0,1)</f>
        <v>***.108.354-**</v>
      </c>
      <c r="E48" t="str">
        <f>_xlfn.XLOOKUP($B48,Entradas!$B:$B,Entradas!E:E,,0,1)</f>
        <v>EMILIA CRISTINA FERREIRA DE BARROS</v>
      </c>
      <c r="F48" t="str">
        <f>_xlfn.XLOOKUP($B48,Entradas!$B:$B,Entradas!F:F,,0,1)</f>
        <v>PROFESSOR ENS BASICO TECN TECNOLOGICO</v>
      </c>
      <c r="G48" t="str">
        <f>_xlfn.XLOOKUP($B48,Entradas!$B:$B,Entradas!G:G,,0,1)</f>
        <v>-1</v>
      </c>
      <c r="H48" t="str">
        <f>_xlfn.XLOOKUP($B48,Entradas!$B:$B,Entradas!H:H,,0,1)</f>
        <v>Sem informação</v>
      </c>
      <c r="I48" s="49">
        <f>_xlfn.XLOOKUP($B48,Entradas!$B:$B,Entradas!I:I,,0,1)</f>
        <v>45153</v>
      </c>
      <c r="J48" s="49">
        <f>_xlfn.XLOOKUP($B48,Entradas!$B:$B,Entradas!J:J,,0,1)</f>
        <v>45157</v>
      </c>
      <c r="K48" t="str">
        <f>_xlfn.XLOOKUP($B48,Entradas!$B:$B,Entradas!K:K,,0,1)</f>
        <v>Participação na 2ª Reunião Ordinária Presencial do Conselho Nacional dos Dirigentes das Escolas de Educação Básica das Instituições Federais de Ensino Superior (CONDICAp), no Rio de Janeiro/RJ, nos dias 16, 17 e 18 de agosto de 2023.</v>
      </c>
      <c r="L48">
        <f>SUMIF(Entradas!$B:$B,'Entrada Lvl 5-4 qt'!$B48,Entradas!S:S)</f>
        <v>3923.0015720000001</v>
      </c>
      <c r="M48" t="str">
        <f>_xlfn.XLOOKUP($B48,Entradas!$B:$B,Entradas!T:T,,0,1)</f>
        <v>Aéreo</v>
      </c>
      <c r="N48" t="str">
        <f>_xlfn.XLOOKUP($B48,Entradas!$B:$B,Entradas!U:U,,0,1)</f>
        <v>Não</v>
      </c>
      <c r="O48" t="str">
        <f>_xlfn.XLOOKUP($B48,Entradas!$B:$B,Entradas!V:V,,0,1)</f>
        <v>Realizada</v>
      </c>
      <c r="P48" t="str">
        <f>_xlfn.XLOOKUP($B48,Entradas!$B:$B,Entradas!W:W,,0,1)</f>
        <v>SIM</v>
      </c>
      <c r="Q48" t="str">
        <f>_xlfn.XLOOKUP($B48,Entradas!$B:$B,Entradas!X:X,,0,1)</f>
        <v>A confirmação do orçamento para viagem foi confirmada pela Superintendência do Ensino Básico, Técnico e Tecnológico no dia 01 de agosto de 2023, após negativa do Centro de Educação e da Reitoria (conforme contra no processo), em virtude da falta de orçamento dos referidos setores, conforme justificativa no item 7 do formulário de solicitação.</v>
      </c>
      <c r="R48" s="36">
        <f>SUMIF(Entradas!$B:$B,'Entrada Lvl 5-4 qt'!$B48,Entradas!Y:Y)</f>
        <v>1690.49</v>
      </c>
      <c r="S48" s="36">
        <f>SUMIF(Entradas!$B:$B,'Entrada Lvl 5-4 qt'!$B48,Entradas!Z:Z)</f>
        <v>0</v>
      </c>
      <c r="T48" s="36">
        <f>SUMIF(Entradas!$B:$B,'Entrada Lvl 5-4 qt'!$B48,Entradas!AA:AA)</f>
        <v>1847.88</v>
      </c>
      <c r="U48" s="36">
        <f>SUMIF(Entradas!$B:$B,'Entrada Lvl 5-4 qt'!$B48,Entradas!AB:AB)</f>
        <v>0</v>
      </c>
      <c r="V48" s="49">
        <f>_xlfn.XLOOKUP($B48,Entradas!$B:$B,Entradas!AC:AC,,0,1)</f>
        <v>45145</v>
      </c>
      <c r="W48" s="58">
        <f t="shared" si="3"/>
        <v>4</v>
      </c>
      <c r="X48" s="28" t="s">
        <v>10</v>
      </c>
      <c r="Y48" s="32">
        <f t="shared" si="0"/>
        <v>0</v>
      </c>
      <c r="Z48" s="33">
        <f t="shared" si="1"/>
        <v>1847.88</v>
      </c>
      <c r="AA48" s="34">
        <f t="shared" si="2"/>
        <v>1690.49</v>
      </c>
      <c r="AB48" s="28" t="s">
        <v>1815</v>
      </c>
      <c r="AC48" s="28" t="s">
        <v>1820</v>
      </c>
      <c r="AD48" s="29" t="str" cm="1">
        <f t="array" ref="AD48">_xlfn.IFS(L48&lt;=Constantes!$G$2,"Muito Curta (evitável)",L48&lt;=Constantes!$H$2,"Curta Distância",L48&gt;Constantes!$H$2,"Longa Distância")</f>
        <v>Longa Distância</v>
      </c>
      <c r="AE48" s="30" t="str">
        <f t="shared" si="4"/>
        <v>NÃO</v>
      </c>
      <c r="AF48" s="30">
        <f>SUMIF(Entradas!$B:$B,'Entrada Lvl 5-4 qt'!$B48,Entradas!$AG:$AG)</f>
        <v>717.39676463438343</v>
      </c>
      <c r="AG48" s="30"/>
      <c r="BD48" s="49"/>
      <c r="BE48" s="49"/>
    </row>
    <row r="49" spans="1:57" x14ac:dyDescent="0.3">
      <c r="A49">
        <f>_xlfn.XLOOKUP(B49,Entradas!B:B,Entradas!A:A,,0,-1)</f>
        <v>2</v>
      </c>
      <c r="B49">
        <v>19167695</v>
      </c>
      <c r="C49" t="str">
        <f>_xlfn.XLOOKUP($B49,Entradas!$B:$B,Entradas!C:C,,0,1)</f>
        <v>000768/23</v>
      </c>
      <c r="D49" t="str">
        <f>_xlfn.XLOOKUP($B49,Entradas!$B:$B,Entradas!D:D,,0,1)</f>
        <v>***.051.554-**</v>
      </c>
      <c r="E49" t="str">
        <f>_xlfn.XLOOKUP($B49,Entradas!$B:$B,Entradas!E:E,,0,1)</f>
        <v>VALDINEY VELOSO GOUVEIA</v>
      </c>
      <c r="F49" t="str">
        <f>_xlfn.XLOOKUP($B49,Entradas!$B:$B,Entradas!F:F,,0,1)</f>
        <v>PROFESSOR DO MAGISTERIO SUPERIOR</v>
      </c>
      <c r="G49" t="str">
        <f>_xlfn.XLOOKUP($B49,Entradas!$B:$B,Entradas!G:G,,0,1)</f>
        <v>CD-0001</v>
      </c>
      <c r="H49" t="str">
        <f>_xlfn.XLOOKUP($B49,Entradas!$B:$B,Entradas!H:H,,0,1)</f>
        <v>Cargo Comissionado de Direção</v>
      </c>
      <c r="I49" s="49">
        <f>_xlfn.XLOOKUP($B49,Entradas!$B:$B,Entradas!I:I,,0,1)</f>
        <v>45153</v>
      </c>
      <c r="J49" s="49">
        <f>_xlfn.XLOOKUP($B49,Entradas!$B:$B,Entradas!J:J,,0,1)</f>
        <v>45156</v>
      </c>
      <c r="K49" t="str">
        <f>_xlfn.XLOOKUP($B49,Entradas!$B:$B,Entradas!K:K,,0,1)</f>
        <v>Participar de reunião na DIFES/SESU/MEC, no dia 17/08/2023, para tratar de assuntos referentes ao Centro de Convenções da UFPB, aquisição da linha de transmissão da subestação 69 e código de vaga e funções gratificadas, como também participar do Encontro de Coordenadores de Instituições Federais de Ensino Superior Parceiras da Secretaria Nacional de Paradesporto - SNPAR, nos dias 16 e 17/08/2023, em Brasília/DF</v>
      </c>
      <c r="L49">
        <f>SUMIF(Entradas!$B:$B,'Entrada Lvl 5-4 qt'!$B49,Entradas!S:S)</f>
        <v>3426.839982</v>
      </c>
      <c r="M49" t="str">
        <f>_xlfn.XLOOKUP($B49,Entradas!$B:$B,Entradas!T:T,,0,1)</f>
        <v>Aéreo</v>
      </c>
      <c r="N49" t="str">
        <f>_xlfn.XLOOKUP($B49,Entradas!$B:$B,Entradas!U:U,,0,1)</f>
        <v>Sim</v>
      </c>
      <c r="O49" t="str">
        <f>_xlfn.XLOOKUP($B49,Entradas!$B:$B,Entradas!V:V,,0,1)</f>
        <v>Realizada</v>
      </c>
      <c r="P49" t="str">
        <f>_xlfn.XLOOKUP($B49,Entradas!$B:$B,Entradas!W:W,,0,1)</f>
        <v>SIM</v>
      </c>
      <c r="Q49" t="str">
        <f>_xlfn.XLOOKUP($B49,Entradas!$B:$B,Entradas!X:X,,0,1)</f>
        <v>Estava com pendência de prestação contas no SCDP, que foi resolvida nesta data, conforme justificativa no formulário de solicitação</v>
      </c>
      <c r="R49" s="36">
        <f>SUMIF(Entradas!$B:$B,'Entrada Lvl 5-4 qt'!$B49,Entradas!Y:Y)</f>
        <v>1492.57</v>
      </c>
      <c r="S49" s="36">
        <f>SUMIF(Entradas!$B:$B,'Entrada Lvl 5-4 qt'!$B49,Entradas!Z:Z)</f>
        <v>0</v>
      </c>
      <c r="T49" s="36">
        <f>SUMIF(Entradas!$B:$B,'Entrada Lvl 5-4 qt'!$B49,Entradas!AA:AA)</f>
        <v>4747.9599999999991</v>
      </c>
      <c r="U49" s="36">
        <f>SUMIF(Entradas!$B:$B,'Entrada Lvl 5-4 qt'!$B49,Entradas!AB:AB)</f>
        <v>0</v>
      </c>
      <c r="V49" s="49">
        <f>_xlfn.XLOOKUP($B49,Entradas!$B:$B,Entradas!AC:AC,,0,1)</f>
        <v>45147</v>
      </c>
      <c r="W49" s="58">
        <f t="shared" si="3"/>
        <v>3</v>
      </c>
      <c r="X49" s="28" t="s">
        <v>10</v>
      </c>
      <c r="Y49" s="32">
        <f t="shared" si="0"/>
        <v>0</v>
      </c>
      <c r="Z49" s="33">
        <f t="shared" si="1"/>
        <v>4747.9599999999991</v>
      </c>
      <c r="AA49" s="34">
        <f t="shared" si="2"/>
        <v>1492.57</v>
      </c>
      <c r="AB49" s="28" t="s">
        <v>1815</v>
      </c>
      <c r="AC49" s="28" t="s">
        <v>1784</v>
      </c>
      <c r="AD49" s="29" t="str" cm="1">
        <f t="array" ref="AD49">_xlfn.IFS(L49&lt;=Constantes!$G$2,"Muito Curta (evitável)",L49&lt;=Constantes!$H$2,"Curta Distância",L49&gt;Constantes!$H$2,"Longa Distância")</f>
        <v>Curta Distância</v>
      </c>
      <c r="AE49" s="30" t="str">
        <f t="shared" si="4"/>
        <v>NÃO</v>
      </c>
      <c r="AF49" s="30">
        <f>SUMIF(Entradas!$B:$B,'Entrada Lvl 5-4 qt'!$B49,Entradas!$AG:$AG)</f>
        <v>626.66401501165365</v>
      </c>
      <c r="AG49" s="30"/>
      <c r="BD49" s="49"/>
      <c r="BE49" s="49"/>
    </row>
    <row r="50" spans="1:57" x14ac:dyDescent="0.3">
      <c r="A50">
        <f>_xlfn.XLOOKUP(B50,Entradas!B:B,Entradas!A:A,,0,-1)</f>
        <v>2</v>
      </c>
      <c r="B50">
        <v>19165790</v>
      </c>
      <c r="C50" t="str">
        <f>_xlfn.XLOOKUP($B50,Entradas!$B:$B,Entradas!C:C,,0,1)</f>
        <v>000809/23</v>
      </c>
      <c r="D50" t="str">
        <f>_xlfn.XLOOKUP($B50,Entradas!$B:$B,Entradas!D:D,,0,1)</f>
        <v>***.539.044-**</v>
      </c>
      <c r="E50" t="str">
        <f>_xlfn.XLOOKUP($B50,Entradas!$B:$B,Entradas!E:E,,0,1)</f>
        <v>JOSE BEZERRA HONORIO</v>
      </c>
      <c r="F50" t="str">
        <f>_xlfn.XLOOKUP($B50,Entradas!$B:$B,Entradas!F:F,,0,1)</f>
        <v>ADMINISTRADOR</v>
      </c>
      <c r="G50" t="str">
        <f>_xlfn.XLOOKUP($B50,Entradas!$B:$B,Entradas!G:G,,0,1)</f>
        <v>-1</v>
      </c>
      <c r="H50" t="str">
        <f>_xlfn.XLOOKUP($B50,Entradas!$B:$B,Entradas!H:H,,0,1)</f>
        <v>Sem informação</v>
      </c>
      <c r="I50" s="49">
        <f>_xlfn.XLOOKUP($B50,Entradas!$B:$B,Entradas!I:I,,0,1)</f>
        <v>45158</v>
      </c>
      <c r="J50" s="49">
        <f>_xlfn.XLOOKUP($B50,Entradas!$B:$B,Entradas!J:J,,0,1)</f>
        <v>45164</v>
      </c>
      <c r="K50" t="str">
        <f>_xlfn.XLOOKUP($B50,Entradas!$B:$B,Entradas!K:K,,0,1)</f>
        <v>Participação de Missão Empresarial e do Evento Startup Summit em Florianópolis SC. Na oportunidade será realizada visita técnica em ambientes de inovação e empreendedorismo de SC, além de participação no evento, que contará com mais de 200 palestrantes e são esperadas 10.000 pessoas para um encontro entre startups, investidores e grandes nomes do ecossistema.</v>
      </c>
      <c r="L50">
        <f>SUMIF(Entradas!$B:$B,'Entrada Lvl 5-4 qt'!$B50,Entradas!S:S)</f>
        <v>5206.5206019999996</v>
      </c>
      <c r="M50" t="str">
        <f>_xlfn.XLOOKUP($B50,Entradas!$B:$B,Entradas!T:T,,0,1)</f>
        <v>Aéreo</v>
      </c>
      <c r="N50" t="str">
        <f>_xlfn.XLOOKUP($B50,Entradas!$B:$B,Entradas!U:U,,0,1)</f>
        <v>Não</v>
      </c>
      <c r="O50" t="str">
        <f>_xlfn.XLOOKUP($B50,Entradas!$B:$B,Entradas!V:V,,0,1)</f>
        <v>Realizada</v>
      </c>
      <c r="P50" t="str">
        <f>_xlfn.XLOOKUP($B50,Entradas!$B:$B,Entradas!W:W,,0,1)</f>
        <v>SIM</v>
      </c>
      <c r="Q50" t="str">
        <f>_xlfn.XLOOKUP($B50,Entradas!$B:$B,Entradas!X:X,,0,1)</f>
        <v>Agência Inova UFPB atua na área de proteção intelectual, transferência tecnológica e incubação de empresas de base tecnológica. Neste sentido, é relevante ao setor estar presente nos eventos da área de inovação e empreendedorismo, visando a formação de conexão e sinergia com o setor produtivo, para obter parcerias, apoios ao processo de incubação etc. Além disto, justifica-se que serão realizadas visitas técnicas em parques e instituições de inovação de Santa Catarina, o que trará informações relevantes para estruturação do futuro Centro de Inovação da INOVA UFPB com verba aprovada junto a FINEP, bem como se fez necessário se adequar as datas e agendas do órgão promotor da ação, qual seja, o SebraePB.</v>
      </c>
      <c r="R50" s="36">
        <f>SUMIF(Entradas!$B:$B,'Entrada Lvl 5-4 qt'!$B50,Entradas!Y:Y)</f>
        <v>1139.02</v>
      </c>
      <c r="S50" s="36">
        <f>SUMIF(Entradas!$B:$B,'Entrada Lvl 5-4 qt'!$B50,Entradas!Z:Z)</f>
        <v>0</v>
      </c>
      <c r="T50" s="36">
        <f>SUMIF(Entradas!$B:$B,'Entrada Lvl 5-4 qt'!$B50,Entradas!AA:AA)</f>
        <v>2546.71</v>
      </c>
      <c r="U50" s="36">
        <f>SUMIF(Entradas!$B:$B,'Entrada Lvl 5-4 qt'!$B50,Entradas!AB:AB)</f>
        <v>0</v>
      </c>
      <c r="V50" s="49">
        <f>_xlfn.XLOOKUP($B50,Entradas!$B:$B,Entradas!AC:AC,,0,1)</f>
        <v>45154</v>
      </c>
      <c r="W50" s="58">
        <f t="shared" si="3"/>
        <v>6</v>
      </c>
      <c r="X50" s="28" t="s">
        <v>10</v>
      </c>
      <c r="Y50" s="32">
        <f t="shared" si="0"/>
        <v>0</v>
      </c>
      <c r="Z50" s="33">
        <f t="shared" si="1"/>
        <v>2546.71</v>
      </c>
      <c r="AA50" s="34">
        <f t="shared" si="2"/>
        <v>1139.02</v>
      </c>
      <c r="AB50" s="28" t="s">
        <v>1813</v>
      </c>
      <c r="AC50" s="28" t="s">
        <v>1784</v>
      </c>
      <c r="AD50" s="29" t="str" cm="1">
        <f t="array" ref="AD50">_xlfn.IFS(L50&lt;=Constantes!$G$2,"Muito Curta (evitável)",L50&lt;=Constantes!$H$2,"Curta Distância",L50&gt;Constantes!$H$2,"Longa Distância")</f>
        <v>Longa Distância</v>
      </c>
      <c r="AE50" s="30" t="str">
        <f t="shared" si="4"/>
        <v>NÃO</v>
      </c>
      <c r="AF50" s="30">
        <f>SUMIF(Entradas!$B:$B,'Entrada Lvl 5-4 qt'!$B50,Entradas!$AG:$AG)</f>
        <v>952.11306096235796</v>
      </c>
      <c r="AG50" s="30"/>
      <c r="BD50" s="49"/>
      <c r="BE50" s="49"/>
    </row>
    <row r="51" spans="1:57" x14ac:dyDescent="0.3">
      <c r="A51">
        <f>_xlfn.XLOOKUP(B51,Entradas!B:B,Entradas!A:A,,0,-1)</f>
        <v>2</v>
      </c>
      <c r="B51">
        <v>19188134</v>
      </c>
      <c r="C51" t="str">
        <f>_xlfn.XLOOKUP($B51,Entradas!$B:$B,Entradas!C:C,,0,1)</f>
        <v>000810/23</v>
      </c>
      <c r="D51" t="str">
        <f>_xlfn.XLOOKUP($B51,Entradas!$B:$B,Entradas!D:D,,0,1)</f>
        <v>***.171.884-**</v>
      </c>
      <c r="E51" t="str">
        <f>_xlfn.XLOOKUP($B51,Entradas!$B:$B,Entradas!E:E,,0,1)</f>
        <v>KELLY CRISTIANE GOMES DA SILVA</v>
      </c>
      <c r="F51" t="str">
        <f>_xlfn.XLOOKUP($B51,Entradas!$B:$B,Entradas!F:F,,0,1)</f>
        <v>PROFESSOR DO MAGISTERIO SUPERIOR</v>
      </c>
      <c r="G51" t="str">
        <f>_xlfn.XLOOKUP($B51,Entradas!$B:$B,Entradas!G:G,,0,1)</f>
        <v>CD-0003</v>
      </c>
      <c r="H51" t="str">
        <f>_xlfn.XLOOKUP($B51,Entradas!$B:$B,Entradas!H:H,,0,1)</f>
        <v>Cargo Comissionado de Direção</v>
      </c>
      <c r="I51" s="49">
        <f>_xlfn.XLOOKUP($B51,Entradas!$B:$B,Entradas!I:I,,0,1)</f>
        <v>45158</v>
      </c>
      <c r="J51" s="49">
        <f>_xlfn.XLOOKUP($B51,Entradas!$B:$B,Entradas!J:J,,0,1)</f>
        <v>45163</v>
      </c>
      <c r="K51" t="str">
        <f>_xlfn.XLOOKUP($B51,Entradas!$B:$B,Entradas!K:K,,0,1)</f>
        <v>Participação da Diretora Presidente da INOVA/UFPB em Missão Empresarial para visitas técnicas ao Ecossistema de Inovação e ambientes de empreendedorismo em Florianópolis em função implantação do Conglomerado de Empreendimentos Inovadores e Tecnologias Aplicadas (CEITec) da UFPB, bem como participação no Evento Startup Summit a ser realizado em Santa Catarina no Centro de Convenções da cidade de Florianópolis, que contará com mais de 200 palestrantes atuantes com startups, além de investidores e grandes nomes do ecossistema. Tal participação se faz necessária para viabilizar o planejamento de atuação da INOVA/UFPB para os anos de 2024-2028 do PDI da UFPB, em especial no tocante a Incubação, operacionalização do CEITec e prospecção de projetos para a universidade.</v>
      </c>
      <c r="L51">
        <f>SUMIF(Entradas!$B:$B,'Entrada Lvl 5-4 qt'!$B51,Entradas!S:S)</f>
        <v>5206.5206019999996</v>
      </c>
      <c r="M51" t="str">
        <f>_xlfn.XLOOKUP($B51,Entradas!$B:$B,Entradas!T:T,,0,1)</f>
        <v>Aéreo</v>
      </c>
      <c r="N51" t="str">
        <f>_xlfn.XLOOKUP($B51,Entradas!$B:$B,Entradas!U:U,,0,1)</f>
        <v>Não</v>
      </c>
      <c r="O51" t="str">
        <f>_xlfn.XLOOKUP($B51,Entradas!$B:$B,Entradas!V:V,,0,1)</f>
        <v>Realizada</v>
      </c>
      <c r="P51" t="str">
        <f>_xlfn.XLOOKUP($B51,Entradas!$B:$B,Entradas!W:W,,0,1)</f>
        <v>SIM</v>
      </c>
      <c r="Q51" t="str">
        <f>_xlfn.XLOOKUP($B51,Entradas!$B:$B,Entradas!X:X,,0,1)</f>
        <v>Em função da adequação da agenda a missão empresarial proporcionada pelo Sebrae PB que proporcionará acesso aos ambientes de inovação do município.</v>
      </c>
      <c r="R51" s="36">
        <f>SUMIF(Entradas!$B:$B,'Entrada Lvl 5-4 qt'!$B51,Entradas!Y:Y)</f>
        <v>1109.03</v>
      </c>
      <c r="S51" s="36">
        <f>SUMIF(Entradas!$B:$B,'Entrada Lvl 5-4 qt'!$B51,Entradas!Z:Z)</f>
        <v>0</v>
      </c>
      <c r="T51" s="36">
        <f>SUMIF(Entradas!$B:$B,'Entrada Lvl 5-4 qt'!$B51,Entradas!AA:AA)</f>
        <v>2200.11</v>
      </c>
      <c r="U51" s="36">
        <f>SUMIF(Entradas!$B:$B,'Entrada Lvl 5-4 qt'!$B51,Entradas!AB:AB)</f>
        <v>0</v>
      </c>
      <c r="V51" s="49">
        <f>_xlfn.XLOOKUP($B51,Entradas!$B:$B,Entradas!AC:AC,,0,1)</f>
        <v>45156</v>
      </c>
      <c r="W51" s="58">
        <f t="shared" si="3"/>
        <v>5</v>
      </c>
      <c r="X51" s="28" t="s">
        <v>10</v>
      </c>
      <c r="Y51" s="32">
        <f t="shared" si="0"/>
        <v>0</v>
      </c>
      <c r="Z51" s="33">
        <f t="shared" si="1"/>
        <v>2200.11</v>
      </c>
      <c r="AA51" s="34">
        <f t="shared" si="2"/>
        <v>1109.03</v>
      </c>
      <c r="AB51" s="28" t="s">
        <v>1813</v>
      </c>
      <c r="AC51" s="28" t="s">
        <v>1784</v>
      </c>
      <c r="AD51" s="29" t="str" cm="1">
        <f t="array" ref="AD51">_xlfn.IFS(L51&lt;=Constantes!$G$2,"Muito Curta (evitável)",L51&lt;=Constantes!$H$2,"Curta Distância",L51&gt;Constantes!$H$2,"Longa Distância")</f>
        <v>Longa Distância</v>
      </c>
      <c r="AE51" s="30" t="str">
        <f t="shared" si="4"/>
        <v>NÃO</v>
      </c>
      <c r="AF51" s="30">
        <f>SUMIF(Entradas!$B:$B,'Entrada Lvl 5-4 qt'!$B51,Entradas!$AG:$AG)</f>
        <v>952.11306096235796</v>
      </c>
      <c r="AG51" s="30"/>
      <c r="BD51" s="49"/>
      <c r="BE51" s="49"/>
    </row>
    <row r="52" spans="1:57" x14ac:dyDescent="0.3">
      <c r="A52">
        <f>_xlfn.XLOOKUP(B52,Entradas!B:B,Entradas!A:A,,0,-1)</f>
        <v>2</v>
      </c>
      <c r="B52">
        <v>19128220</v>
      </c>
      <c r="C52" t="str">
        <f>_xlfn.XLOOKUP($B52,Entradas!$B:$B,Entradas!C:C,,0,1)</f>
        <v>000698/23</v>
      </c>
      <c r="D52" t="str">
        <f>_xlfn.XLOOKUP($B52,Entradas!$B:$B,Entradas!D:D,,0,1)</f>
        <v>***.014.904-**</v>
      </c>
      <c r="E52" t="str">
        <f>_xlfn.XLOOKUP($B52,Entradas!$B:$B,Entradas!E:E,,0,1)</f>
        <v>FRANCISCO DE ASSIS DA COSTA</v>
      </c>
      <c r="F52" t="str">
        <f>_xlfn.XLOOKUP($B52,Entradas!$B:$B,Entradas!F:F,,0,1)</f>
        <v>PROFESSOR DO MAGISTERIO SUPERIOR</v>
      </c>
      <c r="G52" t="str">
        <f>_xlfn.XLOOKUP($B52,Entradas!$B:$B,Entradas!G:G,,0,1)</f>
        <v>-1</v>
      </c>
      <c r="H52" t="str">
        <f>_xlfn.XLOOKUP($B52,Entradas!$B:$B,Entradas!H:H,,0,1)</f>
        <v>Sem informação</v>
      </c>
      <c r="I52" s="49">
        <f>_xlfn.XLOOKUP($B52,Entradas!$B:$B,Entradas!I:I,,0,1)</f>
        <v>45159</v>
      </c>
      <c r="J52" s="49">
        <f>_xlfn.XLOOKUP($B52,Entradas!$B:$B,Entradas!J:J,,0,1)</f>
        <v>45161</v>
      </c>
      <c r="K52" t="str">
        <f>_xlfn.XLOOKUP($B52,Entradas!$B:$B,Entradas!K:K,,0,1)</f>
        <v>Trata-se de Afastamento de Curtíssima Duração no período de 21 a 23 de agosto de 2023, para estância acadêmica no Laboratório Urbano da Faculdade de Arquitetura e Urbanismo da Universidade Federal da Bahia - UFBA. O objetivo da estância é o fortalecimento da presença do PPGAU UFPB na rede nacional de programas de pós-graduação mais bem qualificados e disseminar a produção interna do programa. Será feito o lançamento do livro autoral do proponente, titulado Distanciamento como forma de aproximação. Realização de reuniões de trabalho para a troca de informações e experiências visando recolher subsídios para uma proposta de atividade comum de pesquisa. Participação na Mesa Redonda Ensaios de epistemologia urbana em Walter Benjamin. Participação em Banca de Avaliação de Mestrado.</v>
      </c>
      <c r="L52">
        <f>SUMIF(Entradas!$B:$B,'Entrada Lvl 5-4 qt'!$B52,Entradas!S:S)</f>
        <v>1482.2388261999999</v>
      </c>
      <c r="M52" t="str">
        <f>_xlfn.XLOOKUP($B52,Entradas!$B:$B,Entradas!T:T,,0,1)</f>
        <v>Aéreo</v>
      </c>
      <c r="N52" t="str">
        <f>_xlfn.XLOOKUP($B52,Entradas!$B:$B,Entradas!U:U,,0,1)</f>
        <v>Sim</v>
      </c>
      <c r="O52" t="str">
        <f>_xlfn.XLOOKUP($B52,Entradas!$B:$B,Entradas!V:V,,0,1)</f>
        <v>Realizada</v>
      </c>
      <c r="P52" t="str">
        <f>_xlfn.XLOOKUP($B52,Entradas!$B:$B,Entradas!W:W,,0,1)</f>
        <v>NÃO</v>
      </c>
      <c r="Q52" t="str">
        <f>_xlfn.XLOOKUP($B52,Entradas!$B:$B,Entradas!X:X,,0,1)</f>
        <v>Sem informação</v>
      </c>
      <c r="R52" s="36">
        <f>SUMIF(Entradas!$B:$B,'Entrada Lvl 5-4 qt'!$B52,Entradas!Y:Y)</f>
        <v>857.82</v>
      </c>
      <c r="S52" s="36">
        <f>SUMIF(Entradas!$B:$B,'Entrada Lvl 5-4 qt'!$B52,Entradas!Z:Z)</f>
        <v>0</v>
      </c>
      <c r="T52" s="36">
        <f>SUMIF(Entradas!$B:$B,'Entrada Lvl 5-4 qt'!$B52,Entradas!AA:AA)</f>
        <v>1225.75</v>
      </c>
      <c r="U52" s="36">
        <f>SUMIF(Entradas!$B:$B,'Entrada Lvl 5-4 qt'!$B52,Entradas!AB:AB)</f>
        <v>0</v>
      </c>
      <c r="V52" s="49">
        <f>_xlfn.XLOOKUP($B52,Entradas!$B:$B,Entradas!AC:AC,,0,1)</f>
        <v>45135</v>
      </c>
      <c r="W52" s="58">
        <f t="shared" si="3"/>
        <v>2</v>
      </c>
      <c r="X52" s="28" t="s">
        <v>10</v>
      </c>
      <c r="Y52" s="32">
        <f t="shared" si="0"/>
        <v>0</v>
      </c>
      <c r="Z52" s="33">
        <f t="shared" si="1"/>
        <v>1225.75</v>
      </c>
      <c r="AA52" s="34">
        <f t="shared" si="2"/>
        <v>857.82</v>
      </c>
      <c r="AB52" s="28" t="s">
        <v>1814</v>
      </c>
      <c r="AC52" s="28" t="s">
        <v>1820</v>
      </c>
      <c r="AD52" s="29" t="str" cm="1">
        <f t="array" ref="AD52">_xlfn.IFS(L52&lt;=Constantes!$G$2,"Muito Curta (evitável)",L52&lt;=Constantes!$H$2,"Curta Distância",L52&gt;Constantes!$H$2,"Longa Distância")</f>
        <v>Curta Distância</v>
      </c>
      <c r="AE52" s="30" t="str">
        <f t="shared" si="4"/>
        <v>NÃO</v>
      </c>
      <c r="AF52" s="30">
        <f>SUMIF(Entradas!$B:$B,'Entrada Lvl 5-4 qt'!$B52,Entradas!$AG:$AG)</f>
        <v>271.05605715809952</v>
      </c>
      <c r="AG52" s="30"/>
      <c r="BD52" s="49"/>
      <c r="BE52" s="49"/>
    </row>
    <row r="53" spans="1:57" x14ac:dyDescent="0.3">
      <c r="A53">
        <f>_xlfn.XLOOKUP(B53,Entradas!B:B,Entradas!A:A,,0,-1)</f>
        <v>2</v>
      </c>
      <c r="B53">
        <v>19157213</v>
      </c>
      <c r="C53" t="str">
        <f>_xlfn.XLOOKUP($B53,Entradas!$B:$B,Entradas!C:C,,0,1)</f>
        <v>000744/23</v>
      </c>
      <c r="D53" t="str">
        <f>_xlfn.XLOOKUP($B53,Entradas!$B:$B,Entradas!D:D,,0,1)</f>
        <v>***.147.624-**</v>
      </c>
      <c r="E53" t="str">
        <f>_xlfn.XLOOKUP($B53,Entradas!$B:$B,Entradas!E:E,,0,1)</f>
        <v>EDVALDO MESQUITA BELTRAO FILHO</v>
      </c>
      <c r="F53" t="str">
        <f>_xlfn.XLOOKUP($B53,Entradas!$B:$B,Entradas!F:F,,0,1)</f>
        <v>PROFESSOR ENS BASICO TECN TECNOLOGICO</v>
      </c>
      <c r="G53" t="str">
        <f>_xlfn.XLOOKUP($B53,Entradas!$B:$B,Entradas!G:G,,0,1)</f>
        <v>CD-0003</v>
      </c>
      <c r="H53" t="str">
        <f>_xlfn.XLOOKUP($B53,Entradas!$B:$B,Entradas!H:H,,0,1)</f>
        <v>Cargo Comissionado de Direção</v>
      </c>
      <c r="I53" s="49">
        <f>_xlfn.XLOOKUP($B53,Entradas!$B:$B,Entradas!I:I,,0,1)</f>
        <v>45159</v>
      </c>
      <c r="J53" s="49">
        <f>_xlfn.XLOOKUP($B53,Entradas!$B:$B,Entradas!J:J,,0,1)</f>
        <v>45163</v>
      </c>
      <c r="K53" t="str">
        <f>_xlfn.XLOOKUP($B53,Entradas!$B:$B,Entradas!K:K,,0,1)</f>
        <v>Participação na reunião extraordinária do Conselho Nacional de Dirigentes das Escolas Técnicas Vinculadas às Universidades Federais CONDETUF em Brasília DF. O proposto é o Diretor do Colégio Agrícola Vidal de Negreiros que é uma escola vinculada e faz parte da Comissão Gestora do Condetuf, conselho que rege as escolas vinculadas às universidades federais.</v>
      </c>
      <c r="L53">
        <f>SUMIF(Entradas!$B:$B,'Entrada Lvl 5-4 qt'!$B53,Entradas!S:S)</f>
        <v>3426.839982</v>
      </c>
      <c r="M53" t="str">
        <f>_xlfn.XLOOKUP($B53,Entradas!$B:$B,Entradas!T:T,,0,1)</f>
        <v>Aéreo</v>
      </c>
      <c r="N53" t="str">
        <f>_xlfn.XLOOKUP($B53,Entradas!$B:$B,Entradas!U:U,,0,1)</f>
        <v>Sim</v>
      </c>
      <c r="O53" t="str">
        <f>_xlfn.XLOOKUP($B53,Entradas!$B:$B,Entradas!V:V,,0,1)</f>
        <v>Realizada</v>
      </c>
      <c r="P53" t="str">
        <f>_xlfn.XLOOKUP($B53,Entradas!$B:$B,Entradas!W:W,,0,1)</f>
        <v>SIM</v>
      </c>
      <c r="Q53" t="str">
        <f>_xlfn.XLOOKUP($B53,Entradas!$B:$B,Entradas!X:X,,0,1)</f>
        <v>A convocação do CONDETUF para a participação do proposto para o evento só foi emitida no dia 03/08/2023, menos de 20 dias para o acontecimento do evento. Por isso a necessidade de fazer a solicitação de diárias e passagens fora do prazo legal.</v>
      </c>
      <c r="R53" s="36">
        <f>SUMIF(Entradas!$B:$B,'Entrada Lvl 5-4 qt'!$B53,Entradas!Y:Y)</f>
        <v>1896.15</v>
      </c>
      <c r="S53" s="36">
        <f>SUMIF(Entradas!$B:$B,'Entrada Lvl 5-4 qt'!$B53,Entradas!Z:Z)</f>
        <v>0</v>
      </c>
      <c r="T53" s="36">
        <f>SUMIF(Entradas!$B:$B,'Entrada Lvl 5-4 qt'!$B53,Entradas!AA:AA)</f>
        <v>2604</v>
      </c>
      <c r="U53" s="36">
        <f>SUMIF(Entradas!$B:$B,'Entrada Lvl 5-4 qt'!$B53,Entradas!AB:AB)</f>
        <v>0</v>
      </c>
      <c r="V53" s="49">
        <f>_xlfn.XLOOKUP($B53,Entradas!$B:$B,Entradas!AC:AC,,0,1)</f>
        <v>45146</v>
      </c>
      <c r="W53" s="58">
        <f t="shared" si="3"/>
        <v>4</v>
      </c>
      <c r="X53" s="28" t="s">
        <v>10</v>
      </c>
      <c r="Y53" s="32">
        <f t="shared" si="0"/>
        <v>0</v>
      </c>
      <c r="Z53" s="33">
        <f t="shared" si="1"/>
        <v>2604</v>
      </c>
      <c r="AA53" s="34">
        <f t="shared" si="2"/>
        <v>1896.15</v>
      </c>
      <c r="AB53" s="28" t="s">
        <v>1815</v>
      </c>
      <c r="AC53" s="28" t="s">
        <v>1784</v>
      </c>
      <c r="AD53" s="29" t="str" cm="1">
        <f t="array" ref="AD53">_xlfn.IFS(L53&lt;=Constantes!$G$2,"Muito Curta (evitável)",L53&lt;=Constantes!$H$2,"Curta Distância",L53&gt;Constantes!$H$2,"Longa Distância")</f>
        <v>Curta Distância</v>
      </c>
      <c r="AE53" s="30" t="str">
        <f t="shared" si="4"/>
        <v>NÃO</v>
      </c>
      <c r="AF53" s="30">
        <f>SUMIF(Entradas!$B:$B,'Entrada Lvl 5-4 qt'!$B53,Entradas!$AG:$AG)</f>
        <v>626.66401501165365</v>
      </c>
      <c r="AG53" s="30"/>
      <c r="BD53" s="49"/>
      <c r="BE53" s="49"/>
    </row>
    <row r="54" spans="1:57" x14ac:dyDescent="0.3">
      <c r="A54">
        <f>_xlfn.XLOOKUP(B54,Entradas!B:B,Entradas!A:A,,0,-1)</f>
        <v>2</v>
      </c>
      <c r="B54">
        <v>19181725</v>
      </c>
      <c r="C54" t="str">
        <f>_xlfn.XLOOKUP($B54,Entradas!$B:$B,Entradas!C:C,,0,1)</f>
        <v>000854/23</v>
      </c>
      <c r="D54" t="str">
        <f>_xlfn.XLOOKUP($B54,Entradas!$B:$B,Entradas!D:D,,0,1)</f>
        <v>***.854.654-**</v>
      </c>
      <c r="E54" t="str">
        <f>_xlfn.XLOOKUP($B54,Entradas!$B:$B,Entradas!E:E,,0,1)</f>
        <v>MARIA SORAYA PEREIRA FRANCO ADRIANO</v>
      </c>
      <c r="F54" t="str">
        <f>_xlfn.XLOOKUP($B54,Entradas!$B:$B,Entradas!F:F,,0,1)</f>
        <v>PROFESSOR ENS BASICO TECN TECNOLOGICO</v>
      </c>
      <c r="G54" t="str">
        <f>_xlfn.XLOOKUP($B54,Entradas!$B:$B,Entradas!G:G,,0,1)</f>
        <v>CD-0003</v>
      </c>
      <c r="H54" t="str">
        <f>_xlfn.XLOOKUP($B54,Entradas!$B:$B,Entradas!H:H,,0,1)</f>
        <v>Cargo Comissionado de Direção</v>
      </c>
      <c r="I54" s="49">
        <f>_xlfn.XLOOKUP($B54,Entradas!$B:$B,Entradas!I:I,,0,1)</f>
        <v>45159</v>
      </c>
      <c r="J54" s="49">
        <f>_xlfn.XLOOKUP($B54,Entradas!$B:$B,Entradas!J:J,,0,1)</f>
        <v>45164</v>
      </c>
      <c r="K54" t="str">
        <f>_xlfn.XLOOKUP($B54,Entradas!$B:$B,Entradas!K:K,,0,1)</f>
        <v>Reunião extraordinária de articulação e fortalecimento das Escolas Técnicas Vinculadas às Universidades Federais (ETVs) junto à Secretaria de Educação Profissional e Tecnológica (Setec) e Secretaria de Educação Superior (Sesu).</v>
      </c>
      <c r="L54">
        <f>SUMIF(Entradas!$B:$B,'Entrada Lvl 5-4 qt'!$B54,Entradas!S:S)</f>
        <v>3426.839982</v>
      </c>
      <c r="M54" t="str">
        <f>_xlfn.XLOOKUP($B54,Entradas!$B:$B,Entradas!T:T,,0,1)</f>
        <v>Aéreo</v>
      </c>
      <c r="N54" t="str">
        <f>_xlfn.XLOOKUP($B54,Entradas!$B:$B,Entradas!U:U,,0,1)</f>
        <v>Sim</v>
      </c>
      <c r="O54" t="str">
        <f>_xlfn.XLOOKUP($B54,Entradas!$B:$B,Entradas!V:V,,0,1)</f>
        <v>Realizada</v>
      </c>
      <c r="P54" t="str">
        <f>_xlfn.XLOOKUP($B54,Entradas!$B:$B,Entradas!W:W,,0,1)</f>
        <v>SIM</v>
      </c>
      <c r="Q54" t="str">
        <f>_xlfn.XLOOKUP($B54,Entradas!$B:$B,Entradas!X:X,,0,1)</f>
        <v>Conforme justificativa anexa.</v>
      </c>
      <c r="R54" s="36">
        <f>SUMIF(Entradas!$B:$B,'Entrada Lvl 5-4 qt'!$B54,Entradas!Y:Y)</f>
        <v>2329.64</v>
      </c>
      <c r="S54" s="36">
        <f>SUMIF(Entradas!$B:$B,'Entrada Lvl 5-4 qt'!$B54,Entradas!Z:Z)</f>
        <v>0</v>
      </c>
      <c r="T54" s="36">
        <f>SUMIF(Entradas!$B:$B,'Entrada Lvl 5-4 qt'!$B54,Entradas!AA:AA)</f>
        <v>5490</v>
      </c>
      <c r="U54" s="36">
        <f>SUMIF(Entradas!$B:$B,'Entrada Lvl 5-4 qt'!$B54,Entradas!AB:AB)</f>
        <v>0</v>
      </c>
      <c r="V54" s="49">
        <f>_xlfn.XLOOKUP($B54,Entradas!$B:$B,Entradas!AC:AC,,0,1)</f>
        <v>45156</v>
      </c>
      <c r="W54" s="58">
        <f t="shared" si="3"/>
        <v>5</v>
      </c>
      <c r="X54" s="28" t="s">
        <v>10</v>
      </c>
      <c r="Y54" s="32">
        <f t="shared" si="0"/>
        <v>0</v>
      </c>
      <c r="Z54" s="33">
        <f t="shared" si="1"/>
        <v>5490</v>
      </c>
      <c r="AA54" s="34">
        <f t="shared" si="2"/>
        <v>2329.64</v>
      </c>
      <c r="AB54" s="28" t="s">
        <v>1815</v>
      </c>
      <c r="AC54" s="28" t="s">
        <v>1784</v>
      </c>
      <c r="AD54" s="29" t="str" cm="1">
        <f t="array" ref="AD54">_xlfn.IFS(L54&lt;=Constantes!$G$2,"Muito Curta (evitável)",L54&lt;=Constantes!$H$2,"Curta Distância",L54&gt;Constantes!$H$2,"Longa Distância")</f>
        <v>Curta Distância</v>
      </c>
      <c r="AE54" s="30" t="str">
        <f t="shared" si="4"/>
        <v>NÃO</v>
      </c>
      <c r="AF54" s="30">
        <f>SUMIF(Entradas!$B:$B,'Entrada Lvl 5-4 qt'!$B54,Entradas!$AG:$AG)</f>
        <v>626.66401501165365</v>
      </c>
      <c r="AG54" s="30"/>
      <c r="BD54" s="49"/>
      <c r="BE54" s="49"/>
    </row>
    <row r="55" spans="1:57" x14ac:dyDescent="0.3">
      <c r="A55">
        <f>_xlfn.XLOOKUP(B55,Entradas!B:B,Entradas!A:A,,0,-1)</f>
        <v>2</v>
      </c>
      <c r="B55">
        <v>19140654</v>
      </c>
      <c r="C55" t="str">
        <f>_xlfn.XLOOKUP($B55,Entradas!$B:$B,Entradas!C:C,,0,1)</f>
        <v>000717/23</v>
      </c>
      <c r="D55" t="str">
        <f>_xlfn.XLOOKUP($B55,Entradas!$B:$B,Entradas!D:D,,0,1)</f>
        <v>***.153.860-**</v>
      </c>
      <c r="E55" t="str">
        <f>_xlfn.XLOOKUP($B55,Entradas!$B:$B,Entradas!E:E,,0,1)</f>
        <v>ISMAEL IVAN ROCKENBACH</v>
      </c>
      <c r="F55" t="str">
        <f>_xlfn.XLOOKUP($B55,Entradas!$B:$B,Entradas!F:F,,0,1)</f>
        <v>PROFESSOR DO MAGISTERIO SUPERIOR</v>
      </c>
      <c r="G55" t="str">
        <f>_xlfn.XLOOKUP($B55,Entradas!$B:$B,Entradas!G:G,,0,1)</f>
        <v>-1</v>
      </c>
      <c r="H55" t="str">
        <f>_xlfn.XLOOKUP($B55,Entradas!$B:$B,Entradas!H:H,,0,1)</f>
        <v>Sem informação</v>
      </c>
      <c r="I55" s="49">
        <f>_xlfn.XLOOKUP($B55,Entradas!$B:$B,Entradas!I:I,,0,1)</f>
        <v>45160</v>
      </c>
      <c r="J55" s="49">
        <f>_xlfn.XLOOKUP($B55,Entradas!$B:$B,Entradas!J:J,,0,1)</f>
        <v>45164</v>
      </c>
      <c r="K55" t="str">
        <f>_xlfn.XLOOKUP($B55,Entradas!$B:$B,Entradas!K:K,,0,1)</f>
        <v>Participar do Seminário Nacional de Educação a Distância - UNIREDE 2023 à convite da Capes que terá evento realizado em conjunto: O Forum Nacional da UAB, conforme convites e cronograma em anexo.</v>
      </c>
      <c r="L55">
        <f>SUMIF(Entradas!$B:$B,'Entrada Lvl 5-4 qt'!$B55,Entradas!S:S)</f>
        <v>3426.839982</v>
      </c>
      <c r="M55" t="str">
        <f>_xlfn.XLOOKUP($B55,Entradas!$B:$B,Entradas!T:T,,0,1)</f>
        <v>Aéreo</v>
      </c>
      <c r="N55" t="str">
        <f>_xlfn.XLOOKUP($B55,Entradas!$B:$B,Entradas!U:U,,0,1)</f>
        <v>Sim</v>
      </c>
      <c r="O55" t="str">
        <f>_xlfn.XLOOKUP($B55,Entradas!$B:$B,Entradas!V:V,,0,1)</f>
        <v>Realizada</v>
      </c>
      <c r="P55" t="str">
        <f>_xlfn.XLOOKUP($B55,Entradas!$B:$B,Entradas!W:W,,0,1)</f>
        <v>NÃO</v>
      </c>
      <c r="Q55" t="str">
        <f>_xlfn.XLOOKUP($B55,Entradas!$B:$B,Entradas!X:X,,0,1)</f>
        <v>Sem informação</v>
      </c>
      <c r="R55" s="36">
        <f>SUMIF(Entradas!$B:$B,'Entrada Lvl 5-4 qt'!$B55,Entradas!Y:Y)</f>
        <v>1690.49</v>
      </c>
      <c r="S55" s="36">
        <f>SUMIF(Entradas!$B:$B,'Entrada Lvl 5-4 qt'!$B55,Entradas!Z:Z)</f>
        <v>0</v>
      </c>
      <c r="T55" s="36">
        <f>SUMIF(Entradas!$B:$B,'Entrada Lvl 5-4 qt'!$B55,Entradas!AA:AA)</f>
        <v>1792.8</v>
      </c>
      <c r="U55" s="36">
        <f>SUMIF(Entradas!$B:$B,'Entrada Lvl 5-4 qt'!$B55,Entradas!AB:AB)</f>
        <v>0</v>
      </c>
      <c r="V55" s="49">
        <f>_xlfn.XLOOKUP($B55,Entradas!$B:$B,Entradas!AC:AC,,0,1)</f>
        <v>45141</v>
      </c>
      <c r="W55" s="58">
        <f t="shared" si="3"/>
        <v>4</v>
      </c>
      <c r="X55" s="28" t="s">
        <v>10</v>
      </c>
      <c r="Y55" s="32">
        <f t="shared" si="0"/>
        <v>0</v>
      </c>
      <c r="Z55" s="33">
        <f t="shared" si="1"/>
        <v>1792.8</v>
      </c>
      <c r="AA55" s="34">
        <f t="shared" si="2"/>
        <v>1690.49</v>
      </c>
      <c r="AB55" s="28" t="s">
        <v>1814</v>
      </c>
      <c r="AC55" s="28" t="s">
        <v>1820</v>
      </c>
      <c r="AD55" s="29" t="str" cm="1">
        <f t="array" ref="AD55">_xlfn.IFS(L55&lt;=Constantes!$G$2,"Muito Curta (evitável)",L55&lt;=Constantes!$H$2,"Curta Distância",L55&gt;Constantes!$H$2,"Longa Distância")</f>
        <v>Curta Distância</v>
      </c>
      <c r="AE55" s="30" t="str">
        <f t="shared" si="4"/>
        <v>NÃO</v>
      </c>
      <c r="AF55" s="30">
        <f>SUMIF(Entradas!$B:$B,'Entrada Lvl 5-4 qt'!$B55,Entradas!$AG:$AG)</f>
        <v>626.66401501165365</v>
      </c>
      <c r="AG55" s="30"/>
      <c r="BD55" s="49"/>
      <c r="BE55" s="49"/>
    </row>
    <row r="56" spans="1:57" x14ac:dyDescent="0.3">
      <c r="A56">
        <f>_xlfn.XLOOKUP(B56,Entradas!B:B,Entradas!A:A,,0,-1)</f>
        <v>2</v>
      </c>
      <c r="B56">
        <v>19167301</v>
      </c>
      <c r="C56" t="str">
        <f>_xlfn.XLOOKUP($B56,Entradas!$B:$B,Entradas!C:C,,0,1)</f>
        <v>000770/23</v>
      </c>
      <c r="D56" t="str">
        <f>_xlfn.XLOOKUP($B56,Entradas!$B:$B,Entradas!D:D,,0,1)</f>
        <v>***.051.554-**</v>
      </c>
      <c r="E56" t="str">
        <f>_xlfn.XLOOKUP($B56,Entradas!$B:$B,Entradas!E:E,,0,1)</f>
        <v>VALDINEY VELOSO GOUVEIA</v>
      </c>
      <c r="F56" t="str">
        <f>_xlfn.XLOOKUP($B56,Entradas!$B:$B,Entradas!F:F,,0,1)</f>
        <v>PROFESSOR DO MAGISTERIO SUPERIOR</v>
      </c>
      <c r="G56" t="str">
        <f>_xlfn.XLOOKUP($B56,Entradas!$B:$B,Entradas!G:G,,0,1)</f>
        <v>CD-0001</v>
      </c>
      <c r="H56" t="str">
        <f>_xlfn.XLOOKUP($B56,Entradas!$B:$B,Entradas!H:H,,0,1)</f>
        <v>Cargo Comissionado de Direção</v>
      </c>
      <c r="I56" s="49">
        <f>_xlfn.XLOOKUP($B56,Entradas!$B:$B,Entradas!I:I,,0,1)</f>
        <v>45160</v>
      </c>
      <c r="J56" s="49">
        <f>_xlfn.XLOOKUP($B56,Entradas!$B:$B,Entradas!J:J,,0,1)</f>
        <v>45163</v>
      </c>
      <c r="K56" t="str">
        <f>_xlfn.XLOOKUP($B56,Entradas!$B:$B,Entradas!K:K,,0,1)</f>
        <v>Participação em Audiência Pública, na Câmara dos Deputados, no dia 23/08/2023, e na 162ª Reunião Extraordinária do Conselho Pleno da Andifes, no dia 24/08/2023, em Brasília/DF.</v>
      </c>
      <c r="L56">
        <f>SUMIF(Entradas!$B:$B,'Entrada Lvl 5-4 qt'!$B56,Entradas!S:S)</f>
        <v>3426.839982</v>
      </c>
      <c r="M56" t="str">
        <f>_xlfn.XLOOKUP($B56,Entradas!$B:$B,Entradas!T:T,,0,1)</f>
        <v>Aéreo</v>
      </c>
      <c r="N56" t="str">
        <f>_xlfn.XLOOKUP($B56,Entradas!$B:$B,Entradas!U:U,,0,1)</f>
        <v>Sim</v>
      </c>
      <c r="O56" t="str">
        <f>_xlfn.XLOOKUP($B56,Entradas!$B:$B,Entradas!V:V,,0,1)</f>
        <v>Realizada</v>
      </c>
      <c r="P56" t="str">
        <f>_xlfn.XLOOKUP($B56,Entradas!$B:$B,Entradas!W:W,,0,1)</f>
        <v>SIM</v>
      </c>
      <c r="Q56" t="str">
        <f>_xlfn.XLOOKUP($B56,Entradas!$B:$B,Entradas!X:X,,0,1)</f>
        <v>Proposto estava com pendência de prestação contas no SCDP, que foi resolvida nesta data (09/08/2023), conforme item 7 do Formulário de Solicitação.</v>
      </c>
      <c r="R56" s="36">
        <f>SUMIF(Entradas!$B:$B,'Entrada Lvl 5-4 qt'!$B56,Entradas!Y:Y)</f>
        <v>1492.57</v>
      </c>
      <c r="S56" s="36">
        <f>SUMIF(Entradas!$B:$B,'Entrada Lvl 5-4 qt'!$B56,Entradas!Z:Z)</f>
        <v>0</v>
      </c>
      <c r="T56" s="36">
        <f>SUMIF(Entradas!$B:$B,'Entrada Lvl 5-4 qt'!$B56,Entradas!AA:AA)</f>
        <v>2825</v>
      </c>
      <c r="U56" s="36">
        <f>SUMIF(Entradas!$B:$B,'Entrada Lvl 5-4 qt'!$B56,Entradas!AB:AB)</f>
        <v>0</v>
      </c>
      <c r="V56" s="49">
        <f>_xlfn.XLOOKUP($B56,Entradas!$B:$B,Entradas!AC:AC,,0,1)</f>
        <v>45147</v>
      </c>
      <c r="W56" s="58">
        <f t="shared" si="3"/>
        <v>3</v>
      </c>
      <c r="X56" s="28" t="s">
        <v>10</v>
      </c>
      <c r="Y56" s="32">
        <f t="shared" si="0"/>
        <v>0</v>
      </c>
      <c r="Z56" s="33">
        <f t="shared" si="1"/>
        <v>2825</v>
      </c>
      <c r="AA56" s="34">
        <f t="shared" si="2"/>
        <v>1492.57</v>
      </c>
      <c r="AB56" s="28" t="s">
        <v>1817</v>
      </c>
      <c r="AC56" s="28" t="s">
        <v>1784</v>
      </c>
      <c r="AD56" s="29" t="str" cm="1">
        <f t="array" ref="AD56">_xlfn.IFS(L56&lt;=Constantes!$G$2,"Muito Curta (evitável)",L56&lt;=Constantes!$H$2,"Curta Distância",L56&gt;Constantes!$H$2,"Longa Distância")</f>
        <v>Curta Distância</v>
      </c>
      <c r="AE56" s="30" t="str">
        <f t="shared" si="4"/>
        <v>NÃO</v>
      </c>
      <c r="AF56" s="30">
        <f>SUMIF(Entradas!$B:$B,'Entrada Lvl 5-4 qt'!$B56,Entradas!$AG:$AG)</f>
        <v>626.66401501165365</v>
      </c>
      <c r="AG56" s="30"/>
      <c r="BD56" s="49"/>
      <c r="BE56" s="49"/>
    </row>
    <row r="57" spans="1:57" x14ac:dyDescent="0.3">
      <c r="A57">
        <f>_xlfn.XLOOKUP(B57,Entradas!B:B,Entradas!A:A,,0,-1)</f>
        <v>2</v>
      </c>
      <c r="B57">
        <v>18997079</v>
      </c>
      <c r="C57" t="str">
        <f>_xlfn.XLOOKUP($B57,Entradas!$B:$B,Entradas!C:C,,0,1)</f>
        <v>000432/23</v>
      </c>
      <c r="D57" t="str">
        <f>_xlfn.XLOOKUP($B57,Entradas!$B:$B,Entradas!D:D,,0,1)</f>
        <v>***.464.914-**</v>
      </c>
      <c r="E57" t="str">
        <f>_xlfn.XLOOKUP($B57,Entradas!$B:$B,Entradas!E:E,,0,1)</f>
        <v>PRISCILA OLIVEIRA COSTA SILVA</v>
      </c>
      <c r="F57" t="str">
        <f>_xlfn.XLOOKUP($B57,Entradas!$B:$B,Entradas!F:F,,0,1)</f>
        <v>PROFESSOR DO MAGISTERIO SUPERIOR</v>
      </c>
      <c r="G57" t="str">
        <f>_xlfn.XLOOKUP($B57,Entradas!$B:$B,Entradas!G:G,,0,1)</f>
        <v>-1</v>
      </c>
      <c r="H57" t="str">
        <f>_xlfn.XLOOKUP($B57,Entradas!$B:$B,Entradas!H:H,,0,1)</f>
        <v>Sem informação</v>
      </c>
      <c r="I57" s="49">
        <f>_xlfn.XLOOKUP($B57,Entradas!$B:$B,Entradas!I:I,,0,1)</f>
        <v>45161</v>
      </c>
      <c r="J57" s="49">
        <f>_xlfn.XLOOKUP($B57,Entradas!$B:$B,Entradas!J:J,,0,1)</f>
        <v>45165</v>
      </c>
      <c r="K57" t="str">
        <f>_xlfn.XLOOKUP($B57,Entradas!$B:$B,Entradas!K:K,,0,1)</f>
        <v>O PROPOSTO IRÁ PARTICIPAR DO 22° CONGRESSO DA FUNDAÇÃO OTORRINOLARINGOLOGIA, QUE OCORRERÁ NO CENTRO DE CONVENÇÕES FREI CANECA (SÃO PAULO/SP), NOS DIAS 24 A 26 DE AGOSTO DE 2023.</v>
      </c>
      <c r="L57">
        <f>SUMIF(Entradas!$B:$B,'Entrada Lvl 5-4 qt'!$B57,Entradas!S:S)</f>
        <v>4379.9484839999996</v>
      </c>
      <c r="M57" t="str">
        <f>_xlfn.XLOOKUP($B57,Entradas!$B:$B,Entradas!T:T,,0,1)</f>
        <v>Aéreo</v>
      </c>
      <c r="N57" t="str">
        <f>_xlfn.XLOOKUP($B57,Entradas!$B:$B,Entradas!U:U,,0,1)</f>
        <v>Não</v>
      </c>
      <c r="O57" t="str">
        <f>_xlfn.XLOOKUP($B57,Entradas!$B:$B,Entradas!V:V,,0,1)</f>
        <v>Realizada</v>
      </c>
      <c r="P57" t="str">
        <f>_xlfn.XLOOKUP($B57,Entradas!$B:$B,Entradas!W:W,,0,1)</f>
        <v>NÃO</v>
      </c>
      <c r="Q57" t="str">
        <f>_xlfn.XLOOKUP($B57,Entradas!$B:$B,Entradas!X:X,,0,1)</f>
        <v>Sem informação</v>
      </c>
      <c r="R57" s="36">
        <f>SUMIF(Entradas!$B:$B,'Entrada Lvl 5-4 qt'!$B57,Entradas!Y:Y)</f>
        <v>95</v>
      </c>
      <c r="S57" s="36">
        <f>SUMIF(Entradas!$B:$B,'Entrada Lvl 5-4 qt'!$B57,Entradas!Z:Z)</f>
        <v>0</v>
      </c>
      <c r="T57" s="36">
        <f>SUMIF(Entradas!$B:$B,'Entrada Lvl 5-4 qt'!$B57,Entradas!AA:AA)</f>
        <v>1219.52</v>
      </c>
      <c r="U57" s="36">
        <f>SUMIF(Entradas!$B:$B,'Entrada Lvl 5-4 qt'!$B57,Entradas!AB:AB)</f>
        <v>0</v>
      </c>
      <c r="V57" s="49">
        <f>_xlfn.XLOOKUP($B57,Entradas!$B:$B,Entradas!AC:AC,,0,1)</f>
        <v>45091</v>
      </c>
      <c r="W57" s="58">
        <f t="shared" si="3"/>
        <v>4</v>
      </c>
      <c r="X57" s="28" t="s">
        <v>10</v>
      </c>
      <c r="Y57" s="32">
        <f t="shared" si="0"/>
        <v>0</v>
      </c>
      <c r="Z57" s="33">
        <f t="shared" si="1"/>
        <v>1219.52</v>
      </c>
      <c r="AA57" s="34">
        <f t="shared" si="2"/>
        <v>95</v>
      </c>
      <c r="AB57" s="28" t="s">
        <v>1814</v>
      </c>
      <c r="AC57" s="28" t="s">
        <v>1820</v>
      </c>
      <c r="AD57" s="29" t="str" cm="1">
        <f t="array" ref="AD57">_xlfn.IFS(L57&lt;=Constantes!$G$2,"Muito Curta (evitável)",L57&lt;=Constantes!$H$2,"Curta Distância",L57&gt;Constantes!$H$2,"Longa Distância")</f>
        <v>Longa Distância</v>
      </c>
      <c r="AE57" s="30" t="str">
        <f t="shared" si="4"/>
        <v>NÃO</v>
      </c>
      <c r="AF57" s="30">
        <f>SUMIF(Entradas!$B:$B,'Entrada Lvl 5-4 qt'!$B57,Entradas!$AG:$AG)</f>
        <v>800.95835140972315</v>
      </c>
      <c r="AG57" s="30"/>
      <c r="BD57" s="49"/>
      <c r="BE57" s="49"/>
    </row>
    <row r="58" spans="1:57" x14ac:dyDescent="0.3">
      <c r="A58">
        <f>_xlfn.XLOOKUP(B58,Entradas!B:B,Entradas!A:A,,0,-1)</f>
        <v>2</v>
      </c>
      <c r="B58">
        <v>19203431</v>
      </c>
      <c r="C58" t="str">
        <f>_xlfn.XLOOKUP($B58,Entradas!$B:$B,Entradas!C:C,,0,1)</f>
        <v>000866/23</v>
      </c>
      <c r="D58" t="str">
        <f>_xlfn.XLOOKUP($B58,Entradas!$B:$B,Entradas!D:D,,0,1)</f>
        <v>***.847.738-**</v>
      </c>
      <c r="E58" t="str">
        <f>_xlfn.XLOOKUP($B58,Entradas!$B:$B,Entradas!E:E,,0,1)</f>
        <v>CATERINE SOFFIATI CABRAL</v>
      </c>
      <c r="F58" t="str">
        <f>_xlfn.XLOOKUP($B58,Entradas!$B:$B,Entradas!F:F,,0,1)</f>
        <v/>
      </c>
      <c r="G58" t="str">
        <f>_xlfn.XLOOKUP($B58,Entradas!$B:$B,Entradas!G:G,,0,1)</f>
        <v>-1</v>
      </c>
      <c r="H58" t="str">
        <f>_xlfn.XLOOKUP($B58,Entradas!$B:$B,Entradas!H:H,,0,1)</f>
        <v>Sem informação</v>
      </c>
      <c r="I58" s="49">
        <f>_xlfn.XLOOKUP($B58,Entradas!$B:$B,Entradas!I:I,,0,1)</f>
        <v>45164</v>
      </c>
      <c r="J58" s="49">
        <f>_xlfn.XLOOKUP($B58,Entradas!$B:$B,Entradas!J:J,,0,1)</f>
        <v>45170</v>
      </c>
      <c r="K58" t="str">
        <f>_xlfn.XLOOKUP($B58,Entradas!$B:$B,Entradas!K:K,,0,1)</f>
        <v>Viagem para o 10° Encontro das Redes Rurais, que será realizado em São Carlos, no interior de São Paulo.</v>
      </c>
      <c r="L58">
        <f>SUMIF(Entradas!$B:$B,'Entrada Lvl 5-4 qt'!$B58,Entradas!S:S)</f>
        <v>4379.9484839999996</v>
      </c>
      <c r="M58" t="str">
        <f>_xlfn.XLOOKUP($B58,Entradas!$B:$B,Entradas!T:T,,0,1)</f>
        <v>Aéreo</v>
      </c>
      <c r="N58" t="str">
        <f>_xlfn.XLOOKUP($B58,Entradas!$B:$B,Entradas!U:U,,0,1)</f>
        <v>Sim</v>
      </c>
      <c r="O58" t="str">
        <f>_xlfn.XLOOKUP($B58,Entradas!$B:$B,Entradas!V:V,,0,1)</f>
        <v>Realizada</v>
      </c>
      <c r="P58" t="str">
        <f>_xlfn.XLOOKUP($B58,Entradas!$B:$B,Entradas!W:W,,0,1)</f>
        <v>SIM</v>
      </c>
      <c r="Q58" t="str">
        <f>_xlfn.XLOOKUP($B58,Entradas!$B:$B,Entradas!X:X,,0,1)</f>
        <v>Gestão dos recursos do PROAP no PPGS. Não foi possível encaminhar o pedido anteriormente. Tambpem foi necessário corrigir a PCDP, cancelando a anterior.</v>
      </c>
      <c r="R58" s="36">
        <f>SUMIF(Entradas!$B:$B,'Entrada Lvl 5-4 qt'!$B58,Entradas!Y:Y)</f>
        <v>0</v>
      </c>
      <c r="S58" s="36">
        <f>SUMIF(Entradas!$B:$B,'Entrada Lvl 5-4 qt'!$B58,Entradas!Z:Z)</f>
        <v>0</v>
      </c>
      <c r="T58" s="36">
        <f>SUMIF(Entradas!$B:$B,'Entrada Lvl 5-4 qt'!$B58,Entradas!AA:AA)</f>
        <v>3734.24</v>
      </c>
      <c r="U58" s="36">
        <f>SUMIF(Entradas!$B:$B,'Entrada Lvl 5-4 qt'!$B58,Entradas!AB:AB)</f>
        <v>0</v>
      </c>
      <c r="V58" s="49">
        <f>_xlfn.XLOOKUP($B58,Entradas!$B:$B,Entradas!AC:AC,,0,1)</f>
        <v>45159</v>
      </c>
      <c r="W58" s="58">
        <f t="shared" si="3"/>
        <v>6</v>
      </c>
      <c r="X58" s="28" t="s">
        <v>10</v>
      </c>
      <c r="Y58" s="32">
        <f t="shared" si="0"/>
        <v>0</v>
      </c>
      <c r="Z58" s="33">
        <f t="shared" si="1"/>
        <v>3734.24</v>
      </c>
      <c r="AA58" s="34">
        <f t="shared" si="2"/>
        <v>0</v>
      </c>
      <c r="AB58" s="28" t="s">
        <v>1814</v>
      </c>
      <c r="AC58" s="28" t="s">
        <v>1822</v>
      </c>
      <c r="AD58" s="29" t="str" cm="1">
        <f t="array" ref="AD58">_xlfn.IFS(L58&lt;=Constantes!$G$2,"Muito Curta (evitável)",L58&lt;=Constantes!$H$2,"Curta Distância",L58&gt;Constantes!$H$2,"Longa Distância")</f>
        <v>Longa Distância</v>
      </c>
      <c r="AE58" s="30" t="str">
        <f t="shared" si="4"/>
        <v>NÃO</v>
      </c>
      <c r="AF58" s="30">
        <f>SUMIF(Entradas!$B:$B,'Entrada Lvl 5-4 qt'!$B58,Entradas!$AG:$AG)</f>
        <v>800.95835140972315</v>
      </c>
      <c r="AG58" s="30"/>
      <c r="BD58" s="49"/>
      <c r="BE58" s="49"/>
    </row>
    <row r="59" spans="1:57" x14ac:dyDescent="0.3">
      <c r="A59">
        <f>_xlfn.XLOOKUP(B59,Entradas!B:B,Entradas!A:A,,0,-1)</f>
        <v>2</v>
      </c>
      <c r="B59">
        <v>19165342</v>
      </c>
      <c r="C59" t="str">
        <f>_xlfn.XLOOKUP($B59,Entradas!$B:$B,Entradas!C:C,,0,1)</f>
        <v>000830/23</v>
      </c>
      <c r="D59" t="str">
        <f>_xlfn.XLOOKUP($B59,Entradas!$B:$B,Entradas!D:D,,0,1)</f>
        <v>***.460.996-**</v>
      </c>
      <c r="E59" t="str">
        <f>_xlfn.XLOOKUP($B59,Entradas!$B:$B,Entradas!E:E,,0,1)</f>
        <v>MATEUS DE SOUSA VAN STRALEN</v>
      </c>
      <c r="F59" t="str">
        <f>_xlfn.XLOOKUP($B59,Entradas!$B:$B,Entradas!F:F,,0,1)</f>
        <v>PROFESSOR DO MAGISTERIO SUPERIOR</v>
      </c>
      <c r="G59" t="str">
        <f>_xlfn.XLOOKUP($B59,Entradas!$B:$B,Entradas!G:G,,0,1)</f>
        <v>FG-0001</v>
      </c>
      <c r="H59" t="str">
        <f>_xlfn.XLOOKUP($B59,Entradas!$B:$B,Entradas!H:H,,0,1)</f>
        <v>FG-0001</v>
      </c>
      <c r="I59" s="49">
        <f>_xlfn.XLOOKUP($B59,Entradas!$B:$B,Entradas!I:I,,0,1)</f>
        <v>45165</v>
      </c>
      <c r="J59" s="49">
        <f>_xlfn.XLOOKUP($B59,Entradas!$B:$B,Entradas!J:J,,0,1)</f>
        <v>45170</v>
      </c>
      <c r="K59" t="str">
        <f>_xlfn.XLOOKUP($B59,Entradas!$B:$B,Entradas!K:K,,0,1)</f>
        <v>Participar em Banca Examinadora referente ao Concurso Público de Provas e Títulos para provimento de cargos de Professor do Magistério Superior para o Departamento de Arquitetura e Urbanismo - DAU/CT, regido pelo EDITAL Nº 61 de 06 de julho de 2023, publicado no DOU em 07/07/2023 - Edição: 128 | Seção: 3, Página: 77, regime de trabalho Dedicação Exclusiva, na Área de Projeto e Representação Gráfica.</v>
      </c>
      <c r="L59">
        <f>SUMIF(Entradas!$B:$B,'Entrada Lvl 5-4 qt'!$B59,Entradas!S:S)</f>
        <v>3429.6730739999998</v>
      </c>
      <c r="M59" t="str">
        <f>_xlfn.XLOOKUP($B59,Entradas!$B:$B,Entradas!T:T,,0,1)</f>
        <v>Aéreo</v>
      </c>
      <c r="N59" t="str">
        <f>_xlfn.XLOOKUP($B59,Entradas!$B:$B,Entradas!U:U,,0,1)</f>
        <v>Sim</v>
      </c>
      <c r="O59" t="str">
        <f>_xlfn.XLOOKUP($B59,Entradas!$B:$B,Entradas!V:V,,0,1)</f>
        <v>Realizada</v>
      </c>
      <c r="P59" t="str">
        <f>_xlfn.XLOOKUP($B59,Entradas!$B:$B,Entradas!W:W,,0,1)</f>
        <v>SIM</v>
      </c>
      <c r="Q59" t="str">
        <f>_xlfn.XLOOKUP($B59,Entradas!$B:$B,Entradas!X:X,,0,1)</f>
        <v>Devido a necessidade de aguardar o período de inscrição determinado no cronograma do concurso para que a Banca Examinadora seja confirmada sem que não tenha membros com impedimentos de acordo com a Resolução 74/2013 - CONSEPE.</v>
      </c>
      <c r="R59" s="36">
        <f>SUMIF(Entradas!$B:$B,'Entrada Lvl 5-4 qt'!$B59,Entradas!Y:Y)</f>
        <v>1821.06</v>
      </c>
      <c r="S59" s="36">
        <f>SUMIF(Entradas!$B:$B,'Entrada Lvl 5-4 qt'!$B59,Entradas!Z:Z)</f>
        <v>0</v>
      </c>
      <c r="T59" s="36">
        <f>SUMIF(Entradas!$B:$B,'Entrada Lvl 5-4 qt'!$B59,Entradas!AA:AA)</f>
        <v>2966.79</v>
      </c>
      <c r="U59" s="36">
        <f>SUMIF(Entradas!$B:$B,'Entrada Lvl 5-4 qt'!$B59,Entradas!AB:AB)</f>
        <v>0</v>
      </c>
      <c r="V59" s="49">
        <f>_xlfn.XLOOKUP($B59,Entradas!$B:$B,Entradas!AC:AC,,0,1)</f>
        <v>45155</v>
      </c>
      <c r="W59" s="58">
        <f t="shared" si="3"/>
        <v>5</v>
      </c>
      <c r="X59" s="28" t="s">
        <v>10</v>
      </c>
      <c r="Y59" s="32">
        <f t="shared" si="0"/>
        <v>0</v>
      </c>
      <c r="Z59" s="33">
        <f t="shared" si="1"/>
        <v>2966.79</v>
      </c>
      <c r="AA59" s="34">
        <f t="shared" si="2"/>
        <v>1821.06</v>
      </c>
      <c r="AB59" s="28" t="s">
        <v>1812</v>
      </c>
      <c r="AC59" s="28" t="s">
        <v>1820</v>
      </c>
      <c r="AD59" s="29" t="str" cm="1">
        <f t="array" ref="AD59">_xlfn.IFS(L59&lt;=Constantes!$G$2,"Muito Curta (evitável)",L59&lt;=Constantes!$H$2,"Curta Distância",L59&gt;Constantes!$H$2,"Longa Distância")</f>
        <v>Curta Distância</v>
      </c>
      <c r="AE59" s="30" t="str">
        <f t="shared" si="4"/>
        <v>NÃO</v>
      </c>
      <c r="AF59" s="30">
        <f>SUMIF(Entradas!$B:$B,'Entrada Lvl 5-4 qt'!$B59,Entradas!$AG:$AG)</f>
        <v>627.18210071654289</v>
      </c>
      <c r="AG59" s="30"/>
      <c r="BD59" s="49"/>
      <c r="BE59" s="49"/>
    </row>
    <row r="60" spans="1:57" x14ac:dyDescent="0.3">
      <c r="A60">
        <f>_xlfn.XLOOKUP(B60,Entradas!B:B,Entradas!A:A,,0,-1)</f>
        <v>2</v>
      </c>
      <c r="B60">
        <v>19180265</v>
      </c>
      <c r="C60" t="str">
        <f>_xlfn.XLOOKUP($B60,Entradas!$B:$B,Entradas!C:C,,0,1)</f>
        <v>000820/23</v>
      </c>
      <c r="D60" t="str">
        <f>_xlfn.XLOOKUP($B60,Entradas!$B:$B,Entradas!D:D,,0,1)</f>
        <v>***.734.353-**</v>
      </c>
      <c r="E60" t="str">
        <f>_xlfn.XLOOKUP($B60,Entradas!$B:$B,Entradas!E:E,,0,1)</f>
        <v>FELIX ALVES DA SILVA JUNIOR</v>
      </c>
      <c r="F60" t="str">
        <f>_xlfn.XLOOKUP($B60,Entradas!$B:$B,Entradas!F:F,,0,1)</f>
        <v>PROFESSOR DO MAGISTERIO SUPERIOR</v>
      </c>
      <c r="G60" t="str">
        <f>_xlfn.XLOOKUP($B60,Entradas!$B:$B,Entradas!G:G,,0,1)</f>
        <v>-1</v>
      </c>
      <c r="H60" t="str">
        <f>_xlfn.XLOOKUP($B60,Entradas!$B:$B,Entradas!H:H,,0,1)</f>
        <v>Sem informação</v>
      </c>
      <c r="I60" s="49">
        <f>_xlfn.XLOOKUP($B60,Entradas!$B:$B,Entradas!I:I,,0,1)</f>
        <v>45165</v>
      </c>
      <c r="J60" s="49">
        <f>_xlfn.XLOOKUP($B60,Entradas!$B:$B,Entradas!J:J,,0,1)</f>
        <v>45170</v>
      </c>
      <c r="K60" t="str">
        <f>_xlfn.XLOOKUP($B60,Entradas!$B:$B,Entradas!K:K,,0,1)</f>
        <v>Participar da banca examinadora de concurso público, regido pelo EDITAL No 61, DE 6 DE JULHO DE 2023 CONCURSO PÚBLICO DE PROVAS E TÍTULOS - PARA PROFESSOR DO MAGISTÉRIO SUPERIOR, do Departamento de Arquitetura e Urbanismo - DAU/CT/UFPB, publicado no DOU em 07/07/2023 - Edição: 128 | Seção: 3, Página: 77, regime de trabalho Dedicação Exclusiva, na Área de Projeto e Representação Gráfica.</v>
      </c>
      <c r="L60">
        <f>SUMIF(Entradas!$B:$B,'Entrada Lvl 5-4 qt'!$B60,Entradas!S:S)</f>
        <v>3426.839982</v>
      </c>
      <c r="M60" t="str">
        <f>_xlfn.XLOOKUP($B60,Entradas!$B:$B,Entradas!T:T,,0,1)</f>
        <v>Aéreo</v>
      </c>
      <c r="N60" t="str">
        <f>_xlfn.XLOOKUP($B60,Entradas!$B:$B,Entradas!U:U,,0,1)</f>
        <v>Não</v>
      </c>
      <c r="O60" t="str">
        <f>_xlfn.XLOOKUP($B60,Entradas!$B:$B,Entradas!V:V,,0,1)</f>
        <v>Realizada</v>
      </c>
      <c r="P60" t="str">
        <f>_xlfn.XLOOKUP($B60,Entradas!$B:$B,Entradas!W:W,,0,1)</f>
        <v>SIM</v>
      </c>
      <c r="Q60" t="str">
        <f>_xlfn.XLOOKUP($B60,Entradas!$B:$B,Entradas!X:X,,0,1)</f>
        <v>Devido a necessidade de aguardar o período de inscrição determinado no cronograma do concurso para que a Banca Examinadora seja confirmada sem que não tenha membros com impedimentos de acordo com a Resolução 74/2013 - CONSEPE.</v>
      </c>
      <c r="R60" s="36">
        <f>SUMIF(Entradas!$B:$B,'Entrada Lvl 5-4 qt'!$B60,Entradas!Y:Y)</f>
        <v>1821.06</v>
      </c>
      <c r="S60" s="36">
        <f>SUMIF(Entradas!$B:$B,'Entrada Lvl 5-4 qt'!$B60,Entradas!Z:Z)</f>
        <v>0</v>
      </c>
      <c r="T60" s="36">
        <f>SUMIF(Entradas!$B:$B,'Entrada Lvl 5-4 qt'!$B60,Entradas!AA:AA)</f>
        <v>3573.3</v>
      </c>
      <c r="U60" s="36">
        <f>SUMIF(Entradas!$B:$B,'Entrada Lvl 5-4 qt'!$B60,Entradas!AB:AB)</f>
        <v>0</v>
      </c>
      <c r="V60" s="49">
        <f>_xlfn.XLOOKUP($B60,Entradas!$B:$B,Entradas!AC:AC,,0,1)</f>
        <v>45155</v>
      </c>
      <c r="W60" s="58">
        <f t="shared" si="3"/>
        <v>5</v>
      </c>
      <c r="X60" s="28" t="s">
        <v>10</v>
      </c>
      <c r="Y60" s="32">
        <f t="shared" si="0"/>
        <v>0</v>
      </c>
      <c r="Z60" s="33">
        <f t="shared" si="1"/>
        <v>3573.3</v>
      </c>
      <c r="AA60" s="34">
        <f t="shared" si="2"/>
        <v>1821.06</v>
      </c>
      <c r="AB60" s="28" t="s">
        <v>1812</v>
      </c>
      <c r="AC60" s="28" t="s">
        <v>1820</v>
      </c>
      <c r="AD60" s="29" t="str" cm="1">
        <f t="array" ref="AD60">_xlfn.IFS(L60&lt;=Constantes!$G$2,"Muito Curta (evitável)",L60&lt;=Constantes!$H$2,"Curta Distância",L60&gt;Constantes!$H$2,"Longa Distância")</f>
        <v>Curta Distância</v>
      </c>
      <c r="AE60" s="30" t="str">
        <f t="shared" si="4"/>
        <v>NÃO</v>
      </c>
      <c r="AF60" s="30">
        <f>SUMIF(Entradas!$B:$B,'Entrada Lvl 5-4 qt'!$B60,Entradas!$AG:$AG)</f>
        <v>626.66401501165365</v>
      </c>
      <c r="AG60" s="30"/>
      <c r="BD60" s="49"/>
      <c r="BE60" s="49"/>
    </row>
    <row r="61" spans="1:57" x14ac:dyDescent="0.3">
      <c r="A61">
        <f>_xlfn.XLOOKUP(B61,Entradas!B:B,Entradas!A:A,,0,-1)</f>
        <v>2</v>
      </c>
      <c r="B61">
        <v>19205181</v>
      </c>
      <c r="C61" t="str">
        <f>_xlfn.XLOOKUP($B61,Entradas!$B:$B,Entradas!C:C,,0,1)</f>
        <v>000870/23</v>
      </c>
      <c r="D61" t="str">
        <f>_xlfn.XLOOKUP($B61,Entradas!$B:$B,Entradas!D:D,,0,1)</f>
        <v>***.567.773-**</v>
      </c>
      <c r="E61" t="str">
        <f>_xlfn.XLOOKUP($B61,Entradas!$B:$B,Entradas!E:E,,0,1)</f>
        <v>BERLA MOREIRA DE MORAES</v>
      </c>
      <c r="F61" t="str">
        <f>_xlfn.XLOOKUP($B61,Entradas!$B:$B,Entradas!F:F,,0,1)</f>
        <v>PROFESSOR DO MAGISTERIO SUPERIOR</v>
      </c>
      <c r="G61" t="str">
        <f>_xlfn.XLOOKUP($B61,Entradas!$B:$B,Entradas!G:G,,0,1)</f>
        <v>CD-0002</v>
      </c>
      <c r="H61" t="str">
        <f>_xlfn.XLOOKUP($B61,Entradas!$B:$B,Entradas!H:H,,0,1)</f>
        <v>Cargo Comissionado de Direção</v>
      </c>
      <c r="I61" s="49">
        <f>_xlfn.XLOOKUP($B61,Entradas!$B:$B,Entradas!I:I,,0,1)</f>
        <v>45166</v>
      </c>
      <c r="J61" s="49">
        <f>_xlfn.XLOOKUP($B61,Entradas!$B:$B,Entradas!J:J,,0,1)</f>
        <v>45171</v>
      </c>
      <c r="K61" t="str">
        <f>_xlfn.XLOOKUP($B61,Entradas!$B:$B,Entradas!K:K,,0,1)</f>
        <v>Representar a UFPB no VII Fórum Permanente de Museus Universitário, em formato presencial, nos dias 28 de agosto a 01 de setembro de 2023, na cidade de Rio de Janeiro - RJ, no Instituto Benjamim Constant, tema: 30 anos depois... para que(m) ainda serve(m) os museus e coleções universitárias?</v>
      </c>
      <c r="L61">
        <f>SUMIF(Entradas!$B:$B,'Entrada Lvl 5-4 qt'!$B61,Entradas!S:S)</f>
        <v>3923.0015720000001</v>
      </c>
      <c r="M61" t="str">
        <f>_xlfn.XLOOKUP($B61,Entradas!$B:$B,Entradas!T:T,,0,1)</f>
        <v>Aéreo</v>
      </c>
      <c r="N61" t="str">
        <f>_xlfn.XLOOKUP($B61,Entradas!$B:$B,Entradas!U:U,,0,1)</f>
        <v>Sim</v>
      </c>
      <c r="O61" t="str">
        <f>_xlfn.XLOOKUP($B61,Entradas!$B:$B,Entradas!V:V,,0,1)</f>
        <v>Realizada</v>
      </c>
      <c r="P61" t="str">
        <f>_xlfn.XLOOKUP($B61,Entradas!$B:$B,Entradas!W:W,,0,1)</f>
        <v>SIM</v>
      </c>
      <c r="Q61" t="str">
        <f>_xlfn.XLOOKUP($B61,Entradas!$B:$B,Entradas!X:X,,0,1)</f>
        <v>Embora o convite tenha sido enviado, no ato da inscrição as vagas estavam esgotadas, houve hoje, dia 18/08/2023 nova abertura de vagas e com a inscrição aprovada, estamos submetendo para pedido de emissão de passagem e diárias.</v>
      </c>
      <c r="R61" s="36">
        <f>SUMIF(Entradas!$B:$B,'Entrada Lvl 5-4 qt'!$B61,Entradas!Y:Y)</f>
        <v>2329.64</v>
      </c>
      <c r="S61" s="36">
        <f>SUMIF(Entradas!$B:$B,'Entrada Lvl 5-4 qt'!$B61,Entradas!Z:Z)</f>
        <v>0</v>
      </c>
      <c r="T61" s="36">
        <f>SUMIF(Entradas!$B:$B,'Entrada Lvl 5-4 qt'!$B61,Entradas!AA:AA)</f>
        <v>2569.59</v>
      </c>
      <c r="U61" s="36">
        <f>SUMIF(Entradas!$B:$B,'Entrada Lvl 5-4 qt'!$B61,Entradas!AB:AB)</f>
        <v>0</v>
      </c>
      <c r="V61" s="49">
        <f>_xlfn.XLOOKUP($B61,Entradas!$B:$B,Entradas!AC:AC,,0,1)</f>
        <v>45161</v>
      </c>
      <c r="W61" s="58">
        <f t="shared" si="3"/>
        <v>5</v>
      </c>
      <c r="X61" s="28" t="s">
        <v>10</v>
      </c>
      <c r="Y61" s="32">
        <f t="shared" si="0"/>
        <v>0</v>
      </c>
      <c r="Z61" s="33">
        <f t="shared" si="1"/>
        <v>2569.59</v>
      </c>
      <c r="AA61" s="34">
        <f t="shared" si="2"/>
        <v>2329.64</v>
      </c>
      <c r="AB61" s="28" t="s">
        <v>1813</v>
      </c>
      <c r="AC61" s="28" t="s">
        <v>1784</v>
      </c>
      <c r="AD61" s="29" t="str" cm="1">
        <f t="array" ref="AD61">_xlfn.IFS(L61&lt;=Constantes!$G$2,"Muito Curta (evitável)",L61&lt;=Constantes!$H$2,"Curta Distância",L61&gt;Constantes!$H$2,"Longa Distância")</f>
        <v>Longa Distância</v>
      </c>
      <c r="AE61" s="30" t="str">
        <f t="shared" si="4"/>
        <v>NÃO</v>
      </c>
      <c r="AF61" s="30">
        <f>SUMIF(Entradas!$B:$B,'Entrada Lvl 5-4 qt'!$B61,Entradas!$AG:$AG)</f>
        <v>717.39676463438343</v>
      </c>
      <c r="AG61" s="30"/>
      <c r="BD61" s="49"/>
      <c r="BE61" s="49"/>
    </row>
    <row r="62" spans="1:57" x14ac:dyDescent="0.3">
      <c r="A62">
        <f>_xlfn.XLOOKUP(B62,Entradas!B:B,Entradas!A:A,,0,-1)</f>
        <v>2</v>
      </c>
      <c r="B62">
        <v>19066792</v>
      </c>
      <c r="C62" t="str">
        <f>_xlfn.XLOOKUP($B62,Entradas!$B:$B,Entradas!C:C,,0,1)</f>
        <v>000529/23</v>
      </c>
      <c r="D62" t="str">
        <f>_xlfn.XLOOKUP($B62,Entradas!$B:$B,Entradas!D:D,,0,1)</f>
        <v>***.374.464-**</v>
      </c>
      <c r="E62" t="str">
        <f>_xlfn.XLOOKUP($B62,Entradas!$B:$B,Entradas!E:E,,0,1)</f>
        <v>YURI WANDERLEY CAVALCANTI</v>
      </c>
      <c r="F62" t="str">
        <f>_xlfn.XLOOKUP($B62,Entradas!$B:$B,Entradas!F:F,,0,1)</f>
        <v>PROFESSOR DO MAGISTERIO SUPERIOR</v>
      </c>
      <c r="G62" t="str">
        <f>_xlfn.XLOOKUP($B62,Entradas!$B:$B,Entradas!G:G,,0,1)</f>
        <v>FUC-0001</v>
      </c>
      <c r="H62" t="str">
        <f>_xlfn.XLOOKUP($B62,Entradas!$B:$B,Entradas!H:H,,0,1)</f>
        <v>FUC-0001</v>
      </c>
      <c r="I62" s="49">
        <f>_xlfn.XLOOKUP($B62,Entradas!$B:$B,Entradas!I:I,,0,1)</f>
        <v>45171</v>
      </c>
      <c r="J62" s="49">
        <f>_xlfn.XLOOKUP($B62,Entradas!$B:$B,Entradas!J:J,,0,1)</f>
        <v>45175</v>
      </c>
      <c r="K62" t="str">
        <f>_xlfn.XLOOKUP($B62,Entradas!$B:$B,Entradas!K:K,,0,1)</f>
        <v>Apresentar trabalho na 40ª Reunião Anual da SBPqO e participar da Reunião de Coordenadores de Programas de Pós-Graduação em Odontologia</v>
      </c>
      <c r="L62">
        <f>SUMIF(Entradas!$B:$B,'Entrada Lvl 5-4 qt'!$B62,Entradas!S:S)</f>
        <v>4387.7299999999996</v>
      </c>
      <c r="M62" t="str">
        <f>_xlfn.XLOOKUP($B62,Entradas!$B:$B,Entradas!T:T,,0,1)</f>
        <v>Aéreo</v>
      </c>
      <c r="N62" t="str">
        <f>_xlfn.XLOOKUP($B62,Entradas!$B:$B,Entradas!U:U,,0,1)</f>
        <v>Não</v>
      </c>
      <c r="O62" t="str">
        <f>_xlfn.XLOOKUP($B62,Entradas!$B:$B,Entradas!V:V,,0,1)</f>
        <v>Realizada</v>
      </c>
      <c r="P62" t="str">
        <f>_xlfn.XLOOKUP($B62,Entradas!$B:$B,Entradas!W:W,,0,1)</f>
        <v>NÃO</v>
      </c>
      <c r="Q62" t="str">
        <f>_xlfn.XLOOKUP($B62,Entradas!$B:$B,Entradas!X:X,,0,1)</f>
        <v>Sem informação</v>
      </c>
      <c r="R62" s="36">
        <f>SUMIF(Entradas!$B:$B,'Entrada Lvl 5-4 qt'!$B62,Entradas!Y:Y)</f>
        <v>1359.32</v>
      </c>
      <c r="S62" s="36">
        <f>SUMIF(Entradas!$B:$B,'Entrada Lvl 5-4 qt'!$B62,Entradas!Z:Z)</f>
        <v>0</v>
      </c>
      <c r="T62" s="36">
        <f>SUMIF(Entradas!$B:$B,'Entrada Lvl 5-4 qt'!$B62,Entradas!AA:AA)</f>
        <v>2561.5100000000002</v>
      </c>
      <c r="U62" s="36">
        <f>SUMIF(Entradas!$B:$B,'Entrada Lvl 5-4 qt'!$B62,Entradas!AB:AB)</f>
        <v>0</v>
      </c>
      <c r="V62" s="49">
        <f>_xlfn.XLOOKUP($B62,Entradas!$B:$B,Entradas!AC:AC,,0,1)</f>
        <v>45113</v>
      </c>
      <c r="W62" s="58">
        <f t="shared" si="3"/>
        <v>4</v>
      </c>
      <c r="X62" s="28" t="s">
        <v>10</v>
      </c>
      <c r="Y62" s="32">
        <f t="shared" si="0"/>
        <v>0</v>
      </c>
      <c r="Z62" s="33">
        <f t="shared" si="1"/>
        <v>2561.5100000000002</v>
      </c>
      <c r="AA62" s="34">
        <f t="shared" si="2"/>
        <v>1359.32</v>
      </c>
      <c r="AB62" s="28" t="s">
        <v>1814</v>
      </c>
      <c r="AC62" s="28" t="s">
        <v>1820</v>
      </c>
      <c r="AD62" s="29" t="str" cm="1">
        <f t="array" ref="AD62">_xlfn.IFS(L62&lt;=Constantes!$G$2,"Muito Curta (evitável)",L62&lt;=Constantes!$H$2,"Curta Distância",L62&gt;Constantes!$H$2,"Longa Distância")</f>
        <v>Longa Distância</v>
      </c>
      <c r="AE62" s="30" t="str">
        <f t="shared" si="4"/>
        <v>NÃO</v>
      </c>
      <c r="AF62" s="30">
        <f>SUMIF(Entradas!$B:$B,'Entrada Lvl 5-4 qt'!$B62,Entradas!$AG:$AG)</f>
        <v>802.381352216604</v>
      </c>
      <c r="AG62" s="30"/>
      <c r="BD62" s="49"/>
      <c r="BE62" s="49"/>
    </row>
    <row r="63" spans="1:57" x14ac:dyDescent="0.3">
      <c r="A63">
        <f>_xlfn.XLOOKUP(B63,Entradas!B:B,Entradas!A:A,,0,-1)</f>
        <v>2</v>
      </c>
      <c r="B63">
        <v>19067746</v>
      </c>
      <c r="C63" t="str">
        <f>_xlfn.XLOOKUP($B63,Entradas!$B:$B,Entradas!C:C,,0,1)</f>
        <v>000530/23</v>
      </c>
      <c r="D63" t="str">
        <f>_xlfn.XLOOKUP($B63,Entradas!$B:$B,Entradas!D:D,,0,1)</f>
        <v>***.221.594-**</v>
      </c>
      <c r="E63" t="str">
        <f>_xlfn.XLOOKUP($B63,Entradas!$B:$B,Entradas!E:E,,0,1)</f>
        <v>LEOPOLDINA DE FATIMA DANTAS DE ALMEIDA CAVALCANTI</v>
      </c>
      <c r="F63" t="str">
        <f>_xlfn.XLOOKUP($B63,Entradas!$B:$B,Entradas!F:F,,0,1)</f>
        <v>PROFESSOR DO MAGISTERIO SUPERIOR</v>
      </c>
      <c r="G63" t="str">
        <f>_xlfn.XLOOKUP($B63,Entradas!$B:$B,Entradas!G:G,,0,1)</f>
        <v>-1</v>
      </c>
      <c r="H63" t="str">
        <f>_xlfn.XLOOKUP($B63,Entradas!$B:$B,Entradas!H:H,,0,1)</f>
        <v>Sem informação</v>
      </c>
      <c r="I63" s="49">
        <f>_xlfn.XLOOKUP($B63,Entradas!$B:$B,Entradas!I:I,,0,1)</f>
        <v>45171</v>
      </c>
      <c r="J63" s="49">
        <f>_xlfn.XLOOKUP($B63,Entradas!$B:$B,Entradas!J:J,,0,1)</f>
        <v>45175</v>
      </c>
      <c r="K63" t="str">
        <f>_xlfn.XLOOKUP($B63,Entradas!$B:$B,Entradas!K:K,,0,1)</f>
        <v>Participar da 40ª reunião anual da Sociedade Brasileira de Pesquisa Odontológica, na qual apresentará trabalhos e dará suporte aos alunos de pós-graduação que também tiveram seus resumos aprovados.</v>
      </c>
      <c r="L63">
        <f>SUMIF(Entradas!$B:$B,'Entrada Lvl 5-4 qt'!$B63,Entradas!S:S)</f>
        <v>4387.7299999999996</v>
      </c>
      <c r="M63" t="str">
        <f>_xlfn.XLOOKUP($B63,Entradas!$B:$B,Entradas!T:T,,0,1)</f>
        <v>Aéreo</v>
      </c>
      <c r="N63" t="str">
        <f>_xlfn.XLOOKUP($B63,Entradas!$B:$B,Entradas!U:U,,0,1)</f>
        <v>Não</v>
      </c>
      <c r="O63" t="str">
        <f>_xlfn.XLOOKUP($B63,Entradas!$B:$B,Entradas!V:V,,0,1)</f>
        <v>Realizada</v>
      </c>
      <c r="P63" t="str">
        <f>_xlfn.XLOOKUP($B63,Entradas!$B:$B,Entradas!W:W,,0,1)</f>
        <v>NÃO</v>
      </c>
      <c r="Q63" t="str">
        <f>_xlfn.XLOOKUP($B63,Entradas!$B:$B,Entradas!X:X,,0,1)</f>
        <v>Sem informação</v>
      </c>
      <c r="R63" s="36">
        <f>SUMIF(Entradas!$B:$B,'Entrada Lvl 5-4 qt'!$B63,Entradas!Y:Y)</f>
        <v>1359.32</v>
      </c>
      <c r="S63" s="36">
        <f>SUMIF(Entradas!$B:$B,'Entrada Lvl 5-4 qt'!$B63,Entradas!Z:Z)</f>
        <v>0</v>
      </c>
      <c r="T63" s="36">
        <f>SUMIF(Entradas!$B:$B,'Entrada Lvl 5-4 qt'!$B63,Entradas!AA:AA)</f>
        <v>2561.5100000000002</v>
      </c>
      <c r="U63" s="36">
        <f>SUMIF(Entradas!$B:$B,'Entrada Lvl 5-4 qt'!$B63,Entradas!AB:AB)</f>
        <v>0</v>
      </c>
      <c r="V63" s="49">
        <f>_xlfn.XLOOKUP($B63,Entradas!$B:$B,Entradas!AC:AC,,0,1)</f>
        <v>45113</v>
      </c>
      <c r="W63" s="58">
        <f t="shared" si="3"/>
        <v>4</v>
      </c>
      <c r="X63" s="28" t="s">
        <v>10</v>
      </c>
      <c r="Y63" s="32">
        <f t="shared" si="0"/>
        <v>0</v>
      </c>
      <c r="Z63" s="33">
        <f t="shared" si="1"/>
        <v>2561.5100000000002</v>
      </c>
      <c r="AA63" s="34">
        <f t="shared" si="2"/>
        <v>1359.32</v>
      </c>
      <c r="AB63" s="28" t="s">
        <v>1814</v>
      </c>
      <c r="AC63" s="28" t="s">
        <v>1820</v>
      </c>
      <c r="AD63" s="29" t="str" cm="1">
        <f t="array" ref="AD63">_xlfn.IFS(L63&lt;=Constantes!$G$2,"Muito Curta (evitável)",L63&lt;=Constantes!$H$2,"Curta Distância",L63&gt;Constantes!$H$2,"Longa Distância")</f>
        <v>Longa Distância</v>
      </c>
      <c r="AE63" s="30" t="str">
        <f t="shared" si="4"/>
        <v>NÃO</v>
      </c>
      <c r="AF63" s="30">
        <f>SUMIF(Entradas!$B:$B,'Entrada Lvl 5-4 qt'!$B63,Entradas!$AG:$AG)</f>
        <v>802.381352216604</v>
      </c>
      <c r="AG63" s="30"/>
      <c r="BD63" s="49"/>
      <c r="BE63" s="49"/>
    </row>
    <row r="64" spans="1:57" x14ac:dyDescent="0.3">
      <c r="A64">
        <f>_xlfn.XLOOKUP(B64,Entradas!B:B,Entradas!A:A,,0,-1)</f>
        <v>2</v>
      </c>
      <c r="B64">
        <v>19203473</v>
      </c>
      <c r="C64" t="str">
        <f>_xlfn.XLOOKUP($B64,Entradas!$B:$B,Entradas!C:C,,0,1)</f>
        <v>000868/23</v>
      </c>
      <c r="D64" t="str">
        <f>_xlfn.XLOOKUP($B64,Entradas!$B:$B,Entradas!D:D,,0,1)</f>
        <v/>
      </c>
      <c r="E64" t="str">
        <f>_xlfn.XLOOKUP($B64,Entradas!$B:$B,Entradas!E:E,,0,1)</f>
        <v>THAYNNARA PEREIRA MELO</v>
      </c>
      <c r="F64" t="str">
        <f>_xlfn.XLOOKUP($B64,Entradas!$B:$B,Entradas!F:F,,0,1)</f>
        <v/>
      </c>
      <c r="G64" t="str">
        <f>_xlfn.XLOOKUP($B64,Entradas!$B:$B,Entradas!G:G,,0,1)</f>
        <v>-1</v>
      </c>
      <c r="H64" t="str">
        <f>_xlfn.XLOOKUP($B64,Entradas!$B:$B,Entradas!H:H,,0,1)</f>
        <v>Sem informação</v>
      </c>
      <c r="I64" s="49">
        <f>_xlfn.XLOOKUP($B64,Entradas!$B:$B,Entradas!I:I,,0,1)</f>
        <v>45172</v>
      </c>
      <c r="J64" s="49">
        <f>_xlfn.XLOOKUP($B64,Entradas!$B:$B,Entradas!J:J,,0,1)</f>
        <v>45177</v>
      </c>
      <c r="K64" t="str">
        <f>_xlfn.XLOOKUP($B64,Entradas!$B:$B,Entradas!K:K,,0,1)</f>
        <v>Proposto irá participar do Encontro Nacional de Ensino e Pesquisa do Campo de Públicas (ENEPCP 2023), realizando apresentação de trabalho oriundo do projeto de extensão Laboratório de Inovação em Contratos Públicos, vinculado ao Departamento de Gestão Pública.</v>
      </c>
      <c r="L64">
        <f>SUMIF(Entradas!$B:$B,'Entrada Lvl 5-4 qt'!$B64,Entradas!S:S)</f>
        <v>3429.6730739999998</v>
      </c>
      <c r="M64" t="str">
        <f>_xlfn.XLOOKUP($B64,Entradas!$B:$B,Entradas!T:T,,0,1)</f>
        <v>Aéreo</v>
      </c>
      <c r="N64" t="str">
        <f>_xlfn.XLOOKUP($B64,Entradas!$B:$B,Entradas!U:U,,0,1)</f>
        <v>Sim</v>
      </c>
      <c r="O64" t="str">
        <f>_xlfn.XLOOKUP($B64,Entradas!$B:$B,Entradas!V:V,,0,1)</f>
        <v>Realizada</v>
      </c>
      <c r="P64" t="str">
        <f>_xlfn.XLOOKUP($B64,Entradas!$B:$B,Entradas!W:W,,0,1)</f>
        <v>SIM</v>
      </c>
      <c r="Q64" t="str">
        <f>_xlfn.XLOOKUP($B64,Entradas!$B:$B,Entradas!X:X,,0,1)</f>
        <v>DEVIDO AO VOLUME DE DEMANDAS DO SETOR, NÃO FOI POSSÍVEL REALIZAR O CADASTRAMENTO DESSA VIAGEM NO PRAZO HABITUAL.</v>
      </c>
      <c r="R64" s="36">
        <f>SUMIF(Entradas!$B:$B,'Entrada Lvl 5-4 qt'!$B64,Entradas!Y:Y)</f>
        <v>0</v>
      </c>
      <c r="S64" s="36">
        <f>SUMIF(Entradas!$B:$B,'Entrada Lvl 5-4 qt'!$B64,Entradas!Z:Z)</f>
        <v>0</v>
      </c>
      <c r="T64" s="36">
        <f>SUMIF(Entradas!$B:$B,'Entrada Lvl 5-4 qt'!$B64,Entradas!AA:AA)</f>
        <v>2624.29</v>
      </c>
      <c r="U64" s="36">
        <f>SUMIF(Entradas!$B:$B,'Entrada Lvl 5-4 qt'!$B64,Entradas!AB:AB)</f>
        <v>0</v>
      </c>
      <c r="V64" s="49">
        <f>_xlfn.XLOOKUP($B64,Entradas!$B:$B,Entradas!AC:AC,,0,1)</f>
        <v>45160</v>
      </c>
      <c r="W64" s="58">
        <f t="shared" si="3"/>
        <v>5</v>
      </c>
      <c r="X64" s="28" t="s">
        <v>10</v>
      </c>
      <c r="Y64" s="32">
        <f t="shared" si="0"/>
        <v>0</v>
      </c>
      <c r="Z64" s="33">
        <f t="shared" si="1"/>
        <v>2624.29</v>
      </c>
      <c r="AA64" s="34">
        <f t="shared" si="2"/>
        <v>0</v>
      </c>
      <c r="AB64" s="28" t="s">
        <v>1814</v>
      </c>
      <c r="AC64" s="28" t="s">
        <v>1822</v>
      </c>
      <c r="AD64" s="29" t="str" cm="1">
        <f t="array" ref="AD64">_xlfn.IFS(L64&lt;=Constantes!$G$2,"Muito Curta (evitável)",L64&lt;=Constantes!$H$2,"Curta Distância",L64&gt;Constantes!$H$2,"Longa Distância")</f>
        <v>Curta Distância</v>
      </c>
      <c r="AE64" s="30" t="str">
        <f t="shared" si="4"/>
        <v>NÃO</v>
      </c>
      <c r="AF64" s="30">
        <f>SUMIF(Entradas!$B:$B,'Entrada Lvl 5-4 qt'!$B64,Entradas!$AG:$AG)</f>
        <v>627.18210071654289</v>
      </c>
      <c r="AG64" s="30"/>
      <c r="BD64" s="49"/>
      <c r="BE64" s="49"/>
    </row>
    <row r="65" spans="1:57" x14ac:dyDescent="0.3">
      <c r="A65">
        <f>_xlfn.XLOOKUP(B65,Entradas!B:B,Entradas!A:A,,0,-1)</f>
        <v>2</v>
      </c>
      <c r="B65">
        <v>19195283</v>
      </c>
      <c r="C65" t="str">
        <f>_xlfn.XLOOKUP($B65,Entradas!$B:$B,Entradas!C:C,,0,1)</f>
        <v>000851/23</v>
      </c>
      <c r="D65" t="str">
        <f>_xlfn.XLOOKUP($B65,Entradas!$B:$B,Entradas!D:D,,0,1)</f>
        <v>***.368.264-**</v>
      </c>
      <c r="E65" t="str">
        <f>_xlfn.XLOOKUP($B65,Entradas!$B:$B,Entradas!E:E,,0,1)</f>
        <v>LUCIANA ELEONORA DE FREITAS CALADO DEPLAGNE</v>
      </c>
      <c r="F65" t="str">
        <f>_xlfn.XLOOKUP($B65,Entradas!$B:$B,Entradas!F:F,,0,1)</f>
        <v>PROFESSOR DO MAGISTERIO SUPERIOR</v>
      </c>
      <c r="G65" t="str">
        <f>_xlfn.XLOOKUP($B65,Entradas!$B:$B,Entradas!G:G,,0,1)</f>
        <v>-1</v>
      </c>
      <c r="H65" t="str">
        <f>_xlfn.XLOOKUP($B65,Entradas!$B:$B,Entradas!H:H,,0,1)</f>
        <v>Sem informação</v>
      </c>
      <c r="I65" s="49">
        <f>_xlfn.XLOOKUP($B65,Entradas!$B:$B,Entradas!I:I,,0,1)</f>
        <v>45173</v>
      </c>
      <c r="J65" s="49">
        <f>_xlfn.XLOOKUP($B65,Entradas!$B:$B,Entradas!J:J,,0,1)</f>
        <v>45176</v>
      </c>
      <c r="K65" t="str">
        <f>_xlfn.XLOOKUP($B65,Entradas!$B:$B,Entradas!K:K,,0,1)</f>
        <v>Participar do XV ENCONTRO INTERNACIONAL DE ESTUDOS MEDIEVAIS com apresentação de trabalho e como coordenadora de sessão.</v>
      </c>
      <c r="L65">
        <f>SUMIF(Entradas!$B:$B,'Entrada Lvl 5-4 qt'!$B65,Entradas!S:S)</f>
        <v>3750.5964819999999</v>
      </c>
      <c r="M65" t="str">
        <f>_xlfn.XLOOKUP($B65,Entradas!$B:$B,Entradas!T:T,,0,1)</f>
        <v>Aéreo</v>
      </c>
      <c r="N65" t="str">
        <f>_xlfn.XLOOKUP($B65,Entradas!$B:$B,Entradas!U:U,,0,1)</f>
        <v>Sim</v>
      </c>
      <c r="O65" t="str">
        <f>_xlfn.XLOOKUP($B65,Entradas!$B:$B,Entradas!V:V,,0,1)</f>
        <v>Realizada</v>
      </c>
      <c r="P65" t="str">
        <f>_xlfn.XLOOKUP($B65,Entradas!$B:$B,Entradas!W:W,,0,1)</f>
        <v>NÃO</v>
      </c>
      <c r="Q65" t="str">
        <f>_xlfn.XLOOKUP($B65,Entradas!$B:$B,Entradas!X:X,,0,1)</f>
        <v>Sem informação</v>
      </c>
      <c r="R65" s="36">
        <f>SUMIF(Entradas!$B:$B,'Entrada Lvl 5-4 qt'!$B65,Entradas!Y:Y)</f>
        <v>0</v>
      </c>
      <c r="S65" s="36">
        <f>SUMIF(Entradas!$B:$B,'Entrada Lvl 5-4 qt'!$B65,Entradas!Z:Z)</f>
        <v>0</v>
      </c>
      <c r="T65" s="36">
        <f>SUMIF(Entradas!$B:$B,'Entrada Lvl 5-4 qt'!$B65,Entradas!AA:AA)</f>
        <v>3199.92</v>
      </c>
      <c r="U65" s="36">
        <f>SUMIF(Entradas!$B:$B,'Entrada Lvl 5-4 qt'!$B65,Entradas!AB:AB)</f>
        <v>0</v>
      </c>
      <c r="V65" s="49">
        <f>_xlfn.XLOOKUP($B65,Entradas!$B:$B,Entradas!AC:AC,,0,1)</f>
        <v>45156</v>
      </c>
      <c r="W65" s="58">
        <f t="shared" si="3"/>
        <v>3</v>
      </c>
      <c r="X65" s="28" t="s">
        <v>10</v>
      </c>
      <c r="Y65" s="32">
        <f t="shared" si="0"/>
        <v>0</v>
      </c>
      <c r="Z65" s="33">
        <f t="shared" si="1"/>
        <v>3199.92</v>
      </c>
      <c r="AA65" s="34">
        <f t="shared" si="2"/>
        <v>0</v>
      </c>
      <c r="AB65" s="28" t="s">
        <v>1814</v>
      </c>
      <c r="AC65" s="28" t="s">
        <v>1820</v>
      </c>
      <c r="AD65" s="29" t="str" cm="1">
        <f t="array" ref="AD65">_xlfn.IFS(L65&lt;=Constantes!$G$2,"Muito Curta (evitável)",L65&lt;=Constantes!$H$2,"Curta Distância",L65&gt;Constantes!$H$2,"Longa Distância")</f>
        <v>Longa Distância</v>
      </c>
      <c r="AE65" s="30" t="str">
        <f t="shared" si="4"/>
        <v>NÃO</v>
      </c>
      <c r="AF65" s="30">
        <f>SUMIF(Entradas!$B:$B,'Entrada Lvl 5-4 qt'!$B65,Entradas!$AG:$AG)</f>
        <v>685.86915713728922</v>
      </c>
      <c r="AG65" s="30"/>
      <c r="BD65" s="49"/>
      <c r="BE65" s="49"/>
    </row>
    <row r="66" spans="1:57" x14ac:dyDescent="0.3">
      <c r="A66">
        <f>_xlfn.XLOOKUP(B66,Entradas!B:B,Entradas!A:A,,0,-1)</f>
        <v>2</v>
      </c>
      <c r="B66">
        <v>19168558</v>
      </c>
      <c r="C66" t="str">
        <f>_xlfn.XLOOKUP($B66,Entradas!$B:$B,Entradas!C:C,,0,1)</f>
        <v>000783/23</v>
      </c>
      <c r="D66" t="str">
        <f>_xlfn.XLOOKUP($B66,Entradas!$B:$B,Entradas!D:D,,0,1)</f>
        <v>***.231.629-**</v>
      </c>
      <c r="E66" t="str">
        <f>_xlfn.XLOOKUP($B66,Entradas!$B:$B,Entradas!E:E,,0,1)</f>
        <v>PATRICIA VALDERRAMA</v>
      </c>
      <c r="F66" t="str">
        <f>_xlfn.XLOOKUP($B66,Entradas!$B:$B,Entradas!F:F,,0,1)</f>
        <v>PROFESSOR DO MAGISTERIO SUPERIOR</v>
      </c>
      <c r="G66" t="str">
        <f>_xlfn.XLOOKUP($B66,Entradas!$B:$B,Entradas!G:G,,0,1)</f>
        <v>-1</v>
      </c>
      <c r="H66" t="str">
        <f>_xlfn.XLOOKUP($B66,Entradas!$B:$B,Entradas!H:H,,0,1)</f>
        <v>Sem informação</v>
      </c>
      <c r="I66" s="49">
        <f>_xlfn.XLOOKUP($B66,Entradas!$B:$B,Entradas!I:I,,0,1)</f>
        <v>45179</v>
      </c>
      <c r="J66" s="49">
        <f>_xlfn.XLOOKUP($B66,Entradas!$B:$B,Entradas!J:J,,0,1)</f>
        <v>45182</v>
      </c>
      <c r="K66" t="str">
        <f>_xlfn.XLOOKUP($B66,Entradas!$B:$B,Entradas!K:K,,0,1)</f>
        <v>Ministrar curso e palestra no Workshop de Quimiometria</v>
      </c>
      <c r="L66">
        <f>SUMIF(Entradas!$B:$B,'Entrada Lvl 5-4 qt'!$B66,Entradas!S:S)</f>
        <v>5146.5065180000001</v>
      </c>
      <c r="M66" t="str">
        <f>_xlfn.XLOOKUP($B66,Entradas!$B:$B,Entradas!T:T,,0,1)</f>
        <v>Aéreo</v>
      </c>
      <c r="N66" t="str">
        <f>_xlfn.XLOOKUP($B66,Entradas!$B:$B,Entradas!U:U,,0,1)</f>
        <v>Não</v>
      </c>
      <c r="O66" t="str">
        <f>_xlfn.XLOOKUP($B66,Entradas!$B:$B,Entradas!V:V,,0,1)</f>
        <v>Realizada</v>
      </c>
      <c r="P66" t="str">
        <f>_xlfn.XLOOKUP($B66,Entradas!$B:$B,Entradas!W:W,,0,1)</f>
        <v>NÃO</v>
      </c>
      <c r="Q66" t="str">
        <f>_xlfn.XLOOKUP($B66,Entradas!$B:$B,Entradas!X:X,,0,1)</f>
        <v>Sem informação</v>
      </c>
      <c r="R66" s="36">
        <f>SUMIF(Entradas!$B:$B,'Entrada Lvl 5-4 qt'!$B66,Entradas!Y:Y)</f>
        <v>1288.57</v>
      </c>
      <c r="S66" s="36">
        <f>SUMIF(Entradas!$B:$B,'Entrada Lvl 5-4 qt'!$B66,Entradas!Z:Z)</f>
        <v>0</v>
      </c>
      <c r="T66" s="36">
        <f>SUMIF(Entradas!$B:$B,'Entrada Lvl 5-4 qt'!$B66,Entradas!AA:AA)</f>
        <v>2857.5</v>
      </c>
      <c r="U66" s="36">
        <f>SUMIF(Entradas!$B:$B,'Entrada Lvl 5-4 qt'!$B66,Entradas!AB:AB)</f>
        <v>0</v>
      </c>
      <c r="V66" s="49">
        <f>_xlfn.XLOOKUP($B66,Entradas!$B:$B,Entradas!AC:AC,,0,1)</f>
        <v>45155</v>
      </c>
      <c r="W66" s="58">
        <f t="shared" si="3"/>
        <v>3</v>
      </c>
      <c r="X66" s="28" t="s">
        <v>10</v>
      </c>
      <c r="Y66" s="32">
        <f t="shared" ref="Y66:Y129" si="5">IF(A66&lt;3,0,1)</f>
        <v>0</v>
      </c>
      <c r="Z66" s="33">
        <f t="shared" ref="Z66:Z129" si="6">IFERROR(SUM(T66:U66),0)</f>
        <v>2857.5</v>
      </c>
      <c r="AA66" s="34">
        <f t="shared" ref="AA66:AA129" si="7">IFERROR(SUM(R66:S66),0)</f>
        <v>1288.57</v>
      </c>
      <c r="AB66" s="28" t="s">
        <v>1814</v>
      </c>
      <c r="AC66" s="28" t="s">
        <v>1820</v>
      </c>
      <c r="AD66" s="29" t="str" cm="1">
        <f t="array" ref="AD66">_xlfn.IFS(L66&lt;=Constantes!$G$2,"Muito Curta (evitável)",L66&lt;=Constantes!$H$2,"Curta Distância",L66&gt;Constantes!$H$2,"Longa Distância")</f>
        <v>Longa Distância</v>
      </c>
      <c r="AE66" s="30" t="str">
        <f t="shared" ref="AE66:AE129" si="8">IF(P66="SIM",IF(Q66="Sem Informação","SIM","NÃO"),"NÃO")</f>
        <v>NÃO</v>
      </c>
      <c r="AF66" s="30">
        <f>SUMIF(Entradas!$B:$B,'Entrada Lvl 5-4 qt'!$B66,Entradas!$AG:$AG)</f>
        <v>941.13832416862624</v>
      </c>
      <c r="AG66" s="30"/>
      <c r="BD66" s="49"/>
      <c r="BE66" s="49"/>
    </row>
    <row r="67" spans="1:57" x14ac:dyDescent="0.3">
      <c r="A67">
        <f>_xlfn.XLOOKUP(B67,Entradas!B:B,Entradas!A:A,,0,-1)</f>
        <v>2</v>
      </c>
      <c r="B67">
        <v>19216702</v>
      </c>
      <c r="C67" t="str">
        <f>_xlfn.XLOOKUP($B67,Entradas!$B:$B,Entradas!C:C,,0,1)</f>
        <v>000970/23</v>
      </c>
      <c r="D67" t="str">
        <f>_xlfn.XLOOKUP($B67,Entradas!$B:$B,Entradas!D:D,,0,1)</f>
        <v>***.396.743-**</v>
      </c>
      <c r="E67" t="str">
        <f>_xlfn.XLOOKUP($B67,Entradas!$B:$B,Entradas!E:E,,0,1)</f>
        <v>FRANCISCO RICARDO MIRANDA PINTO</v>
      </c>
      <c r="F67" t="str">
        <f>_xlfn.XLOOKUP($B67,Entradas!$B:$B,Entradas!F:F,,0,1)</f>
        <v>PROFESSOR DO MAGISTERIO SUPERIOR</v>
      </c>
      <c r="G67" t="str">
        <f>_xlfn.XLOOKUP($B67,Entradas!$B:$B,Entradas!G:G,,0,1)</f>
        <v>FG-0001</v>
      </c>
      <c r="H67" t="str">
        <f>_xlfn.XLOOKUP($B67,Entradas!$B:$B,Entradas!H:H,,0,1)</f>
        <v>FG-0001</v>
      </c>
      <c r="I67" s="49">
        <f>_xlfn.XLOOKUP($B67,Entradas!$B:$B,Entradas!I:I,,0,1)</f>
        <v>45179</v>
      </c>
      <c r="J67" s="49">
        <f>_xlfn.XLOOKUP($B67,Entradas!$B:$B,Entradas!J:J,,0,1)</f>
        <v>45185</v>
      </c>
      <c r="K67" t="str">
        <f>_xlfn.XLOOKUP($B67,Entradas!$B:$B,Entradas!K:K,,0,1)</f>
        <v>Participação em Banca do concurso público edital nº 30 de 03/05/2023 do Centro Profissional e Tecnológico-Escola Técnica de Saúde da Universidade Federal da UFPB.</v>
      </c>
      <c r="L67">
        <f>SUMIF(Entradas!$B:$B,'Entrada Lvl 5-4 qt'!$B67,Entradas!S:S)</f>
        <v>3426.839982</v>
      </c>
      <c r="M67" t="str">
        <f>_xlfn.XLOOKUP($B67,Entradas!$B:$B,Entradas!T:T,,0,1)</f>
        <v>Aéreo</v>
      </c>
      <c r="N67" t="str">
        <f>_xlfn.XLOOKUP($B67,Entradas!$B:$B,Entradas!U:U,,0,1)</f>
        <v>Sim</v>
      </c>
      <c r="O67" t="str">
        <f>_xlfn.XLOOKUP($B67,Entradas!$B:$B,Entradas!V:V,,0,1)</f>
        <v>Realizada</v>
      </c>
      <c r="P67" t="str">
        <f>_xlfn.XLOOKUP($B67,Entradas!$B:$B,Entradas!W:W,,0,1)</f>
        <v>SIM</v>
      </c>
      <c r="Q67" t="str">
        <f>_xlfn.XLOOKUP($B67,Entradas!$B:$B,Entradas!X:X,,0,1)</f>
        <v>Conforme justificativa anexa.</v>
      </c>
      <c r="R67" s="36">
        <f>SUMIF(Entradas!$B:$B,'Entrada Lvl 5-4 qt'!$B67,Entradas!Y:Y)</f>
        <v>2162.08</v>
      </c>
      <c r="S67" s="36">
        <f>SUMIF(Entradas!$B:$B,'Entrada Lvl 5-4 qt'!$B67,Entradas!Z:Z)</f>
        <v>0</v>
      </c>
      <c r="T67" s="36">
        <f>SUMIF(Entradas!$B:$B,'Entrada Lvl 5-4 qt'!$B67,Entradas!AA:AA)</f>
        <v>3665.2</v>
      </c>
      <c r="U67" s="36">
        <f>SUMIF(Entradas!$B:$B,'Entrada Lvl 5-4 qt'!$B67,Entradas!AB:AB)</f>
        <v>0</v>
      </c>
      <c r="V67" s="49">
        <f>_xlfn.XLOOKUP($B67,Entradas!$B:$B,Entradas!AC:AC,,0,1)</f>
        <v>45170</v>
      </c>
      <c r="W67" s="58">
        <f t="shared" ref="W67:W130" si="9">J67-I67</f>
        <v>6</v>
      </c>
      <c r="X67" s="28" t="s">
        <v>10</v>
      </c>
      <c r="Y67" s="32">
        <f t="shared" si="5"/>
        <v>0</v>
      </c>
      <c r="Z67" s="33">
        <f t="shared" si="6"/>
        <v>3665.2</v>
      </c>
      <c r="AA67" s="34">
        <f t="shared" si="7"/>
        <v>2162.08</v>
      </c>
      <c r="AB67" s="28" t="s">
        <v>1812</v>
      </c>
      <c r="AC67" s="28" t="s">
        <v>1820</v>
      </c>
      <c r="AD67" s="29" t="str" cm="1">
        <f t="array" ref="AD67">_xlfn.IFS(L67&lt;=Constantes!$G$2,"Muito Curta (evitável)",L67&lt;=Constantes!$H$2,"Curta Distância",L67&gt;Constantes!$H$2,"Longa Distância")</f>
        <v>Curta Distância</v>
      </c>
      <c r="AE67" s="30" t="str">
        <f t="shared" si="8"/>
        <v>NÃO</v>
      </c>
      <c r="AF67" s="30">
        <f>SUMIF(Entradas!$B:$B,'Entrada Lvl 5-4 qt'!$B67,Entradas!$AG:$AG)</f>
        <v>626.66401501165365</v>
      </c>
      <c r="AG67" s="30"/>
      <c r="BD67" s="49"/>
      <c r="BE67" s="49"/>
    </row>
    <row r="68" spans="1:57" x14ac:dyDescent="0.3">
      <c r="A68">
        <f>_xlfn.XLOOKUP(B68,Entradas!B:B,Entradas!A:A,,0,-1)</f>
        <v>2</v>
      </c>
      <c r="B68">
        <v>19220954</v>
      </c>
      <c r="C68" t="str">
        <f>_xlfn.XLOOKUP($B68,Entradas!$B:$B,Entradas!C:C,,0,1)</f>
        <v>000910/23</v>
      </c>
      <c r="D68" t="str">
        <f>_xlfn.XLOOKUP($B68,Entradas!$B:$B,Entradas!D:D,,0,1)</f>
        <v/>
      </c>
      <c r="E68" t="str">
        <f>_xlfn.XLOOKUP($B68,Entradas!$B:$B,Entradas!E:E,,0,1)</f>
        <v>MARIA BETANIA DA ROCHA DE OLIVEIRA</v>
      </c>
      <c r="F68" t="str">
        <f>_xlfn.XLOOKUP($B68,Entradas!$B:$B,Entradas!F:F,,0,1)</f>
        <v/>
      </c>
      <c r="G68" t="str">
        <f>_xlfn.XLOOKUP($B68,Entradas!$B:$B,Entradas!G:G,,0,1)</f>
        <v>-1</v>
      </c>
      <c r="H68" t="str">
        <f>_xlfn.XLOOKUP($B68,Entradas!$B:$B,Entradas!H:H,,0,1)</f>
        <v>Sem informação</v>
      </c>
      <c r="I68" s="49">
        <f>_xlfn.XLOOKUP($B68,Entradas!$B:$B,Entradas!I:I,,0,1)</f>
        <v>45179</v>
      </c>
      <c r="J68" s="49">
        <f>_xlfn.XLOOKUP($B68,Entradas!$B:$B,Entradas!J:J,,0,1)</f>
        <v>45190</v>
      </c>
      <c r="K68" t="str">
        <f>_xlfn.XLOOKUP($B68,Entradas!$B:$B,Entradas!K:K,,0,1)</f>
        <v>PARTICIPAR COMO MEMBRA TITULAR DE BANCA EXAMINADORA DE CONCURSO PÚBLICO DE PROVAS E TÍTULOS PARA PROFESSOR DO MAGISTÉRIO SUPERIOR NA ÁREA DE LITERATURAS COMPARADAS DE LÍNGUA PORTUGUESA E ENSINO - EDITAL 61/2023</v>
      </c>
      <c r="L68">
        <f>SUMIF(Entradas!$B:$B,'Entrada Lvl 5-4 qt'!$B68,Entradas!S:S)</f>
        <v>558.13892280000005</v>
      </c>
      <c r="M68" t="str">
        <f>_xlfn.XLOOKUP($B68,Entradas!$B:$B,Entradas!T:T,,0,1)</f>
        <v>Aéreo</v>
      </c>
      <c r="N68" t="str">
        <f>_xlfn.XLOOKUP($B68,Entradas!$B:$B,Entradas!U:U,,0,1)</f>
        <v>Não</v>
      </c>
      <c r="O68" t="str">
        <f>_xlfn.XLOOKUP($B68,Entradas!$B:$B,Entradas!V:V,,0,1)</f>
        <v>Realizada</v>
      </c>
      <c r="P68" t="str">
        <f>_xlfn.XLOOKUP($B68,Entradas!$B:$B,Entradas!W:W,,0,1)</f>
        <v>SIM</v>
      </c>
      <c r="Q68" t="str">
        <f>_xlfn.XLOOKUP($B68,Entradas!$B:$B,Entradas!X:X,,0,1)</f>
        <v>Houve dificuldade na montagem da banca do concurso, gerando atraso na montagem do processo dentro do prazo legal. Segue anexo autorização superior.</v>
      </c>
      <c r="R68" s="36">
        <f>SUMIF(Entradas!$B:$B,'Entrada Lvl 5-4 qt'!$B68,Entradas!Y:Y)</f>
        <v>4016.73</v>
      </c>
      <c r="S68" s="36">
        <f>SUMIF(Entradas!$B:$B,'Entrada Lvl 5-4 qt'!$B68,Entradas!Z:Z)</f>
        <v>0</v>
      </c>
      <c r="T68" s="36">
        <f>SUMIF(Entradas!$B:$B,'Entrada Lvl 5-4 qt'!$B68,Entradas!AA:AA)</f>
        <v>2270.98</v>
      </c>
      <c r="U68" s="36">
        <f>SUMIF(Entradas!$B:$B,'Entrada Lvl 5-4 qt'!$B68,Entradas!AB:AB)</f>
        <v>0</v>
      </c>
      <c r="V68" s="49">
        <f>_xlfn.XLOOKUP($B68,Entradas!$B:$B,Entradas!AC:AC,,0,1)</f>
        <v>45166</v>
      </c>
      <c r="W68" s="58">
        <f t="shared" si="9"/>
        <v>11</v>
      </c>
      <c r="X68" s="28" t="s">
        <v>10</v>
      </c>
      <c r="Y68" s="32">
        <f t="shared" si="5"/>
        <v>0</v>
      </c>
      <c r="Z68" s="33">
        <f t="shared" si="6"/>
        <v>2270.98</v>
      </c>
      <c r="AA68" s="34">
        <f t="shared" si="7"/>
        <v>4016.73</v>
      </c>
      <c r="AB68" s="28" t="s">
        <v>1812</v>
      </c>
      <c r="AC68" s="28" t="s">
        <v>1821</v>
      </c>
      <c r="AD68" s="29" t="str" cm="1">
        <f t="array" ref="AD68">_xlfn.IFS(L68&lt;=Constantes!$G$2,"Muito Curta (evitável)",L68&lt;=Constantes!$H$2,"Curta Distância",L68&gt;Constantes!$H$2,"Longa Distância")</f>
        <v>Muito Curta (evitável)</v>
      </c>
      <c r="AE68" s="30" t="str">
        <f t="shared" si="8"/>
        <v>NÃO</v>
      </c>
      <c r="AF68" s="30">
        <f>SUMIF(Entradas!$B:$B,'Entrada Lvl 5-4 qt'!$B68,Entradas!$AG:$AG)</f>
        <v>152.13571329129365</v>
      </c>
      <c r="AG68" s="30"/>
      <c r="BD68" s="49"/>
      <c r="BE68" s="49"/>
    </row>
    <row r="69" spans="1:57" x14ac:dyDescent="0.3">
      <c r="A69">
        <f>_xlfn.XLOOKUP(B69,Entradas!B:B,Entradas!A:A,,0,-1)</f>
        <v>2</v>
      </c>
      <c r="B69">
        <v>19231480</v>
      </c>
      <c r="C69" t="str">
        <f>_xlfn.XLOOKUP($B69,Entradas!$B:$B,Entradas!C:C,,0,1)</f>
        <v>000921/23</v>
      </c>
      <c r="D69" t="str">
        <f>_xlfn.XLOOKUP($B69,Entradas!$B:$B,Entradas!D:D,,0,1)</f>
        <v>***.375.463-**</v>
      </c>
      <c r="E69" t="str">
        <f>_xlfn.XLOOKUP($B69,Entradas!$B:$B,Entradas!E:E,,0,1)</f>
        <v>CRISTIANA BRASIL DE ALMEIDA REBOUCAS</v>
      </c>
      <c r="F69" t="str">
        <f>_xlfn.XLOOKUP($B69,Entradas!$B:$B,Entradas!F:F,,0,1)</f>
        <v>PROFESSOR DO MAGISTERIO SUPERIOR</v>
      </c>
      <c r="G69" t="str">
        <f>_xlfn.XLOOKUP($B69,Entradas!$B:$B,Entradas!G:G,,0,1)</f>
        <v>-1</v>
      </c>
      <c r="H69" t="str">
        <f>_xlfn.XLOOKUP($B69,Entradas!$B:$B,Entradas!H:H,,0,1)</f>
        <v>Sem informação</v>
      </c>
      <c r="I69" s="49">
        <f>_xlfn.XLOOKUP($B69,Entradas!$B:$B,Entradas!I:I,,0,1)</f>
        <v>45179</v>
      </c>
      <c r="J69" s="49">
        <f>_xlfn.XLOOKUP($B69,Entradas!$B:$B,Entradas!J:J,,0,1)</f>
        <v>45190</v>
      </c>
      <c r="K69" t="str">
        <f>_xlfn.XLOOKUP($B69,Entradas!$B:$B,Entradas!K:K,,0,1)</f>
        <v>O proposto virá participar como membro de banca de concurso público do departamento de enfermagem clínicas, no período de 10/09/2023 a 21/09/2023.</v>
      </c>
      <c r="L69">
        <f>SUMIF(Entradas!$B:$B,'Entrada Lvl 5-4 qt'!$B69,Entradas!S:S)</f>
        <v>1092.4728600000001</v>
      </c>
      <c r="M69" t="str">
        <f>_xlfn.XLOOKUP($B69,Entradas!$B:$B,Entradas!T:T,,0,1)</f>
        <v>Aéreo</v>
      </c>
      <c r="N69" t="str">
        <f>_xlfn.XLOOKUP($B69,Entradas!$B:$B,Entradas!U:U,,0,1)</f>
        <v>Sim</v>
      </c>
      <c r="O69" t="str">
        <f>_xlfn.XLOOKUP($B69,Entradas!$B:$B,Entradas!V:V,,0,1)</f>
        <v>Realizada</v>
      </c>
      <c r="P69" t="str">
        <f>_xlfn.XLOOKUP($B69,Entradas!$B:$B,Entradas!W:W,,0,1)</f>
        <v>SIM</v>
      </c>
      <c r="Q69" t="str">
        <f>_xlfn.XLOOKUP($B69,Entradas!$B:$B,Entradas!X:X,,0,1)</f>
        <v>Em anexo.</v>
      </c>
      <c r="R69" s="36">
        <f>SUMIF(Entradas!$B:$B,'Entrada Lvl 5-4 qt'!$B69,Entradas!Y:Y)</f>
        <v>3747.54</v>
      </c>
      <c r="S69" s="36">
        <f>SUMIF(Entradas!$B:$B,'Entrada Lvl 5-4 qt'!$B69,Entradas!Z:Z)</f>
        <v>0</v>
      </c>
      <c r="T69" s="36">
        <f>SUMIF(Entradas!$B:$B,'Entrada Lvl 5-4 qt'!$B69,Entradas!AA:AA)</f>
        <v>1940</v>
      </c>
      <c r="U69" s="36">
        <f>SUMIF(Entradas!$B:$B,'Entrada Lvl 5-4 qt'!$B69,Entradas!AB:AB)</f>
        <v>0</v>
      </c>
      <c r="V69" s="49">
        <f>_xlfn.XLOOKUP($B69,Entradas!$B:$B,Entradas!AC:AC,,0,1)</f>
        <v>45167</v>
      </c>
      <c r="W69" s="58">
        <f t="shared" si="9"/>
        <v>11</v>
      </c>
      <c r="X69" s="28" t="s">
        <v>10</v>
      </c>
      <c r="Y69" s="32">
        <f t="shared" si="5"/>
        <v>0</v>
      </c>
      <c r="Z69" s="33">
        <f t="shared" si="6"/>
        <v>1940</v>
      </c>
      <c r="AA69" s="34">
        <f t="shared" si="7"/>
        <v>3747.54</v>
      </c>
      <c r="AB69" s="28" t="s">
        <v>1812</v>
      </c>
      <c r="AC69" s="28" t="s">
        <v>1820</v>
      </c>
      <c r="AD69" s="29" t="str" cm="1">
        <f t="array" ref="AD69">_xlfn.IFS(L69&lt;=Constantes!$G$2,"Muito Curta (evitável)",L69&lt;=Constantes!$H$2,"Curta Distância",L69&gt;Constantes!$H$2,"Longa Distância")</f>
        <v>Curta Distância</v>
      </c>
      <c r="AE69" s="30" t="str">
        <f t="shared" si="8"/>
        <v>NÃO</v>
      </c>
      <c r="AF69" s="30">
        <f>SUMIF(Entradas!$B:$B,'Entrada Lvl 5-4 qt'!$B69,Entradas!$AG:$AG)</f>
        <v>297.78274013517625</v>
      </c>
      <c r="AG69" s="30"/>
      <c r="BD69" s="49"/>
      <c r="BE69" s="49"/>
    </row>
    <row r="70" spans="1:57" x14ac:dyDescent="0.3">
      <c r="A70">
        <f>_xlfn.XLOOKUP(B70,Entradas!B:B,Entradas!A:A,,0,-1)</f>
        <v>2</v>
      </c>
      <c r="B70">
        <v>19246583</v>
      </c>
      <c r="C70" t="str">
        <f>_xlfn.XLOOKUP($B70,Entradas!$B:$B,Entradas!C:C,,0,1)</f>
        <v>000982/23</v>
      </c>
      <c r="D70" t="str">
        <f>_xlfn.XLOOKUP($B70,Entradas!$B:$B,Entradas!D:D,,0,1)</f>
        <v>***.119.154-**</v>
      </c>
      <c r="E70" t="str">
        <f>_xlfn.XLOOKUP($B70,Entradas!$B:$B,Entradas!E:E,,0,1)</f>
        <v>MARCELA DE OLIVEIRA FEITOSA</v>
      </c>
      <c r="F70" t="str">
        <f>_xlfn.XLOOKUP($B70,Entradas!$B:$B,Entradas!F:F,,0,1)</f>
        <v>PROFESSOR DO MAGISTERIO SUPERIOR</v>
      </c>
      <c r="G70" t="str">
        <f>_xlfn.XLOOKUP($B70,Entradas!$B:$B,Entradas!G:G,,0,1)</f>
        <v>-1</v>
      </c>
      <c r="H70" t="str">
        <f>_xlfn.XLOOKUP($B70,Entradas!$B:$B,Entradas!H:H,,0,1)</f>
        <v>Sem informação</v>
      </c>
      <c r="I70" s="49">
        <f>_xlfn.XLOOKUP($B70,Entradas!$B:$B,Entradas!I:I,,0,1)</f>
        <v>45179</v>
      </c>
      <c r="J70" s="49">
        <f>_xlfn.XLOOKUP($B70,Entradas!$B:$B,Entradas!J:J,,0,1)</f>
        <v>45186</v>
      </c>
      <c r="K70" t="str">
        <f>_xlfn.XLOOKUP($B70,Entradas!$B:$B,Entradas!K:K,,0,1)</f>
        <v>Participação em Banca do concurso público edital nº 30 de 03/05/2023 do Centro Profissional e Tecnológico-Escola Técnica de Saúde da Universidade Federal da UFPB.</v>
      </c>
      <c r="L70">
        <f>SUMIF(Entradas!$B:$B,'Entrada Lvl 5-4 qt'!$B70,Entradas!S:S)</f>
        <v>2826.9310740000001</v>
      </c>
      <c r="M70" t="str">
        <f>_xlfn.XLOOKUP($B70,Entradas!$B:$B,Entradas!T:T,,0,1)</f>
        <v>Aéreo</v>
      </c>
      <c r="N70" t="str">
        <f>_xlfn.XLOOKUP($B70,Entradas!$B:$B,Entradas!U:U,,0,1)</f>
        <v>Não</v>
      </c>
      <c r="O70" t="str">
        <f>_xlfn.XLOOKUP($B70,Entradas!$B:$B,Entradas!V:V,,0,1)</f>
        <v>Realizada</v>
      </c>
      <c r="P70" t="str">
        <f>_xlfn.XLOOKUP($B70,Entradas!$B:$B,Entradas!W:W,,0,1)</f>
        <v>SIM</v>
      </c>
      <c r="Q70" t="str">
        <f>_xlfn.XLOOKUP($B70,Entradas!$B:$B,Entradas!X:X,,0,1)</f>
        <v>Conforme justificativa anexa.</v>
      </c>
      <c r="R70" s="36">
        <f>SUMIF(Entradas!$B:$B,'Entrada Lvl 5-4 qt'!$B70,Entradas!Y:Y)</f>
        <v>2487.3000000000002</v>
      </c>
      <c r="S70" s="36">
        <f>SUMIF(Entradas!$B:$B,'Entrada Lvl 5-4 qt'!$B70,Entradas!Z:Z)</f>
        <v>0</v>
      </c>
      <c r="T70" s="36">
        <f>SUMIF(Entradas!$B:$B,'Entrada Lvl 5-4 qt'!$B70,Entradas!AA:AA)</f>
        <v>4924.42</v>
      </c>
      <c r="U70" s="36">
        <f>SUMIF(Entradas!$B:$B,'Entrada Lvl 5-4 qt'!$B70,Entradas!AB:AB)</f>
        <v>0</v>
      </c>
      <c r="V70" s="49">
        <f>_xlfn.XLOOKUP($B70,Entradas!$B:$B,Entradas!AC:AC,,0,1)</f>
        <v>45173</v>
      </c>
      <c r="W70" s="58">
        <f t="shared" si="9"/>
        <v>7</v>
      </c>
      <c r="X70" s="28" t="s">
        <v>10</v>
      </c>
      <c r="Y70" s="32">
        <f t="shared" si="5"/>
        <v>0</v>
      </c>
      <c r="Z70" s="33">
        <f t="shared" si="6"/>
        <v>4924.42</v>
      </c>
      <c r="AA70" s="34">
        <f t="shared" si="7"/>
        <v>2487.3000000000002</v>
      </c>
      <c r="AB70" s="28" t="s">
        <v>1812</v>
      </c>
      <c r="AC70" s="28" t="s">
        <v>1820</v>
      </c>
      <c r="AD70" s="29" t="str" cm="1">
        <f t="array" ref="AD70">_xlfn.IFS(L70&lt;=Constantes!$G$2,"Muito Curta (evitável)",L70&lt;=Constantes!$H$2,"Curta Distância",L70&gt;Constantes!$H$2,"Longa Distância")</f>
        <v>Curta Distância</v>
      </c>
      <c r="AE70" s="30" t="str">
        <f t="shared" si="8"/>
        <v>NÃO</v>
      </c>
      <c r="AF70" s="30">
        <f>SUMIF(Entradas!$B:$B,'Entrada Lvl 5-4 qt'!$B70,Entradas!$AG:$AG)</f>
        <v>516.95906032943162</v>
      </c>
      <c r="AG70" s="30"/>
      <c r="BD70" s="49"/>
      <c r="BE70" s="49"/>
    </row>
    <row r="71" spans="1:57" x14ac:dyDescent="0.3">
      <c r="A71">
        <f>_xlfn.XLOOKUP(B71,Entradas!B:B,Entradas!A:A,,0,-1)</f>
        <v>2</v>
      </c>
      <c r="B71">
        <v>19247437</v>
      </c>
      <c r="C71" t="str">
        <f>_xlfn.XLOOKUP($B71,Entradas!$B:$B,Entradas!C:C,,0,1)</f>
        <v>000978/23</v>
      </c>
      <c r="D71" t="str">
        <f>_xlfn.XLOOKUP($B71,Entradas!$B:$B,Entradas!D:D,,0,1)</f>
        <v>***.676.784-**</v>
      </c>
      <c r="E71" t="str">
        <f>_xlfn.XLOOKUP($B71,Entradas!$B:$B,Entradas!E:E,,0,1)</f>
        <v>LETICIA MELO MOREIRA</v>
      </c>
      <c r="F71" t="str">
        <f>_xlfn.XLOOKUP($B71,Entradas!$B:$B,Entradas!F:F,,0,1)</f>
        <v>PROFESSOR ENS BASICO TECN TECNOLOGICO</v>
      </c>
      <c r="G71" t="str">
        <f>_xlfn.XLOOKUP($B71,Entradas!$B:$B,Entradas!G:G,,0,1)</f>
        <v>-1</v>
      </c>
      <c r="H71" t="str">
        <f>_xlfn.XLOOKUP($B71,Entradas!$B:$B,Entradas!H:H,,0,1)</f>
        <v>Sem informação</v>
      </c>
      <c r="I71" s="49">
        <f>_xlfn.XLOOKUP($B71,Entradas!$B:$B,Entradas!I:I,,0,1)</f>
        <v>45179</v>
      </c>
      <c r="J71" s="49">
        <f>_xlfn.XLOOKUP($B71,Entradas!$B:$B,Entradas!J:J,,0,1)</f>
        <v>45186</v>
      </c>
      <c r="K71" t="str">
        <f>_xlfn.XLOOKUP($B71,Entradas!$B:$B,Entradas!K:K,,0,1)</f>
        <v>Participação em Banca do concurso público edital nº 30 de 03/05/2023 do Centro Profissional e Tecnológico-Escola Técnica de Saúde da Universidade Federal da UFPB.</v>
      </c>
      <c r="L71">
        <f>SUMIF(Entradas!$B:$B,'Entrada Lvl 5-4 qt'!$B71,Entradas!S:S)</f>
        <v>361.9596952</v>
      </c>
      <c r="M71" t="str">
        <f>_xlfn.XLOOKUP($B71,Entradas!$B:$B,Entradas!T:T,,0,1)</f>
        <v>Aéreo</v>
      </c>
      <c r="N71" t="str">
        <f>_xlfn.XLOOKUP($B71,Entradas!$B:$B,Entradas!U:U,,0,1)</f>
        <v>Não</v>
      </c>
      <c r="O71" t="str">
        <f>_xlfn.XLOOKUP($B71,Entradas!$B:$B,Entradas!V:V,,0,1)</f>
        <v>Realizada</v>
      </c>
      <c r="P71" t="str">
        <f>_xlfn.XLOOKUP($B71,Entradas!$B:$B,Entradas!W:W,,0,1)</f>
        <v>SIM</v>
      </c>
      <c r="Q71" t="str">
        <f>_xlfn.XLOOKUP($B71,Entradas!$B:$B,Entradas!X:X,,0,1)</f>
        <v>Conforme justificativa anexa.</v>
      </c>
      <c r="R71" s="36">
        <f>SUMIF(Entradas!$B:$B,'Entrada Lvl 5-4 qt'!$B71,Entradas!Y:Y)</f>
        <v>2408.1</v>
      </c>
      <c r="S71" s="36">
        <f>SUMIF(Entradas!$B:$B,'Entrada Lvl 5-4 qt'!$B71,Entradas!Z:Z)</f>
        <v>0</v>
      </c>
      <c r="T71" s="36">
        <f>SUMIF(Entradas!$B:$B,'Entrada Lvl 5-4 qt'!$B71,Entradas!AA:AA)</f>
        <v>1889.63</v>
      </c>
      <c r="U71" s="36">
        <f>SUMIF(Entradas!$B:$B,'Entrada Lvl 5-4 qt'!$B71,Entradas!AB:AB)</f>
        <v>0</v>
      </c>
      <c r="V71" s="49">
        <f>_xlfn.XLOOKUP($B71,Entradas!$B:$B,Entradas!AC:AC,,0,1)</f>
        <v>45173</v>
      </c>
      <c r="W71" s="58">
        <f t="shared" si="9"/>
        <v>7</v>
      </c>
      <c r="X71" s="28" t="s">
        <v>10</v>
      </c>
      <c r="Y71" s="32">
        <f t="shared" si="5"/>
        <v>0</v>
      </c>
      <c r="Z71" s="33">
        <f t="shared" si="6"/>
        <v>1889.63</v>
      </c>
      <c r="AA71" s="34">
        <f t="shared" si="7"/>
        <v>2408.1</v>
      </c>
      <c r="AB71" s="28" t="s">
        <v>1812</v>
      </c>
      <c r="AC71" s="28" t="s">
        <v>1820</v>
      </c>
      <c r="AD71" s="29" t="str" cm="1">
        <f t="array" ref="AD71">_xlfn.IFS(L71&lt;=Constantes!$G$2,"Muito Curta (evitável)",L71&lt;=Constantes!$H$2,"Curta Distância",L71&gt;Constantes!$H$2,"Longa Distância")</f>
        <v>Muito Curta (evitável)</v>
      </c>
      <c r="AE71" s="30" t="str">
        <f t="shared" si="8"/>
        <v>NÃO</v>
      </c>
      <c r="AF71" s="30">
        <f>SUMIF(Entradas!$B:$B,'Entrada Lvl 5-4 qt'!$B71,Entradas!$AG:$AG)</f>
        <v>98.661810102220016</v>
      </c>
      <c r="AG71" s="30"/>
      <c r="BD71" s="49"/>
      <c r="BE71" s="49"/>
    </row>
    <row r="72" spans="1:57" x14ac:dyDescent="0.3">
      <c r="A72">
        <f>_xlfn.XLOOKUP(B72,Entradas!B:B,Entradas!A:A,,0,-1)</f>
        <v>2</v>
      </c>
      <c r="B72">
        <v>19249250</v>
      </c>
      <c r="C72" t="str">
        <f>_xlfn.XLOOKUP($B72,Entradas!$B:$B,Entradas!C:C,,0,1)</f>
        <v>000974/23</v>
      </c>
      <c r="D72" t="str">
        <f>_xlfn.XLOOKUP($B72,Entradas!$B:$B,Entradas!D:D,,0,1)</f>
        <v/>
      </c>
      <c r="E72" t="str">
        <f>_xlfn.XLOOKUP($B72,Entradas!$B:$B,Entradas!E:E,,0,1)</f>
        <v>FELIPE KAEZER DOS SANTOS</v>
      </c>
      <c r="F72" t="str">
        <f>_xlfn.XLOOKUP($B72,Entradas!$B:$B,Entradas!F:F,,0,1)</f>
        <v/>
      </c>
      <c r="G72" t="str">
        <f>_xlfn.XLOOKUP($B72,Entradas!$B:$B,Entradas!G:G,,0,1)</f>
        <v>-1</v>
      </c>
      <c r="H72" t="str">
        <f>_xlfn.XLOOKUP($B72,Entradas!$B:$B,Entradas!H:H,,0,1)</f>
        <v>Sem informação</v>
      </c>
      <c r="I72" s="49">
        <f>_xlfn.XLOOKUP($B72,Entradas!$B:$B,Entradas!I:I,,0,1)</f>
        <v>45179</v>
      </c>
      <c r="J72" s="49">
        <f>_xlfn.XLOOKUP($B72,Entradas!$B:$B,Entradas!J:J,,0,1)</f>
        <v>45193</v>
      </c>
      <c r="K72" t="str">
        <f>_xlfn.XLOOKUP($B72,Entradas!$B:$B,Entradas!K:K,,0,1)</f>
        <v>O proposto irá participar como membro da banca examinadora para o concurso para docente área fundamentos de enfermagem (UFPB/CCS/DENC)</v>
      </c>
      <c r="L72">
        <f>SUMIF(Entradas!$B:$B,'Entrada Lvl 5-4 qt'!$B72,Entradas!S:S)</f>
        <v>3923.0015720000001</v>
      </c>
      <c r="M72" t="str">
        <f>_xlfn.XLOOKUP($B72,Entradas!$B:$B,Entradas!T:T,,0,1)</f>
        <v>Aéreo</v>
      </c>
      <c r="N72" t="str">
        <f>_xlfn.XLOOKUP($B72,Entradas!$B:$B,Entradas!U:U,,0,1)</f>
        <v>Sim</v>
      </c>
      <c r="O72" t="str">
        <f>_xlfn.XLOOKUP($B72,Entradas!$B:$B,Entradas!V:V,,0,1)</f>
        <v>Realizada</v>
      </c>
      <c r="P72" t="str">
        <f>_xlfn.XLOOKUP($B72,Entradas!$B:$B,Entradas!W:W,,0,1)</f>
        <v>SIM</v>
      </c>
      <c r="Q72" t="str">
        <f>_xlfn.XLOOKUP($B72,Entradas!$B:$B,Entradas!X:X,,0,1)</f>
        <v>Em anexo.</v>
      </c>
      <c r="R72" s="36">
        <f>SUMIF(Entradas!$B:$B,'Entrada Lvl 5-4 qt'!$B72,Entradas!Y:Y)</f>
        <v>3484.82</v>
      </c>
      <c r="S72" s="36">
        <f>SUMIF(Entradas!$B:$B,'Entrada Lvl 5-4 qt'!$B72,Entradas!Z:Z)</f>
        <v>0</v>
      </c>
      <c r="T72" s="36">
        <f>SUMIF(Entradas!$B:$B,'Entrada Lvl 5-4 qt'!$B72,Entradas!AA:AA)</f>
        <v>2748.59</v>
      </c>
      <c r="U72" s="36">
        <f>SUMIF(Entradas!$B:$B,'Entrada Lvl 5-4 qt'!$B72,Entradas!AB:AB)</f>
        <v>0</v>
      </c>
      <c r="V72" s="49">
        <f>_xlfn.XLOOKUP($B72,Entradas!$B:$B,Entradas!AC:AC,,0,1)</f>
        <v>45173</v>
      </c>
      <c r="W72" s="58">
        <f t="shared" si="9"/>
        <v>14</v>
      </c>
      <c r="X72" s="28" t="s">
        <v>10</v>
      </c>
      <c r="Y72" s="32">
        <f t="shared" si="5"/>
        <v>0</v>
      </c>
      <c r="Z72" s="33">
        <f t="shared" si="6"/>
        <v>2748.59</v>
      </c>
      <c r="AA72" s="34">
        <f t="shared" si="7"/>
        <v>3484.82</v>
      </c>
      <c r="AB72" s="28" t="s">
        <v>1812</v>
      </c>
      <c r="AC72" s="28" t="s">
        <v>1821</v>
      </c>
      <c r="AD72" s="29" t="str" cm="1">
        <f t="array" ref="AD72">_xlfn.IFS(L72&lt;=Constantes!$G$2,"Muito Curta (evitável)",L72&lt;=Constantes!$H$2,"Curta Distância",L72&gt;Constantes!$H$2,"Longa Distância")</f>
        <v>Longa Distância</v>
      </c>
      <c r="AE72" s="30" t="str">
        <f t="shared" si="8"/>
        <v>NÃO</v>
      </c>
      <c r="AF72" s="30">
        <f>SUMIF(Entradas!$B:$B,'Entrada Lvl 5-4 qt'!$B72,Entradas!$AG:$AG)</f>
        <v>717.39676463438343</v>
      </c>
      <c r="AG72" s="30"/>
      <c r="BD72" s="49"/>
      <c r="BE72" s="49"/>
    </row>
    <row r="73" spans="1:57" x14ac:dyDescent="0.3">
      <c r="A73">
        <f>_xlfn.XLOOKUP(B73,Entradas!B:B,Entradas!A:A,,0,-1)</f>
        <v>2</v>
      </c>
      <c r="B73">
        <v>19254506</v>
      </c>
      <c r="C73" t="str">
        <f>_xlfn.XLOOKUP($B73,Entradas!$B:$B,Entradas!C:C,,0,1)</f>
        <v>000998/23</v>
      </c>
      <c r="D73" t="str">
        <f>_xlfn.XLOOKUP($B73,Entradas!$B:$B,Entradas!D:D,,0,1)</f>
        <v>***.051.554-**</v>
      </c>
      <c r="E73" t="str">
        <f>_xlfn.XLOOKUP($B73,Entradas!$B:$B,Entradas!E:E,,0,1)</f>
        <v>VALDINEY VELOSO GOUVEIA</v>
      </c>
      <c r="F73" t="str">
        <f>_xlfn.XLOOKUP($B73,Entradas!$B:$B,Entradas!F:F,,0,1)</f>
        <v>PROFESSOR DO MAGISTERIO SUPERIOR</v>
      </c>
      <c r="G73" t="str">
        <f>_xlfn.XLOOKUP($B73,Entradas!$B:$B,Entradas!G:G,,0,1)</f>
        <v>CD-0001</v>
      </c>
      <c r="H73" t="str">
        <f>_xlfn.XLOOKUP($B73,Entradas!$B:$B,Entradas!H:H,,0,1)</f>
        <v>Cargo Comissionado de Direção</v>
      </c>
      <c r="I73" s="49">
        <f>_xlfn.XLOOKUP($B73,Entradas!$B:$B,Entradas!I:I,,0,1)</f>
        <v>45180</v>
      </c>
      <c r="J73" s="49">
        <f>_xlfn.XLOOKUP($B73,Entradas!$B:$B,Entradas!J:J,,0,1)</f>
        <v>45184</v>
      </c>
      <c r="K73" t="str">
        <f>_xlfn.XLOOKUP($B73,Entradas!$B:$B,Entradas!K:K,,0,1)</f>
        <v>Participar no dia 11/09/2023 de Conferência Educacional Huawei ICT Academy Brasil, no dia 12/09/2023 agenda com Deputado, nos dias 13 e 14/09/2023 participar da CXCV reunião ordinária do Conselho Pleno da ANDIFES, em Brasília/DF</v>
      </c>
      <c r="L73">
        <f>SUMIF(Entradas!$B:$B,'Entrada Lvl 5-4 qt'!$B73,Entradas!S:S)</f>
        <v>3308.422912</v>
      </c>
      <c r="M73" t="str">
        <f>_xlfn.XLOOKUP($B73,Entradas!$B:$B,Entradas!T:T,,0,1)</f>
        <v>Aéreo</v>
      </c>
      <c r="N73" t="str">
        <f>_xlfn.XLOOKUP($B73,Entradas!$B:$B,Entradas!U:U,,0,1)</f>
        <v>Sim</v>
      </c>
      <c r="O73" t="str">
        <f>_xlfn.XLOOKUP($B73,Entradas!$B:$B,Entradas!V:V,,0,1)</f>
        <v>Realizada</v>
      </c>
      <c r="P73" t="str">
        <f>_xlfn.XLOOKUP($B73,Entradas!$B:$B,Entradas!W:W,,0,1)</f>
        <v>SIM</v>
      </c>
      <c r="Q73" t="str">
        <f>_xlfn.XLOOKUP($B73,Entradas!$B:$B,Entradas!X:X,,0,1)</f>
        <v>Confirmação da reunião da ANDIFES, apenas nesta data (05/09/2023), conforme justificativa no formulário de solicitação</v>
      </c>
      <c r="R73" s="36">
        <f>SUMIF(Entradas!$B:$B,'Entrada Lvl 5-4 qt'!$B73,Entradas!Y:Y)</f>
        <v>1896.15</v>
      </c>
      <c r="S73" s="36">
        <f>SUMIF(Entradas!$B:$B,'Entrada Lvl 5-4 qt'!$B73,Entradas!Z:Z)</f>
        <v>0</v>
      </c>
      <c r="T73" s="36">
        <f>SUMIF(Entradas!$B:$B,'Entrada Lvl 5-4 qt'!$B73,Entradas!AA:AA)</f>
        <v>2471.4499999999998</v>
      </c>
      <c r="U73" s="36">
        <f>SUMIF(Entradas!$B:$B,'Entrada Lvl 5-4 qt'!$B73,Entradas!AB:AB)</f>
        <v>0</v>
      </c>
      <c r="V73" s="49">
        <f>_xlfn.XLOOKUP($B73,Entradas!$B:$B,Entradas!AC:AC,,0,1)</f>
        <v>45174</v>
      </c>
      <c r="W73" s="58">
        <f t="shared" si="9"/>
        <v>4</v>
      </c>
      <c r="X73" s="28" t="s">
        <v>10</v>
      </c>
      <c r="Y73" s="32">
        <f t="shared" si="5"/>
        <v>0</v>
      </c>
      <c r="Z73" s="33">
        <f t="shared" si="6"/>
        <v>2471.4499999999998</v>
      </c>
      <c r="AA73" s="34">
        <f t="shared" si="7"/>
        <v>1896.15</v>
      </c>
      <c r="AB73" s="28" t="s">
        <v>1813</v>
      </c>
      <c r="AC73" s="28" t="s">
        <v>1784</v>
      </c>
      <c r="AD73" s="29" t="str" cm="1">
        <f t="array" ref="AD73">_xlfn.IFS(L73&lt;=Constantes!$G$2,"Muito Curta (evitável)",L73&lt;=Constantes!$H$2,"Curta Distância",L73&gt;Constantes!$H$2,"Longa Distância")</f>
        <v>Curta Distância</v>
      </c>
      <c r="AE73" s="30" t="str">
        <f t="shared" si="8"/>
        <v>NÃO</v>
      </c>
      <c r="AF73" s="30">
        <f>SUMIF(Entradas!$B:$B,'Entrada Lvl 5-4 qt'!$B73,Entradas!$AG:$AG)</f>
        <v>605.00916187526457</v>
      </c>
      <c r="AG73" s="30"/>
      <c r="BD73" s="49"/>
      <c r="BE73" s="49"/>
    </row>
    <row r="74" spans="1:57" x14ac:dyDescent="0.3">
      <c r="A74">
        <f>_xlfn.XLOOKUP(B74,Entradas!B:B,Entradas!A:A,,0,-1)</f>
        <v>2</v>
      </c>
      <c r="B74">
        <v>19238106</v>
      </c>
      <c r="C74" t="str">
        <f>_xlfn.XLOOKUP($B74,Entradas!$B:$B,Entradas!C:C,,0,1)</f>
        <v>000952/23</v>
      </c>
      <c r="D74" t="str">
        <f>_xlfn.XLOOKUP($B74,Entradas!$B:$B,Entradas!D:D,,0,1)</f>
        <v>***.247.744-**</v>
      </c>
      <c r="E74" t="str">
        <f>_xlfn.XLOOKUP($B74,Entradas!$B:$B,Entradas!E:E,,0,1)</f>
        <v>CARLOS OCTAVIANO DE MEDEIROS MANGUEIRA</v>
      </c>
      <c r="F74" t="str">
        <f>_xlfn.XLOOKUP($B74,Entradas!$B:$B,Entradas!F:F,,0,1)</f>
        <v>PROCURADOR FEDERAL</v>
      </c>
      <c r="G74" t="str">
        <f>_xlfn.XLOOKUP($B74,Entradas!$B:$B,Entradas!G:G,,0,1)</f>
        <v>CD-0003</v>
      </c>
      <c r="H74" t="str">
        <f>_xlfn.XLOOKUP($B74,Entradas!$B:$B,Entradas!H:H,,0,1)</f>
        <v>Cargo Comissionado de Direção</v>
      </c>
      <c r="I74" s="49">
        <f>_xlfn.XLOOKUP($B74,Entradas!$B:$B,Entradas!I:I,,0,1)</f>
        <v>45182</v>
      </c>
      <c r="J74" s="49">
        <f>_xlfn.XLOOKUP($B74,Entradas!$B:$B,Entradas!J:J,,0,1)</f>
        <v>45185</v>
      </c>
      <c r="K74" t="str">
        <f>_xlfn.XLOOKUP($B74,Entradas!$B:$B,Entradas!K:K,,0,1)</f>
        <v>Participação no evento: Seminário de Combate à Desinformação e Defesa da Democracia, a se realizar nos dias 14/09/2023 e 15/09/2023, em Brasília/DF.</v>
      </c>
      <c r="L74">
        <f>SUMIF(Entradas!$B:$B,'Entrada Lvl 5-4 qt'!$B74,Entradas!S:S)</f>
        <v>3426.839982</v>
      </c>
      <c r="M74" t="str">
        <f>_xlfn.XLOOKUP($B74,Entradas!$B:$B,Entradas!T:T,,0,1)</f>
        <v>Aéreo</v>
      </c>
      <c r="N74" t="str">
        <f>_xlfn.XLOOKUP($B74,Entradas!$B:$B,Entradas!U:U,,0,1)</f>
        <v>Sim</v>
      </c>
      <c r="O74" t="str">
        <f>_xlfn.XLOOKUP($B74,Entradas!$B:$B,Entradas!V:V,,0,1)</f>
        <v>Realizada</v>
      </c>
      <c r="P74" t="str">
        <f>_xlfn.XLOOKUP($B74,Entradas!$B:$B,Entradas!W:W,,0,1)</f>
        <v>SIM</v>
      </c>
      <c r="Q74" t="str">
        <f>_xlfn.XLOOKUP($B74,Entradas!$B:$B,Entradas!X:X,,0,1)</f>
        <v>Conforme a data de encaminhamento do e-mail (29/08/2023), anexo ao formulário de solicitação de diárias e passagens, apenas neste dia a Procuradoria Geral Federal informou da data de realização do evento, razão pela qual a solicitação foi feita em prazo inferior a 20 (vinte) dias, conforme justificativa no item 7 do Formulário de Solicitação.</v>
      </c>
      <c r="R74" s="36">
        <f>SUMIF(Entradas!$B:$B,'Entrada Lvl 5-4 qt'!$B74,Entradas!Y:Y)</f>
        <v>1522.48</v>
      </c>
      <c r="S74" s="36">
        <f>SUMIF(Entradas!$B:$B,'Entrada Lvl 5-4 qt'!$B74,Entradas!Z:Z)</f>
        <v>0</v>
      </c>
      <c r="T74" s="36">
        <f>SUMIF(Entradas!$B:$B,'Entrada Lvl 5-4 qt'!$B74,Entradas!AA:AA)</f>
        <v>3474.9</v>
      </c>
      <c r="U74" s="36">
        <f>SUMIF(Entradas!$B:$B,'Entrada Lvl 5-4 qt'!$B74,Entradas!AB:AB)</f>
        <v>0</v>
      </c>
      <c r="V74" s="49">
        <f>_xlfn.XLOOKUP($B74,Entradas!$B:$B,Entradas!AC:AC,,0,1)</f>
        <v>45169</v>
      </c>
      <c r="W74" s="58">
        <f t="shared" si="9"/>
        <v>3</v>
      </c>
      <c r="X74" s="28" t="s">
        <v>10</v>
      </c>
      <c r="Y74" s="32">
        <f t="shared" si="5"/>
        <v>0</v>
      </c>
      <c r="Z74" s="33">
        <f t="shared" si="6"/>
        <v>3474.9</v>
      </c>
      <c r="AA74" s="34">
        <f t="shared" si="7"/>
        <v>1522.48</v>
      </c>
      <c r="AB74" s="28" t="s">
        <v>1813</v>
      </c>
      <c r="AC74" s="28" t="s">
        <v>1784</v>
      </c>
      <c r="AD74" s="29" t="str" cm="1">
        <f t="array" ref="AD74">_xlfn.IFS(L74&lt;=Constantes!$G$2,"Muito Curta (evitável)",L74&lt;=Constantes!$H$2,"Curta Distância",L74&gt;Constantes!$H$2,"Longa Distância")</f>
        <v>Curta Distância</v>
      </c>
      <c r="AE74" s="30" t="str">
        <f t="shared" si="8"/>
        <v>NÃO</v>
      </c>
      <c r="AF74" s="30">
        <f>SUMIF(Entradas!$B:$B,'Entrada Lvl 5-4 qt'!$B74,Entradas!$AG:$AG)</f>
        <v>626.66401501165365</v>
      </c>
      <c r="AG74" s="30"/>
      <c r="BD74" s="49"/>
      <c r="BE74" s="49"/>
    </row>
    <row r="75" spans="1:57" x14ac:dyDescent="0.3">
      <c r="A75">
        <f>_xlfn.XLOOKUP(B75,Entradas!B:B,Entradas!A:A,,0,-1)</f>
        <v>2</v>
      </c>
      <c r="B75">
        <v>19249701</v>
      </c>
      <c r="C75" t="str">
        <f>_xlfn.XLOOKUP($B75,Entradas!$B:$B,Entradas!C:C,,0,1)</f>
        <v>000980/23</v>
      </c>
      <c r="D75" t="str">
        <f>_xlfn.XLOOKUP($B75,Entradas!$B:$B,Entradas!D:D,,0,1)</f>
        <v>***.145.044-**</v>
      </c>
      <c r="E75" t="str">
        <f>_xlfn.XLOOKUP($B75,Entradas!$B:$B,Entradas!E:E,,0,1)</f>
        <v>HUGO BELARMINO DE MORAIS</v>
      </c>
      <c r="F75" t="str">
        <f>_xlfn.XLOOKUP($B75,Entradas!$B:$B,Entradas!F:F,,0,1)</f>
        <v>PROFESSOR DO MAGISTERIO SUPERIOR</v>
      </c>
      <c r="G75" t="str">
        <f>_xlfn.XLOOKUP($B75,Entradas!$B:$B,Entradas!G:G,,0,1)</f>
        <v>-1</v>
      </c>
      <c r="H75" t="str">
        <f>_xlfn.XLOOKUP($B75,Entradas!$B:$B,Entradas!H:H,,0,1)</f>
        <v>Sem informação</v>
      </c>
      <c r="I75" s="49">
        <f>_xlfn.XLOOKUP($B75,Entradas!$B:$B,Entradas!I:I,,0,1)</f>
        <v>45182</v>
      </c>
      <c r="J75" s="49">
        <f>_xlfn.XLOOKUP($B75,Entradas!$B:$B,Entradas!J:J,,0,1)</f>
        <v>45186</v>
      </c>
      <c r="K75" t="str">
        <f>_xlfn.XLOOKUP($B75,Entradas!$B:$B,Entradas!K:K,,0,1)</f>
        <v>Participação no III Encontro do Observatório de Protocolos Autônomos e VII Seminário de Pesquisa: 'Protocolos Autônomos e Jusdiversidade', que será realizado no Centro de Formação Vicente Canãs (Chácara do Cimi), localizado em Luziânia, região metropolitana de Brasília-DF, entre os dias 14 a 17 de setembro de 2023. O evento é organizado pelo Projeto 'Observatório de Protocolos Comunitários de Consulta e Consentimento Livre, Prévio e Informado: direitos territoriais, autodeterminação e jusdiversidade' (coordenado pela UFGD e PUCPR e com apoio do CNPq. O convite pessoal para participação do docente no referido Encontro e Seminário se deu no último dia 25 de agosto, quando da participação do docente num encontro em Belo Horizonte, promovido pelo Instituto de Pesquisa em Direitos e Movimentos Sociais (IPDMS). A respectiva carta-convite foi encaminhada para o e-mail do docente no dia 31 de agosto, motivo pelo qual justificamos previamente o caráter de urgência.</v>
      </c>
      <c r="L75">
        <f>SUMIF(Entradas!$B:$B,'Entrada Lvl 5-4 qt'!$B75,Entradas!S:S)</f>
        <v>3426.839982</v>
      </c>
      <c r="M75" t="str">
        <f>_xlfn.XLOOKUP($B75,Entradas!$B:$B,Entradas!T:T,,0,1)</f>
        <v>Aéreo</v>
      </c>
      <c r="N75" t="str">
        <f>_xlfn.XLOOKUP($B75,Entradas!$B:$B,Entradas!U:U,,0,1)</f>
        <v>Não</v>
      </c>
      <c r="O75" t="str">
        <f>_xlfn.XLOOKUP($B75,Entradas!$B:$B,Entradas!V:V,,0,1)</f>
        <v>Realizada</v>
      </c>
      <c r="P75" t="str">
        <f>_xlfn.XLOOKUP($B75,Entradas!$B:$B,Entradas!W:W,,0,1)</f>
        <v>SIM</v>
      </c>
      <c r="Q75" t="str">
        <f>_xlfn.XLOOKUP($B75,Entradas!$B:$B,Entradas!X:X,,0,1)</f>
        <v>O docente foi convidado presencialmente para participar do evento no último dia 25 de agosto mas somente no dia 31 de agosto recebeu, por e-mail (com cópia para o e-mail do Programa, também em anexo), a sua carta-convite para o evento. Por tais motivos justificamos a solicitação no presente momento, em caráter de urgência.</v>
      </c>
      <c r="R75" s="36">
        <f>SUMIF(Entradas!$B:$B,'Entrada Lvl 5-4 qt'!$B75,Entradas!Y:Y)</f>
        <v>1715.12</v>
      </c>
      <c r="S75" s="36">
        <f>SUMIF(Entradas!$B:$B,'Entrada Lvl 5-4 qt'!$B75,Entradas!Z:Z)</f>
        <v>0</v>
      </c>
      <c r="T75" s="36">
        <f>SUMIF(Entradas!$B:$B,'Entrada Lvl 5-4 qt'!$B75,Entradas!AA:AA)</f>
        <v>2964.7</v>
      </c>
      <c r="U75" s="36">
        <f>SUMIF(Entradas!$B:$B,'Entrada Lvl 5-4 qt'!$B75,Entradas!AB:AB)</f>
        <v>0</v>
      </c>
      <c r="V75" s="49">
        <f>_xlfn.XLOOKUP($B75,Entradas!$B:$B,Entradas!AC:AC,,0,1)</f>
        <v>45173</v>
      </c>
      <c r="W75" s="58">
        <f t="shared" si="9"/>
        <v>4</v>
      </c>
      <c r="X75" s="28" t="s">
        <v>10</v>
      </c>
      <c r="Y75" s="32">
        <f t="shared" si="5"/>
        <v>0</v>
      </c>
      <c r="Z75" s="33">
        <f t="shared" si="6"/>
        <v>2964.7</v>
      </c>
      <c r="AA75" s="34">
        <f t="shared" si="7"/>
        <v>1715.12</v>
      </c>
      <c r="AB75" s="28" t="s">
        <v>1814</v>
      </c>
      <c r="AC75" s="28" t="s">
        <v>1820</v>
      </c>
      <c r="AD75" s="29" t="str" cm="1">
        <f t="array" ref="AD75">_xlfn.IFS(L75&lt;=Constantes!$G$2,"Muito Curta (evitável)",L75&lt;=Constantes!$H$2,"Curta Distância",L75&gt;Constantes!$H$2,"Longa Distância")</f>
        <v>Curta Distância</v>
      </c>
      <c r="AE75" s="30" t="str">
        <f t="shared" si="8"/>
        <v>NÃO</v>
      </c>
      <c r="AF75" s="30">
        <f>SUMIF(Entradas!$B:$B,'Entrada Lvl 5-4 qt'!$B75,Entradas!$AG:$AG)</f>
        <v>626.66401501165365</v>
      </c>
      <c r="AG75" s="30"/>
      <c r="BD75" s="49"/>
      <c r="BE75" s="49"/>
    </row>
    <row r="76" spans="1:57" x14ac:dyDescent="0.3">
      <c r="A76">
        <f>_xlfn.XLOOKUP(B76,Entradas!B:B,Entradas!A:A,,0,-1)</f>
        <v>2</v>
      </c>
      <c r="B76">
        <v>19112399</v>
      </c>
      <c r="C76" t="str">
        <f>_xlfn.XLOOKUP($B76,Entradas!$B:$B,Entradas!C:C,,0,1)</f>
        <v>000763/23</v>
      </c>
      <c r="D76" t="str">
        <f>_xlfn.XLOOKUP($B76,Entradas!$B:$B,Entradas!D:D,,0,1)</f>
        <v>***.054.968-**</v>
      </c>
      <c r="E76" t="str">
        <f>_xlfn.XLOOKUP($B76,Entradas!$B:$B,Entradas!E:E,,0,1)</f>
        <v>HELOISA BRITO DE ALBUQUERQUE COSTA</v>
      </c>
      <c r="F76" t="str">
        <f>_xlfn.XLOOKUP($B76,Entradas!$B:$B,Entradas!F:F,,0,1)</f>
        <v/>
      </c>
      <c r="G76" t="str">
        <f>_xlfn.XLOOKUP($B76,Entradas!$B:$B,Entradas!G:G,,0,1)</f>
        <v>-1</v>
      </c>
      <c r="H76" t="str">
        <f>_xlfn.XLOOKUP($B76,Entradas!$B:$B,Entradas!H:H,,0,1)</f>
        <v>Sem informação</v>
      </c>
      <c r="I76" s="49">
        <f>_xlfn.XLOOKUP($B76,Entradas!$B:$B,Entradas!I:I,,0,1)</f>
        <v>45185</v>
      </c>
      <c r="J76" s="49">
        <f>_xlfn.XLOOKUP($B76,Entradas!$B:$B,Entradas!J:J,,0,1)</f>
        <v>45188</v>
      </c>
      <c r="K76" t="str">
        <f>_xlfn.XLOOKUP($B76,Entradas!$B:$B,Entradas!K:K,,0,1)</f>
        <v>Participar de reunião em 16/09, da APFPB (Associação do Professores de Francês da Paraíba) e como palestrante convidada da II Jornada de Estudos LEA a se realizar nos dias 18 e 19 de setembro de 2023.</v>
      </c>
      <c r="L76">
        <f>SUMIF(Entradas!$B:$B,'Entrada Lvl 5-4 qt'!$B76,Entradas!S:S)</f>
        <v>2931.0936550999995</v>
      </c>
      <c r="M76" t="str">
        <f>_xlfn.XLOOKUP($B76,Entradas!$B:$B,Entradas!T:T,,0,1)</f>
        <v>Aéreo</v>
      </c>
      <c r="N76" t="str">
        <f>_xlfn.XLOOKUP($B76,Entradas!$B:$B,Entradas!U:U,,0,1)</f>
        <v>Sim</v>
      </c>
      <c r="O76" t="str">
        <f>_xlfn.XLOOKUP($B76,Entradas!$B:$B,Entradas!V:V,,0,1)</f>
        <v>Realizada</v>
      </c>
      <c r="P76" t="str">
        <f>_xlfn.XLOOKUP($B76,Entradas!$B:$B,Entradas!W:W,,0,1)</f>
        <v>NÃO</v>
      </c>
      <c r="Q76" t="str">
        <f>_xlfn.XLOOKUP($B76,Entradas!$B:$B,Entradas!X:X,,0,1)</f>
        <v>Sem informação</v>
      </c>
      <c r="R76" s="36">
        <f>SUMIF(Entradas!$B:$B,'Entrada Lvl 5-4 qt'!$B76,Entradas!Y:Y)</f>
        <v>0</v>
      </c>
      <c r="S76" s="36">
        <f>SUMIF(Entradas!$B:$B,'Entrada Lvl 5-4 qt'!$B76,Entradas!Z:Z)</f>
        <v>0</v>
      </c>
      <c r="T76" s="36">
        <f>SUMIF(Entradas!$B:$B,'Entrada Lvl 5-4 qt'!$B76,Entradas!AA:AA)</f>
        <v>1795.0500000000002</v>
      </c>
      <c r="U76" s="36">
        <f>SUMIF(Entradas!$B:$B,'Entrada Lvl 5-4 qt'!$B76,Entradas!AB:AB)</f>
        <v>0</v>
      </c>
      <c r="V76" s="49">
        <f>_xlfn.XLOOKUP($B76,Entradas!$B:$B,Entradas!AC:AC,,0,1)</f>
        <v>45147</v>
      </c>
      <c r="W76" s="58">
        <f t="shared" si="9"/>
        <v>3</v>
      </c>
      <c r="X76" s="28" t="s">
        <v>10</v>
      </c>
      <c r="Y76" s="32">
        <f t="shared" si="5"/>
        <v>0</v>
      </c>
      <c r="Z76" s="33">
        <f t="shared" si="6"/>
        <v>1795.0500000000002</v>
      </c>
      <c r="AA76" s="34">
        <f t="shared" si="7"/>
        <v>0</v>
      </c>
      <c r="AB76" s="28" t="s">
        <v>1814</v>
      </c>
      <c r="AC76" s="28" t="s">
        <v>1821</v>
      </c>
      <c r="AD76" s="29" t="str" cm="1">
        <f t="array" ref="AD76">_xlfn.IFS(L76&lt;=Constantes!$G$2,"Muito Curta (evitável)",L76&lt;=Constantes!$H$2,"Curta Distância",L76&gt;Constantes!$H$2,"Longa Distância")</f>
        <v>Curta Distância</v>
      </c>
      <c r="AE76" s="30" t="str">
        <f t="shared" si="8"/>
        <v>NÃO</v>
      </c>
      <c r="AF76" s="30">
        <f>SUMIF(Entradas!$B:$B,'Entrada Lvl 5-4 qt'!$B76,Entradas!$AG:$AG)</f>
        <v>536.00720428391128</v>
      </c>
      <c r="AG76" s="30"/>
      <c r="BD76" s="49"/>
      <c r="BE76" s="49"/>
    </row>
    <row r="77" spans="1:57" x14ac:dyDescent="0.3">
      <c r="A77">
        <f>_xlfn.XLOOKUP(B77,Entradas!B:B,Entradas!A:A,,0,-1)</f>
        <v>2</v>
      </c>
      <c r="B77">
        <v>19161758</v>
      </c>
      <c r="C77" t="str">
        <f>_xlfn.XLOOKUP($B77,Entradas!$B:$B,Entradas!C:C,,0,1)</f>
        <v>000772/23-1C</v>
      </c>
      <c r="D77" t="str">
        <f>_xlfn.XLOOKUP($B77,Entradas!$B:$B,Entradas!D:D,,0,1)</f>
        <v/>
      </c>
      <c r="E77" t="str">
        <f>_xlfn.XLOOKUP($B77,Entradas!$B:$B,Entradas!E:E,,0,1)</f>
        <v>ANA PAULA RODRIGUES CAVALCANTI</v>
      </c>
      <c r="F77" t="str">
        <f>_xlfn.XLOOKUP($B77,Entradas!$B:$B,Entradas!F:F,,0,1)</f>
        <v>PROFESSOR DO MAGISTERIO SUPERIOR</v>
      </c>
      <c r="G77" t="str">
        <f>_xlfn.XLOOKUP($B77,Entradas!$B:$B,Entradas!G:G,,0,1)</f>
        <v>-1</v>
      </c>
      <c r="H77" t="str">
        <f>_xlfn.XLOOKUP($B77,Entradas!$B:$B,Entradas!H:H,,0,1)</f>
        <v>Sem informação</v>
      </c>
      <c r="I77" s="49">
        <f>_xlfn.XLOOKUP($B77,Entradas!$B:$B,Entradas!I:I,,0,1)</f>
        <v>45186</v>
      </c>
      <c r="J77" s="49">
        <f>_xlfn.XLOOKUP($B77,Entradas!$B:$B,Entradas!J:J,,0,1)</f>
        <v>45192</v>
      </c>
      <c r="K77" t="str">
        <f>_xlfn.XLOOKUP($B77,Entradas!$B:$B,Entradas!K:K,,0,1)</f>
        <v>Participação na organização do congresso, evento internacional promovido pela associação representante da área 44 na Capes, à qual está vinculado o PPGCR-UFPB</v>
      </c>
      <c r="L77">
        <f>SUMIF(Entradas!$B:$B,'Entrada Lvl 5-4 qt'!$B77,Entradas!S:S)</f>
        <v>4387.7299999999996</v>
      </c>
      <c r="M77" t="str">
        <f>_xlfn.XLOOKUP($B77,Entradas!$B:$B,Entradas!T:T,,0,1)</f>
        <v>Aéreo</v>
      </c>
      <c r="N77" t="str">
        <f>_xlfn.XLOOKUP($B77,Entradas!$B:$B,Entradas!U:U,,0,1)</f>
        <v>Não</v>
      </c>
      <c r="O77" t="str">
        <f>_xlfn.XLOOKUP($B77,Entradas!$B:$B,Entradas!V:V,,0,1)</f>
        <v>Realizada</v>
      </c>
      <c r="P77" t="str">
        <f>_xlfn.XLOOKUP($B77,Entradas!$B:$B,Entradas!W:W,,0,1)</f>
        <v>SIM</v>
      </c>
      <c r="Q77" t="str">
        <f>_xlfn.XLOOKUP($B77,Entradas!$B:$B,Entradas!X:X,,0,1)</f>
        <v>A própria Cia. aérea Gol cancelou o voo bilhetado para retorno da Missão, acomodando-me no voo mais próximo possível - o 424 da Azul, que partiu às 23:05 do dia 22, chegando às 03:00 hs do dia 23 de setembro, conforme cartões de embarque anexos. Nota: O sistema só aceitou o data-hora do dia 23 de setembro para processar esta remarcação, então está constando 00:01 do dia 23 como horário de partida Campinas - João Pessoa.</v>
      </c>
      <c r="R77" s="36">
        <f>SUMIF(Entradas!$B:$B,'Entrada Lvl 5-4 qt'!$B77,Entradas!Y:Y)</f>
        <v>1901.3</v>
      </c>
      <c r="S77" s="36">
        <f>SUMIF(Entradas!$B:$B,'Entrada Lvl 5-4 qt'!$B77,Entradas!Z:Z)</f>
        <v>0</v>
      </c>
      <c r="T77" s="36">
        <f>SUMIF(Entradas!$B:$B,'Entrada Lvl 5-4 qt'!$B77,Entradas!AA:AA)</f>
        <v>3263.9399999999996</v>
      </c>
      <c r="U77" s="36">
        <f>SUMIF(Entradas!$B:$B,'Entrada Lvl 5-4 qt'!$B77,Entradas!AB:AB)</f>
        <v>0</v>
      </c>
      <c r="V77" s="49">
        <f>_xlfn.XLOOKUP($B77,Entradas!$B:$B,Entradas!AC:AC,,0,1)</f>
        <v>45161</v>
      </c>
      <c r="W77" s="58">
        <f t="shared" si="9"/>
        <v>6</v>
      </c>
      <c r="X77" s="28" t="s">
        <v>10</v>
      </c>
      <c r="Y77" s="32">
        <f t="shared" si="5"/>
        <v>0</v>
      </c>
      <c r="Z77" s="33">
        <f t="shared" si="6"/>
        <v>3263.9399999999996</v>
      </c>
      <c r="AA77" s="34">
        <f t="shared" si="7"/>
        <v>1901.3</v>
      </c>
      <c r="AB77" s="28" t="s">
        <v>1814</v>
      </c>
      <c r="AC77" s="28" t="s">
        <v>1820</v>
      </c>
      <c r="AD77" s="29" t="str" cm="1">
        <f t="array" ref="AD77">_xlfn.IFS(L77&lt;=Constantes!$G$2,"Muito Curta (evitável)",L77&lt;=Constantes!$H$2,"Curta Distância",L77&gt;Constantes!$H$2,"Longa Distância")</f>
        <v>Longa Distância</v>
      </c>
      <c r="AE77" s="30" t="str">
        <f t="shared" si="8"/>
        <v>NÃO</v>
      </c>
      <c r="AF77" s="30">
        <f>SUMIF(Entradas!$B:$B,'Entrada Lvl 5-4 qt'!$B77,Entradas!$AG:$AG)</f>
        <v>802.381352216604</v>
      </c>
      <c r="AG77" s="30"/>
      <c r="BD77" s="49"/>
      <c r="BE77" s="49"/>
    </row>
    <row r="78" spans="1:57" x14ac:dyDescent="0.3">
      <c r="A78">
        <f>_xlfn.XLOOKUP(B78,Entradas!B:B,Entradas!A:A,,0,-1)</f>
        <v>2</v>
      </c>
      <c r="B78">
        <v>19161852</v>
      </c>
      <c r="C78" t="str">
        <f>_xlfn.XLOOKUP($B78,Entradas!$B:$B,Entradas!C:C,,0,1)</f>
        <v>000845/23-1C</v>
      </c>
      <c r="D78" t="str">
        <f>_xlfn.XLOOKUP($B78,Entradas!$B:$B,Entradas!D:D,,0,1)</f>
        <v>***.043.069-**</v>
      </c>
      <c r="E78" t="str">
        <f>_xlfn.XLOOKUP($B78,Entradas!$B:$B,Entradas!E:E,,0,1)</f>
        <v>LUSIVAL ANTONIO BARCELLOS</v>
      </c>
      <c r="F78" t="str">
        <f>_xlfn.XLOOKUP($B78,Entradas!$B:$B,Entradas!F:F,,0,1)</f>
        <v>PROFESSOR DO MAGISTERIO SUPERIOR</v>
      </c>
      <c r="G78" t="str">
        <f>_xlfn.XLOOKUP($B78,Entradas!$B:$B,Entradas!G:G,,0,1)</f>
        <v>-1</v>
      </c>
      <c r="H78" t="str">
        <f>_xlfn.XLOOKUP($B78,Entradas!$B:$B,Entradas!H:H,,0,1)</f>
        <v>Sem informação</v>
      </c>
      <c r="I78" s="49">
        <f>_xlfn.XLOOKUP($B78,Entradas!$B:$B,Entradas!I:I,,0,1)</f>
        <v>45186</v>
      </c>
      <c r="J78" s="49">
        <f>_xlfn.XLOOKUP($B78,Entradas!$B:$B,Entradas!J:J,,0,1)</f>
        <v>45192</v>
      </c>
      <c r="K78" t="str">
        <f>_xlfn.XLOOKUP($B78,Entradas!$B:$B,Entradas!K:K,,0,1)</f>
        <v>Coordenar o Grupo de Trabalho (GT) intitulado 'Religião e Educação', durante o IX Congresso da ANPTECRE (Associação Nacional de Pós-Graduação e Pesquisa em Teologia e Ciências da Religião), bem como participar das demais atividades deste importante Congresso de nossa área</v>
      </c>
      <c r="L78">
        <f>SUMIF(Entradas!$B:$B,'Entrada Lvl 5-4 qt'!$B78,Entradas!S:S)</f>
        <v>4387.7299999999996</v>
      </c>
      <c r="M78" t="str">
        <f>_xlfn.XLOOKUP($B78,Entradas!$B:$B,Entradas!T:T,,0,1)</f>
        <v>Aéreo</v>
      </c>
      <c r="N78" t="str">
        <f>_xlfn.XLOOKUP($B78,Entradas!$B:$B,Entradas!U:U,,0,1)</f>
        <v>Não</v>
      </c>
      <c r="O78" t="str">
        <f>_xlfn.XLOOKUP($B78,Entradas!$B:$B,Entradas!V:V,,0,1)</f>
        <v>Realizada</v>
      </c>
      <c r="P78" t="str">
        <f>_xlfn.XLOOKUP($B78,Entradas!$B:$B,Entradas!W:W,,0,1)</f>
        <v>SIM</v>
      </c>
      <c r="Q78" t="str">
        <f>_xlfn.XLOOKUP($B78,Entradas!$B:$B,Entradas!X:X,,0,1)</f>
        <v>A própria cia aérea Gol teve o voo cancelado após o check-in - conforme pode ser comprovado nos anexos - e fez acomodação no voo mais próximo possível para retornar a João Pessoa, cumprida a Missão - no caso o voo 424 da Azul, que chegou às 03:00 hs do dia 23 de setembro. O sistema só aceitou o data-hora a partir do dia 23 de setembro (por isto consta 00:01 como horário de partida), e a chegada em João Pessoa deu-se efetivamente no próprio dia 23.</v>
      </c>
      <c r="R78" s="36">
        <f>SUMIF(Entradas!$B:$B,'Entrada Lvl 5-4 qt'!$B78,Entradas!Y:Y)</f>
        <v>1824.4</v>
      </c>
      <c r="S78" s="36">
        <f>SUMIF(Entradas!$B:$B,'Entrada Lvl 5-4 qt'!$B78,Entradas!Z:Z)</f>
        <v>0</v>
      </c>
      <c r="T78" s="36">
        <f>SUMIF(Entradas!$B:$B,'Entrada Lvl 5-4 qt'!$B78,Entradas!AA:AA)</f>
        <v>3263.9399999999996</v>
      </c>
      <c r="U78" s="36">
        <f>SUMIF(Entradas!$B:$B,'Entrada Lvl 5-4 qt'!$B78,Entradas!AB:AB)</f>
        <v>0</v>
      </c>
      <c r="V78" s="49">
        <f>_xlfn.XLOOKUP($B78,Entradas!$B:$B,Entradas!AC:AC,,0,1)</f>
        <v>45161</v>
      </c>
      <c r="W78" s="58">
        <f t="shared" si="9"/>
        <v>6</v>
      </c>
      <c r="X78" s="28" t="s">
        <v>10</v>
      </c>
      <c r="Y78" s="32">
        <f t="shared" si="5"/>
        <v>0</v>
      </c>
      <c r="Z78" s="33">
        <f t="shared" si="6"/>
        <v>3263.9399999999996</v>
      </c>
      <c r="AA78" s="34">
        <f t="shared" si="7"/>
        <v>1824.4</v>
      </c>
      <c r="AB78" s="28" t="s">
        <v>1814</v>
      </c>
      <c r="AC78" s="28" t="s">
        <v>1820</v>
      </c>
      <c r="AD78" s="29" t="str" cm="1">
        <f t="array" ref="AD78">_xlfn.IFS(L78&lt;=Constantes!$G$2,"Muito Curta (evitável)",L78&lt;=Constantes!$H$2,"Curta Distância",L78&gt;Constantes!$H$2,"Longa Distância")</f>
        <v>Longa Distância</v>
      </c>
      <c r="AE78" s="30" t="str">
        <f t="shared" si="8"/>
        <v>NÃO</v>
      </c>
      <c r="AF78" s="30">
        <f>SUMIF(Entradas!$B:$B,'Entrada Lvl 5-4 qt'!$B78,Entradas!$AG:$AG)</f>
        <v>802.381352216604</v>
      </c>
      <c r="AG78" s="30"/>
      <c r="BD78" s="49"/>
      <c r="BE78" s="49"/>
    </row>
    <row r="79" spans="1:57" x14ac:dyDescent="0.3">
      <c r="A79">
        <f>_xlfn.XLOOKUP(B79,Entradas!B:B,Entradas!A:A,,0,-1)</f>
        <v>2</v>
      </c>
      <c r="B79">
        <v>19181658</v>
      </c>
      <c r="C79" t="str">
        <f>_xlfn.XLOOKUP($B79,Entradas!$B:$B,Entradas!C:C,,0,1)</f>
        <v>000801/23</v>
      </c>
      <c r="D79" t="str">
        <f>_xlfn.XLOOKUP($B79,Entradas!$B:$B,Entradas!D:D,,0,1)</f>
        <v>***.634.079-**</v>
      </c>
      <c r="E79" t="str">
        <f>_xlfn.XLOOKUP($B79,Entradas!$B:$B,Entradas!E:E,,0,1)</f>
        <v>VIVIANE DA COSTA FREITAG</v>
      </c>
      <c r="F79" t="str">
        <f>_xlfn.XLOOKUP($B79,Entradas!$B:$B,Entradas!F:F,,0,1)</f>
        <v>PROFESSOR DO MAGISTERIO SUPERIOR</v>
      </c>
      <c r="G79" t="str">
        <f>_xlfn.XLOOKUP($B79,Entradas!$B:$B,Entradas!G:G,,0,1)</f>
        <v>-1</v>
      </c>
      <c r="H79" t="str">
        <f>_xlfn.XLOOKUP($B79,Entradas!$B:$B,Entradas!H:H,,0,1)</f>
        <v>Sem informação</v>
      </c>
      <c r="I79" s="49">
        <f>_xlfn.XLOOKUP($B79,Entradas!$B:$B,Entradas!I:I,,0,1)</f>
        <v>45186</v>
      </c>
      <c r="J79" s="49">
        <f>_xlfn.XLOOKUP($B79,Entradas!$B:$B,Entradas!J:J,,0,1)</f>
        <v>45190</v>
      </c>
      <c r="K79" t="str">
        <f>_xlfn.XLOOKUP($B79,Entradas!$B:$B,Entradas!K:K,,0,1)</f>
        <v>Participação no 13º Congresso UFSC de Controladoria e Finanças para apresentação de artigo 'Influência dos Fatores Institucionais na Escolha das Técnicas de Depreciação: um estudo em Escritórios de Serviços Contábeis'</v>
      </c>
      <c r="L79">
        <f>SUMIF(Entradas!$B:$B,'Entrada Lvl 5-4 qt'!$B79,Entradas!S:S)</f>
        <v>5391.1646700000001</v>
      </c>
      <c r="M79" t="str">
        <f>_xlfn.XLOOKUP($B79,Entradas!$B:$B,Entradas!T:T,,0,1)</f>
        <v>Aéreo</v>
      </c>
      <c r="N79" t="str">
        <f>_xlfn.XLOOKUP($B79,Entradas!$B:$B,Entradas!U:U,,0,1)</f>
        <v>Não</v>
      </c>
      <c r="O79" t="str">
        <f>_xlfn.XLOOKUP($B79,Entradas!$B:$B,Entradas!V:V,,0,1)</f>
        <v>Realizada</v>
      </c>
      <c r="P79" t="str">
        <f>_xlfn.XLOOKUP($B79,Entradas!$B:$B,Entradas!W:W,,0,1)</f>
        <v>NÃO</v>
      </c>
      <c r="Q79" t="str">
        <f>_xlfn.XLOOKUP($B79,Entradas!$B:$B,Entradas!X:X,,0,1)</f>
        <v>Sem informação</v>
      </c>
      <c r="R79" s="36">
        <f>SUMIF(Entradas!$B:$B,'Entrada Lvl 5-4 qt'!$B79,Entradas!Y:Y)</f>
        <v>1509.95</v>
      </c>
      <c r="S79" s="36">
        <f>SUMIF(Entradas!$B:$B,'Entrada Lvl 5-4 qt'!$B79,Entradas!Z:Z)</f>
        <v>0</v>
      </c>
      <c r="T79" s="36">
        <f>SUMIF(Entradas!$B:$B,'Entrada Lvl 5-4 qt'!$B79,Entradas!AA:AA)</f>
        <v>2443.8599999999997</v>
      </c>
      <c r="U79" s="36">
        <f>SUMIF(Entradas!$B:$B,'Entrada Lvl 5-4 qt'!$B79,Entradas!AB:AB)</f>
        <v>0</v>
      </c>
      <c r="V79" s="49">
        <f>_xlfn.XLOOKUP($B79,Entradas!$B:$B,Entradas!AC:AC,,0,1)</f>
        <v>45154</v>
      </c>
      <c r="W79" s="58">
        <f t="shared" si="9"/>
        <v>4</v>
      </c>
      <c r="X79" s="28" t="s">
        <v>10</v>
      </c>
      <c r="Y79" s="32">
        <f t="shared" si="5"/>
        <v>0</v>
      </c>
      <c r="Z79" s="33">
        <f t="shared" si="6"/>
        <v>2443.8599999999997</v>
      </c>
      <c r="AA79" s="34">
        <f t="shared" si="7"/>
        <v>1509.95</v>
      </c>
      <c r="AB79" s="28" t="s">
        <v>1814</v>
      </c>
      <c r="AC79" s="28" t="s">
        <v>1820</v>
      </c>
      <c r="AD79" s="29" t="str" cm="1">
        <f t="array" ref="AD79">_xlfn.IFS(L79&lt;=Constantes!$G$2,"Muito Curta (evitável)",L79&lt;=Constantes!$H$2,"Curta Distância",L79&gt;Constantes!$H$2,"Longa Distância")</f>
        <v>Longa Distância</v>
      </c>
      <c r="AE79" s="30" t="str">
        <f t="shared" si="8"/>
        <v>NÃO</v>
      </c>
      <c r="AF79" s="30">
        <f>SUMIF(Entradas!$B:$B,'Entrada Lvl 5-4 qt'!$B79,Entradas!$AG:$AG)</f>
        <v>985.87880246436816</v>
      </c>
      <c r="AG79" s="30"/>
      <c r="BD79" s="49"/>
      <c r="BE79" s="49"/>
    </row>
    <row r="80" spans="1:57" x14ac:dyDescent="0.3">
      <c r="A80">
        <f>_xlfn.XLOOKUP(B80,Entradas!B:B,Entradas!A:A,,0,-1)</f>
        <v>2</v>
      </c>
      <c r="B80">
        <v>19190182</v>
      </c>
      <c r="C80" t="str">
        <f>_xlfn.XLOOKUP($B80,Entradas!$B:$B,Entradas!C:C,,0,1)</f>
        <v>000847/23</v>
      </c>
      <c r="D80" t="str">
        <f>_xlfn.XLOOKUP($B80,Entradas!$B:$B,Entradas!D:D,,0,1)</f>
        <v>***.111.658-**</v>
      </c>
      <c r="E80" t="str">
        <f>_xlfn.XLOOKUP($B80,Entradas!$B:$B,Entradas!E:E,,0,1)</f>
        <v>MARINILSON BARBOSA DA SILVA</v>
      </c>
      <c r="F80" t="str">
        <f>_xlfn.XLOOKUP($B80,Entradas!$B:$B,Entradas!F:F,,0,1)</f>
        <v>PROFESSOR DO MAGISTERIO SUPERIOR</v>
      </c>
      <c r="G80" t="str">
        <f>_xlfn.XLOOKUP($B80,Entradas!$B:$B,Entradas!G:G,,0,1)</f>
        <v>FUC-0001</v>
      </c>
      <c r="H80" t="str">
        <f>_xlfn.XLOOKUP($B80,Entradas!$B:$B,Entradas!H:H,,0,1)</f>
        <v>FUC-0001</v>
      </c>
      <c r="I80" s="49">
        <f>_xlfn.XLOOKUP($B80,Entradas!$B:$B,Entradas!I:I,,0,1)</f>
        <v>45186</v>
      </c>
      <c r="J80" s="49">
        <f>_xlfn.XLOOKUP($B80,Entradas!$B:$B,Entradas!J:J,,0,1)</f>
        <v>45191</v>
      </c>
      <c r="K80" t="str">
        <f>_xlfn.XLOOKUP($B80,Entradas!$B:$B,Entradas!K:K,,0,1)</f>
        <v>Participação/convocação da reunião da assembleia ordinária da associação como coordenador do PPGCR/UFPB e participação/atuação como membro da Comissão Organizadora do IX Congresso da ANPTECRE (Associação Nacional de Programas de Pós-Graduação em Teologia e Ciências das Religiões), a ser realizado na Pontifícia Universidade Católica de Campinas, no período de 18 a 21 de setembro de 2023.</v>
      </c>
      <c r="L80">
        <f>SUMIF(Entradas!$B:$B,'Entrada Lvl 5-4 qt'!$B80,Entradas!S:S)</f>
        <v>4387.7299999999996</v>
      </c>
      <c r="M80" t="str">
        <f>_xlfn.XLOOKUP($B80,Entradas!$B:$B,Entradas!T:T,,0,1)</f>
        <v>Aéreo</v>
      </c>
      <c r="N80" t="str">
        <f>_xlfn.XLOOKUP($B80,Entradas!$B:$B,Entradas!U:U,,0,1)</f>
        <v>Não</v>
      </c>
      <c r="O80" t="str">
        <f>_xlfn.XLOOKUP($B80,Entradas!$B:$B,Entradas!V:V,,0,1)</f>
        <v>Realizada</v>
      </c>
      <c r="P80" t="str">
        <f>_xlfn.XLOOKUP($B80,Entradas!$B:$B,Entradas!W:W,,0,1)</f>
        <v>NÃO</v>
      </c>
      <c r="Q80" t="str">
        <f>_xlfn.XLOOKUP($B80,Entradas!$B:$B,Entradas!X:X,,0,1)</f>
        <v>Sem informação</v>
      </c>
      <c r="R80" s="36">
        <f>SUMIF(Entradas!$B:$B,'Entrada Lvl 5-4 qt'!$B80,Entradas!Y:Y)</f>
        <v>1600.4</v>
      </c>
      <c r="S80" s="36">
        <f>SUMIF(Entradas!$B:$B,'Entrada Lvl 5-4 qt'!$B80,Entradas!Z:Z)</f>
        <v>0</v>
      </c>
      <c r="T80" s="36">
        <f>SUMIF(Entradas!$B:$B,'Entrada Lvl 5-4 qt'!$B80,Entradas!AA:AA)</f>
        <v>1961.6399999999999</v>
      </c>
      <c r="U80" s="36">
        <f>SUMIF(Entradas!$B:$B,'Entrada Lvl 5-4 qt'!$B80,Entradas!AB:AB)</f>
        <v>0</v>
      </c>
      <c r="V80" s="49">
        <f>_xlfn.XLOOKUP($B80,Entradas!$B:$B,Entradas!AC:AC,,0,1)</f>
        <v>45160</v>
      </c>
      <c r="W80" s="58">
        <f t="shared" si="9"/>
        <v>5</v>
      </c>
      <c r="X80" s="28" t="s">
        <v>10</v>
      </c>
      <c r="Y80" s="32">
        <f t="shared" si="5"/>
        <v>0</v>
      </c>
      <c r="Z80" s="33">
        <f t="shared" si="6"/>
        <v>1961.6399999999999</v>
      </c>
      <c r="AA80" s="34">
        <f t="shared" si="7"/>
        <v>1600.4</v>
      </c>
      <c r="AB80" s="28" t="s">
        <v>1813</v>
      </c>
      <c r="AC80" s="28" t="s">
        <v>1784</v>
      </c>
      <c r="AD80" s="29" t="str" cm="1">
        <f t="array" ref="AD80">_xlfn.IFS(L80&lt;=Constantes!$G$2,"Muito Curta (evitável)",L80&lt;=Constantes!$H$2,"Curta Distância",L80&gt;Constantes!$H$2,"Longa Distância")</f>
        <v>Longa Distância</v>
      </c>
      <c r="AE80" s="30" t="str">
        <f t="shared" si="8"/>
        <v>NÃO</v>
      </c>
      <c r="AF80" s="30">
        <f>SUMIF(Entradas!$B:$B,'Entrada Lvl 5-4 qt'!$B80,Entradas!$AG:$AG)</f>
        <v>802.381352216604</v>
      </c>
      <c r="AG80" s="30"/>
      <c r="BD80" s="49"/>
      <c r="BE80" s="49"/>
    </row>
    <row r="81" spans="1:57" x14ac:dyDescent="0.3">
      <c r="A81">
        <f>_xlfn.XLOOKUP(B81,Entradas!B:B,Entradas!A:A,,0,-1)</f>
        <v>2</v>
      </c>
      <c r="B81">
        <v>19190388</v>
      </c>
      <c r="C81" t="str">
        <f>_xlfn.XLOOKUP($B81,Entradas!$B:$B,Entradas!C:C,,0,1)</f>
        <v>000822/23</v>
      </c>
      <c r="D81" t="str">
        <f>_xlfn.XLOOKUP($B81,Entradas!$B:$B,Entradas!D:D,,0,1)</f>
        <v>***.955.884-**</v>
      </c>
      <c r="E81" t="str">
        <f>_xlfn.XLOOKUP($B81,Entradas!$B:$B,Entradas!E:E,,0,1)</f>
        <v>IGUATEMI EDUARDO DA FONSECA</v>
      </c>
      <c r="F81" t="str">
        <f>_xlfn.XLOOKUP($B81,Entradas!$B:$B,Entradas!F:F,,0,1)</f>
        <v>PROFESSOR DO MAGISTERIO SUPERIOR</v>
      </c>
      <c r="G81" t="str">
        <f>_xlfn.XLOOKUP($B81,Entradas!$B:$B,Entradas!G:G,,0,1)</f>
        <v>-1</v>
      </c>
      <c r="H81" t="str">
        <f>_xlfn.XLOOKUP($B81,Entradas!$B:$B,Entradas!H:H,,0,1)</f>
        <v>Sem informação</v>
      </c>
      <c r="I81" s="49">
        <f>_xlfn.XLOOKUP($B81,Entradas!$B:$B,Entradas!I:I,,0,1)</f>
        <v>45186</v>
      </c>
      <c r="J81" s="49">
        <f>_xlfn.XLOOKUP($B81,Entradas!$B:$B,Entradas!J:J,,0,1)</f>
        <v>45190</v>
      </c>
      <c r="K81" t="str">
        <f>_xlfn.XLOOKUP($B81,Entradas!$B:$B,Entradas!K:K,,0,1)</f>
        <v>Apresentação de trabalho em evento científico (XXIII Simpósio Brasileiro de Segurança da Informação e de Sistemas Computacionais 2023 - https://sbseg2023.ufjf.br/)</v>
      </c>
      <c r="L81">
        <f>SUMIF(Entradas!$B:$B,'Entrada Lvl 5-4 qt'!$B81,Entradas!S:S)</f>
        <v>3727.6272439999998</v>
      </c>
      <c r="M81" t="str">
        <f>_xlfn.XLOOKUP($B81,Entradas!$B:$B,Entradas!T:T,,0,1)</f>
        <v>Aéreo</v>
      </c>
      <c r="N81" t="str">
        <f>_xlfn.XLOOKUP($B81,Entradas!$B:$B,Entradas!U:U,,0,1)</f>
        <v>Não</v>
      </c>
      <c r="O81" t="str">
        <f>_xlfn.XLOOKUP($B81,Entradas!$B:$B,Entradas!V:V,,0,1)</f>
        <v>Realizada</v>
      </c>
      <c r="P81" t="str">
        <f>_xlfn.XLOOKUP($B81,Entradas!$B:$B,Entradas!W:W,,0,1)</f>
        <v>NÃO</v>
      </c>
      <c r="Q81" t="str">
        <f>_xlfn.XLOOKUP($B81,Entradas!$B:$B,Entradas!X:X,,0,1)</f>
        <v>Sem informação</v>
      </c>
      <c r="R81" s="36">
        <f>SUMIF(Entradas!$B:$B,'Entrada Lvl 5-4 qt'!$B81,Entradas!Y:Y)</f>
        <v>1329.41</v>
      </c>
      <c r="S81" s="36">
        <f>SUMIF(Entradas!$B:$B,'Entrada Lvl 5-4 qt'!$B81,Entradas!Z:Z)</f>
        <v>0</v>
      </c>
      <c r="T81" s="36">
        <f>SUMIF(Entradas!$B:$B,'Entrada Lvl 5-4 qt'!$B81,Entradas!AA:AA)</f>
        <v>2246.8000000000002</v>
      </c>
      <c r="U81" s="36">
        <f>SUMIF(Entradas!$B:$B,'Entrada Lvl 5-4 qt'!$B81,Entradas!AB:AB)</f>
        <v>0</v>
      </c>
      <c r="V81" s="49">
        <f>_xlfn.XLOOKUP($B81,Entradas!$B:$B,Entradas!AC:AC,,0,1)</f>
        <v>45160</v>
      </c>
      <c r="W81" s="58">
        <f t="shared" si="9"/>
        <v>4</v>
      </c>
      <c r="X81" s="28" t="s">
        <v>10</v>
      </c>
      <c r="Y81" s="32">
        <f t="shared" si="5"/>
        <v>0</v>
      </c>
      <c r="Z81" s="33">
        <f t="shared" si="6"/>
        <v>2246.8000000000002</v>
      </c>
      <c r="AA81" s="34">
        <f t="shared" si="7"/>
        <v>1329.41</v>
      </c>
      <c r="AB81" s="28" t="s">
        <v>1814</v>
      </c>
      <c r="AC81" s="28" t="s">
        <v>1820</v>
      </c>
      <c r="AD81" s="29" t="str" cm="1">
        <f t="array" ref="AD81">_xlfn.IFS(L81&lt;=Constantes!$G$2,"Muito Curta (evitável)",L81&lt;=Constantes!$H$2,"Curta Distância",L81&gt;Constantes!$H$2,"Longa Distância")</f>
        <v>Longa Distância</v>
      </c>
      <c r="AE81" s="30" t="str">
        <f t="shared" si="8"/>
        <v>NÃO</v>
      </c>
      <c r="AF81" s="30">
        <f>SUMIF(Entradas!$B:$B,'Entrada Lvl 5-4 qt'!$B81,Entradas!$AG:$AG)</f>
        <v>681.66878741403252</v>
      </c>
      <c r="AG81" s="30"/>
      <c r="BD81" s="49"/>
      <c r="BE81" s="49"/>
    </row>
    <row r="82" spans="1:57" x14ac:dyDescent="0.3">
      <c r="A82">
        <f>_xlfn.XLOOKUP(B82,Entradas!B:B,Entradas!A:A,,0,-1)</f>
        <v>2</v>
      </c>
      <c r="B82">
        <v>19251876</v>
      </c>
      <c r="C82" t="str">
        <f>_xlfn.XLOOKUP($B82,Entradas!$B:$B,Entradas!C:C,,0,1)</f>
        <v>000983/23</v>
      </c>
      <c r="D82" t="str">
        <f>_xlfn.XLOOKUP($B82,Entradas!$B:$B,Entradas!D:D,,0,1)</f>
        <v>***.567.773-**</v>
      </c>
      <c r="E82" t="str">
        <f>_xlfn.XLOOKUP($B82,Entradas!$B:$B,Entradas!E:E,,0,1)</f>
        <v>BERLA MOREIRA DE MORAES</v>
      </c>
      <c r="F82" t="str">
        <f>_xlfn.XLOOKUP($B82,Entradas!$B:$B,Entradas!F:F,,0,1)</f>
        <v>PROFESSOR DO MAGISTERIO SUPERIOR</v>
      </c>
      <c r="G82" t="str">
        <f>_xlfn.XLOOKUP($B82,Entradas!$B:$B,Entradas!G:G,,0,1)</f>
        <v>CD-0002</v>
      </c>
      <c r="H82" t="str">
        <f>_xlfn.XLOOKUP($B82,Entradas!$B:$B,Entradas!H:H,,0,1)</f>
        <v>Cargo Comissionado de Direção</v>
      </c>
      <c r="I82" s="49">
        <f>_xlfn.XLOOKUP($B82,Entradas!$B:$B,Entradas!I:I,,0,1)</f>
        <v>45186</v>
      </c>
      <c r="J82" s="49">
        <f>_xlfn.XLOOKUP($B82,Entradas!$B:$B,Entradas!J:J,,0,1)</f>
        <v>45189</v>
      </c>
      <c r="K82" t="str">
        <f>_xlfn.XLOOKUP($B82,Entradas!$B:$B,Entradas!K:K,,0,1)</f>
        <v>Representar a UFPB no Seminário COEX/ANDIFES, em formato presencial, nos dias 18 e 19 de abril de 2023, na cidade do Brasília, na sede da Andifes.</v>
      </c>
      <c r="L82">
        <f>SUMIF(Entradas!$B:$B,'Entrada Lvl 5-4 qt'!$B82,Entradas!S:S)</f>
        <v>3426.839982</v>
      </c>
      <c r="M82" t="str">
        <f>_xlfn.XLOOKUP($B82,Entradas!$B:$B,Entradas!T:T,,0,1)</f>
        <v>Aéreo</v>
      </c>
      <c r="N82" t="str">
        <f>_xlfn.XLOOKUP($B82,Entradas!$B:$B,Entradas!U:U,,0,1)</f>
        <v>Sim</v>
      </c>
      <c r="O82" t="str">
        <f>_xlfn.XLOOKUP($B82,Entradas!$B:$B,Entradas!V:V,,0,1)</f>
        <v>Realizada</v>
      </c>
      <c r="P82" t="str">
        <f>_xlfn.XLOOKUP($B82,Entradas!$B:$B,Entradas!W:W,,0,1)</f>
        <v>SIM</v>
      </c>
      <c r="Q82" t="str">
        <f>_xlfn.XLOOKUP($B82,Entradas!$B:$B,Entradas!X:X,,0,1)</f>
        <v>Só foi possível confirmar a participação do proposto no evento nesta data, tendo em vista que como ocupa o cargo de pró-reitor possui compromissos e outros convites com datas conflitantes, o que poderia ser um empecilho para participação no evento.</v>
      </c>
      <c r="R82" s="36">
        <f>SUMIF(Entradas!$B:$B,'Entrada Lvl 5-4 qt'!$B82,Entradas!Y:Y)</f>
        <v>1522.48</v>
      </c>
      <c r="S82" s="36">
        <f>SUMIF(Entradas!$B:$B,'Entrada Lvl 5-4 qt'!$B82,Entradas!Z:Z)</f>
        <v>0</v>
      </c>
      <c r="T82" s="36">
        <f>SUMIF(Entradas!$B:$B,'Entrada Lvl 5-4 qt'!$B82,Entradas!AA:AA)</f>
        <v>2622.1</v>
      </c>
      <c r="U82" s="36">
        <f>SUMIF(Entradas!$B:$B,'Entrada Lvl 5-4 qt'!$B82,Entradas!AB:AB)</f>
        <v>1418.9</v>
      </c>
      <c r="V82" s="49">
        <f>_xlfn.XLOOKUP($B82,Entradas!$B:$B,Entradas!AC:AC,,0,1)</f>
        <v>45174</v>
      </c>
      <c r="W82" s="58">
        <f t="shared" si="9"/>
        <v>3</v>
      </c>
      <c r="X82" s="28" t="s">
        <v>10</v>
      </c>
      <c r="Y82" s="32">
        <f t="shared" si="5"/>
        <v>0</v>
      </c>
      <c r="Z82" s="33">
        <f t="shared" si="6"/>
        <v>4041</v>
      </c>
      <c r="AA82" s="34">
        <f t="shared" si="7"/>
        <v>1522.48</v>
      </c>
      <c r="AB82" s="28" t="s">
        <v>1813</v>
      </c>
      <c r="AC82" s="28" t="s">
        <v>1784</v>
      </c>
      <c r="AD82" s="29" t="str" cm="1">
        <f t="array" ref="AD82">_xlfn.IFS(L82&lt;=Constantes!$G$2,"Muito Curta (evitável)",L82&lt;=Constantes!$H$2,"Curta Distância",L82&gt;Constantes!$H$2,"Longa Distância")</f>
        <v>Curta Distância</v>
      </c>
      <c r="AE82" s="30" t="str">
        <f t="shared" si="8"/>
        <v>NÃO</v>
      </c>
      <c r="AF82" s="30">
        <f>SUMIF(Entradas!$B:$B,'Entrada Lvl 5-4 qt'!$B82,Entradas!$AG:$AG)</f>
        <v>626.66401501165365</v>
      </c>
      <c r="AG82" s="30"/>
      <c r="BD82" s="49"/>
      <c r="BE82" s="49"/>
    </row>
    <row r="83" spans="1:57" x14ac:dyDescent="0.3">
      <c r="A83">
        <f>_xlfn.XLOOKUP(B83,Entradas!B:B,Entradas!A:A,,0,-1)</f>
        <v>2</v>
      </c>
      <c r="B83">
        <v>19253523</v>
      </c>
      <c r="C83" t="str">
        <f>_xlfn.XLOOKUP($B83,Entradas!$B:$B,Entradas!C:C,,0,1)</f>
        <v>000985/23</v>
      </c>
      <c r="D83" t="str">
        <f>_xlfn.XLOOKUP($B83,Entradas!$B:$B,Entradas!D:D,,0,1)</f>
        <v>***.309.989-**</v>
      </c>
      <c r="E83" t="str">
        <f>_xlfn.XLOOKUP($B83,Entradas!$B:$B,Entradas!E:E,,0,1)</f>
        <v>ANGELITA MARIA VANDER BROOCK SCHULTZ</v>
      </c>
      <c r="F83" t="str">
        <f>_xlfn.XLOOKUP($B83,Entradas!$B:$B,Entradas!F:F,,0,1)</f>
        <v>PROFESSOR DO MAGISTERIO SUPERIOR</v>
      </c>
      <c r="G83" t="str">
        <f>_xlfn.XLOOKUP($B83,Entradas!$B:$B,Entradas!G:G,,0,1)</f>
        <v>-1</v>
      </c>
      <c r="H83" t="str">
        <f>_xlfn.XLOOKUP($B83,Entradas!$B:$B,Entradas!H:H,,0,1)</f>
        <v>Sem informação</v>
      </c>
      <c r="I83" s="49">
        <f>_xlfn.XLOOKUP($B83,Entradas!$B:$B,Entradas!I:I,,0,1)</f>
        <v>45186</v>
      </c>
      <c r="J83" s="49">
        <f>_xlfn.XLOOKUP($B83,Entradas!$B:$B,Entradas!J:J,,0,1)</f>
        <v>45192</v>
      </c>
      <c r="K83" t="str">
        <f>_xlfn.XLOOKUP($B83,Entradas!$B:$B,Entradas!K:K,,0,1)</f>
        <v>Participar de Banca examinadora do concurso público aberto pelo edital 61/2023 UFPB, na área de Educação Musical Infantil do Departamento de Educação Musical.</v>
      </c>
      <c r="L83">
        <f>SUMIF(Entradas!$B:$B,'Entrada Lvl 5-4 qt'!$B83,Entradas!S:S)</f>
        <v>3429.6730739999998</v>
      </c>
      <c r="M83" t="str">
        <f>_xlfn.XLOOKUP($B83,Entradas!$B:$B,Entradas!T:T,,0,1)</f>
        <v>Aéreo</v>
      </c>
      <c r="N83" t="str">
        <f>_xlfn.XLOOKUP($B83,Entradas!$B:$B,Entradas!U:U,,0,1)</f>
        <v>Não</v>
      </c>
      <c r="O83" t="str">
        <f>_xlfn.XLOOKUP($B83,Entradas!$B:$B,Entradas!V:V,,0,1)</f>
        <v>Realizada</v>
      </c>
      <c r="P83" t="str">
        <f>_xlfn.XLOOKUP($B83,Entradas!$B:$B,Entradas!W:W,,0,1)</f>
        <v>SIM</v>
      </c>
      <c r="Q83" t="str">
        <f>_xlfn.XLOOKUP($B83,Entradas!$B:$B,Entradas!X:X,,0,1)</f>
        <v>justificativa no formulário de solicitação.</v>
      </c>
      <c r="R83" s="36">
        <f>SUMIF(Entradas!$B:$B,'Entrada Lvl 5-4 qt'!$B83,Entradas!Y:Y)</f>
        <v>95</v>
      </c>
      <c r="S83" s="36">
        <f>SUMIF(Entradas!$B:$B,'Entrada Lvl 5-4 qt'!$B83,Entradas!Z:Z)</f>
        <v>0</v>
      </c>
      <c r="T83" s="36">
        <f>SUMIF(Entradas!$B:$B,'Entrada Lvl 5-4 qt'!$B83,Entradas!AA:AA)</f>
        <v>2680.59</v>
      </c>
      <c r="U83" s="36">
        <f>SUMIF(Entradas!$B:$B,'Entrada Lvl 5-4 qt'!$B83,Entradas!AB:AB)</f>
        <v>0</v>
      </c>
      <c r="V83" s="49">
        <f>_xlfn.XLOOKUP($B83,Entradas!$B:$B,Entradas!AC:AC,,0,1)</f>
        <v>45175</v>
      </c>
      <c r="W83" s="58">
        <f t="shared" si="9"/>
        <v>6</v>
      </c>
      <c r="X83" s="28" t="s">
        <v>10</v>
      </c>
      <c r="Y83" s="32">
        <f t="shared" si="5"/>
        <v>0</v>
      </c>
      <c r="Z83" s="33">
        <f t="shared" si="6"/>
        <v>2680.59</v>
      </c>
      <c r="AA83" s="34">
        <f t="shared" si="7"/>
        <v>95</v>
      </c>
      <c r="AB83" s="28" t="s">
        <v>1812</v>
      </c>
      <c r="AC83" s="28" t="s">
        <v>1820</v>
      </c>
      <c r="AD83" s="29" t="str" cm="1">
        <f t="array" ref="AD83">_xlfn.IFS(L83&lt;=Constantes!$G$2,"Muito Curta (evitável)",L83&lt;=Constantes!$H$2,"Curta Distância",L83&gt;Constantes!$H$2,"Longa Distância")</f>
        <v>Curta Distância</v>
      </c>
      <c r="AE83" s="30" t="str">
        <f t="shared" si="8"/>
        <v>NÃO</v>
      </c>
      <c r="AF83" s="30">
        <f>SUMIF(Entradas!$B:$B,'Entrada Lvl 5-4 qt'!$B83,Entradas!$AG:$AG)</f>
        <v>627.18210071654289</v>
      </c>
      <c r="AG83" s="30"/>
      <c r="BD83" s="49"/>
      <c r="BE83" s="49"/>
    </row>
    <row r="84" spans="1:57" x14ac:dyDescent="0.3">
      <c r="A84">
        <f>_xlfn.XLOOKUP(B84,Entradas!B:B,Entradas!A:A,,0,-1)</f>
        <v>2</v>
      </c>
      <c r="B84">
        <v>19190127</v>
      </c>
      <c r="C84" t="str">
        <f>_xlfn.XLOOKUP($B84,Entradas!$B:$B,Entradas!C:C,,0,1)</f>
        <v>000848/23</v>
      </c>
      <c r="D84" t="str">
        <f>_xlfn.XLOOKUP($B84,Entradas!$B:$B,Entradas!D:D,,0,1)</f>
        <v>***.510.704-**</v>
      </c>
      <c r="E84" t="str">
        <f>_xlfn.XLOOKUP($B84,Entradas!$B:$B,Entradas!E:E,,0,1)</f>
        <v>MARINALVA DE SOUSA CONSERVA</v>
      </c>
      <c r="F84" t="str">
        <f>_xlfn.XLOOKUP($B84,Entradas!$B:$B,Entradas!F:F,,0,1)</f>
        <v>PROFESSOR DO MAGISTERIO SUPERIOR</v>
      </c>
      <c r="G84" t="str">
        <f>_xlfn.XLOOKUP($B84,Entradas!$B:$B,Entradas!G:G,,0,1)</f>
        <v>-1</v>
      </c>
      <c r="H84" t="str">
        <f>_xlfn.XLOOKUP($B84,Entradas!$B:$B,Entradas!H:H,,0,1)</f>
        <v>Sem informação</v>
      </c>
      <c r="I84" s="49">
        <f>_xlfn.XLOOKUP($B84,Entradas!$B:$B,Entradas!I:I,,0,1)</f>
        <v>45187</v>
      </c>
      <c r="J84" s="49">
        <f>_xlfn.XLOOKUP($B84,Entradas!$B:$B,Entradas!J:J,,0,1)</f>
        <v>45192</v>
      </c>
      <c r="K84" t="str">
        <f>_xlfn.XLOOKUP($B84,Entradas!$B:$B,Entradas!K:K,,0,1)</f>
        <v>PARTICIPAÇÃO NA XI JORNADA INTERNACIONAL DE POLÍTICAS PÚBLICAS (XI JOINPP) 'REIFICAÇÃO CAPITALISTA E EMANCIPAÇÃO HUMANA COMO NECESSIDADEHISTÓRICA:formação da consciência de classe na luta de hegemonias' - Cem anos de História e consciência de classe de Lukács. COM TRES 3 TRABALHOS APROVADOS: 1.APRESENTARTRABALHO: 'CONTIRBUIÇÕES DA GEOTECNOLOGIA DE INOVAÇÃO PARA AGESTÃODA PROTEÇÃO SOCIAL AMPLIADA', NA MESA TEMÁTICA: '(DES)PROTEÇÃO SOCIAL NO BRASIL RECENTE: configurações e desafiosimpostos para a Política de Assistência Social'. 2. Lançamento do Livro:TÍTULO DO LIVRO: OBSERVATÓRIO DE INDICADORES DE PROTEÇÃO SOCIALAMPLIADA: INTERFACES COM A GESTÃO DO SUAS E DO SUAS. E-book: http://plone.ufpb.br/editoraccta/contents/titulos/saude/observatorio-de-indicadoresdeprotecao- social-ampliada-interfaces-com-a-gestao-do-sus-e-do-suas. 3. DESIGUALDADE REGIONAL E SAÚDE: algumas considerações sobre a questão regional no Brasil e sua relação com o acesso a saúde.</v>
      </c>
      <c r="L84">
        <f>SUMIF(Entradas!$B:$B,'Entrada Lvl 5-4 qt'!$B84,Entradas!S:S)</f>
        <v>2294.693906</v>
      </c>
      <c r="M84" t="str">
        <f>_xlfn.XLOOKUP($B84,Entradas!$B:$B,Entradas!T:T,,0,1)</f>
        <v>Aéreo</v>
      </c>
      <c r="N84" t="str">
        <f>_xlfn.XLOOKUP($B84,Entradas!$B:$B,Entradas!U:U,,0,1)</f>
        <v>Sim</v>
      </c>
      <c r="O84" t="str">
        <f>_xlfn.XLOOKUP($B84,Entradas!$B:$B,Entradas!V:V,,0,1)</f>
        <v>Realizada</v>
      </c>
      <c r="P84" t="str">
        <f>_xlfn.XLOOKUP($B84,Entradas!$B:$B,Entradas!W:W,,0,1)</f>
        <v>NÃO</v>
      </c>
      <c r="Q84" t="str">
        <f>_xlfn.XLOOKUP($B84,Entradas!$B:$B,Entradas!X:X,,0,1)</f>
        <v>Sem informação</v>
      </c>
      <c r="R84" s="36">
        <f>SUMIF(Entradas!$B:$B,'Entrada Lvl 5-4 qt'!$B84,Entradas!Y:Y)</f>
        <v>1821.06</v>
      </c>
      <c r="S84" s="36">
        <f>SUMIF(Entradas!$B:$B,'Entrada Lvl 5-4 qt'!$B84,Entradas!Z:Z)</f>
        <v>0</v>
      </c>
      <c r="T84" s="36">
        <f>SUMIF(Entradas!$B:$B,'Entrada Lvl 5-4 qt'!$B84,Entradas!AA:AA)</f>
        <v>2662.08</v>
      </c>
      <c r="U84" s="36">
        <f>SUMIF(Entradas!$B:$B,'Entrada Lvl 5-4 qt'!$B84,Entradas!AB:AB)</f>
        <v>0</v>
      </c>
      <c r="V84" s="49">
        <f>_xlfn.XLOOKUP($B84,Entradas!$B:$B,Entradas!AC:AC,,0,1)</f>
        <v>45155</v>
      </c>
      <c r="W84" s="58">
        <f t="shared" si="9"/>
        <v>5</v>
      </c>
      <c r="X84" s="28" t="s">
        <v>10</v>
      </c>
      <c r="Y84" s="32">
        <f t="shared" si="5"/>
        <v>0</v>
      </c>
      <c r="Z84" s="33">
        <f t="shared" si="6"/>
        <v>2662.08</v>
      </c>
      <c r="AA84" s="34">
        <f t="shared" si="7"/>
        <v>1821.06</v>
      </c>
      <c r="AB84" s="28" t="s">
        <v>1814</v>
      </c>
      <c r="AC84" s="28" t="s">
        <v>1820</v>
      </c>
      <c r="AD84" s="29" t="str" cm="1">
        <f t="array" ref="AD84">_xlfn.IFS(L84&lt;=Constantes!$G$2,"Muito Curta (evitável)",L84&lt;=Constantes!$H$2,"Curta Distância",L84&gt;Constantes!$H$2,"Longa Distância")</f>
        <v>Curta Distância</v>
      </c>
      <c r="AE84" s="30" t="str">
        <f t="shared" si="8"/>
        <v>NÃO</v>
      </c>
      <c r="AF84" s="30">
        <f>SUMIF(Entradas!$B:$B,'Entrada Lvl 5-4 qt'!$B84,Entradas!$AG:$AG)</f>
        <v>419.62919304959075</v>
      </c>
      <c r="AG84" s="30"/>
      <c r="BD84" s="49"/>
      <c r="BE84" s="49"/>
    </row>
    <row r="85" spans="1:57" x14ac:dyDescent="0.3">
      <c r="A85">
        <f>_xlfn.XLOOKUP(B85,Entradas!B:B,Entradas!A:A,,0,-1)</f>
        <v>2</v>
      </c>
      <c r="B85">
        <v>19199992</v>
      </c>
      <c r="C85" t="str">
        <f>_xlfn.XLOOKUP($B85,Entradas!$B:$B,Entradas!C:C,,0,1)</f>
        <v>000869/23</v>
      </c>
      <c r="D85" t="str">
        <f>_xlfn.XLOOKUP($B85,Entradas!$B:$B,Entradas!D:D,,0,1)</f>
        <v/>
      </c>
      <c r="E85" t="str">
        <f>_xlfn.XLOOKUP($B85,Entradas!$B:$B,Entradas!E:E,,0,1)</f>
        <v>VICENTE CARNEIRO DE SOUSA</v>
      </c>
      <c r="F85" t="str">
        <f>_xlfn.XLOOKUP($B85,Entradas!$B:$B,Entradas!F:F,,0,1)</f>
        <v/>
      </c>
      <c r="G85" t="str">
        <f>_xlfn.XLOOKUP($B85,Entradas!$B:$B,Entradas!G:G,,0,1)</f>
        <v>-1</v>
      </c>
      <c r="H85" t="str">
        <f>_xlfn.XLOOKUP($B85,Entradas!$B:$B,Entradas!H:H,,0,1)</f>
        <v>Sem informação</v>
      </c>
      <c r="I85" s="49">
        <f>_xlfn.XLOOKUP($B85,Entradas!$B:$B,Entradas!I:I,,0,1)</f>
        <v>45187</v>
      </c>
      <c r="J85" s="49">
        <f>_xlfn.XLOOKUP($B85,Entradas!$B:$B,Entradas!J:J,,0,1)</f>
        <v>45192</v>
      </c>
      <c r="K85" t="str">
        <f>_xlfn.XLOOKUP($B85,Entradas!$B:$B,Entradas!K:K,,0,1)</f>
        <v>PROPOSTO VAI PARTICIPAR DE APRESENTAÇÃO DE ARTIGO NO EVENTO V ENCONTRO BRASILEIRO DE ESTUDOS PARA A PAZ (EBEP) NA CIDADE DE FOZ DO IGUAÇU-PR.</v>
      </c>
      <c r="L85">
        <f>SUMIF(Entradas!$B:$B,'Entrada Lvl 5-4 qt'!$B85,Entradas!S:S)</f>
        <v>5834.0911219999998</v>
      </c>
      <c r="M85" t="str">
        <f>_xlfn.XLOOKUP($B85,Entradas!$B:$B,Entradas!T:T,,0,1)</f>
        <v>Aéreo</v>
      </c>
      <c r="N85" t="str">
        <f>_xlfn.XLOOKUP($B85,Entradas!$B:$B,Entradas!U:U,,0,1)</f>
        <v>Não</v>
      </c>
      <c r="O85" t="str">
        <f>_xlfn.XLOOKUP($B85,Entradas!$B:$B,Entradas!V:V,,0,1)</f>
        <v>Realizada</v>
      </c>
      <c r="P85" t="str">
        <f>_xlfn.XLOOKUP($B85,Entradas!$B:$B,Entradas!W:W,,0,1)</f>
        <v>NÃO</v>
      </c>
      <c r="Q85" t="str">
        <f>_xlfn.XLOOKUP($B85,Entradas!$B:$B,Entradas!X:X,,0,1)</f>
        <v>Sem informação</v>
      </c>
      <c r="R85" s="36">
        <f>SUMIF(Entradas!$B:$B,'Entrada Lvl 5-4 qt'!$B85,Entradas!Y:Y)</f>
        <v>0</v>
      </c>
      <c r="S85" s="36">
        <f>SUMIF(Entradas!$B:$B,'Entrada Lvl 5-4 qt'!$B85,Entradas!Z:Z)</f>
        <v>0</v>
      </c>
      <c r="T85" s="36">
        <f>SUMIF(Entradas!$B:$B,'Entrada Lvl 5-4 qt'!$B85,Entradas!AA:AA)</f>
        <v>2820.34</v>
      </c>
      <c r="U85" s="36">
        <f>SUMIF(Entradas!$B:$B,'Entrada Lvl 5-4 qt'!$B85,Entradas!AB:AB)</f>
        <v>0</v>
      </c>
      <c r="V85" s="49">
        <f>_xlfn.XLOOKUP($B85,Entradas!$B:$B,Entradas!AC:AC,,0,1)</f>
        <v>45160</v>
      </c>
      <c r="W85" s="58">
        <f t="shared" si="9"/>
        <v>5</v>
      </c>
      <c r="X85" s="28" t="s">
        <v>10</v>
      </c>
      <c r="Y85" s="32">
        <f t="shared" si="5"/>
        <v>0</v>
      </c>
      <c r="Z85" s="33">
        <f t="shared" si="6"/>
        <v>2820.34</v>
      </c>
      <c r="AA85" s="34">
        <f t="shared" si="7"/>
        <v>0</v>
      </c>
      <c r="AB85" s="28" t="s">
        <v>1814</v>
      </c>
      <c r="AC85" s="28" t="s">
        <v>1822</v>
      </c>
      <c r="AD85" s="29" t="str" cm="1">
        <f t="array" ref="AD85">_xlfn.IFS(L85&lt;=Constantes!$G$2,"Muito Curta (evitável)",L85&lt;=Constantes!$H$2,"Curta Distância",L85&gt;Constantes!$H$2,"Longa Distância")</f>
        <v>Longa Distância</v>
      </c>
      <c r="AE85" s="30" t="str">
        <f t="shared" si="8"/>
        <v>NÃO</v>
      </c>
      <c r="AF85" s="30">
        <f>SUMIF(Entradas!$B:$B,'Entrada Lvl 5-4 qt'!$B85,Entradas!$AG:$AG)</f>
        <v>1066.8764767716439</v>
      </c>
      <c r="AG85" s="30"/>
      <c r="BD85" s="49"/>
      <c r="BE85" s="49"/>
    </row>
    <row r="86" spans="1:57" x14ac:dyDescent="0.3">
      <c r="A86">
        <f>_xlfn.XLOOKUP(B86,Entradas!B:B,Entradas!A:A,,0,-1)</f>
        <v>2</v>
      </c>
      <c r="B86">
        <v>19252820</v>
      </c>
      <c r="C86" t="str">
        <f>_xlfn.XLOOKUP($B86,Entradas!$B:$B,Entradas!C:C,,0,1)</f>
        <v>000984/23</v>
      </c>
      <c r="D86" t="str">
        <f>_xlfn.XLOOKUP($B86,Entradas!$B:$B,Entradas!D:D,,0,1)</f>
        <v>***.959.784-**</v>
      </c>
      <c r="E86" t="str">
        <f>_xlfn.XLOOKUP($B86,Entradas!$B:$B,Entradas!E:E,,0,1)</f>
        <v>RICARDO ALMEIDA DE MELO</v>
      </c>
      <c r="F86" t="str">
        <f>_xlfn.XLOOKUP($B86,Entradas!$B:$B,Entradas!F:F,,0,1)</f>
        <v>PROFESSOR DO MAGISTERIO SUPERIOR</v>
      </c>
      <c r="G86" t="str">
        <f>_xlfn.XLOOKUP($B86,Entradas!$B:$B,Entradas!G:G,,0,1)</f>
        <v>-1</v>
      </c>
      <c r="H86" t="str">
        <f>_xlfn.XLOOKUP($B86,Entradas!$B:$B,Entradas!H:H,,0,1)</f>
        <v>Sem informação</v>
      </c>
      <c r="I86" s="49">
        <f>_xlfn.XLOOKUP($B86,Entradas!$B:$B,Entradas!I:I,,0,1)</f>
        <v>45187</v>
      </c>
      <c r="J86" s="49">
        <f>_xlfn.XLOOKUP($B86,Entradas!$B:$B,Entradas!J:J,,0,1)</f>
        <v>45189</v>
      </c>
      <c r="K86" t="str">
        <f>_xlfn.XLOOKUP($B86,Entradas!$B:$B,Entradas!K:K,,0,1)</f>
        <v>Participação e apresentação de trabalhos no 51º Congresso Brasileiro de Educação em Engenharia (COBENGE 2023)</v>
      </c>
      <c r="L86">
        <f>SUMIF(Entradas!$B:$B,'Entrada Lvl 5-4 qt'!$B86,Entradas!S:S)</f>
        <v>3923.0015720000001</v>
      </c>
      <c r="M86" t="str">
        <f>_xlfn.XLOOKUP($B86,Entradas!$B:$B,Entradas!T:T,,0,1)</f>
        <v>Aéreo</v>
      </c>
      <c r="N86" t="str">
        <f>_xlfn.XLOOKUP($B86,Entradas!$B:$B,Entradas!U:U,,0,1)</f>
        <v>Sim</v>
      </c>
      <c r="O86" t="str">
        <f>_xlfn.XLOOKUP($B86,Entradas!$B:$B,Entradas!V:V,,0,1)</f>
        <v>Realizada</v>
      </c>
      <c r="P86" t="str">
        <f>_xlfn.XLOOKUP($B86,Entradas!$B:$B,Entradas!W:W,,0,1)</f>
        <v>SIM</v>
      </c>
      <c r="Q86" t="str">
        <f>_xlfn.XLOOKUP($B86,Entradas!$B:$B,Entradas!X:X,,0,1)</f>
        <v>O professor solicitou as diárias e passagens no prazo correto, entretanto, a coordenação estava aguardando a execução na ordem em que os pedidos de uso do PROAP chegaram até nós para poder realizar este pedido. Por este motivo, solicitamos o atendimento a esta demanda.</v>
      </c>
      <c r="R86" s="36">
        <f>SUMIF(Entradas!$B:$B,'Entrada Lvl 5-4 qt'!$B86,Entradas!Y:Y)</f>
        <v>958.12</v>
      </c>
      <c r="S86" s="36">
        <f>SUMIF(Entradas!$B:$B,'Entrada Lvl 5-4 qt'!$B86,Entradas!Z:Z)</f>
        <v>0</v>
      </c>
      <c r="T86" s="36">
        <f>SUMIF(Entradas!$B:$B,'Entrada Lvl 5-4 qt'!$B86,Entradas!AA:AA)</f>
        <v>1778.8899999999999</v>
      </c>
      <c r="U86" s="36">
        <f>SUMIF(Entradas!$B:$B,'Entrada Lvl 5-4 qt'!$B86,Entradas!AB:AB)</f>
        <v>0</v>
      </c>
      <c r="V86" s="49">
        <f>_xlfn.XLOOKUP($B86,Entradas!$B:$B,Entradas!AC:AC,,0,1)</f>
        <v>45174</v>
      </c>
      <c r="W86" s="58">
        <f t="shared" si="9"/>
        <v>2</v>
      </c>
      <c r="X86" s="28" t="s">
        <v>10</v>
      </c>
      <c r="Y86" s="32">
        <f t="shared" si="5"/>
        <v>0</v>
      </c>
      <c r="Z86" s="33">
        <f t="shared" si="6"/>
        <v>1778.8899999999999</v>
      </c>
      <c r="AA86" s="34">
        <f t="shared" si="7"/>
        <v>958.12</v>
      </c>
      <c r="AB86" s="28" t="s">
        <v>1814</v>
      </c>
      <c r="AC86" s="28" t="s">
        <v>1820</v>
      </c>
      <c r="AD86" s="29" t="str" cm="1">
        <f t="array" ref="AD86">_xlfn.IFS(L86&lt;=Constantes!$G$2,"Muito Curta (evitável)",L86&lt;=Constantes!$H$2,"Curta Distância",L86&gt;Constantes!$H$2,"Longa Distância")</f>
        <v>Longa Distância</v>
      </c>
      <c r="AE86" s="30" t="str">
        <f t="shared" si="8"/>
        <v>NÃO</v>
      </c>
      <c r="AF86" s="30">
        <f>SUMIF(Entradas!$B:$B,'Entrada Lvl 5-4 qt'!$B86,Entradas!$AG:$AG)</f>
        <v>717.39676463438343</v>
      </c>
      <c r="AG86" s="30"/>
      <c r="BD86" s="49"/>
      <c r="BE86" s="49"/>
    </row>
    <row r="87" spans="1:57" x14ac:dyDescent="0.3">
      <c r="A87">
        <f>_xlfn.XLOOKUP(B87,Entradas!B:B,Entradas!A:A,,0,-1)</f>
        <v>2</v>
      </c>
      <c r="B87">
        <v>19122653</v>
      </c>
      <c r="C87" t="str">
        <f>_xlfn.XLOOKUP($B87,Entradas!$B:$B,Entradas!C:C,,0,1)</f>
        <v>000683/23</v>
      </c>
      <c r="D87" t="str">
        <f>_xlfn.XLOOKUP($B87,Entradas!$B:$B,Entradas!D:D,,0,1)</f>
        <v>***.597.068-**</v>
      </c>
      <c r="E87" t="str">
        <f>_xlfn.XLOOKUP($B87,Entradas!$B:$B,Entradas!E:E,,0,1)</f>
        <v>SERGIO ROBERTO SILVEIRA</v>
      </c>
      <c r="F87" t="str">
        <f>_xlfn.XLOOKUP($B87,Entradas!$B:$B,Entradas!F:F,,0,1)</f>
        <v/>
      </c>
      <c r="G87" t="str">
        <f>_xlfn.XLOOKUP($B87,Entradas!$B:$B,Entradas!G:G,,0,1)</f>
        <v>-1</v>
      </c>
      <c r="H87" t="str">
        <f>_xlfn.XLOOKUP($B87,Entradas!$B:$B,Entradas!H:H,,0,1)</f>
        <v>Sem informação</v>
      </c>
      <c r="I87" s="49">
        <f>_xlfn.XLOOKUP($B87,Entradas!$B:$B,Entradas!I:I,,0,1)</f>
        <v>45188</v>
      </c>
      <c r="J87" s="49">
        <f>_xlfn.XLOOKUP($B87,Entradas!$B:$B,Entradas!J:J,,0,1)</f>
        <v>45192</v>
      </c>
      <c r="K87" t="str">
        <f>_xlfn.XLOOKUP($B87,Entradas!$B:$B,Entradas!K:K,,0,1)</f>
        <v>Participar como Palestrante no II CONGRESSO DE INCLUSÃO E ACESSBILIDADE DA UFPB a ser realizado nos dias 20, 21 e 22 de setembro de 2023, em João Pessoa/PB.</v>
      </c>
      <c r="L87">
        <f>SUMIF(Entradas!$B:$B,'Entrada Lvl 5-4 qt'!$B87,Entradas!S:S)</f>
        <v>4379.9484839999996</v>
      </c>
      <c r="M87" t="str">
        <f>_xlfn.XLOOKUP($B87,Entradas!$B:$B,Entradas!T:T,,0,1)</f>
        <v>Aéreo</v>
      </c>
      <c r="N87" t="str">
        <f>_xlfn.XLOOKUP($B87,Entradas!$B:$B,Entradas!U:U,,0,1)</f>
        <v>Sim</v>
      </c>
      <c r="O87" t="str">
        <f>_xlfn.XLOOKUP($B87,Entradas!$B:$B,Entradas!V:V,,0,1)</f>
        <v>Realizada</v>
      </c>
      <c r="P87" t="str">
        <f>_xlfn.XLOOKUP($B87,Entradas!$B:$B,Entradas!W:W,,0,1)</f>
        <v>NÃO</v>
      </c>
      <c r="Q87" t="str">
        <f>_xlfn.XLOOKUP($B87,Entradas!$B:$B,Entradas!X:X,,0,1)</f>
        <v>Sem informação</v>
      </c>
      <c r="R87" s="36">
        <f>SUMIF(Entradas!$B:$B,'Entrada Lvl 5-4 qt'!$B87,Entradas!Y:Y)</f>
        <v>0</v>
      </c>
      <c r="S87" s="36">
        <f>SUMIF(Entradas!$B:$B,'Entrada Lvl 5-4 qt'!$B87,Entradas!Z:Z)</f>
        <v>0</v>
      </c>
      <c r="T87" s="36">
        <f>SUMIF(Entradas!$B:$B,'Entrada Lvl 5-4 qt'!$B87,Entradas!AA:AA)</f>
        <v>1598.24</v>
      </c>
      <c r="U87" s="36">
        <f>SUMIF(Entradas!$B:$B,'Entrada Lvl 5-4 qt'!$B87,Entradas!AB:AB)</f>
        <v>0</v>
      </c>
      <c r="V87" s="49">
        <f>_xlfn.XLOOKUP($B87,Entradas!$B:$B,Entradas!AC:AC,,0,1)</f>
        <v>45133</v>
      </c>
      <c r="W87" s="58">
        <f t="shared" si="9"/>
        <v>4</v>
      </c>
      <c r="X87" s="28" t="s">
        <v>10</v>
      </c>
      <c r="Y87" s="32">
        <f t="shared" si="5"/>
        <v>0</v>
      </c>
      <c r="Z87" s="33">
        <f t="shared" si="6"/>
        <v>1598.24</v>
      </c>
      <c r="AA87" s="34">
        <f t="shared" si="7"/>
        <v>0</v>
      </c>
      <c r="AB87" s="28" t="s">
        <v>1814</v>
      </c>
      <c r="AC87" s="28" t="s">
        <v>1822</v>
      </c>
      <c r="AD87" s="29" t="str" cm="1">
        <f t="array" ref="AD87">_xlfn.IFS(L87&lt;=Constantes!$G$2,"Muito Curta (evitável)",L87&lt;=Constantes!$H$2,"Curta Distância",L87&gt;Constantes!$H$2,"Longa Distância")</f>
        <v>Longa Distância</v>
      </c>
      <c r="AE87" s="30" t="str">
        <f t="shared" si="8"/>
        <v>NÃO</v>
      </c>
      <c r="AF87" s="30">
        <f>SUMIF(Entradas!$B:$B,'Entrada Lvl 5-4 qt'!$B87,Entradas!$AG:$AG)</f>
        <v>800.95835140972315</v>
      </c>
      <c r="AG87" s="30"/>
      <c r="BD87" s="49"/>
      <c r="BE87" s="49"/>
    </row>
    <row r="88" spans="1:57" x14ac:dyDescent="0.3">
      <c r="A88">
        <f>_xlfn.XLOOKUP(B88,Entradas!B:B,Entradas!A:A,,0,-1)</f>
        <v>2</v>
      </c>
      <c r="B88">
        <v>19198027</v>
      </c>
      <c r="C88" t="str">
        <f>_xlfn.XLOOKUP($B88,Entradas!$B:$B,Entradas!C:C,,0,1)</f>
        <v>000857/23</v>
      </c>
      <c r="D88" t="str">
        <f>_xlfn.XLOOKUP($B88,Entradas!$B:$B,Entradas!D:D,,0,1)</f>
        <v>***.426.884-**</v>
      </c>
      <c r="E88" t="str">
        <f>_xlfn.XLOOKUP($B88,Entradas!$B:$B,Entradas!E:E,,0,1)</f>
        <v>ANA CRISTINA DE OLIVEIRA E SILVA</v>
      </c>
      <c r="F88" t="str">
        <f>_xlfn.XLOOKUP($B88,Entradas!$B:$B,Entradas!F:F,,0,1)</f>
        <v>PROFESSOR DO MAGISTERIO SUPERIOR</v>
      </c>
      <c r="G88" t="str">
        <f>_xlfn.XLOOKUP($B88,Entradas!$B:$B,Entradas!G:G,,0,1)</f>
        <v>-1</v>
      </c>
      <c r="H88" t="str">
        <f>_xlfn.XLOOKUP($B88,Entradas!$B:$B,Entradas!H:H,,0,1)</f>
        <v>Sem informação</v>
      </c>
      <c r="I88" s="49">
        <f>_xlfn.XLOOKUP($B88,Entradas!$B:$B,Entradas!I:I,,0,1)</f>
        <v>45188</v>
      </c>
      <c r="J88" s="49">
        <f>_xlfn.XLOOKUP($B88,Entradas!$B:$B,Entradas!J:J,,0,1)</f>
        <v>45192</v>
      </c>
      <c r="K88" t="str">
        <f>_xlfn.XLOOKUP($B88,Entradas!$B:$B,Entradas!K:K,,0,1)</f>
        <v>participação do congresso: INFECTO 2023 COM APRESENTAÇÃO DE TRABALHOS</v>
      </c>
      <c r="L88">
        <f>SUMIF(Entradas!$B:$B,'Entrada Lvl 5-4 qt'!$B88,Entradas!S:S)</f>
        <v>1482.2388261999999</v>
      </c>
      <c r="M88" t="str">
        <f>_xlfn.XLOOKUP($B88,Entradas!$B:$B,Entradas!T:T,,0,1)</f>
        <v>Aéreo</v>
      </c>
      <c r="N88" t="str">
        <f>_xlfn.XLOOKUP($B88,Entradas!$B:$B,Entradas!U:U,,0,1)</f>
        <v>Não</v>
      </c>
      <c r="O88" t="str">
        <f>_xlfn.XLOOKUP($B88,Entradas!$B:$B,Entradas!V:V,,0,1)</f>
        <v>Realizada</v>
      </c>
      <c r="P88" t="str">
        <f>_xlfn.XLOOKUP($B88,Entradas!$B:$B,Entradas!W:W,,0,1)</f>
        <v>NÃO</v>
      </c>
      <c r="Q88" t="str">
        <f>_xlfn.XLOOKUP($B88,Entradas!$B:$B,Entradas!X:X,,0,1)</f>
        <v>Sem informação</v>
      </c>
      <c r="R88" s="36">
        <f>SUMIF(Entradas!$B:$B,'Entrada Lvl 5-4 qt'!$B88,Entradas!Y:Y)</f>
        <v>1509.95</v>
      </c>
      <c r="S88" s="36">
        <f>SUMIF(Entradas!$B:$B,'Entrada Lvl 5-4 qt'!$B88,Entradas!Z:Z)</f>
        <v>0</v>
      </c>
      <c r="T88" s="36">
        <f>SUMIF(Entradas!$B:$B,'Entrada Lvl 5-4 qt'!$B88,Entradas!AA:AA)</f>
        <v>1064.5500000000002</v>
      </c>
      <c r="U88" s="36">
        <f>SUMIF(Entradas!$B:$B,'Entrada Lvl 5-4 qt'!$B88,Entradas!AB:AB)</f>
        <v>0</v>
      </c>
      <c r="V88" s="49">
        <f>_xlfn.XLOOKUP($B88,Entradas!$B:$B,Entradas!AC:AC,,0,1)</f>
        <v>45156</v>
      </c>
      <c r="W88" s="58">
        <f t="shared" si="9"/>
        <v>4</v>
      </c>
      <c r="X88" s="28" t="s">
        <v>10</v>
      </c>
      <c r="Y88" s="32">
        <f t="shared" si="5"/>
        <v>0</v>
      </c>
      <c r="Z88" s="33">
        <f t="shared" si="6"/>
        <v>1064.5500000000002</v>
      </c>
      <c r="AA88" s="34">
        <f t="shared" si="7"/>
        <v>1509.95</v>
      </c>
      <c r="AB88" s="28" t="s">
        <v>1814</v>
      </c>
      <c r="AC88" s="28" t="s">
        <v>1820</v>
      </c>
      <c r="AD88" s="29" t="str" cm="1">
        <f t="array" ref="AD88">_xlfn.IFS(L88&lt;=Constantes!$G$2,"Muito Curta (evitável)",L88&lt;=Constantes!$H$2,"Curta Distância",L88&gt;Constantes!$H$2,"Longa Distância")</f>
        <v>Curta Distância</v>
      </c>
      <c r="AE88" s="30" t="str">
        <f t="shared" si="8"/>
        <v>NÃO</v>
      </c>
      <c r="AF88" s="30">
        <f>SUMIF(Entradas!$B:$B,'Entrada Lvl 5-4 qt'!$B88,Entradas!$AG:$AG)</f>
        <v>271.05605715809952</v>
      </c>
      <c r="AG88" s="30"/>
      <c r="BD88" s="49"/>
      <c r="BE88" s="49"/>
    </row>
    <row r="89" spans="1:57" x14ac:dyDescent="0.3">
      <c r="A89">
        <f>_xlfn.XLOOKUP(B89,Entradas!B:B,Entradas!A:A,,0,-1)</f>
        <v>2</v>
      </c>
      <c r="B89">
        <v>19245207</v>
      </c>
      <c r="C89" t="str">
        <f>_xlfn.XLOOKUP($B89,Entradas!$B:$B,Entradas!C:C,,0,1)</f>
        <v>001044/23</v>
      </c>
      <c r="D89" t="str">
        <f>_xlfn.XLOOKUP($B89,Entradas!$B:$B,Entradas!D:D,,0,1)</f>
        <v>***.366.309-**</v>
      </c>
      <c r="E89" t="str">
        <f>_xlfn.XLOOKUP($B89,Entradas!$B:$B,Entradas!E:E,,0,1)</f>
        <v>ANTONIO MANOEL ELIBIO JUNIOR</v>
      </c>
      <c r="F89" t="str">
        <f>_xlfn.XLOOKUP($B89,Entradas!$B:$B,Entradas!F:F,,0,1)</f>
        <v>PROFESSOR DO MAGISTERIO SUPERIOR</v>
      </c>
      <c r="G89" t="str">
        <f>_xlfn.XLOOKUP($B89,Entradas!$B:$B,Entradas!G:G,,0,1)</f>
        <v>FUC-0001</v>
      </c>
      <c r="H89" t="str">
        <f>_xlfn.XLOOKUP($B89,Entradas!$B:$B,Entradas!H:H,,0,1)</f>
        <v>FUC-0001</v>
      </c>
      <c r="I89" s="49">
        <f>_xlfn.XLOOKUP($B89,Entradas!$B:$B,Entradas!I:I,,0,1)</f>
        <v>45188</v>
      </c>
      <c r="J89" s="49">
        <f>_xlfn.XLOOKUP($B89,Entradas!$B:$B,Entradas!J:J,,0,1)</f>
        <v>45192</v>
      </c>
      <c r="K89" t="str">
        <f>_xlfn.XLOOKUP($B89,Entradas!$B:$B,Entradas!K:K,,0,1)</f>
        <v>Participação no evento 'IV Simpósio Internacional de Inovação em Educação Superior e IX Seminário Inovações Curriculares' (IV SIIES e IX Inovações), organizado pela Câmara de Tecnologias Educacionais e Educação à Distância (CEaD) da Associação Brasileira de Reitoras e Reitores das Universidades Estaduais e Municipais (ABRUEM) e pela Universidade Estadual de Campinas (Unicamp), entre os dias 20 a 23 de setembro de 2023, na cidade de Campinas, São Paulo</v>
      </c>
      <c r="L89">
        <f>SUMIF(Entradas!$B:$B,'Entrada Lvl 5-4 qt'!$B89,Entradas!S:S)</f>
        <v>4200.9974579999998</v>
      </c>
      <c r="M89" t="str">
        <f>_xlfn.XLOOKUP($B89,Entradas!$B:$B,Entradas!T:T,,0,1)</f>
        <v>Aéreo</v>
      </c>
      <c r="N89" t="str">
        <f>_xlfn.XLOOKUP($B89,Entradas!$B:$B,Entradas!U:U,,0,1)</f>
        <v>Não</v>
      </c>
      <c r="O89" t="str">
        <f>_xlfn.XLOOKUP($B89,Entradas!$B:$B,Entradas!V:V,,0,1)</f>
        <v>Realizada</v>
      </c>
      <c r="P89" t="str">
        <f>_xlfn.XLOOKUP($B89,Entradas!$B:$B,Entradas!W:W,,0,1)</f>
        <v>SIM</v>
      </c>
      <c r="Q89" t="str">
        <f>_xlfn.XLOOKUP($B89,Entradas!$B:$B,Entradas!X:X,,0,1)</f>
        <v>Solicitação aguardando reforço de empenho em razão da alta nos valores de passagens aéreas e que só foi finalizada em 15/09/2023. Processo 23074.070494/2020-66</v>
      </c>
      <c r="R89" s="36">
        <f>SUMIF(Entradas!$B:$B,'Entrada Lvl 5-4 qt'!$B89,Entradas!Y:Y)</f>
        <v>1298.25</v>
      </c>
      <c r="S89" s="36">
        <f>SUMIF(Entradas!$B:$B,'Entrada Lvl 5-4 qt'!$B89,Entradas!Z:Z)</f>
        <v>0</v>
      </c>
      <c r="T89" s="36">
        <f>SUMIF(Entradas!$B:$B,'Entrada Lvl 5-4 qt'!$B89,Entradas!AA:AA)</f>
        <v>2973.9700000000003</v>
      </c>
      <c r="U89" s="36">
        <f>SUMIF(Entradas!$B:$B,'Entrada Lvl 5-4 qt'!$B89,Entradas!AB:AB)</f>
        <v>0</v>
      </c>
      <c r="V89" s="49">
        <f>_xlfn.XLOOKUP($B89,Entradas!$B:$B,Entradas!AC:AC,,0,1)</f>
        <v>45187</v>
      </c>
      <c r="W89" s="58">
        <f t="shared" si="9"/>
        <v>4</v>
      </c>
      <c r="X89" s="28" t="s">
        <v>10</v>
      </c>
      <c r="Y89" s="32">
        <f t="shared" si="5"/>
        <v>0</v>
      </c>
      <c r="Z89" s="33">
        <f t="shared" si="6"/>
        <v>2973.9700000000003</v>
      </c>
      <c r="AA89" s="34">
        <f t="shared" si="7"/>
        <v>1298.25</v>
      </c>
      <c r="AB89" s="28" t="s">
        <v>1814</v>
      </c>
      <c r="AC89" s="28" t="s">
        <v>1784</v>
      </c>
      <c r="AD89" s="29" t="str" cm="1">
        <f t="array" ref="AD89">_xlfn.IFS(L89&lt;=Constantes!$G$2,"Muito Curta (evitável)",L89&lt;=Constantes!$H$2,"Curta Distância",L89&gt;Constantes!$H$2,"Longa Distância")</f>
        <v>Longa Distância</v>
      </c>
      <c r="AE89" s="30" t="str">
        <f t="shared" si="8"/>
        <v>NÃO</v>
      </c>
      <c r="AF89" s="30">
        <f>SUMIF(Entradas!$B:$B,'Entrada Lvl 5-4 qt'!$B89,Entradas!$AG:$AG)</f>
        <v>768.23369282261126</v>
      </c>
      <c r="AG89" s="30"/>
      <c r="BD89" s="49"/>
      <c r="BE89" s="49"/>
    </row>
    <row r="90" spans="1:57" x14ac:dyDescent="0.3">
      <c r="A90">
        <f>_xlfn.XLOOKUP(B90,Entradas!B:B,Entradas!A:A,,0,-1)</f>
        <v>2</v>
      </c>
      <c r="B90">
        <v>19278767</v>
      </c>
      <c r="C90" t="str">
        <f>_xlfn.XLOOKUP($B90,Entradas!$B:$B,Entradas!C:C,,0,1)</f>
        <v>001050/23</v>
      </c>
      <c r="D90" t="str">
        <f>_xlfn.XLOOKUP($B90,Entradas!$B:$B,Entradas!D:D,,0,1)</f>
        <v>***.605.754-**</v>
      </c>
      <c r="E90" t="str">
        <f>_xlfn.XLOOKUP($B90,Entradas!$B:$B,Entradas!E:E,,0,1)</f>
        <v>EDSON HILAN GOMES DE LUCENA</v>
      </c>
      <c r="F90" t="str">
        <f>_xlfn.XLOOKUP($B90,Entradas!$B:$B,Entradas!F:F,,0,1)</f>
        <v>PROFESSOR DO MAGISTERIO SUPERIOR</v>
      </c>
      <c r="G90" t="str">
        <f>_xlfn.XLOOKUP($B90,Entradas!$B:$B,Entradas!G:G,,0,1)</f>
        <v>-1</v>
      </c>
      <c r="H90" t="str">
        <f>_xlfn.XLOOKUP($B90,Entradas!$B:$B,Entradas!H:H,,0,1)</f>
        <v>Sem informação</v>
      </c>
      <c r="I90" s="49">
        <f>_xlfn.XLOOKUP($B90,Entradas!$B:$B,Entradas!I:I,,0,1)</f>
        <v>45188</v>
      </c>
      <c r="J90" s="49">
        <f>_xlfn.XLOOKUP($B90,Entradas!$B:$B,Entradas!J:J,,0,1)</f>
        <v>45191</v>
      </c>
      <c r="K90" t="str">
        <f>_xlfn.XLOOKUP($B90,Entradas!$B:$B,Entradas!K:K,,0,1)</f>
        <v>Participar do Lançamento do Aplicativo TeleEstomato-Amapá e capacitação de profissionais da odontologia hospitalar</v>
      </c>
      <c r="L90">
        <f>SUMIF(Entradas!$B:$B,'Entrada Lvl 5-4 qt'!$B90,Entradas!S:S)</f>
        <v>3918.1772780000001</v>
      </c>
      <c r="M90" t="str">
        <f>_xlfn.XLOOKUP($B90,Entradas!$B:$B,Entradas!T:T,,0,1)</f>
        <v>Aéreo</v>
      </c>
      <c r="N90" t="str">
        <f>_xlfn.XLOOKUP($B90,Entradas!$B:$B,Entradas!U:U,,0,1)</f>
        <v>Não</v>
      </c>
      <c r="O90" t="str">
        <f>_xlfn.XLOOKUP($B90,Entradas!$B:$B,Entradas!V:V,,0,1)</f>
        <v>Realizada</v>
      </c>
      <c r="P90" t="str">
        <f>_xlfn.XLOOKUP($B90,Entradas!$B:$B,Entradas!W:W,,0,1)</f>
        <v>SIM</v>
      </c>
      <c r="Q90" t="str">
        <f>_xlfn.XLOOKUP($B90,Entradas!$B:$B,Entradas!X:X,,0,1)</f>
        <v>Recebimento de carta convite em prazo inferior ao recomendado para cadastro de viagem no sistema SCDP. Carta convite assinada em 08/09 e recebida em 11/09.</v>
      </c>
      <c r="R90" s="36">
        <f>SUMIF(Entradas!$B:$B,'Entrada Lvl 5-4 qt'!$B90,Entradas!Y:Y)</f>
        <v>1168.93</v>
      </c>
      <c r="S90" s="36">
        <f>SUMIF(Entradas!$B:$B,'Entrada Lvl 5-4 qt'!$B90,Entradas!Z:Z)</f>
        <v>0</v>
      </c>
      <c r="T90" s="36">
        <f>SUMIF(Entradas!$B:$B,'Entrada Lvl 5-4 qt'!$B90,Entradas!AA:AA)</f>
        <v>4308.21</v>
      </c>
      <c r="U90" s="36">
        <f>SUMIF(Entradas!$B:$B,'Entrada Lvl 5-4 qt'!$B90,Entradas!AB:AB)</f>
        <v>0</v>
      </c>
      <c r="V90" s="49">
        <f>_xlfn.XLOOKUP($B90,Entradas!$B:$B,Entradas!AC:AC,,0,1)</f>
        <v>45183</v>
      </c>
      <c r="W90" s="58">
        <f t="shared" si="9"/>
        <v>3</v>
      </c>
      <c r="X90" s="28" t="s">
        <v>10</v>
      </c>
      <c r="Y90" s="32">
        <f t="shared" si="5"/>
        <v>0</v>
      </c>
      <c r="Z90" s="33">
        <f t="shared" si="6"/>
        <v>4308.21</v>
      </c>
      <c r="AA90" s="34">
        <f t="shared" si="7"/>
        <v>1168.93</v>
      </c>
      <c r="AB90" s="28" t="s">
        <v>1816</v>
      </c>
      <c r="AC90" s="28" t="s">
        <v>1820</v>
      </c>
      <c r="AD90" s="29" t="str" cm="1">
        <f t="array" ref="AD90">_xlfn.IFS(L90&lt;=Constantes!$G$2,"Muito Curta (evitável)",L90&lt;=Constantes!$H$2,"Curta Distância",L90&gt;Constantes!$H$2,"Longa Distância")</f>
        <v>Longa Distância</v>
      </c>
      <c r="AE90" s="30" t="str">
        <f t="shared" si="8"/>
        <v>NÃO</v>
      </c>
      <c r="AF90" s="30">
        <f>SUMIF(Entradas!$B:$B,'Entrada Lvl 5-4 qt'!$B90,Entradas!$AG:$AG)</f>
        <v>716.51454910534903</v>
      </c>
      <c r="AG90" s="30"/>
      <c r="BD90" s="49"/>
      <c r="BE90" s="49"/>
    </row>
    <row r="91" spans="1:57" x14ac:dyDescent="0.3">
      <c r="A91">
        <f>_xlfn.XLOOKUP(B91,Entradas!B:B,Entradas!A:A,,0,-1)</f>
        <v>2</v>
      </c>
      <c r="B91">
        <v>19283813</v>
      </c>
      <c r="C91" t="str">
        <f>_xlfn.XLOOKUP($B91,Entradas!$B:$B,Entradas!C:C,,0,1)</f>
        <v>001072/23</v>
      </c>
      <c r="D91" t="str">
        <f>_xlfn.XLOOKUP($B91,Entradas!$B:$B,Entradas!D:D,,0,1)</f>
        <v/>
      </c>
      <c r="E91" t="str">
        <f>_xlfn.XLOOKUP($B91,Entradas!$B:$B,Entradas!E:E,,0,1)</f>
        <v>LIVIAN ISABEL DE MEDEIROS CARVALHO</v>
      </c>
      <c r="F91" t="str">
        <f>_xlfn.XLOOKUP($B91,Entradas!$B:$B,Entradas!F:F,,0,1)</f>
        <v/>
      </c>
      <c r="G91" t="str">
        <f>_xlfn.XLOOKUP($B91,Entradas!$B:$B,Entradas!G:G,,0,1)</f>
        <v>-1</v>
      </c>
      <c r="H91" t="str">
        <f>_xlfn.XLOOKUP($B91,Entradas!$B:$B,Entradas!H:H,,0,1)</f>
        <v>Sem informação</v>
      </c>
      <c r="I91" s="49">
        <f>_xlfn.XLOOKUP($B91,Entradas!$B:$B,Entradas!I:I,,0,1)</f>
        <v>45188</v>
      </c>
      <c r="J91" s="49">
        <f>_xlfn.XLOOKUP($B91,Entradas!$B:$B,Entradas!J:J,,0,1)</f>
        <v>45192</v>
      </c>
      <c r="K91" t="str">
        <f>_xlfn.XLOOKUP($B91,Entradas!$B:$B,Entradas!K:K,,0,1)</f>
        <v>Participar do lançamento do aplicativo TeleEstomato Amapá e realizar treinamento de dentistas da odontologia hospitalar</v>
      </c>
      <c r="L91">
        <f>SUMIF(Entradas!$B:$B,'Entrada Lvl 5-4 qt'!$B91,Entradas!S:S)</f>
        <v>3918.1772780000001</v>
      </c>
      <c r="M91" t="str">
        <f>_xlfn.XLOOKUP($B91,Entradas!$B:$B,Entradas!T:T,,0,1)</f>
        <v>Aéreo</v>
      </c>
      <c r="N91" t="str">
        <f>_xlfn.XLOOKUP($B91,Entradas!$B:$B,Entradas!U:U,,0,1)</f>
        <v>Sim</v>
      </c>
      <c r="O91" t="str">
        <f>_xlfn.XLOOKUP($B91,Entradas!$B:$B,Entradas!V:V,,0,1)</f>
        <v>Realizada</v>
      </c>
      <c r="P91" t="str">
        <f>_xlfn.XLOOKUP($B91,Entradas!$B:$B,Entradas!W:W,,0,1)</f>
        <v>SIM</v>
      </c>
      <c r="Q91" t="str">
        <f>_xlfn.XLOOKUP($B91,Entradas!$B:$B,Entradas!X:X,,0,1)</f>
        <v>Carta convite enviada apenas em 11/09/23</v>
      </c>
      <c r="R91" s="36">
        <f>SUMIF(Entradas!$B:$B,'Entrada Lvl 5-4 qt'!$B91,Entradas!Y:Y)</f>
        <v>0</v>
      </c>
      <c r="S91" s="36">
        <f>SUMIF(Entradas!$B:$B,'Entrada Lvl 5-4 qt'!$B91,Entradas!Z:Z)</f>
        <v>0</v>
      </c>
      <c r="T91" s="36">
        <f>SUMIF(Entradas!$B:$B,'Entrada Lvl 5-4 qt'!$B91,Entradas!AA:AA)</f>
        <v>5742.91</v>
      </c>
      <c r="U91" s="36">
        <f>SUMIF(Entradas!$B:$B,'Entrada Lvl 5-4 qt'!$B91,Entradas!AB:AB)</f>
        <v>0</v>
      </c>
      <c r="V91" s="49">
        <f>_xlfn.XLOOKUP($B91,Entradas!$B:$B,Entradas!AC:AC,,0,1)</f>
        <v>45184</v>
      </c>
      <c r="W91" s="58">
        <f t="shared" si="9"/>
        <v>4</v>
      </c>
      <c r="X91" s="28" t="s">
        <v>10</v>
      </c>
      <c r="Y91" s="32">
        <f t="shared" si="5"/>
        <v>0</v>
      </c>
      <c r="Z91" s="33">
        <f t="shared" si="6"/>
        <v>5742.91</v>
      </c>
      <c r="AA91" s="34">
        <f t="shared" si="7"/>
        <v>0</v>
      </c>
      <c r="AB91" s="28" t="s">
        <v>1816</v>
      </c>
      <c r="AC91" s="28" t="s">
        <v>1822</v>
      </c>
      <c r="AD91" s="29" t="str" cm="1">
        <f t="array" ref="AD91">_xlfn.IFS(L91&lt;=Constantes!$G$2,"Muito Curta (evitável)",L91&lt;=Constantes!$H$2,"Curta Distância",L91&gt;Constantes!$H$2,"Longa Distância")</f>
        <v>Longa Distância</v>
      </c>
      <c r="AE91" s="30" t="str">
        <f t="shared" si="8"/>
        <v>NÃO</v>
      </c>
      <c r="AF91" s="30">
        <f>SUMIF(Entradas!$B:$B,'Entrada Lvl 5-4 qt'!$B91,Entradas!$AG:$AG)</f>
        <v>716.51454910534903</v>
      </c>
      <c r="AG91" s="30"/>
      <c r="BD91" s="49"/>
      <c r="BE91" s="49"/>
    </row>
    <row r="92" spans="1:57" x14ac:dyDescent="0.3">
      <c r="A92">
        <f>_xlfn.XLOOKUP(B92,Entradas!B:B,Entradas!A:A,,0,-1)</f>
        <v>2</v>
      </c>
      <c r="B92">
        <v>19284018</v>
      </c>
      <c r="C92" t="str">
        <f>_xlfn.XLOOKUP($B92,Entradas!$B:$B,Entradas!C:C,,0,1)</f>
        <v>001073/23</v>
      </c>
      <c r="D92" t="str">
        <f>_xlfn.XLOOKUP($B92,Entradas!$B:$B,Entradas!D:D,,0,1)</f>
        <v/>
      </c>
      <c r="E92" t="str">
        <f>_xlfn.XLOOKUP($B92,Entradas!$B:$B,Entradas!E:E,,0,1)</f>
        <v>HELDER DOMICIANO DANTAS MARTINS</v>
      </c>
      <c r="F92" t="str">
        <f>_xlfn.XLOOKUP($B92,Entradas!$B:$B,Entradas!F:F,,0,1)</f>
        <v/>
      </c>
      <c r="G92" t="str">
        <f>_xlfn.XLOOKUP($B92,Entradas!$B:$B,Entradas!G:G,,0,1)</f>
        <v>-1</v>
      </c>
      <c r="H92" t="str">
        <f>_xlfn.XLOOKUP($B92,Entradas!$B:$B,Entradas!H:H,,0,1)</f>
        <v>Sem informação</v>
      </c>
      <c r="I92" s="49">
        <f>_xlfn.XLOOKUP($B92,Entradas!$B:$B,Entradas!I:I,,0,1)</f>
        <v>45188</v>
      </c>
      <c r="J92" s="49">
        <f>_xlfn.XLOOKUP($B92,Entradas!$B:$B,Entradas!J:J,,0,1)</f>
        <v>45192</v>
      </c>
      <c r="K92" t="str">
        <f>_xlfn.XLOOKUP($B92,Entradas!$B:$B,Entradas!K:K,,0,1)</f>
        <v>Lançamento do aplicativo TeleEstomato Amapá e treinamento de dentistas da odontologia hospitalar</v>
      </c>
      <c r="L92">
        <f>SUMIF(Entradas!$B:$B,'Entrada Lvl 5-4 qt'!$B92,Entradas!S:S)</f>
        <v>3918.1772780000001</v>
      </c>
      <c r="M92" t="str">
        <f>_xlfn.XLOOKUP($B92,Entradas!$B:$B,Entradas!T:T,,0,1)</f>
        <v>Aéreo</v>
      </c>
      <c r="N92" t="str">
        <f>_xlfn.XLOOKUP($B92,Entradas!$B:$B,Entradas!U:U,,0,1)</f>
        <v>Não</v>
      </c>
      <c r="O92" t="str">
        <f>_xlfn.XLOOKUP($B92,Entradas!$B:$B,Entradas!V:V,,0,1)</f>
        <v>Realizada</v>
      </c>
      <c r="P92" t="str">
        <f>_xlfn.XLOOKUP($B92,Entradas!$B:$B,Entradas!W:W,,0,1)</f>
        <v>SIM</v>
      </c>
      <c r="Q92" t="str">
        <f>_xlfn.XLOOKUP($B92,Entradas!$B:$B,Entradas!X:X,,0,1)</f>
        <v>carta convite enviada apenas dia 11/09/2023</v>
      </c>
      <c r="R92" s="36">
        <f>SUMIF(Entradas!$B:$B,'Entrada Lvl 5-4 qt'!$B92,Entradas!Y:Y)</f>
        <v>0</v>
      </c>
      <c r="S92" s="36">
        <f>SUMIF(Entradas!$B:$B,'Entrada Lvl 5-4 qt'!$B92,Entradas!Z:Z)</f>
        <v>0</v>
      </c>
      <c r="T92" s="36">
        <f>SUMIF(Entradas!$B:$B,'Entrada Lvl 5-4 qt'!$B92,Entradas!AA:AA)</f>
        <v>5742.91</v>
      </c>
      <c r="U92" s="36">
        <f>SUMIF(Entradas!$B:$B,'Entrada Lvl 5-4 qt'!$B92,Entradas!AB:AB)</f>
        <v>0</v>
      </c>
      <c r="V92" s="49">
        <f>_xlfn.XLOOKUP($B92,Entradas!$B:$B,Entradas!AC:AC,,0,1)</f>
        <v>45184</v>
      </c>
      <c r="W92" s="58">
        <f t="shared" si="9"/>
        <v>4</v>
      </c>
      <c r="X92" s="28" t="s">
        <v>10</v>
      </c>
      <c r="Y92" s="32">
        <f t="shared" si="5"/>
        <v>0</v>
      </c>
      <c r="Z92" s="33">
        <f t="shared" si="6"/>
        <v>5742.91</v>
      </c>
      <c r="AA92" s="34">
        <f t="shared" si="7"/>
        <v>0</v>
      </c>
      <c r="AB92" s="28" t="s">
        <v>1816</v>
      </c>
      <c r="AC92" s="28" t="s">
        <v>1822</v>
      </c>
      <c r="AD92" s="29" t="str" cm="1">
        <f t="array" ref="AD92">_xlfn.IFS(L92&lt;=Constantes!$G$2,"Muito Curta (evitável)",L92&lt;=Constantes!$H$2,"Curta Distância",L92&gt;Constantes!$H$2,"Longa Distância")</f>
        <v>Longa Distância</v>
      </c>
      <c r="AE92" s="30" t="str">
        <f t="shared" si="8"/>
        <v>NÃO</v>
      </c>
      <c r="AF92" s="30">
        <f>SUMIF(Entradas!$B:$B,'Entrada Lvl 5-4 qt'!$B92,Entradas!$AG:$AG)</f>
        <v>716.51454910534903</v>
      </c>
      <c r="AG92" s="30"/>
      <c r="BD92" s="49"/>
      <c r="BE92" s="49"/>
    </row>
    <row r="93" spans="1:57" x14ac:dyDescent="0.3">
      <c r="A93">
        <f>_xlfn.XLOOKUP(B93,Entradas!B:B,Entradas!A:A,,0,-1)</f>
        <v>2</v>
      </c>
      <c r="B93">
        <v>19270158</v>
      </c>
      <c r="C93" t="str">
        <f>_xlfn.XLOOKUP($B93,Entradas!$B:$B,Entradas!C:C,,0,1)</f>
        <v>001039/23</v>
      </c>
      <c r="D93" t="str">
        <f>_xlfn.XLOOKUP($B93,Entradas!$B:$B,Entradas!D:D,,0,1)</f>
        <v/>
      </c>
      <c r="E93" t="str">
        <f>_xlfn.XLOOKUP($B93,Entradas!$B:$B,Entradas!E:E,,0,1)</f>
        <v>ANA PAULA DASSIE LEITE</v>
      </c>
      <c r="F93" t="str">
        <f>_xlfn.XLOOKUP($B93,Entradas!$B:$B,Entradas!F:F,,0,1)</f>
        <v/>
      </c>
      <c r="G93" t="str">
        <f>_xlfn.XLOOKUP($B93,Entradas!$B:$B,Entradas!G:G,,0,1)</f>
        <v>-1</v>
      </c>
      <c r="H93" t="str">
        <f>_xlfn.XLOOKUP($B93,Entradas!$B:$B,Entradas!H:H,,0,1)</f>
        <v>Sem informação</v>
      </c>
      <c r="I93" s="49">
        <f>_xlfn.XLOOKUP($B93,Entradas!$B:$B,Entradas!I:I,,0,1)</f>
        <v>45189</v>
      </c>
      <c r="J93" s="49">
        <f>_xlfn.XLOOKUP($B93,Entradas!$B:$B,Entradas!J:J,,0,1)</f>
        <v>45198</v>
      </c>
      <c r="K93" t="str">
        <f>_xlfn.XLOOKUP($B93,Entradas!$B:$B,Entradas!K:K,,0,1)</f>
        <v>O proposto participará na Banca Examinadora do Concurso Público de Provas e Títulos para o cargo de Professor do Magistério Superior, Área de 'Voz', do Departamento de Fonoaudiologia/CCS/UFPB.</v>
      </c>
      <c r="L93">
        <f>SUMIF(Entradas!$B:$B,'Entrada Lvl 5-4 qt'!$B93,Entradas!S:S)</f>
        <v>5083.2952619999996</v>
      </c>
      <c r="M93" t="str">
        <f>_xlfn.XLOOKUP($B93,Entradas!$B:$B,Entradas!T:T,,0,1)</f>
        <v>Aéreo</v>
      </c>
      <c r="N93" t="str">
        <f>_xlfn.XLOOKUP($B93,Entradas!$B:$B,Entradas!U:U,,0,1)</f>
        <v>Não</v>
      </c>
      <c r="O93" t="str">
        <f>_xlfn.XLOOKUP($B93,Entradas!$B:$B,Entradas!V:V,,0,1)</f>
        <v>Realizada</v>
      </c>
      <c r="P93" t="str">
        <f>_xlfn.XLOOKUP($B93,Entradas!$B:$B,Entradas!W:W,,0,1)</f>
        <v>SIM</v>
      </c>
      <c r="Q93" t="str">
        <f>_xlfn.XLOOKUP($B93,Entradas!$B:$B,Entradas!X:X,,0,1)</f>
        <v>Devido as questões orçamentárias do Centro de Ciências da saúde onde os empenhos de hospedagem e passagem tiveram que ser reforçados, a solicitação da passagem só pode ser realizada na presente data.</v>
      </c>
      <c r="R93" s="36">
        <f>SUMIF(Entradas!$B:$B,'Entrada Lvl 5-4 qt'!$B93,Entradas!Y:Y)</f>
        <v>95</v>
      </c>
      <c r="S93" s="36">
        <f>SUMIF(Entradas!$B:$B,'Entrada Lvl 5-4 qt'!$B93,Entradas!Z:Z)</f>
        <v>0</v>
      </c>
      <c r="T93" s="36">
        <f>SUMIF(Entradas!$B:$B,'Entrada Lvl 5-4 qt'!$B93,Entradas!AA:AA)</f>
        <v>3132.98</v>
      </c>
      <c r="U93" s="36">
        <f>SUMIF(Entradas!$B:$B,'Entrada Lvl 5-4 qt'!$B93,Entradas!AB:AB)</f>
        <v>0</v>
      </c>
      <c r="V93" s="49">
        <f>_xlfn.XLOOKUP($B93,Entradas!$B:$B,Entradas!AC:AC,,0,1)</f>
        <v>45181</v>
      </c>
      <c r="W93" s="58">
        <f t="shared" si="9"/>
        <v>9</v>
      </c>
      <c r="X93" s="28" t="s">
        <v>10</v>
      </c>
      <c r="Y93" s="32">
        <f t="shared" si="5"/>
        <v>0</v>
      </c>
      <c r="Z93" s="33">
        <f t="shared" si="6"/>
        <v>3132.98</v>
      </c>
      <c r="AA93" s="34">
        <f t="shared" si="7"/>
        <v>95</v>
      </c>
      <c r="AB93" s="28" t="s">
        <v>1812</v>
      </c>
      <c r="AC93" s="28" t="s">
        <v>1821</v>
      </c>
      <c r="AD93" s="29" t="str" cm="1">
        <f t="array" ref="AD93">_xlfn.IFS(L93&lt;=Constantes!$G$2,"Muito Curta (evitável)",L93&lt;=Constantes!$H$2,"Curta Distância",L93&gt;Constantes!$H$2,"Longa Distância")</f>
        <v>Longa Distância</v>
      </c>
      <c r="AE93" s="30" t="str">
        <f t="shared" si="8"/>
        <v>NÃO</v>
      </c>
      <c r="AF93" s="30">
        <f>SUMIF(Entradas!$B:$B,'Entrada Lvl 5-4 qt'!$B93,Entradas!$AG:$AG)</f>
        <v>929.57892259546873</v>
      </c>
      <c r="AG93" s="30"/>
      <c r="BD93" s="49"/>
      <c r="BE93" s="49"/>
    </row>
    <row r="94" spans="1:57" x14ac:dyDescent="0.3">
      <c r="A94">
        <f>_xlfn.XLOOKUP(B94,Entradas!B:B,Entradas!A:A,,0,-1)</f>
        <v>2</v>
      </c>
      <c r="B94">
        <v>19203299</v>
      </c>
      <c r="C94" t="str">
        <f>_xlfn.XLOOKUP($B94,Entradas!$B:$B,Entradas!C:C,,0,1)</f>
        <v>000875/23</v>
      </c>
      <c r="D94" t="str">
        <f>_xlfn.XLOOKUP($B94,Entradas!$B:$B,Entradas!D:D,,0,1)</f>
        <v>***.066.504-**</v>
      </c>
      <c r="E94" t="str">
        <f>_xlfn.XLOOKUP($B94,Entradas!$B:$B,Entradas!E:E,,0,1)</f>
        <v>JULIANA KESSIA BARBOSA SOARES MOREIRA</v>
      </c>
      <c r="F94" t="str">
        <f>_xlfn.XLOOKUP($B94,Entradas!$B:$B,Entradas!F:F,,0,1)</f>
        <v>PROFESSOR DO MAGISTERIO SUPERIOR</v>
      </c>
      <c r="G94" t="str">
        <f>_xlfn.XLOOKUP($B94,Entradas!$B:$B,Entradas!G:G,,0,1)</f>
        <v>-1</v>
      </c>
      <c r="H94" t="str">
        <f>_xlfn.XLOOKUP($B94,Entradas!$B:$B,Entradas!H:H,,0,1)</f>
        <v>Sem informação</v>
      </c>
      <c r="I94" s="49">
        <f>_xlfn.XLOOKUP($B94,Entradas!$B:$B,Entradas!I:I,,0,1)</f>
        <v>45190</v>
      </c>
      <c r="J94" s="49">
        <f>_xlfn.XLOOKUP($B94,Entradas!$B:$B,Entradas!J:J,,0,1)</f>
        <v>45193</v>
      </c>
      <c r="K94" t="str">
        <f>_xlfn.XLOOKUP($B94,Entradas!$B:$B,Entradas!K:K,,0,1)</f>
        <v>A docente do quadro permanente do PPGCTA - UFPB irá apresentar trabalhos realizados com mestrandos e doutorandos do Programa</v>
      </c>
      <c r="L94">
        <f>SUMIF(Entradas!$B:$B,'Entrada Lvl 5-4 qt'!$B94,Entradas!S:S)</f>
        <v>4379.9484839999996</v>
      </c>
      <c r="M94" t="str">
        <f>_xlfn.XLOOKUP($B94,Entradas!$B:$B,Entradas!T:T,,0,1)</f>
        <v>Aéreo</v>
      </c>
      <c r="N94" t="str">
        <f>_xlfn.XLOOKUP($B94,Entradas!$B:$B,Entradas!U:U,,0,1)</f>
        <v>Não</v>
      </c>
      <c r="O94" t="str">
        <f>_xlfn.XLOOKUP($B94,Entradas!$B:$B,Entradas!V:V,,0,1)</f>
        <v>Realizada</v>
      </c>
      <c r="P94" t="str">
        <f>_xlfn.XLOOKUP($B94,Entradas!$B:$B,Entradas!W:W,,0,1)</f>
        <v>NÃO</v>
      </c>
      <c r="Q94" t="str">
        <f>_xlfn.XLOOKUP($B94,Entradas!$B:$B,Entradas!X:X,,0,1)</f>
        <v>Sem informação</v>
      </c>
      <c r="R94" s="36">
        <f>SUMIF(Entradas!$B:$B,'Entrada Lvl 5-4 qt'!$B94,Entradas!Y:Y)</f>
        <v>1369.17</v>
      </c>
      <c r="S94" s="36">
        <f>SUMIF(Entradas!$B:$B,'Entrada Lvl 5-4 qt'!$B94,Entradas!Z:Z)</f>
        <v>0</v>
      </c>
      <c r="T94" s="36">
        <f>SUMIF(Entradas!$B:$B,'Entrada Lvl 5-4 qt'!$B94,Entradas!AA:AA)</f>
        <v>1999.54</v>
      </c>
      <c r="U94" s="36">
        <f>SUMIF(Entradas!$B:$B,'Entrada Lvl 5-4 qt'!$B94,Entradas!AB:AB)</f>
        <v>0</v>
      </c>
      <c r="V94" s="49">
        <f>_xlfn.XLOOKUP($B94,Entradas!$B:$B,Entradas!AC:AC,,0,1)</f>
        <v>45163</v>
      </c>
      <c r="W94" s="58">
        <f t="shared" si="9"/>
        <v>3</v>
      </c>
      <c r="X94" s="28" t="s">
        <v>10</v>
      </c>
      <c r="Y94" s="32">
        <f t="shared" si="5"/>
        <v>0</v>
      </c>
      <c r="Z94" s="33">
        <f t="shared" si="6"/>
        <v>1999.54</v>
      </c>
      <c r="AA94" s="34">
        <f t="shared" si="7"/>
        <v>1369.17</v>
      </c>
      <c r="AB94" s="28" t="s">
        <v>1814</v>
      </c>
      <c r="AC94" s="28" t="s">
        <v>1820</v>
      </c>
      <c r="AD94" s="29" t="str" cm="1">
        <f t="array" ref="AD94">_xlfn.IFS(L94&lt;=Constantes!$G$2,"Muito Curta (evitável)",L94&lt;=Constantes!$H$2,"Curta Distância",L94&gt;Constantes!$H$2,"Longa Distância")</f>
        <v>Longa Distância</v>
      </c>
      <c r="AE94" s="30" t="str">
        <f t="shared" si="8"/>
        <v>NÃO</v>
      </c>
      <c r="AF94" s="30">
        <f>SUMIF(Entradas!$B:$B,'Entrada Lvl 5-4 qt'!$B94,Entradas!$AG:$AG)</f>
        <v>800.95835140972315</v>
      </c>
      <c r="AG94" s="30"/>
      <c r="BD94" s="49"/>
      <c r="BE94" s="49"/>
    </row>
    <row r="95" spans="1:57" x14ac:dyDescent="0.3">
      <c r="A95">
        <f>_xlfn.XLOOKUP(B95,Entradas!B:B,Entradas!A:A,,0,-1)</f>
        <v>2</v>
      </c>
      <c r="B95">
        <v>19218897</v>
      </c>
      <c r="C95" t="str">
        <f>_xlfn.XLOOKUP($B95,Entradas!$B:$B,Entradas!C:C,,0,1)</f>
        <v>000894/23</v>
      </c>
      <c r="D95" t="str">
        <f>_xlfn.XLOOKUP($B95,Entradas!$B:$B,Entradas!D:D,,0,1)</f>
        <v>***.263.774-**</v>
      </c>
      <c r="E95" t="str">
        <f>_xlfn.XLOOKUP($B95,Entradas!$B:$B,Entradas!E:E,,0,1)</f>
        <v>CARLA ALEXANDRA DA SILVA MOITA MINERVINO</v>
      </c>
      <c r="F95" t="str">
        <f>_xlfn.XLOOKUP($B95,Entradas!$B:$B,Entradas!F:F,,0,1)</f>
        <v>PROFESSOR DO MAGISTERIO SUPERIOR</v>
      </c>
      <c r="G95" t="str">
        <f>_xlfn.XLOOKUP($B95,Entradas!$B:$B,Entradas!G:G,,0,1)</f>
        <v>-1</v>
      </c>
      <c r="H95" t="str">
        <f>_xlfn.XLOOKUP($B95,Entradas!$B:$B,Entradas!H:H,,0,1)</f>
        <v>Sem informação</v>
      </c>
      <c r="I95" s="49">
        <f>_xlfn.XLOOKUP($B95,Entradas!$B:$B,Entradas!I:I,,0,1)</f>
        <v>45193</v>
      </c>
      <c r="J95" s="49">
        <f>_xlfn.XLOOKUP($B95,Entradas!$B:$B,Entradas!J:J,,0,1)</f>
        <v>45196</v>
      </c>
      <c r="K95" t="str">
        <f>_xlfn.XLOOKUP($B95,Entradas!$B:$B,Entradas!K:K,,0,1)</f>
        <v>Participação da vice-coordenadora do Programa de Pós-graduação em Neurociência Cognitiva e Comportamento, Dra. Carla Alexandra da Silva Moita Minervino, no VIII Seminário Novos Horizontes: Políticas científicas e ações afirmativas: fundamentos e diretrizes para o futuro da pós-graduação em Psicologia.</v>
      </c>
      <c r="L95">
        <f>SUMIF(Entradas!$B:$B,'Entrada Lvl 5-4 qt'!$B95,Entradas!S:S)</f>
        <v>3426.839982</v>
      </c>
      <c r="M95" t="str">
        <f>_xlfn.XLOOKUP($B95,Entradas!$B:$B,Entradas!T:T,,0,1)</f>
        <v>Aéreo</v>
      </c>
      <c r="N95" t="str">
        <f>_xlfn.XLOOKUP($B95,Entradas!$B:$B,Entradas!U:U,,0,1)</f>
        <v>Sim</v>
      </c>
      <c r="O95" t="str">
        <f>_xlfn.XLOOKUP($B95,Entradas!$B:$B,Entradas!V:V,,0,1)</f>
        <v>Realizada</v>
      </c>
      <c r="P95" t="str">
        <f>_xlfn.XLOOKUP($B95,Entradas!$B:$B,Entradas!W:W,,0,1)</f>
        <v>NÃO</v>
      </c>
      <c r="Q95" t="str">
        <f>_xlfn.XLOOKUP($B95,Entradas!$B:$B,Entradas!X:X,,0,1)</f>
        <v>Sem informação</v>
      </c>
      <c r="R95" s="36">
        <f>SUMIF(Entradas!$B:$B,'Entrada Lvl 5-4 qt'!$B95,Entradas!Y:Y)</f>
        <v>1339.26</v>
      </c>
      <c r="S95" s="36">
        <f>SUMIF(Entradas!$B:$B,'Entrada Lvl 5-4 qt'!$B95,Entradas!Z:Z)</f>
        <v>0</v>
      </c>
      <c r="T95" s="36">
        <f>SUMIF(Entradas!$B:$B,'Entrada Lvl 5-4 qt'!$B95,Entradas!AA:AA)</f>
        <v>4010.7</v>
      </c>
      <c r="U95" s="36">
        <f>SUMIF(Entradas!$B:$B,'Entrada Lvl 5-4 qt'!$B95,Entradas!AB:AB)</f>
        <v>0</v>
      </c>
      <c r="V95" s="49">
        <f>_xlfn.XLOOKUP($B95,Entradas!$B:$B,Entradas!AC:AC,,0,1)</f>
        <v>45163</v>
      </c>
      <c r="W95" s="58">
        <f t="shared" si="9"/>
        <v>3</v>
      </c>
      <c r="X95" s="28" t="s">
        <v>10</v>
      </c>
      <c r="Y95" s="32">
        <f t="shared" si="5"/>
        <v>0</v>
      </c>
      <c r="Z95" s="33">
        <f t="shared" si="6"/>
        <v>4010.7</v>
      </c>
      <c r="AA95" s="34">
        <f t="shared" si="7"/>
        <v>1339.26</v>
      </c>
      <c r="AB95" s="28" t="s">
        <v>1814</v>
      </c>
      <c r="AC95" s="28" t="s">
        <v>1784</v>
      </c>
      <c r="AD95" s="29" t="str" cm="1">
        <f t="array" ref="AD95">_xlfn.IFS(L95&lt;=Constantes!$G$2,"Muito Curta (evitável)",L95&lt;=Constantes!$H$2,"Curta Distância",L95&gt;Constantes!$H$2,"Longa Distância")</f>
        <v>Curta Distância</v>
      </c>
      <c r="AE95" s="30" t="str">
        <f t="shared" si="8"/>
        <v>NÃO</v>
      </c>
      <c r="AF95" s="30">
        <f>SUMIF(Entradas!$B:$B,'Entrada Lvl 5-4 qt'!$B95,Entradas!$AG:$AG)</f>
        <v>626.66401501165365</v>
      </c>
      <c r="AG95" s="30"/>
      <c r="BD95" s="49"/>
      <c r="BE95" s="49"/>
    </row>
    <row r="96" spans="1:57" x14ac:dyDescent="0.3">
      <c r="A96">
        <f>_xlfn.XLOOKUP(B96,Entradas!B:B,Entradas!A:A,,0,-1)</f>
        <v>2</v>
      </c>
      <c r="B96">
        <v>19229574</v>
      </c>
      <c r="C96" t="str">
        <f>_xlfn.XLOOKUP($B96,Entradas!$B:$B,Entradas!C:C,,0,1)</f>
        <v>000916/23</v>
      </c>
      <c r="D96" t="str">
        <f>_xlfn.XLOOKUP($B96,Entradas!$B:$B,Entradas!D:D,,0,1)</f>
        <v>***.442.364-**</v>
      </c>
      <c r="E96" t="str">
        <f>_xlfn.XLOOKUP($B96,Entradas!$B:$B,Entradas!E:E,,0,1)</f>
        <v>ANA RAQUEL ROSAS TORRES</v>
      </c>
      <c r="F96" t="str">
        <f>_xlfn.XLOOKUP($B96,Entradas!$B:$B,Entradas!F:F,,0,1)</f>
        <v>PROFESSOR DO MAGISTERIO SUPERIOR</v>
      </c>
      <c r="G96" t="str">
        <f>_xlfn.XLOOKUP($B96,Entradas!$B:$B,Entradas!G:G,,0,1)</f>
        <v>-1</v>
      </c>
      <c r="H96" t="str">
        <f>_xlfn.XLOOKUP($B96,Entradas!$B:$B,Entradas!H:H,,0,1)</f>
        <v>Sem informação</v>
      </c>
      <c r="I96" s="49">
        <f>_xlfn.XLOOKUP($B96,Entradas!$B:$B,Entradas!I:I,,0,1)</f>
        <v>45193</v>
      </c>
      <c r="J96" s="49">
        <f>_xlfn.XLOOKUP($B96,Entradas!$B:$B,Entradas!J:J,,0,1)</f>
        <v>45196</v>
      </c>
      <c r="K96" t="str">
        <f>_xlfn.XLOOKUP($B96,Entradas!$B:$B,Entradas!K:K,,0,1)</f>
        <v>Participar no VII Seminário Novos Horizontes, conforme carta em anexo.</v>
      </c>
      <c r="L96">
        <f>SUMIF(Entradas!$B:$B,'Entrada Lvl 5-4 qt'!$B96,Entradas!S:S)</f>
        <v>3426.839982</v>
      </c>
      <c r="M96" t="str">
        <f>_xlfn.XLOOKUP($B96,Entradas!$B:$B,Entradas!T:T,,0,1)</f>
        <v>Aéreo</v>
      </c>
      <c r="N96" t="str">
        <f>_xlfn.XLOOKUP($B96,Entradas!$B:$B,Entradas!U:U,,0,1)</f>
        <v>Sim</v>
      </c>
      <c r="O96" t="str">
        <f>_xlfn.XLOOKUP($B96,Entradas!$B:$B,Entradas!V:V,,0,1)</f>
        <v>Realizada</v>
      </c>
      <c r="P96" t="str">
        <f>_xlfn.XLOOKUP($B96,Entradas!$B:$B,Entradas!W:W,,0,1)</f>
        <v>NÃO</v>
      </c>
      <c r="Q96" t="str">
        <f>_xlfn.XLOOKUP($B96,Entradas!$B:$B,Entradas!X:X,,0,1)</f>
        <v>Sem informação</v>
      </c>
      <c r="R96" s="36">
        <f>SUMIF(Entradas!$B:$B,'Entrada Lvl 5-4 qt'!$B96,Entradas!Y:Y)</f>
        <v>1339.26</v>
      </c>
      <c r="S96" s="36">
        <f>SUMIF(Entradas!$B:$B,'Entrada Lvl 5-4 qt'!$B96,Entradas!Z:Z)</f>
        <v>0</v>
      </c>
      <c r="T96" s="36">
        <f>SUMIF(Entradas!$B:$B,'Entrada Lvl 5-4 qt'!$B96,Entradas!AA:AA)</f>
        <v>4352.3999999999996</v>
      </c>
      <c r="U96" s="36">
        <f>SUMIF(Entradas!$B:$B,'Entrada Lvl 5-4 qt'!$B96,Entradas!AB:AB)</f>
        <v>0</v>
      </c>
      <c r="V96" s="49">
        <f>_xlfn.XLOOKUP($B96,Entradas!$B:$B,Entradas!AC:AC,,0,1)</f>
        <v>45167</v>
      </c>
      <c r="W96" s="58">
        <f t="shared" si="9"/>
        <v>3</v>
      </c>
      <c r="X96" s="28" t="s">
        <v>10</v>
      </c>
      <c r="Y96" s="32">
        <f t="shared" si="5"/>
        <v>0</v>
      </c>
      <c r="Z96" s="33">
        <f t="shared" si="6"/>
        <v>4352.3999999999996</v>
      </c>
      <c r="AA96" s="34">
        <f t="shared" si="7"/>
        <v>1339.26</v>
      </c>
      <c r="AB96" s="28" t="s">
        <v>1814</v>
      </c>
      <c r="AC96" s="28" t="s">
        <v>1820</v>
      </c>
      <c r="AD96" s="29" t="str" cm="1">
        <f t="array" ref="AD96">_xlfn.IFS(L96&lt;=Constantes!$G$2,"Muito Curta (evitável)",L96&lt;=Constantes!$H$2,"Curta Distância",L96&gt;Constantes!$H$2,"Longa Distância")</f>
        <v>Curta Distância</v>
      </c>
      <c r="AE96" s="30" t="str">
        <f t="shared" si="8"/>
        <v>NÃO</v>
      </c>
      <c r="AF96" s="30">
        <f>SUMIF(Entradas!$B:$B,'Entrada Lvl 5-4 qt'!$B96,Entradas!$AG:$AG)</f>
        <v>626.66401501165365</v>
      </c>
      <c r="AG96" s="30"/>
      <c r="BD96" s="49"/>
      <c r="BE96" s="49"/>
    </row>
    <row r="97" spans="1:57" x14ac:dyDescent="0.3">
      <c r="A97">
        <f>_xlfn.XLOOKUP(B97,Entradas!B:B,Entradas!A:A,,0,-1)</f>
        <v>2</v>
      </c>
      <c r="B97">
        <v>19312461</v>
      </c>
      <c r="C97" t="str">
        <f>_xlfn.XLOOKUP($B97,Entradas!$B:$B,Entradas!C:C,,0,1)</f>
        <v>001152/23</v>
      </c>
      <c r="D97" t="str">
        <f>_xlfn.XLOOKUP($B97,Entradas!$B:$B,Entradas!D:D,,0,1)</f>
        <v>***.250.004-**</v>
      </c>
      <c r="E97" t="str">
        <f>_xlfn.XLOOKUP($B97,Entradas!$B:$B,Entradas!E:E,,0,1)</f>
        <v>REJANE MARIA OLIVEIRA DIAS SANTANA DE VASCONCELOS</v>
      </c>
      <c r="F97" t="str">
        <f>_xlfn.XLOOKUP($B97,Entradas!$B:$B,Entradas!F:F,,0,1)</f>
        <v>VIGILANTE</v>
      </c>
      <c r="G97" t="str">
        <f>_xlfn.XLOOKUP($B97,Entradas!$B:$B,Entradas!G:G,,0,1)</f>
        <v>-1</v>
      </c>
      <c r="H97" t="str">
        <f>_xlfn.XLOOKUP($B97,Entradas!$B:$B,Entradas!H:H,,0,1)</f>
        <v>Sem informação</v>
      </c>
      <c r="I97" s="49">
        <f>_xlfn.XLOOKUP($B97,Entradas!$B:$B,Entradas!I:I,,0,1)</f>
        <v>45193</v>
      </c>
      <c r="J97" s="49">
        <f>_xlfn.XLOOKUP($B97,Entradas!$B:$B,Entradas!J:J,,0,1)</f>
        <v>45199</v>
      </c>
      <c r="K97" t="str">
        <f>_xlfn.XLOOKUP($B97,Entradas!$B:$B,Entradas!K:K,,0,1)</f>
        <v>Participar do XXIX Seminário Nacional de Segurança, que acontecerá em Florianópolis, no período de 25 a 29/09/2023</v>
      </c>
      <c r="L97">
        <f>SUMIF(Entradas!$B:$B,'Entrada Lvl 5-4 qt'!$B97,Entradas!S:S)</f>
        <v>5391.1646700000001</v>
      </c>
      <c r="M97" t="str">
        <f>_xlfn.XLOOKUP($B97,Entradas!$B:$B,Entradas!T:T,,0,1)</f>
        <v>Aéreo</v>
      </c>
      <c r="N97" t="str">
        <f>_xlfn.XLOOKUP($B97,Entradas!$B:$B,Entradas!U:U,,0,1)</f>
        <v>Sim</v>
      </c>
      <c r="O97" t="str">
        <f>_xlfn.XLOOKUP($B97,Entradas!$B:$B,Entradas!V:V,,0,1)</f>
        <v>Realizada</v>
      </c>
      <c r="P97" t="str">
        <f>_xlfn.XLOOKUP($B97,Entradas!$B:$B,Entradas!W:W,,0,1)</f>
        <v>SIM</v>
      </c>
      <c r="Q97" t="str">
        <f>_xlfn.XLOOKUP($B97,Entradas!$B:$B,Entradas!X:X,,0,1)</f>
        <v>Por força de acidentes climáticos que atingiram a Região Sul do país, realização do evento só foi confirmada recentemente, conforme justificativa no formulário de solicitação e autorizada pelo dirigente máximo da instituição (Autorização anexa).</v>
      </c>
      <c r="R97" s="36">
        <f>SUMIF(Entradas!$B:$B,'Entrada Lvl 5-4 qt'!$B97,Entradas!Y:Y)</f>
        <v>2162.08</v>
      </c>
      <c r="S97" s="36">
        <f>SUMIF(Entradas!$B:$B,'Entrada Lvl 5-4 qt'!$B97,Entradas!Z:Z)</f>
        <v>0</v>
      </c>
      <c r="T97" s="36">
        <f>SUMIF(Entradas!$B:$B,'Entrada Lvl 5-4 qt'!$B97,Entradas!AA:AA)</f>
        <v>4874.6900000000005</v>
      </c>
      <c r="U97" s="36">
        <f>SUMIF(Entradas!$B:$B,'Entrada Lvl 5-4 qt'!$B97,Entradas!AB:AB)</f>
        <v>0</v>
      </c>
      <c r="V97" s="49">
        <f>_xlfn.XLOOKUP($B97,Entradas!$B:$B,Entradas!AC:AC,,0,1)</f>
        <v>45189</v>
      </c>
      <c r="W97" s="58">
        <f t="shared" si="9"/>
        <v>6</v>
      </c>
      <c r="X97" s="28" t="s">
        <v>10</v>
      </c>
      <c r="Y97" s="32">
        <f t="shared" si="5"/>
        <v>0</v>
      </c>
      <c r="Z97" s="33">
        <f t="shared" si="6"/>
        <v>4874.6900000000005</v>
      </c>
      <c r="AA97" s="34">
        <f t="shared" si="7"/>
        <v>2162.08</v>
      </c>
      <c r="AB97" s="28" t="s">
        <v>1814</v>
      </c>
      <c r="AC97" s="28" t="s">
        <v>1784</v>
      </c>
      <c r="AD97" s="29" t="str" cm="1">
        <f t="array" ref="AD97">_xlfn.IFS(L97&lt;=Constantes!$G$2,"Muito Curta (evitável)",L97&lt;=Constantes!$H$2,"Curta Distância",L97&gt;Constantes!$H$2,"Longa Distância")</f>
        <v>Longa Distância</v>
      </c>
      <c r="AE97" s="30" t="str">
        <f t="shared" si="8"/>
        <v>NÃO</v>
      </c>
      <c r="AF97" s="30">
        <f>SUMIF(Entradas!$B:$B,'Entrada Lvl 5-4 qt'!$B97,Entradas!$AG:$AG)</f>
        <v>985.87880246436816</v>
      </c>
      <c r="AG97" s="30"/>
      <c r="BD97" s="49"/>
      <c r="BE97" s="49"/>
    </row>
    <row r="98" spans="1:57" x14ac:dyDescent="0.3">
      <c r="A98">
        <f>_xlfn.XLOOKUP(B98,Entradas!B:B,Entradas!A:A,,0,-1)</f>
        <v>2</v>
      </c>
      <c r="B98">
        <v>19313347</v>
      </c>
      <c r="C98" t="str">
        <f>_xlfn.XLOOKUP($B98,Entradas!$B:$B,Entradas!C:C,,0,1)</f>
        <v>001153/23</v>
      </c>
      <c r="D98" t="str">
        <f>_xlfn.XLOOKUP($B98,Entradas!$B:$B,Entradas!D:D,,0,1)</f>
        <v>***.983.164-**</v>
      </c>
      <c r="E98" t="str">
        <f>_xlfn.XLOOKUP($B98,Entradas!$B:$B,Entradas!E:E,,0,1)</f>
        <v>CEZARIO EDUARDO DOS SANTOS</v>
      </c>
      <c r="F98" t="str">
        <f>_xlfn.XLOOKUP($B98,Entradas!$B:$B,Entradas!F:F,,0,1)</f>
        <v>VIGILANTE</v>
      </c>
      <c r="G98" t="str">
        <f>_xlfn.XLOOKUP($B98,Entradas!$B:$B,Entradas!G:G,,0,1)</f>
        <v>-1</v>
      </c>
      <c r="H98" t="str">
        <f>_xlfn.XLOOKUP($B98,Entradas!$B:$B,Entradas!H:H,,0,1)</f>
        <v>Sem informação</v>
      </c>
      <c r="I98" s="49">
        <f>_xlfn.XLOOKUP($B98,Entradas!$B:$B,Entradas!I:I,,0,1)</f>
        <v>45193</v>
      </c>
      <c r="J98" s="49">
        <f>_xlfn.XLOOKUP($B98,Entradas!$B:$B,Entradas!J:J,,0,1)</f>
        <v>45199</v>
      </c>
      <c r="K98" t="str">
        <f>_xlfn.XLOOKUP($B98,Entradas!$B:$B,Entradas!K:K,,0,1)</f>
        <v>Participar do XXIX Seminário Nacional de Segurança, que acontecerá em Florianópolis, no período de 25 a 29/09/2023</v>
      </c>
      <c r="L98">
        <f>SUMIF(Entradas!$B:$B,'Entrada Lvl 5-4 qt'!$B98,Entradas!S:S)</f>
        <v>5391.1646700000001</v>
      </c>
      <c r="M98" t="str">
        <f>_xlfn.XLOOKUP($B98,Entradas!$B:$B,Entradas!T:T,,0,1)</f>
        <v>Aéreo</v>
      </c>
      <c r="N98" t="str">
        <f>_xlfn.XLOOKUP($B98,Entradas!$B:$B,Entradas!U:U,,0,1)</f>
        <v>Sim</v>
      </c>
      <c r="O98" t="str">
        <f>_xlfn.XLOOKUP($B98,Entradas!$B:$B,Entradas!V:V,,0,1)</f>
        <v>Realizada</v>
      </c>
      <c r="P98" t="str">
        <f>_xlfn.XLOOKUP($B98,Entradas!$B:$B,Entradas!W:W,,0,1)</f>
        <v>SIM</v>
      </c>
      <c r="Q98" t="str">
        <f>_xlfn.XLOOKUP($B98,Entradas!$B:$B,Entradas!X:X,,0,1)</f>
        <v>Por força de acidentes climáticos que atingiram a Região Sul do país, realização do evento só foi confirmada recentemente, conforme justificativa no formulário de solicitação e autorizada pelo dirigente máximo da instituição (Autorização anexa).</v>
      </c>
      <c r="R98" s="36">
        <f>SUMIF(Entradas!$B:$B,'Entrada Lvl 5-4 qt'!$B98,Entradas!Y:Y)</f>
        <v>2162.08</v>
      </c>
      <c r="S98" s="36">
        <f>SUMIF(Entradas!$B:$B,'Entrada Lvl 5-4 qt'!$B98,Entradas!Z:Z)</f>
        <v>0</v>
      </c>
      <c r="T98" s="36">
        <f>SUMIF(Entradas!$B:$B,'Entrada Lvl 5-4 qt'!$B98,Entradas!AA:AA)</f>
        <v>4874.6900000000005</v>
      </c>
      <c r="U98" s="36">
        <f>SUMIF(Entradas!$B:$B,'Entrada Lvl 5-4 qt'!$B98,Entradas!AB:AB)</f>
        <v>0</v>
      </c>
      <c r="V98" s="49">
        <f>_xlfn.XLOOKUP($B98,Entradas!$B:$B,Entradas!AC:AC,,0,1)</f>
        <v>45189</v>
      </c>
      <c r="W98" s="58">
        <f t="shared" si="9"/>
        <v>6</v>
      </c>
      <c r="X98" s="28" t="s">
        <v>10</v>
      </c>
      <c r="Y98" s="32">
        <f t="shared" si="5"/>
        <v>0</v>
      </c>
      <c r="Z98" s="33">
        <f t="shared" si="6"/>
        <v>4874.6900000000005</v>
      </c>
      <c r="AA98" s="34">
        <f t="shared" si="7"/>
        <v>2162.08</v>
      </c>
      <c r="AB98" s="28" t="s">
        <v>1814</v>
      </c>
      <c r="AC98" s="28" t="s">
        <v>1784</v>
      </c>
      <c r="AD98" s="29" t="str" cm="1">
        <f t="array" ref="AD98">_xlfn.IFS(L98&lt;=Constantes!$G$2,"Muito Curta (evitável)",L98&lt;=Constantes!$H$2,"Curta Distância",L98&gt;Constantes!$H$2,"Longa Distância")</f>
        <v>Longa Distância</v>
      </c>
      <c r="AE98" s="30" t="str">
        <f t="shared" si="8"/>
        <v>NÃO</v>
      </c>
      <c r="AF98" s="30">
        <f>SUMIF(Entradas!$B:$B,'Entrada Lvl 5-4 qt'!$B98,Entradas!$AG:$AG)</f>
        <v>985.87880246436816</v>
      </c>
      <c r="AG98" s="30"/>
      <c r="BD98" s="49"/>
      <c r="BE98" s="49"/>
    </row>
    <row r="99" spans="1:57" x14ac:dyDescent="0.3">
      <c r="A99">
        <f>_xlfn.XLOOKUP(B99,Entradas!B:B,Entradas!A:A,,0,-1)</f>
        <v>2</v>
      </c>
      <c r="B99">
        <v>19052847</v>
      </c>
      <c r="C99" t="str">
        <f>_xlfn.XLOOKUP($B99,Entradas!$B:$B,Entradas!C:C,,0,1)</f>
        <v>000599/23</v>
      </c>
      <c r="D99" t="str">
        <f>_xlfn.XLOOKUP($B99,Entradas!$B:$B,Entradas!D:D,,0,1)</f>
        <v>***.219.784-**</v>
      </c>
      <c r="E99" t="str">
        <f>_xlfn.XLOOKUP($B99,Entradas!$B:$B,Entradas!E:E,,0,1)</f>
        <v>WENNER GLAUCIO LOPES LUCENA</v>
      </c>
      <c r="F99" t="str">
        <f>_xlfn.XLOOKUP($B99,Entradas!$B:$B,Entradas!F:F,,0,1)</f>
        <v>PROFESSOR DO MAGISTERIO SUPERIOR</v>
      </c>
      <c r="G99" t="str">
        <f>_xlfn.XLOOKUP($B99,Entradas!$B:$B,Entradas!G:G,,0,1)</f>
        <v>FUC-0001</v>
      </c>
      <c r="H99" t="str">
        <f>_xlfn.XLOOKUP($B99,Entradas!$B:$B,Entradas!H:H,,0,1)</f>
        <v>FUC-0001</v>
      </c>
      <c r="I99" s="49">
        <f>_xlfn.XLOOKUP($B99,Entradas!$B:$B,Entradas!I:I,,0,1)</f>
        <v>45194</v>
      </c>
      <c r="J99" s="49">
        <f>_xlfn.XLOOKUP($B99,Entradas!$B:$B,Entradas!J:J,,0,1)</f>
        <v>45198</v>
      </c>
      <c r="K99" t="str">
        <f>_xlfn.XLOOKUP($B99,Entradas!$B:$B,Entradas!K:K,,0,1)</f>
        <v>Participação com aprovação de artigo científico no XLVII Encontro da ANPAD - EnANPAD 2023 que será realizado nos dias 26 a 28 de setembro de 2023</v>
      </c>
      <c r="L99">
        <f>SUMIF(Entradas!$B:$B,'Entrada Lvl 5-4 qt'!$B99,Entradas!S:S)</f>
        <v>4379.9484839999996</v>
      </c>
      <c r="M99" t="str">
        <f>_xlfn.XLOOKUP($B99,Entradas!$B:$B,Entradas!T:T,,0,1)</f>
        <v>Aéreo</v>
      </c>
      <c r="N99" t="str">
        <f>_xlfn.XLOOKUP($B99,Entradas!$B:$B,Entradas!U:U,,0,1)</f>
        <v>Sim</v>
      </c>
      <c r="O99" t="str">
        <f>_xlfn.XLOOKUP($B99,Entradas!$B:$B,Entradas!V:V,,0,1)</f>
        <v>Realizada</v>
      </c>
      <c r="P99" t="str">
        <f>_xlfn.XLOOKUP($B99,Entradas!$B:$B,Entradas!W:W,,0,1)</f>
        <v>NÃO</v>
      </c>
      <c r="Q99" t="str">
        <f>_xlfn.XLOOKUP($B99,Entradas!$B:$B,Entradas!X:X,,0,1)</f>
        <v>Sem informação</v>
      </c>
      <c r="R99" s="36">
        <f>SUMIF(Entradas!$B:$B,'Entrada Lvl 5-4 qt'!$B99,Entradas!Y:Y)</f>
        <v>1660.58</v>
      </c>
      <c r="S99" s="36">
        <f>SUMIF(Entradas!$B:$B,'Entrada Lvl 5-4 qt'!$B99,Entradas!Z:Z)</f>
        <v>0</v>
      </c>
      <c r="T99" s="36">
        <f>SUMIF(Entradas!$B:$B,'Entrada Lvl 5-4 qt'!$B99,Entradas!AA:AA)</f>
        <v>1326.1399999999999</v>
      </c>
      <c r="U99" s="36">
        <f>SUMIF(Entradas!$B:$B,'Entrada Lvl 5-4 qt'!$B99,Entradas!AB:AB)</f>
        <v>0</v>
      </c>
      <c r="V99" s="49">
        <f>_xlfn.XLOOKUP($B99,Entradas!$B:$B,Entradas!AC:AC,,0,1)</f>
        <v>45124</v>
      </c>
      <c r="W99" s="58">
        <f t="shared" si="9"/>
        <v>4</v>
      </c>
      <c r="X99" s="28" t="s">
        <v>10</v>
      </c>
      <c r="Y99" s="32">
        <f t="shared" si="5"/>
        <v>0</v>
      </c>
      <c r="Z99" s="33">
        <f t="shared" si="6"/>
        <v>1326.1399999999999</v>
      </c>
      <c r="AA99" s="34">
        <f t="shared" si="7"/>
        <v>1660.58</v>
      </c>
      <c r="AB99" s="28" t="s">
        <v>1814</v>
      </c>
      <c r="AC99" s="28" t="s">
        <v>1820</v>
      </c>
      <c r="AD99" s="29" t="str" cm="1">
        <f t="array" ref="AD99">_xlfn.IFS(L99&lt;=Constantes!$G$2,"Muito Curta (evitável)",L99&lt;=Constantes!$H$2,"Curta Distância",L99&gt;Constantes!$H$2,"Longa Distância")</f>
        <v>Longa Distância</v>
      </c>
      <c r="AE99" s="30" t="str">
        <f t="shared" si="8"/>
        <v>NÃO</v>
      </c>
      <c r="AF99" s="30">
        <f>SUMIF(Entradas!$B:$B,'Entrada Lvl 5-4 qt'!$B99,Entradas!$AG:$AG)</f>
        <v>800.95835140972315</v>
      </c>
      <c r="AG99" s="30"/>
      <c r="BD99" s="49"/>
      <c r="BE99" s="49"/>
    </row>
    <row r="100" spans="1:57" x14ac:dyDescent="0.3">
      <c r="A100">
        <f>_xlfn.XLOOKUP(B100,Entradas!B:B,Entradas!A:A,,0,-1)</f>
        <v>2</v>
      </c>
      <c r="B100">
        <v>19071863</v>
      </c>
      <c r="C100" t="str">
        <f>_xlfn.XLOOKUP($B100,Entradas!$B:$B,Entradas!C:C,,0,1)</f>
        <v>000542/23</v>
      </c>
      <c r="D100" t="str">
        <f>_xlfn.XLOOKUP($B100,Entradas!$B:$B,Entradas!D:D,,0,1)</f>
        <v>***.363.465-**</v>
      </c>
      <c r="E100" t="str">
        <f>_xlfn.XLOOKUP($B100,Entradas!$B:$B,Entradas!E:E,,0,1)</f>
        <v>ANDRE GUSTAVO CARVALHO MACHADO</v>
      </c>
      <c r="F100" t="str">
        <f>_xlfn.XLOOKUP($B100,Entradas!$B:$B,Entradas!F:F,,0,1)</f>
        <v>PROFESSOR DO MAGISTERIO SUPERIOR</v>
      </c>
      <c r="G100" t="str">
        <f>_xlfn.XLOOKUP($B100,Entradas!$B:$B,Entradas!G:G,,0,1)</f>
        <v>-1</v>
      </c>
      <c r="H100" t="str">
        <f>_xlfn.XLOOKUP($B100,Entradas!$B:$B,Entradas!H:H,,0,1)</f>
        <v>Sem informação</v>
      </c>
      <c r="I100" s="49">
        <f>_xlfn.XLOOKUP($B100,Entradas!$B:$B,Entradas!I:I,,0,1)</f>
        <v>45194</v>
      </c>
      <c r="J100" s="49">
        <f>_xlfn.XLOOKUP($B100,Entradas!$B:$B,Entradas!J:J,,0,1)</f>
        <v>45198</v>
      </c>
      <c r="K100" t="str">
        <f>_xlfn.XLOOKUP($B100,Entradas!$B:$B,Entradas!K:K,,0,1)</f>
        <v>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v>
      </c>
      <c r="L100">
        <f>SUMIF(Entradas!$B:$B,'Entrada Lvl 5-4 qt'!$B100,Entradas!S:S)</f>
        <v>4379.9484839999996</v>
      </c>
      <c r="M100" t="str">
        <f>_xlfn.XLOOKUP($B100,Entradas!$B:$B,Entradas!T:T,,0,1)</f>
        <v>Aéreo</v>
      </c>
      <c r="N100" t="str">
        <f>_xlfn.XLOOKUP($B100,Entradas!$B:$B,Entradas!U:U,,0,1)</f>
        <v>Sim</v>
      </c>
      <c r="O100" t="str">
        <f>_xlfn.XLOOKUP($B100,Entradas!$B:$B,Entradas!V:V,,0,1)</f>
        <v>Realizada</v>
      </c>
      <c r="P100" t="str">
        <f>_xlfn.XLOOKUP($B100,Entradas!$B:$B,Entradas!W:W,,0,1)</f>
        <v>NÃO</v>
      </c>
      <c r="Q100" t="str">
        <f>_xlfn.XLOOKUP($B100,Entradas!$B:$B,Entradas!X:X,,0,1)</f>
        <v>Sem informação</v>
      </c>
      <c r="R100" s="36">
        <f>SUMIF(Entradas!$B:$B,'Entrada Lvl 5-4 qt'!$B100,Entradas!Y:Y)</f>
        <v>1660.58</v>
      </c>
      <c r="S100" s="36">
        <f>SUMIF(Entradas!$B:$B,'Entrada Lvl 5-4 qt'!$B100,Entradas!Z:Z)</f>
        <v>0</v>
      </c>
      <c r="T100" s="36">
        <f>SUMIF(Entradas!$B:$B,'Entrada Lvl 5-4 qt'!$B100,Entradas!AA:AA)</f>
        <v>1588.22</v>
      </c>
      <c r="U100" s="36">
        <f>SUMIF(Entradas!$B:$B,'Entrada Lvl 5-4 qt'!$B100,Entradas!AB:AB)</f>
        <v>0</v>
      </c>
      <c r="V100" s="49">
        <f>_xlfn.XLOOKUP($B100,Entradas!$B:$B,Entradas!AC:AC,,0,1)</f>
        <v>45114</v>
      </c>
      <c r="W100" s="58">
        <f t="shared" si="9"/>
        <v>4</v>
      </c>
      <c r="X100" s="28" t="s">
        <v>10</v>
      </c>
      <c r="Y100" s="32">
        <f t="shared" si="5"/>
        <v>0</v>
      </c>
      <c r="Z100" s="33">
        <f t="shared" si="6"/>
        <v>1588.22</v>
      </c>
      <c r="AA100" s="34">
        <f t="shared" si="7"/>
        <v>1660.58</v>
      </c>
      <c r="AB100" s="28" t="s">
        <v>1814</v>
      </c>
      <c r="AC100" s="28" t="s">
        <v>1820</v>
      </c>
      <c r="AD100" s="29" t="str" cm="1">
        <f t="array" ref="AD100">_xlfn.IFS(L100&lt;=Constantes!$G$2,"Muito Curta (evitável)",L100&lt;=Constantes!$H$2,"Curta Distância",L100&gt;Constantes!$H$2,"Longa Distância")</f>
        <v>Longa Distância</v>
      </c>
      <c r="AE100" s="30" t="str">
        <f t="shared" si="8"/>
        <v>NÃO</v>
      </c>
      <c r="AF100" s="30">
        <f>SUMIF(Entradas!$B:$B,'Entrada Lvl 5-4 qt'!$B100,Entradas!$AG:$AG)</f>
        <v>800.95835140972315</v>
      </c>
      <c r="AG100" s="30"/>
      <c r="BD100" s="49"/>
      <c r="BE100" s="49"/>
    </row>
    <row r="101" spans="1:57" x14ac:dyDescent="0.3">
      <c r="A101">
        <f>_xlfn.XLOOKUP(B101,Entradas!B:B,Entradas!A:A,,0,-1)</f>
        <v>2</v>
      </c>
      <c r="B101">
        <v>19071945</v>
      </c>
      <c r="C101" t="str">
        <f>_xlfn.XLOOKUP($B101,Entradas!$B:$B,Entradas!C:C,,0,1)</f>
        <v>000541/23</v>
      </c>
      <c r="D101" t="str">
        <f>_xlfn.XLOOKUP($B101,Entradas!$B:$B,Entradas!D:D,,0,1)</f>
        <v>***.932.194-**</v>
      </c>
      <c r="E101" t="str">
        <f>_xlfn.XLOOKUP($B101,Entradas!$B:$B,Entradas!E:E,,0,1)</f>
        <v>ANA CAROLINA KRUTA DE ARAUJO BISPO</v>
      </c>
      <c r="F101" t="str">
        <f>_xlfn.XLOOKUP($B101,Entradas!$B:$B,Entradas!F:F,,0,1)</f>
        <v>PROFESSOR DO MAGISTERIO SUPERIOR</v>
      </c>
      <c r="G101" t="str">
        <f>_xlfn.XLOOKUP($B101,Entradas!$B:$B,Entradas!G:G,,0,1)</f>
        <v>-1</v>
      </c>
      <c r="H101" t="str">
        <f>_xlfn.XLOOKUP($B101,Entradas!$B:$B,Entradas!H:H,,0,1)</f>
        <v>Sem informação</v>
      </c>
      <c r="I101" s="49">
        <f>_xlfn.XLOOKUP($B101,Entradas!$B:$B,Entradas!I:I,,0,1)</f>
        <v>45194</v>
      </c>
      <c r="J101" s="49">
        <f>_xlfn.XLOOKUP($B101,Entradas!$B:$B,Entradas!J:J,,0,1)</f>
        <v>45198</v>
      </c>
      <c r="K101" t="str">
        <f>_xlfn.XLOOKUP($B101,Entradas!$B:$B,Entradas!K:K,,0,1)</f>
        <v>A PROFESSORA SUBMETEMEU ARTIGOS QUE FORAM APROVADOS PARA APRESENTAÇÃO NO EVENTO ENANPAD 2023. ESTE É UM EVENTO CIENTÍFICO NACIONAL, RELEVANTE PARA A ÁREA DE AVALIAÇÃO DO PROGRAMA, NA QUAL A PARTICIPAÇÃO REPRESENTA OPORTUNIDADE RELEVANTE DE INTERAÇÃO ACADÊMICA PARA DISCENTES E DOCENTES.</v>
      </c>
      <c r="L101">
        <f>SUMIF(Entradas!$B:$B,'Entrada Lvl 5-4 qt'!$B101,Entradas!S:S)</f>
        <v>4379.9484839999996</v>
      </c>
      <c r="M101" t="str">
        <f>_xlfn.XLOOKUP($B101,Entradas!$B:$B,Entradas!T:T,,0,1)</f>
        <v>Aéreo</v>
      </c>
      <c r="N101" t="str">
        <f>_xlfn.XLOOKUP($B101,Entradas!$B:$B,Entradas!U:U,,0,1)</f>
        <v>Sim</v>
      </c>
      <c r="O101" t="str">
        <f>_xlfn.XLOOKUP($B101,Entradas!$B:$B,Entradas!V:V,,0,1)</f>
        <v>Realizada</v>
      </c>
      <c r="P101" t="str">
        <f>_xlfn.XLOOKUP($B101,Entradas!$B:$B,Entradas!W:W,,0,1)</f>
        <v>NÃO</v>
      </c>
      <c r="Q101" t="str">
        <f>_xlfn.XLOOKUP($B101,Entradas!$B:$B,Entradas!X:X,,0,1)</f>
        <v>Sem informação</v>
      </c>
      <c r="R101" s="36">
        <f>SUMIF(Entradas!$B:$B,'Entrada Lvl 5-4 qt'!$B101,Entradas!Y:Y)</f>
        <v>1660.58</v>
      </c>
      <c r="S101" s="36">
        <f>SUMIF(Entradas!$B:$B,'Entrada Lvl 5-4 qt'!$B101,Entradas!Z:Z)</f>
        <v>0</v>
      </c>
      <c r="T101" s="36">
        <f>SUMIF(Entradas!$B:$B,'Entrada Lvl 5-4 qt'!$B101,Entradas!AA:AA)</f>
        <v>1352.32</v>
      </c>
      <c r="U101" s="36">
        <f>SUMIF(Entradas!$B:$B,'Entrada Lvl 5-4 qt'!$B101,Entradas!AB:AB)</f>
        <v>0</v>
      </c>
      <c r="V101" s="49">
        <f>_xlfn.XLOOKUP($B101,Entradas!$B:$B,Entradas!AC:AC,,0,1)</f>
        <v>45117</v>
      </c>
      <c r="W101" s="58">
        <f t="shared" si="9"/>
        <v>4</v>
      </c>
      <c r="X101" s="28" t="s">
        <v>10</v>
      </c>
      <c r="Y101" s="32">
        <f t="shared" si="5"/>
        <v>0</v>
      </c>
      <c r="Z101" s="33">
        <f t="shared" si="6"/>
        <v>1352.32</v>
      </c>
      <c r="AA101" s="34">
        <f t="shared" si="7"/>
        <v>1660.58</v>
      </c>
      <c r="AB101" s="28" t="s">
        <v>1814</v>
      </c>
      <c r="AC101" s="28" t="s">
        <v>1820</v>
      </c>
      <c r="AD101" s="29" t="str" cm="1">
        <f t="array" ref="AD101">_xlfn.IFS(L101&lt;=Constantes!$G$2,"Muito Curta (evitável)",L101&lt;=Constantes!$H$2,"Curta Distância",L101&gt;Constantes!$H$2,"Longa Distância")</f>
        <v>Longa Distância</v>
      </c>
      <c r="AE101" s="30" t="str">
        <f t="shared" si="8"/>
        <v>NÃO</v>
      </c>
      <c r="AF101" s="30">
        <f>SUMIF(Entradas!$B:$B,'Entrada Lvl 5-4 qt'!$B101,Entradas!$AG:$AG)</f>
        <v>800.95835140972315</v>
      </c>
      <c r="AG101" s="30"/>
      <c r="BD101" s="49"/>
      <c r="BE101" s="49"/>
    </row>
    <row r="102" spans="1:57" x14ac:dyDescent="0.3">
      <c r="A102">
        <f>_xlfn.XLOOKUP(B102,Entradas!B:B,Entradas!A:A,,0,-1)</f>
        <v>2</v>
      </c>
      <c r="B102">
        <v>19072379</v>
      </c>
      <c r="C102" t="str">
        <f>_xlfn.XLOOKUP($B102,Entradas!$B:$B,Entradas!C:C,,0,1)</f>
        <v>000563/23</v>
      </c>
      <c r="D102" t="str">
        <f>_xlfn.XLOOKUP($B102,Entradas!$B:$B,Entradas!D:D,,0,1)</f>
        <v>***.842.844-**</v>
      </c>
      <c r="E102" t="str">
        <f>_xlfn.XLOOKUP($B102,Entradas!$B:$B,Entradas!E:E,,0,1)</f>
        <v>ANIELSON BARBOSA DA SILVA</v>
      </c>
      <c r="F102" t="str">
        <f>_xlfn.XLOOKUP($B102,Entradas!$B:$B,Entradas!F:F,,0,1)</f>
        <v>PROFESSOR DO MAGISTERIO SUPERIOR</v>
      </c>
      <c r="G102" t="str">
        <f>_xlfn.XLOOKUP($B102,Entradas!$B:$B,Entradas!G:G,,0,1)</f>
        <v>-1</v>
      </c>
      <c r="H102" t="str">
        <f>_xlfn.XLOOKUP($B102,Entradas!$B:$B,Entradas!H:H,,0,1)</f>
        <v>Sem informação</v>
      </c>
      <c r="I102" s="49">
        <f>_xlfn.XLOOKUP($B102,Entradas!$B:$B,Entradas!I:I,,0,1)</f>
        <v>45194</v>
      </c>
      <c r="J102" s="49">
        <f>_xlfn.XLOOKUP($B102,Entradas!$B:$B,Entradas!J:J,,0,1)</f>
        <v>45198</v>
      </c>
      <c r="K102" t="str">
        <f>_xlfn.XLOOKUP($B102,Entradas!$B:$B,Entradas!K:K,,0,1)</f>
        <v>O PROFESSOR SUBMETEU ARTIGOS QUE FORAM APROVADOS PARA APRESENTAÇÃO NO EVENTO ENANPAD 2023. ESTE É UM EVENTO CIENTÍFICO NACIONAL, RELEVANTE PARA A ÁREA DE AVALIAÇÃO DO PROGRAMA, NA QUAL A PARTICIPAÇÃO REPRESENTA OPORTUNIDADE RELEVANTE DE INTERAÇÃO ACADÊMICA PARA DISCENTES E DOCENTES.</v>
      </c>
      <c r="L102">
        <f>SUMIF(Entradas!$B:$B,'Entrada Lvl 5-4 qt'!$B102,Entradas!S:S)</f>
        <v>4379.9484839999996</v>
      </c>
      <c r="M102" t="str">
        <f>_xlfn.XLOOKUP($B102,Entradas!$B:$B,Entradas!T:T,,0,1)</f>
        <v>Aéreo</v>
      </c>
      <c r="N102" t="str">
        <f>_xlfn.XLOOKUP($B102,Entradas!$B:$B,Entradas!U:U,,0,1)</f>
        <v>Sim</v>
      </c>
      <c r="O102" t="str">
        <f>_xlfn.XLOOKUP($B102,Entradas!$B:$B,Entradas!V:V,,0,1)</f>
        <v>Realizada</v>
      </c>
      <c r="P102" t="str">
        <f>_xlfn.XLOOKUP($B102,Entradas!$B:$B,Entradas!W:W,,0,1)</f>
        <v>NÃO</v>
      </c>
      <c r="Q102" t="str">
        <f>_xlfn.XLOOKUP($B102,Entradas!$B:$B,Entradas!X:X,,0,1)</f>
        <v>Sem informação</v>
      </c>
      <c r="R102" s="36">
        <f>SUMIF(Entradas!$B:$B,'Entrada Lvl 5-4 qt'!$B102,Entradas!Y:Y)</f>
        <v>1660.58</v>
      </c>
      <c r="S102" s="36">
        <f>SUMIF(Entradas!$B:$B,'Entrada Lvl 5-4 qt'!$B102,Entradas!Z:Z)</f>
        <v>0</v>
      </c>
      <c r="T102" s="36">
        <f>SUMIF(Entradas!$B:$B,'Entrada Lvl 5-4 qt'!$B102,Entradas!AA:AA)</f>
        <v>1794.92</v>
      </c>
      <c r="U102" s="36">
        <f>SUMIF(Entradas!$B:$B,'Entrada Lvl 5-4 qt'!$B102,Entradas!AB:AB)</f>
        <v>0</v>
      </c>
      <c r="V102" s="49">
        <f>_xlfn.XLOOKUP($B102,Entradas!$B:$B,Entradas!AC:AC,,0,1)</f>
        <v>45118</v>
      </c>
      <c r="W102" s="58">
        <f t="shared" si="9"/>
        <v>4</v>
      </c>
      <c r="X102" s="28" t="s">
        <v>10</v>
      </c>
      <c r="Y102" s="32">
        <f t="shared" si="5"/>
        <v>0</v>
      </c>
      <c r="Z102" s="33">
        <f t="shared" si="6"/>
        <v>1794.92</v>
      </c>
      <c r="AA102" s="34">
        <f t="shared" si="7"/>
        <v>1660.58</v>
      </c>
      <c r="AB102" s="28" t="s">
        <v>1814</v>
      </c>
      <c r="AC102" s="28" t="s">
        <v>1820</v>
      </c>
      <c r="AD102" s="29" t="str" cm="1">
        <f t="array" ref="AD102">_xlfn.IFS(L102&lt;=Constantes!$G$2,"Muito Curta (evitável)",L102&lt;=Constantes!$H$2,"Curta Distância",L102&gt;Constantes!$H$2,"Longa Distância")</f>
        <v>Longa Distância</v>
      </c>
      <c r="AE102" s="30" t="str">
        <f t="shared" si="8"/>
        <v>NÃO</v>
      </c>
      <c r="AF102" s="30">
        <f>SUMIF(Entradas!$B:$B,'Entrada Lvl 5-4 qt'!$B102,Entradas!$AG:$AG)</f>
        <v>800.95835140972315</v>
      </c>
      <c r="AG102" s="30"/>
      <c r="BD102" s="49"/>
      <c r="BE102" s="49"/>
    </row>
    <row r="103" spans="1:57" x14ac:dyDescent="0.3">
      <c r="A103">
        <f>_xlfn.XLOOKUP(B103,Entradas!B:B,Entradas!A:A,,0,-1)</f>
        <v>2</v>
      </c>
      <c r="B103">
        <v>19076783</v>
      </c>
      <c r="C103" t="str">
        <f>_xlfn.XLOOKUP($B103,Entradas!$B:$B,Entradas!C:C,,0,1)</f>
        <v>000562/23</v>
      </c>
      <c r="D103" t="str">
        <f>_xlfn.XLOOKUP($B103,Entradas!$B:$B,Entradas!D:D,,0,1)</f>
        <v>***.493.144-**</v>
      </c>
      <c r="E103" t="str">
        <f>_xlfn.XLOOKUP($B103,Entradas!$B:$B,Entradas!E:E,,0,1)</f>
        <v>DIANA LUCIA TEIXEIRA DE CARVALHO</v>
      </c>
      <c r="F103" t="str">
        <f>_xlfn.XLOOKUP($B103,Entradas!$B:$B,Entradas!F:F,,0,1)</f>
        <v>PROFESSOR DO MAGISTERIO SUPERIOR</v>
      </c>
      <c r="G103" t="str">
        <f>_xlfn.XLOOKUP($B103,Entradas!$B:$B,Entradas!G:G,,0,1)</f>
        <v>-1</v>
      </c>
      <c r="H103" t="str">
        <f>_xlfn.XLOOKUP($B103,Entradas!$B:$B,Entradas!H:H,,0,1)</f>
        <v>Sem informação</v>
      </c>
      <c r="I103" s="49">
        <f>_xlfn.XLOOKUP($B103,Entradas!$B:$B,Entradas!I:I,,0,1)</f>
        <v>45194</v>
      </c>
      <c r="J103" s="49">
        <f>_xlfn.XLOOKUP($B103,Entradas!$B:$B,Entradas!J:J,,0,1)</f>
        <v>45198</v>
      </c>
      <c r="K103" t="str">
        <f>_xlfn.XLOOKUP($B103,Entradas!$B:$B,Entradas!K:K,,0,1)</f>
        <v>Trata-se de evento científico nacional, importante para a área de avaliação do Programa, na qual a participação representa oportunidade relevante de interação acadêmica. Por essa razão solicito passagens/diárias para que a Professora participe e apresente os resultados de suas pesquisas.</v>
      </c>
      <c r="L103">
        <f>SUMIF(Entradas!$B:$B,'Entrada Lvl 5-4 qt'!$B103,Entradas!S:S)</f>
        <v>4379.9484839999996</v>
      </c>
      <c r="M103" t="str">
        <f>_xlfn.XLOOKUP($B103,Entradas!$B:$B,Entradas!T:T,,0,1)</f>
        <v>Aéreo</v>
      </c>
      <c r="N103" t="str">
        <f>_xlfn.XLOOKUP($B103,Entradas!$B:$B,Entradas!U:U,,0,1)</f>
        <v>Sim</v>
      </c>
      <c r="O103" t="str">
        <f>_xlfn.XLOOKUP($B103,Entradas!$B:$B,Entradas!V:V,,0,1)</f>
        <v>Realizada</v>
      </c>
      <c r="P103" t="str">
        <f>_xlfn.XLOOKUP($B103,Entradas!$B:$B,Entradas!W:W,,0,1)</f>
        <v>NÃO</v>
      </c>
      <c r="Q103" t="str">
        <f>_xlfn.XLOOKUP($B103,Entradas!$B:$B,Entradas!X:X,,0,1)</f>
        <v>Sem informação</v>
      </c>
      <c r="R103" s="36">
        <f>SUMIF(Entradas!$B:$B,'Entrada Lvl 5-4 qt'!$B103,Entradas!Y:Y)</f>
        <v>1660.58</v>
      </c>
      <c r="S103" s="36">
        <f>SUMIF(Entradas!$B:$B,'Entrada Lvl 5-4 qt'!$B103,Entradas!Z:Z)</f>
        <v>0</v>
      </c>
      <c r="T103" s="36">
        <f>SUMIF(Entradas!$B:$B,'Entrada Lvl 5-4 qt'!$B103,Entradas!AA:AA)</f>
        <v>1156.72</v>
      </c>
      <c r="U103" s="36">
        <f>SUMIF(Entradas!$B:$B,'Entrada Lvl 5-4 qt'!$B103,Entradas!AB:AB)</f>
        <v>0</v>
      </c>
      <c r="V103" s="49">
        <f>_xlfn.XLOOKUP($B103,Entradas!$B:$B,Entradas!AC:AC,,0,1)</f>
        <v>45117</v>
      </c>
      <c r="W103" s="58">
        <f t="shared" si="9"/>
        <v>4</v>
      </c>
      <c r="X103" s="28" t="s">
        <v>10</v>
      </c>
      <c r="Y103" s="32">
        <f t="shared" si="5"/>
        <v>0</v>
      </c>
      <c r="Z103" s="33">
        <f t="shared" si="6"/>
        <v>1156.72</v>
      </c>
      <c r="AA103" s="34">
        <f t="shared" si="7"/>
        <v>1660.58</v>
      </c>
      <c r="AB103" s="28" t="s">
        <v>1814</v>
      </c>
      <c r="AC103" s="28" t="s">
        <v>1820</v>
      </c>
      <c r="AD103" s="29" t="str" cm="1">
        <f t="array" ref="AD103">_xlfn.IFS(L103&lt;=Constantes!$G$2,"Muito Curta (evitável)",L103&lt;=Constantes!$H$2,"Curta Distância",L103&gt;Constantes!$H$2,"Longa Distância")</f>
        <v>Longa Distância</v>
      </c>
      <c r="AE103" s="30" t="str">
        <f t="shared" si="8"/>
        <v>NÃO</v>
      </c>
      <c r="AF103" s="30">
        <f>SUMIF(Entradas!$B:$B,'Entrada Lvl 5-4 qt'!$B103,Entradas!$AG:$AG)</f>
        <v>800.95835140972315</v>
      </c>
      <c r="AG103" s="30"/>
      <c r="BD103" s="49"/>
      <c r="BE103" s="49"/>
    </row>
    <row r="104" spans="1:57" x14ac:dyDescent="0.3">
      <c r="A104">
        <f>_xlfn.XLOOKUP(B104,Entradas!B:B,Entradas!A:A,,0,-1)</f>
        <v>2</v>
      </c>
      <c r="B104">
        <v>19078236</v>
      </c>
      <c r="C104" t="str">
        <f>_xlfn.XLOOKUP($B104,Entradas!$B:$B,Entradas!C:C,,0,1)</f>
        <v>000564/23</v>
      </c>
      <c r="D104" t="str">
        <f>_xlfn.XLOOKUP($B104,Entradas!$B:$B,Entradas!D:D,,0,1)</f>
        <v>***.066.024-**</v>
      </c>
      <c r="E104" t="str">
        <f>_xlfn.XLOOKUP($B104,Entradas!$B:$B,Entradas!E:E,,0,1)</f>
        <v>JOSE JORGE LIMA DIAS JUNIOR</v>
      </c>
      <c r="F104" t="str">
        <f>_xlfn.XLOOKUP($B104,Entradas!$B:$B,Entradas!F:F,,0,1)</f>
        <v>PROFESSOR DO MAGISTERIO SUPERIOR</v>
      </c>
      <c r="G104" t="str">
        <f>_xlfn.XLOOKUP($B104,Entradas!$B:$B,Entradas!G:G,,0,1)</f>
        <v>-1</v>
      </c>
      <c r="H104" t="str">
        <f>_xlfn.XLOOKUP($B104,Entradas!$B:$B,Entradas!H:H,,0,1)</f>
        <v>Sem informação</v>
      </c>
      <c r="I104" s="49">
        <f>_xlfn.XLOOKUP($B104,Entradas!$B:$B,Entradas!I:I,,0,1)</f>
        <v>45194</v>
      </c>
      <c r="J104" s="49">
        <f>_xlfn.XLOOKUP($B104,Entradas!$B:$B,Entradas!J:J,,0,1)</f>
        <v>45198</v>
      </c>
      <c r="K104" t="str">
        <f>_xlfn.XLOOKUP($B104,Entradas!$B:$B,Entradas!K:K,,0,1)</f>
        <v>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v>
      </c>
      <c r="L104">
        <f>SUMIF(Entradas!$B:$B,'Entrada Lvl 5-4 qt'!$B104,Entradas!S:S)</f>
        <v>4379.9484839999996</v>
      </c>
      <c r="M104" t="str">
        <f>_xlfn.XLOOKUP($B104,Entradas!$B:$B,Entradas!T:T,,0,1)</f>
        <v>Aéreo</v>
      </c>
      <c r="N104" t="str">
        <f>_xlfn.XLOOKUP($B104,Entradas!$B:$B,Entradas!U:U,,0,1)</f>
        <v>Sim</v>
      </c>
      <c r="O104" t="str">
        <f>_xlfn.XLOOKUP($B104,Entradas!$B:$B,Entradas!V:V,,0,1)</f>
        <v>Realizada</v>
      </c>
      <c r="P104" t="str">
        <f>_xlfn.XLOOKUP($B104,Entradas!$B:$B,Entradas!W:W,,0,1)</f>
        <v>NÃO</v>
      </c>
      <c r="Q104" t="str">
        <f>_xlfn.XLOOKUP($B104,Entradas!$B:$B,Entradas!X:X,,0,1)</f>
        <v>Sem informação</v>
      </c>
      <c r="R104" s="36">
        <f>SUMIF(Entradas!$B:$B,'Entrada Lvl 5-4 qt'!$B104,Entradas!Y:Y)</f>
        <v>1660.58</v>
      </c>
      <c r="S104" s="36">
        <f>SUMIF(Entradas!$B:$B,'Entrada Lvl 5-4 qt'!$B104,Entradas!Z:Z)</f>
        <v>0</v>
      </c>
      <c r="T104" s="36">
        <f>SUMIF(Entradas!$B:$B,'Entrada Lvl 5-4 qt'!$B104,Entradas!AA:AA)</f>
        <v>1794.92</v>
      </c>
      <c r="U104" s="36">
        <f>SUMIF(Entradas!$B:$B,'Entrada Lvl 5-4 qt'!$B104,Entradas!AB:AB)</f>
        <v>0</v>
      </c>
      <c r="V104" s="49">
        <f>_xlfn.XLOOKUP($B104,Entradas!$B:$B,Entradas!AC:AC,,0,1)</f>
        <v>45118</v>
      </c>
      <c r="W104" s="58">
        <f t="shared" si="9"/>
        <v>4</v>
      </c>
      <c r="X104" s="28" t="s">
        <v>10</v>
      </c>
      <c r="Y104" s="32">
        <f t="shared" si="5"/>
        <v>0</v>
      </c>
      <c r="Z104" s="33">
        <f t="shared" si="6"/>
        <v>1794.92</v>
      </c>
      <c r="AA104" s="34">
        <f t="shared" si="7"/>
        <v>1660.58</v>
      </c>
      <c r="AB104" s="28" t="s">
        <v>1814</v>
      </c>
      <c r="AC104" s="28" t="s">
        <v>1820</v>
      </c>
      <c r="AD104" s="29" t="str" cm="1">
        <f t="array" ref="AD104">_xlfn.IFS(L104&lt;=Constantes!$G$2,"Muito Curta (evitável)",L104&lt;=Constantes!$H$2,"Curta Distância",L104&gt;Constantes!$H$2,"Longa Distância")</f>
        <v>Longa Distância</v>
      </c>
      <c r="AE104" s="30" t="str">
        <f t="shared" si="8"/>
        <v>NÃO</v>
      </c>
      <c r="AF104" s="30">
        <f>SUMIF(Entradas!$B:$B,'Entrada Lvl 5-4 qt'!$B104,Entradas!$AG:$AG)</f>
        <v>800.95835140972315</v>
      </c>
      <c r="AG104" s="30"/>
      <c r="BD104" s="49"/>
      <c r="BE104" s="49"/>
    </row>
    <row r="105" spans="1:57" x14ac:dyDescent="0.3">
      <c r="A105">
        <f>_xlfn.XLOOKUP(B105,Entradas!B:B,Entradas!A:A,,0,-1)</f>
        <v>2</v>
      </c>
      <c r="B105">
        <v>19083928</v>
      </c>
      <c r="C105" t="str">
        <f>_xlfn.XLOOKUP($B105,Entradas!$B:$B,Entradas!C:C,,0,1)</f>
        <v>000583/23</v>
      </c>
      <c r="D105" t="str">
        <f>_xlfn.XLOOKUP($B105,Entradas!$B:$B,Entradas!D:D,,0,1)</f>
        <v>***.953.498-**</v>
      </c>
      <c r="E105" t="str">
        <f>_xlfn.XLOOKUP($B105,Entradas!$B:$B,Entradas!E:E,,0,1)</f>
        <v>THIAGO LIMA DA SILVA</v>
      </c>
      <c r="F105" t="str">
        <f>_xlfn.XLOOKUP($B105,Entradas!$B:$B,Entradas!F:F,,0,1)</f>
        <v>PROFESSOR DO MAGISTERIO SUPERIOR</v>
      </c>
      <c r="G105" t="str">
        <f>_xlfn.XLOOKUP($B105,Entradas!$B:$B,Entradas!G:G,,0,1)</f>
        <v>-1</v>
      </c>
      <c r="H105" t="str">
        <f>_xlfn.XLOOKUP($B105,Entradas!$B:$B,Entradas!H:H,,0,1)</f>
        <v>Sem informação</v>
      </c>
      <c r="I105" s="49">
        <f>_xlfn.XLOOKUP($B105,Entradas!$B:$B,Entradas!I:I,,0,1)</f>
        <v>45194</v>
      </c>
      <c r="J105" s="49">
        <f>_xlfn.XLOOKUP($B105,Entradas!$B:$B,Entradas!J:J,,0,1)</f>
        <v>45197</v>
      </c>
      <c r="K105" t="str">
        <f>_xlfn.XLOOKUP($B105,Entradas!$B:$B,Entradas!K:K,,0,1)</f>
        <v>O servidor irá participar do evento com Líder de Tema e apresentador de artigo. Trata-se de evento científico nacional, importante para a área de avaliação do Programa, na qual a participação representa oportunidade relevante de interação acadêmica. Por essa razão solicito passagens para que o Professor participe e apresente os resultados de suas pesquisas.</v>
      </c>
      <c r="L105">
        <f>SUMIF(Entradas!$B:$B,'Entrada Lvl 5-4 qt'!$B105,Entradas!S:S)</f>
        <v>4379.9484839999996</v>
      </c>
      <c r="M105" t="str">
        <f>_xlfn.XLOOKUP($B105,Entradas!$B:$B,Entradas!T:T,,0,1)</f>
        <v>Aéreo</v>
      </c>
      <c r="N105" t="str">
        <f>_xlfn.XLOOKUP($B105,Entradas!$B:$B,Entradas!U:U,,0,1)</f>
        <v>Não</v>
      </c>
      <c r="O105" t="str">
        <f>_xlfn.XLOOKUP($B105,Entradas!$B:$B,Entradas!V:V,,0,1)</f>
        <v>Realizada</v>
      </c>
      <c r="P105" t="str">
        <f>_xlfn.XLOOKUP($B105,Entradas!$B:$B,Entradas!W:W,,0,1)</f>
        <v>NÃO</v>
      </c>
      <c r="Q105" t="str">
        <f>_xlfn.XLOOKUP($B105,Entradas!$B:$B,Entradas!X:X,,0,1)</f>
        <v>Sem informação</v>
      </c>
      <c r="R105" s="36">
        <f>SUMIF(Entradas!$B:$B,'Entrada Lvl 5-4 qt'!$B105,Entradas!Y:Y)</f>
        <v>0</v>
      </c>
      <c r="S105" s="36">
        <f>SUMIF(Entradas!$B:$B,'Entrada Lvl 5-4 qt'!$B105,Entradas!Z:Z)</f>
        <v>0</v>
      </c>
      <c r="T105" s="36">
        <f>SUMIF(Entradas!$B:$B,'Entrada Lvl 5-4 qt'!$B105,Entradas!AA:AA)</f>
        <v>1133.22</v>
      </c>
      <c r="U105" s="36">
        <f>SUMIF(Entradas!$B:$B,'Entrada Lvl 5-4 qt'!$B105,Entradas!AB:AB)</f>
        <v>0</v>
      </c>
      <c r="V105" s="49">
        <f>_xlfn.XLOOKUP($B105,Entradas!$B:$B,Entradas!AC:AC,,0,1)</f>
        <v>45119</v>
      </c>
      <c r="W105" s="58">
        <f t="shared" si="9"/>
        <v>3</v>
      </c>
      <c r="X105" s="28" t="s">
        <v>10</v>
      </c>
      <c r="Y105" s="32">
        <f t="shared" si="5"/>
        <v>0</v>
      </c>
      <c r="Z105" s="33">
        <f t="shared" si="6"/>
        <v>1133.22</v>
      </c>
      <c r="AA105" s="34">
        <f t="shared" si="7"/>
        <v>0</v>
      </c>
      <c r="AB105" s="28" t="s">
        <v>1814</v>
      </c>
      <c r="AC105" s="28" t="s">
        <v>1820</v>
      </c>
      <c r="AD105" s="29" t="str" cm="1">
        <f t="array" ref="AD105">_xlfn.IFS(L105&lt;=Constantes!$G$2,"Muito Curta (evitável)",L105&lt;=Constantes!$H$2,"Curta Distância",L105&gt;Constantes!$H$2,"Longa Distância")</f>
        <v>Longa Distância</v>
      </c>
      <c r="AE105" s="30" t="str">
        <f t="shared" si="8"/>
        <v>NÃO</v>
      </c>
      <c r="AF105" s="30">
        <f>SUMIF(Entradas!$B:$B,'Entrada Lvl 5-4 qt'!$B105,Entradas!$AG:$AG)</f>
        <v>800.95835140972315</v>
      </c>
      <c r="AG105" s="30"/>
      <c r="BD105" s="49"/>
      <c r="BE105" s="49"/>
    </row>
    <row r="106" spans="1:57" x14ac:dyDescent="0.3">
      <c r="A106">
        <f>_xlfn.XLOOKUP(B106,Entradas!B:B,Entradas!A:A,,0,-1)</f>
        <v>2</v>
      </c>
      <c r="B106">
        <v>19097605</v>
      </c>
      <c r="C106" t="str">
        <f>_xlfn.XLOOKUP($B106,Entradas!$B:$B,Entradas!C:C,,0,1)</f>
        <v>000600/23</v>
      </c>
      <c r="D106" t="str">
        <f>_xlfn.XLOOKUP($B106,Entradas!$B:$B,Entradas!D:D,,0,1)</f>
        <v>***.215.814-**</v>
      </c>
      <c r="E106" t="str">
        <f>_xlfn.XLOOKUP($B106,Entradas!$B:$B,Entradas!E:E,,0,1)</f>
        <v>HELEN SILVA GONCALVES</v>
      </c>
      <c r="F106" t="str">
        <f>_xlfn.XLOOKUP($B106,Entradas!$B:$B,Entradas!F:F,,0,1)</f>
        <v>PROFESSOR DO MAGISTERIO SUPERIOR</v>
      </c>
      <c r="G106" t="str">
        <f>_xlfn.XLOOKUP($B106,Entradas!$B:$B,Entradas!G:G,,0,1)</f>
        <v>FUC-0001</v>
      </c>
      <c r="H106" t="str">
        <f>_xlfn.XLOOKUP($B106,Entradas!$B:$B,Entradas!H:H,,0,1)</f>
        <v>FUC-0001</v>
      </c>
      <c r="I106" s="49">
        <f>_xlfn.XLOOKUP($B106,Entradas!$B:$B,Entradas!I:I,,0,1)</f>
        <v>45194</v>
      </c>
      <c r="J106" s="49">
        <f>_xlfn.XLOOKUP($B106,Entradas!$B:$B,Entradas!J:J,,0,1)</f>
        <v>45198</v>
      </c>
      <c r="K106" t="str">
        <f>_xlfn.XLOOKUP($B106,Entradas!$B:$B,Entradas!K:K,,0,1)</f>
        <v>EnANPAD 2023 - Apresentação de um artigo científico e participação em evento científico.</v>
      </c>
      <c r="L106">
        <f>SUMIF(Entradas!$B:$B,'Entrada Lvl 5-4 qt'!$B106,Entradas!S:S)</f>
        <v>4379.9484839999996</v>
      </c>
      <c r="M106" t="str">
        <f>_xlfn.XLOOKUP($B106,Entradas!$B:$B,Entradas!T:T,,0,1)</f>
        <v>Aéreo</v>
      </c>
      <c r="N106" t="str">
        <f>_xlfn.XLOOKUP($B106,Entradas!$B:$B,Entradas!U:U,,0,1)</f>
        <v>Sim</v>
      </c>
      <c r="O106" t="str">
        <f>_xlfn.XLOOKUP($B106,Entradas!$B:$B,Entradas!V:V,,0,1)</f>
        <v>Realizada</v>
      </c>
      <c r="P106" t="str">
        <f>_xlfn.XLOOKUP($B106,Entradas!$B:$B,Entradas!W:W,,0,1)</f>
        <v>NÃO</v>
      </c>
      <c r="Q106" t="str">
        <f>_xlfn.XLOOKUP($B106,Entradas!$B:$B,Entradas!X:X,,0,1)</f>
        <v>Sem informação</v>
      </c>
      <c r="R106" s="36">
        <f>SUMIF(Entradas!$B:$B,'Entrada Lvl 5-4 qt'!$B106,Entradas!Y:Y)</f>
        <v>1660.58</v>
      </c>
      <c r="S106" s="36">
        <f>SUMIF(Entradas!$B:$B,'Entrada Lvl 5-4 qt'!$B106,Entradas!Z:Z)</f>
        <v>0</v>
      </c>
      <c r="T106" s="36">
        <f>SUMIF(Entradas!$B:$B,'Entrada Lvl 5-4 qt'!$B106,Entradas!AA:AA)</f>
        <v>1326.1399999999999</v>
      </c>
      <c r="U106" s="36">
        <f>SUMIF(Entradas!$B:$B,'Entrada Lvl 5-4 qt'!$B106,Entradas!AB:AB)</f>
        <v>0</v>
      </c>
      <c r="V106" s="49">
        <f>_xlfn.XLOOKUP($B106,Entradas!$B:$B,Entradas!AC:AC,,0,1)</f>
        <v>45125</v>
      </c>
      <c r="W106" s="58">
        <f t="shared" si="9"/>
        <v>4</v>
      </c>
      <c r="X106" s="28" t="s">
        <v>10</v>
      </c>
      <c r="Y106" s="32">
        <f t="shared" si="5"/>
        <v>0</v>
      </c>
      <c r="Z106" s="33">
        <f t="shared" si="6"/>
        <v>1326.1399999999999</v>
      </c>
      <c r="AA106" s="34">
        <f t="shared" si="7"/>
        <v>1660.58</v>
      </c>
      <c r="AB106" s="28" t="s">
        <v>1814</v>
      </c>
      <c r="AC106" s="28" t="s">
        <v>1820</v>
      </c>
      <c r="AD106" s="29" t="str" cm="1">
        <f t="array" ref="AD106">_xlfn.IFS(L106&lt;=Constantes!$G$2,"Muito Curta (evitável)",L106&lt;=Constantes!$H$2,"Curta Distância",L106&gt;Constantes!$H$2,"Longa Distância")</f>
        <v>Longa Distância</v>
      </c>
      <c r="AE106" s="30" t="str">
        <f t="shared" si="8"/>
        <v>NÃO</v>
      </c>
      <c r="AF106" s="30">
        <f>SUMIF(Entradas!$B:$B,'Entrada Lvl 5-4 qt'!$B106,Entradas!$AG:$AG)</f>
        <v>800.95835140972315</v>
      </c>
      <c r="AG106" s="30"/>
      <c r="BD106" s="49"/>
      <c r="BE106" s="49"/>
    </row>
    <row r="107" spans="1:57" x14ac:dyDescent="0.3">
      <c r="A107">
        <f>_xlfn.XLOOKUP(B107,Entradas!B:B,Entradas!A:A,,0,-1)</f>
        <v>2</v>
      </c>
      <c r="B107">
        <v>19159709</v>
      </c>
      <c r="C107" t="str">
        <f>_xlfn.XLOOKUP($B107,Entradas!$B:$B,Entradas!C:C,,0,1)</f>
        <v>000743/23</v>
      </c>
      <c r="D107" t="str">
        <f>_xlfn.XLOOKUP($B107,Entradas!$B:$B,Entradas!D:D,,0,1)</f>
        <v>***.292.904-**</v>
      </c>
      <c r="E107" t="str">
        <f>_xlfn.XLOOKUP($B107,Entradas!$B:$B,Entradas!E:E,,0,1)</f>
        <v>ANDREIA GRAZIELA LACERDA DE ANDRADE GADELHA</v>
      </c>
      <c r="F107" t="str">
        <f>_xlfn.XLOOKUP($B107,Entradas!$B:$B,Entradas!F:F,,0,1)</f>
        <v>PROCURADOR FEDERAL</v>
      </c>
      <c r="G107" t="str">
        <f>_xlfn.XLOOKUP($B107,Entradas!$B:$B,Entradas!G:G,,0,1)</f>
        <v>FG-0002</v>
      </c>
      <c r="H107" t="str">
        <f>_xlfn.XLOOKUP($B107,Entradas!$B:$B,Entradas!H:H,,0,1)</f>
        <v>FG-0002</v>
      </c>
      <c r="I107" s="49">
        <f>_xlfn.XLOOKUP($B107,Entradas!$B:$B,Entradas!I:I,,0,1)</f>
        <v>45194</v>
      </c>
      <c r="J107" s="49">
        <f>_xlfn.XLOOKUP($B107,Entradas!$B:$B,Entradas!J:J,,0,1)</f>
        <v>45198</v>
      </c>
      <c r="K107" t="str">
        <f>_xlfn.XLOOKUP($B107,Entradas!$B:$B,Entradas!K:K,,0,1)</f>
        <v>Participar de Reunião Técnica da Procuradoria Geral Federal, nos dias 26 a 28 de setembro de 2023, em Foz do Iguaçu</v>
      </c>
      <c r="L107">
        <f>SUMIF(Entradas!$B:$B,'Entrada Lvl 5-4 qt'!$B107,Entradas!S:S)</f>
        <v>5834.0911219999998</v>
      </c>
      <c r="M107" t="str">
        <f>_xlfn.XLOOKUP($B107,Entradas!$B:$B,Entradas!T:T,,0,1)</f>
        <v>Aéreo</v>
      </c>
      <c r="N107" t="str">
        <f>_xlfn.XLOOKUP($B107,Entradas!$B:$B,Entradas!U:U,,0,1)</f>
        <v>Sim</v>
      </c>
      <c r="O107" t="str">
        <f>_xlfn.XLOOKUP($B107,Entradas!$B:$B,Entradas!V:V,,0,1)</f>
        <v>Realizada</v>
      </c>
      <c r="P107" t="str">
        <f>_xlfn.XLOOKUP($B107,Entradas!$B:$B,Entradas!W:W,,0,1)</f>
        <v>NÃO</v>
      </c>
      <c r="Q107" t="str">
        <f>_xlfn.XLOOKUP($B107,Entradas!$B:$B,Entradas!X:X,,0,1)</f>
        <v>Sem informação</v>
      </c>
      <c r="R107" s="36">
        <f>SUMIF(Entradas!$B:$B,'Entrada Lvl 5-4 qt'!$B107,Entradas!Y:Y)</f>
        <v>1299.5</v>
      </c>
      <c r="S107" s="36">
        <f>SUMIF(Entradas!$B:$B,'Entrada Lvl 5-4 qt'!$B107,Entradas!Z:Z)</f>
        <v>0</v>
      </c>
      <c r="T107" s="36">
        <f>SUMIF(Entradas!$B:$B,'Entrada Lvl 5-4 qt'!$B107,Entradas!AA:AA)</f>
        <v>2260.7399999999998</v>
      </c>
      <c r="U107" s="36">
        <f>SUMIF(Entradas!$B:$B,'Entrada Lvl 5-4 qt'!$B107,Entradas!AB:AB)</f>
        <v>0</v>
      </c>
      <c r="V107" s="49">
        <f>_xlfn.XLOOKUP($B107,Entradas!$B:$B,Entradas!AC:AC,,0,1)</f>
        <v>45145</v>
      </c>
      <c r="W107" s="58">
        <f t="shared" si="9"/>
        <v>4</v>
      </c>
      <c r="X107" s="28" t="s">
        <v>10</v>
      </c>
      <c r="Y107" s="32">
        <f t="shared" si="5"/>
        <v>0</v>
      </c>
      <c r="Z107" s="33">
        <f t="shared" si="6"/>
        <v>2260.7399999999998</v>
      </c>
      <c r="AA107" s="34">
        <f t="shared" si="7"/>
        <v>1299.5</v>
      </c>
      <c r="AB107" s="28" t="s">
        <v>1815</v>
      </c>
      <c r="AC107" s="28" t="s">
        <v>1784</v>
      </c>
      <c r="AD107" s="29" t="str" cm="1">
        <f t="array" ref="AD107">_xlfn.IFS(L107&lt;=Constantes!$G$2,"Muito Curta (evitável)",L107&lt;=Constantes!$H$2,"Curta Distância",L107&gt;Constantes!$H$2,"Longa Distância")</f>
        <v>Longa Distância</v>
      </c>
      <c r="AE107" s="30" t="str">
        <f t="shared" si="8"/>
        <v>NÃO</v>
      </c>
      <c r="AF107" s="30">
        <f>SUMIF(Entradas!$B:$B,'Entrada Lvl 5-4 qt'!$B107,Entradas!$AG:$AG)</f>
        <v>1066.8764767716439</v>
      </c>
      <c r="AG107" s="30"/>
      <c r="BD107" s="49"/>
      <c r="BE107" s="49"/>
    </row>
    <row r="108" spans="1:57" x14ac:dyDescent="0.3">
      <c r="A108">
        <f>_xlfn.XLOOKUP(B108,Entradas!B:B,Entradas!A:A,,0,-1)</f>
        <v>2</v>
      </c>
      <c r="B108">
        <v>19212209</v>
      </c>
      <c r="C108" t="str">
        <f>_xlfn.XLOOKUP($B108,Entradas!$B:$B,Entradas!C:C,,0,1)</f>
        <v>000880/23</v>
      </c>
      <c r="D108" t="str">
        <f>_xlfn.XLOOKUP($B108,Entradas!$B:$B,Entradas!D:D,,0,1)</f>
        <v/>
      </c>
      <c r="E108" t="str">
        <f>_xlfn.XLOOKUP($B108,Entradas!$B:$B,Entradas!E:E,,0,1)</f>
        <v>ANDERSON CARLOS DE OLIVEIRA</v>
      </c>
      <c r="F108" t="str">
        <f>_xlfn.XLOOKUP($B108,Entradas!$B:$B,Entradas!F:F,,0,1)</f>
        <v>PROF ENS BAS TEC TECNOLOGICO-SUBSTITUTO</v>
      </c>
      <c r="G108" t="str">
        <f>_xlfn.XLOOKUP($B108,Entradas!$B:$B,Entradas!G:G,,0,1)</f>
        <v>-1</v>
      </c>
      <c r="H108" t="str">
        <f>_xlfn.XLOOKUP($B108,Entradas!$B:$B,Entradas!H:H,,0,1)</f>
        <v>Sem informação</v>
      </c>
      <c r="I108" s="49">
        <f>_xlfn.XLOOKUP($B108,Entradas!$B:$B,Entradas!I:I,,0,1)</f>
        <v>45194</v>
      </c>
      <c r="J108" s="49">
        <f>_xlfn.XLOOKUP($B108,Entradas!$B:$B,Entradas!J:J,,0,1)</f>
        <v>45198</v>
      </c>
      <c r="K108" t="str">
        <f>_xlfn.XLOOKUP($B108,Entradas!$B:$B,Entradas!K:K,,0,1)</f>
        <v>Participação e apresentação de trabalho acadêmico-científico no 38º Congresso Brasileiro de Manutenção e Gestão de Ativos, que ocorrerá em Curitiba-PR, no período de 26 a 28 de setembro de 2023.</v>
      </c>
      <c r="L108">
        <f>SUMIF(Entradas!$B:$B,'Entrada Lvl 5-4 qt'!$B108,Entradas!S:S)</f>
        <v>5083.2952619999996</v>
      </c>
      <c r="M108" t="str">
        <f>_xlfn.XLOOKUP($B108,Entradas!$B:$B,Entradas!T:T,,0,1)</f>
        <v>Aéreo</v>
      </c>
      <c r="N108" t="str">
        <f>_xlfn.XLOOKUP($B108,Entradas!$B:$B,Entradas!U:U,,0,1)</f>
        <v>Sim</v>
      </c>
      <c r="O108" t="str">
        <f>_xlfn.XLOOKUP($B108,Entradas!$B:$B,Entradas!V:V,,0,1)</f>
        <v>Realizada</v>
      </c>
      <c r="P108" t="str">
        <f>_xlfn.XLOOKUP($B108,Entradas!$B:$B,Entradas!W:W,,0,1)</f>
        <v>NÃO</v>
      </c>
      <c r="Q108" t="str">
        <f>_xlfn.XLOOKUP($B108,Entradas!$B:$B,Entradas!X:X,,0,1)</f>
        <v>Sem informação</v>
      </c>
      <c r="R108" s="36">
        <f>SUMIF(Entradas!$B:$B,'Entrada Lvl 5-4 qt'!$B108,Entradas!Y:Y)</f>
        <v>0</v>
      </c>
      <c r="S108" s="36">
        <f>SUMIF(Entradas!$B:$B,'Entrada Lvl 5-4 qt'!$B108,Entradas!Z:Z)</f>
        <v>0</v>
      </c>
      <c r="T108" s="36">
        <f>SUMIF(Entradas!$B:$B,'Entrada Lvl 5-4 qt'!$B108,Entradas!AA:AA)</f>
        <v>1964.91</v>
      </c>
      <c r="U108" s="36">
        <f>SUMIF(Entradas!$B:$B,'Entrada Lvl 5-4 qt'!$B108,Entradas!AB:AB)</f>
        <v>0</v>
      </c>
      <c r="V108" s="49">
        <f>_xlfn.XLOOKUP($B108,Entradas!$B:$B,Entradas!AC:AC,,0,1)</f>
        <v>45163</v>
      </c>
      <c r="W108" s="58">
        <f t="shared" si="9"/>
        <v>4</v>
      </c>
      <c r="X108" s="28" t="s">
        <v>10</v>
      </c>
      <c r="Y108" s="32">
        <f t="shared" si="5"/>
        <v>0</v>
      </c>
      <c r="Z108" s="33">
        <f t="shared" si="6"/>
        <v>1964.91</v>
      </c>
      <c r="AA108" s="34">
        <f t="shared" si="7"/>
        <v>0</v>
      </c>
      <c r="AB108" s="28" t="s">
        <v>1814</v>
      </c>
      <c r="AC108" s="28" t="s">
        <v>1820</v>
      </c>
      <c r="AD108" s="29" t="str" cm="1">
        <f t="array" ref="AD108">_xlfn.IFS(L108&lt;=Constantes!$G$2,"Muito Curta (evitável)",L108&lt;=Constantes!$H$2,"Curta Distância",L108&gt;Constantes!$H$2,"Longa Distância")</f>
        <v>Longa Distância</v>
      </c>
      <c r="AE108" s="30" t="str">
        <f t="shared" si="8"/>
        <v>NÃO</v>
      </c>
      <c r="AF108" s="30">
        <f>SUMIF(Entradas!$B:$B,'Entrada Lvl 5-4 qt'!$B108,Entradas!$AG:$AG)</f>
        <v>929.57892259546873</v>
      </c>
      <c r="AG108" s="30"/>
      <c r="BD108" s="49"/>
      <c r="BE108" s="49"/>
    </row>
    <row r="109" spans="1:57" x14ac:dyDescent="0.3">
      <c r="A109">
        <f>_xlfn.XLOOKUP(B109,Entradas!B:B,Entradas!A:A,,0,-1)</f>
        <v>2</v>
      </c>
      <c r="B109">
        <v>19236544</v>
      </c>
      <c r="C109" t="str">
        <f>_xlfn.XLOOKUP($B109,Entradas!$B:$B,Entradas!C:C,,0,1)</f>
        <v>000957/23-1C</v>
      </c>
      <c r="D109" t="str">
        <f>_xlfn.XLOOKUP($B109,Entradas!$B:$B,Entradas!D:D,,0,1)</f>
        <v>***.171.798-**</v>
      </c>
      <c r="E109" t="str">
        <f>_xlfn.XLOOKUP($B109,Entradas!$B:$B,Entradas!E:E,,0,1)</f>
        <v>MARCO VALERIO CLASSE COLONNELLI</v>
      </c>
      <c r="F109" t="str">
        <f>_xlfn.XLOOKUP($B109,Entradas!$B:$B,Entradas!F:F,,0,1)</f>
        <v>PROFESSOR DO MAGISTERIO SUPERIOR</v>
      </c>
      <c r="G109" t="str">
        <f>_xlfn.XLOOKUP($B109,Entradas!$B:$B,Entradas!G:G,,0,1)</f>
        <v>FUC-0001</v>
      </c>
      <c r="H109" t="str">
        <f>_xlfn.XLOOKUP($B109,Entradas!$B:$B,Entradas!H:H,,0,1)</f>
        <v>FUC-0001</v>
      </c>
      <c r="I109" s="49">
        <f>_xlfn.XLOOKUP($B109,Entradas!$B:$B,Entradas!I:I,,0,1)</f>
        <v>45194</v>
      </c>
      <c r="J109" s="49">
        <f>_xlfn.XLOOKUP($B109,Entradas!$B:$B,Entradas!J:J,,0,1)</f>
        <v>45199</v>
      </c>
      <c r="K109" t="str">
        <f>_xlfn.XLOOKUP($B109,Entradas!$B:$B,Entradas!K:K,,0,1)</f>
        <v>Apresentação de comunicação oral em evento nacional de Estudos Clássicos. Produção para a área de Letras Clássicas do PPGL.</v>
      </c>
      <c r="L109">
        <f>SUMIF(Entradas!$B:$B,'Entrada Lvl 5-4 qt'!$B109,Entradas!S:S)</f>
        <v>3310.0043420000002</v>
      </c>
      <c r="M109" t="str">
        <f>_xlfn.XLOOKUP($B109,Entradas!$B:$B,Entradas!T:T,,0,1)</f>
        <v>Aéreo</v>
      </c>
      <c r="N109" t="str">
        <f>_xlfn.XLOOKUP($B109,Entradas!$B:$B,Entradas!U:U,,0,1)</f>
        <v>Não</v>
      </c>
      <c r="O109" t="str">
        <f>_xlfn.XLOOKUP($B109,Entradas!$B:$B,Entradas!V:V,,0,1)</f>
        <v>Realizada</v>
      </c>
      <c r="P109" t="str">
        <f>_xlfn.XLOOKUP($B109,Entradas!$B:$B,Entradas!W:W,,0,1)</f>
        <v>NÃO</v>
      </c>
      <c r="Q109" t="str">
        <f>_xlfn.XLOOKUP($B109,Entradas!$B:$B,Entradas!X:X,,0,1)</f>
        <v>Sem informação</v>
      </c>
      <c r="R109" s="36">
        <f>SUMIF(Entradas!$B:$B,'Entrada Lvl 5-4 qt'!$B109,Entradas!Y:Y)</f>
        <v>0</v>
      </c>
      <c r="S109" s="36">
        <f>SUMIF(Entradas!$B:$B,'Entrada Lvl 5-4 qt'!$B109,Entradas!Z:Z)</f>
        <v>0</v>
      </c>
      <c r="T109" s="36">
        <f>SUMIF(Entradas!$B:$B,'Entrada Lvl 5-4 qt'!$B109,Entradas!AA:AA)</f>
        <v>2699.58</v>
      </c>
      <c r="U109" s="36">
        <f>SUMIF(Entradas!$B:$B,'Entrada Lvl 5-4 qt'!$B109,Entradas!AB:AB)</f>
        <v>0</v>
      </c>
      <c r="V109" s="49">
        <f>_xlfn.XLOOKUP($B109,Entradas!$B:$B,Entradas!AC:AC,,0,1)</f>
        <v>45170</v>
      </c>
      <c r="W109" s="58">
        <f t="shared" si="9"/>
        <v>5</v>
      </c>
      <c r="X109" s="28" t="s">
        <v>10</v>
      </c>
      <c r="Y109" s="32">
        <f t="shared" si="5"/>
        <v>0</v>
      </c>
      <c r="Z109" s="33">
        <f t="shared" si="6"/>
        <v>2699.58</v>
      </c>
      <c r="AA109" s="34">
        <f t="shared" si="7"/>
        <v>0</v>
      </c>
      <c r="AB109" s="28" t="s">
        <v>1814</v>
      </c>
      <c r="AC109" s="28" t="s">
        <v>1820</v>
      </c>
      <c r="AD109" s="29" t="str" cm="1">
        <f t="array" ref="AD109">_xlfn.IFS(L109&lt;=Constantes!$G$2,"Muito Curta (evitável)",L109&lt;=Constantes!$H$2,"Curta Distância",L109&gt;Constantes!$H$2,"Longa Distância")</f>
        <v>Curta Distância</v>
      </c>
      <c r="AE109" s="30" t="str">
        <f t="shared" si="8"/>
        <v>NÃO</v>
      </c>
      <c r="AF109" s="30">
        <f>SUMIF(Entradas!$B:$B,'Entrada Lvl 5-4 qt'!$B109,Entradas!$AG:$AG)</f>
        <v>605.2983569583339</v>
      </c>
      <c r="AG109" s="30"/>
      <c r="BD109" s="49"/>
      <c r="BE109" s="49"/>
    </row>
    <row r="110" spans="1:57" x14ac:dyDescent="0.3">
      <c r="A110">
        <f>_xlfn.XLOOKUP(B110,Entradas!B:B,Entradas!A:A,,0,-1)</f>
        <v>2</v>
      </c>
      <c r="B110">
        <v>19253229</v>
      </c>
      <c r="C110" t="str">
        <f>_xlfn.XLOOKUP($B110,Entradas!$B:$B,Entradas!C:C,,0,1)</f>
        <v>000999/23</v>
      </c>
      <c r="D110" t="str">
        <f>_xlfn.XLOOKUP($B110,Entradas!$B:$B,Entradas!D:D,,0,1)</f>
        <v>***.094.332-**</v>
      </c>
      <c r="E110" t="str">
        <f>_xlfn.XLOOKUP($B110,Entradas!$B:$B,Entradas!E:E,,0,1)</f>
        <v>SONIA MARIA DA SILVA ARAUJO</v>
      </c>
      <c r="F110" t="str">
        <f>_xlfn.XLOOKUP($B110,Entradas!$B:$B,Entradas!F:F,,0,1)</f>
        <v>PROFESSOR MAGISTERIO SUPERIOR-VISITANTE</v>
      </c>
      <c r="G110" t="str">
        <f>_xlfn.XLOOKUP($B110,Entradas!$B:$B,Entradas!G:G,,0,1)</f>
        <v>-1</v>
      </c>
      <c r="H110" t="str">
        <f>_xlfn.XLOOKUP($B110,Entradas!$B:$B,Entradas!H:H,,0,1)</f>
        <v>Sem informação</v>
      </c>
      <c r="I110" s="49">
        <f>_xlfn.XLOOKUP($B110,Entradas!$B:$B,Entradas!I:I,,0,1)</f>
        <v>45195</v>
      </c>
      <c r="J110" s="49">
        <f>_xlfn.XLOOKUP($B110,Entradas!$B:$B,Entradas!J:J,,0,1)</f>
        <v>45197</v>
      </c>
      <c r="K110" t="str">
        <f>_xlfn.XLOOKUP($B110,Entradas!$B:$B,Entradas!K:K,,0,1)</f>
        <v>Participação na banca de doutorado de Arthur Rodrigues de Lima.</v>
      </c>
      <c r="L110">
        <f>SUMIF(Entradas!$B:$B,'Entrada Lvl 5-4 qt'!$B110,Entradas!S:S)</f>
        <v>3262.9122579999998</v>
      </c>
      <c r="M110" t="str">
        <f>_xlfn.XLOOKUP($B110,Entradas!$B:$B,Entradas!T:T,,0,1)</f>
        <v>Aéreo</v>
      </c>
      <c r="N110" t="str">
        <f>_xlfn.XLOOKUP($B110,Entradas!$B:$B,Entradas!U:U,,0,1)</f>
        <v>Não</v>
      </c>
      <c r="O110" t="str">
        <f>_xlfn.XLOOKUP($B110,Entradas!$B:$B,Entradas!V:V,,0,1)</f>
        <v>Realizada</v>
      </c>
      <c r="P110" t="str">
        <f>_xlfn.XLOOKUP($B110,Entradas!$B:$B,Entradas!W:W,,0,1)</f>
        <v>SIM</v>
      </c>
      <c r="Q110" t="str">
        <f>_xlfn.XLOOKUP($B110,Entradas!$B:$B,Entradas!X:X,,0,1)</f>
        <v>Tramitação da PCDP efetuada em atraso por razão de pendências no cadastro da proposta.</v>
      </c>
      <c r="R110" s="36">
        <f>SUMIF(Entradas!$B:$B,'Entrada Lvl 5-4 qt'!$B110,Entradas!Y:Y)</f>
        <v>857.82</v>
      </c>
      <c r="S110" s="36">
        <f>SUMIF(Entradas!$B:$B,'Entrada Lvl 5-4 qt'!$B110,Entradas!Z:Z)</f>
        <v>0</v>
      </c>
      <c r="T110" s="36">
        <f>SUMIF(Entradas!$B:$B,'Entrada Lvl 5-4 qt'!$B110,Entradas!AA:AA)</f>
        <v>4382.58</v>
      </c>
      <c r="U110" s="36">
        <f>SUMIF(Entradas!$B:$B,'Entrada Lvl 5-4 qt'!$B110,Entradas!AB:AB)</f>
        <v>0</v>
      </c>
      <c r="V110" s="49">
        <f>_xlfn.XLOOKUP($B110,Entradas!$B:$B,Entradas!AC:AC,,0,1)</f>
        <v>45184</v>
      </c>
      <c r="W110" s="58">
        <f t="shared" si="9"/>
        <v>2</v>
      </c>
      <c r="X110" s="28" t="s">
        <v>10</v>
      </c>
      <c r="Y110" s="32">
        <f t="shared" si="5"/>
        <v>0</v>
      </c>
      <c r="Z110" s="33">
        <f t="shared" si="6"/>
        <v>4382.58</v>
      </c>
      <c r="AA110" s="34">
        <f t="shared" si="7"/>
        <v>857.82</v>
      </c>
      <c r="AB110" s="28" t="s">
        <v>1812</v>
      </c>
      <c r="AC110" s="28" t="s">
        <v>1820</v>
      </c>
      <c r="AD110" s="29" t="str" cm="1">
        <f t="array" ref="AD110">_xlfn.IFS(L110&lt;=Constantes!$G$2,"Muito Curta (evitável)",L110&lt;=Constantes!$H$2,"Curta Distância",L110&gt;Constantes!$H$2,"Longa Distância")</f>
        <v>Curta Distância</v>
      </c>
      <c r="AE110" s="30" t="str">
        <f t="shared" si="8"/>
        <v>NÃO</v>
      </c>
      <c r="AF110" s="30">
        <f>SUMIF(Entradas!$B:$B,'Entrada Lvl 5-4 qt'!$B110,Entradas!$AG:$AG)</f>
        <v>596.68665796167329</v>
      </c>
      <c r="AG110" s="30"/>
      <c r="BD110" s="49"/>
      <c r="BE110" s="49"/>
    </row>
    <row r="111" spans="1:57" x14ac:dyDescent="0.3">
      <c r="A111">
        <f>_xlfn.XLOOKUP(B111,Entradas!B:B,Entradas!A:A,,0,-1)</f>
        <v>2</v>
      </c>
      <c r="B111">
        <v>19163841</v>
      </c>
      <c r="C111" t="str">
        <f>_xlfn.XLOOKUP($B111,Entradas!$B:$B,Entradas!C:C,,0,1)</f>
        <v>000992/23</v>
      </c>
      <c r="D111" t="str">
        <f>_xlfn.XLOOKUP($B111,Entradas!$B:$B,Entradas!D:D,,0,1)</f>
        <v>***.509.093-**</v>
      </c>
      <c r="E111" t="str">
        <f>_xlfn.XLOOKUP($B111,Entradas!$B:$B,Entradas!E:E,,0,1)</f>
        <v>JULIO SANTOS REBOUCAS</v>
      </c>
      <c r="F111" t="str">
        <f>_xlfn.XLOOKUP($B111,Entradas!$B:$B,Entradas!F:F,,0,1)</f>
        <v>PROFESSOR DO MAGISTERIO SUPERIOR</v>
      </c>
      <c r="G111" t="str">
        <f>_xlfn.XLOOKUP($B111,Entradas!$B:$B,Entradas!G:G,,0,1)</f>
        <v>-1</v>
      </c>
      <c r="H111" t="str">
        <f>_xlfn.XLOOKUP($B111,Entradas!$B:$B,Entradas!H:H,,0,1)</f>
        <v>Sem informação</v>
      </c>
      <c r="I111" s="49">
        <f>_xlfn.XLOOKUP($B111,Entradas!$B:$B,Entradas!I:I,,0,1)</f>
        <v>45196</v>
      </c>
      <c r="J111" s="49">
        <f>_xlfn.XLOOKUP($B111,Entradas!$B:$B,Entradas!J:J,,0,1)</f>
        <v>45199</v>
      </c>
      <c r="K111" t="str">
        <f>_xlfn.XLOOKUP($B111,Entradas!$B:$B,Entradas!K:K,,0,1)</f>
        <v>Participação no Seminário de Acompanhamento do Programa Capes-PrInt - 2023, nas dependências da CAPES em Brasília-DF, nos dias 18 e 19 de setembro de 2023, das 09h00 às 18h00, como um dos representantes da UFPB, com o objetivo de acompanhar a execução do Projeto Institucional Capes-PrInt-UFPB nos anos de 2022 e 2023 e planejar as ações para o último ano do Programa.</v>
      </c>
      <c r="L111">
        <f>SUMIF(Entradas!$B:$B,'Entrada Lvl 5-4 qt'!$B111,Entradas!S:S)</f>
        <v>3426.839982</v>
      </c>
      <c r="M111" t="str">
        <f>_xlfn.XLOOKUP($B111,Entradas!$B:$B,Entradas!T:T,,0,1)</f>
        <v>Aéreo</v>
      </c>
      <c r="N111" t="str">
        <f>_xlfn.XLOOKUP($B111,Entradas!$B:$B,Entradas!U:U,,0,1)</f>
        <v>Não</v>
      </c>
      <c r="O111" t="str">
        <f>_xlfn.XLOOKUP($B111,Entradas!$B:$B,Entradas!V:V,,0,1)</f>
        <v>Realizada</v>
      </c>
      <c r="P111" t="str">
        <f>_xlfn.XLOOKUP($B111,Entradas!$B:$B,Entradas!W:W,,0,1)</f>
        <v>NÃO</v>
      </c>
      <c r="Q111" t="str">
        <f>_xlfn.XLOOKUP($B111,Entradas!$B:$B,Entradas!X:X,,0,1)</f>
        <v>Sem informação</v>
      </c>
      <c r="R111" s="36">
        <f>SUMIF(Entradas!$B:$B,'Entrada Lvl 5-4 qt'!$B111,Entradas!Y:Y)</f>
        <v>1339.26</v>
      </c>
      <c r="S111" s="36">
        <f>SUMIF(Entradas!$B:$B,'Entrada Lvl 5-4 qt'!$B111,Entradas!Z:Z)</f>
        <v>0</v>
      </c>
      <c r="T111" s="36">
        <f>SUMIF(Entradas!$B:$B,'Entrada Lvl 5-4 qt'!$B111,Entradas!AA:AA)</f>
        <v>1888.5</v>
      </c>
      <c r="U111" s="36">
        <f>SUMIF(Entradas!$B:$B,'Entrada Lvl 5-4 qt'!$B111,Entradas!AB:AB)</f>
        <v>0</v>
      </c>
      <c r="V111" s="49">
        <f>_xlfn.XLOOKUP($B111,Entradas!$B:$B,Entradas!AC:AC,,0,1)</f>
        <v>45174</v>
      </c>
      <c r="W111" s="58">
        <f t="shared" si="9"/>
        <v>3</v>
      </c>
      <c r="X111" s="28" t="s">
        <v>10</v>
      </c>
      <c r="Y111" s="32">
        <f t="shared" si="5"/>
        <v>0</v>
      </c>
      <c r="Z111" s="33">
        <f t="shared" si="6"/>
        <v>1888.5</v>
      </c>
      <c r="AA111" s="34">
        <f t="shared" si="7"/>
        <v>1339.26</v>
      </c>
      <c r="AB111" s="28" t="s">
        <v>1813</v>
      </c>
      <c r="AC111" s="28" t="s">
        <v>1820</v>
      </c>
      <c r="AD111" s="29" t="str" cm="1">
        <f t="array" ref="AD111">_xlfn.IFS(L111&lt;=Constantes!$G$2,"Muito Curta (evitável)",L111&lt;=Constantes!$H$2,"Curta Distância",L111&gt;Constantes!$H$2,"Longa Distância")</f>
        <v>Curta Distância</v>
      </c>
      <c r="AE111" s="30" t="str">
        <f t="shared" si="8"/>
        <v>NÃO</v>
      </c>
      <c r="AF111" s="30">
        <f>SUMIF(Entradas!$B:$B,'Entrada Lvl 5-4 qt'!$B111,Entradas!$AG:$AG)</f>
        <v>626.66401501165365</v>
      </c>
      <c r="AG111" s="30"/>
      <c r="BD111" s="49"/>
      <c r="BE111" s="49"/>
    </row>
    <row r="112" spans="1:57" x14ac:dyDescent="0.3">
      <c r="A112">
        <f>_xlfn.XLOOKUP(B112,Entradas!B:B,Entradas!A:A,,0,-1)</f>
        <v>2</v>
      </c>
      <c r="B112">
        <v>19249490</v>
      </c>
      <c r="C112" t="str">
        <f>_xlfn.XLOOKUP($B112,Entradas!$B:$B,Entradas!C:C,,0,1)</f>
        <v>000991/23</v>
      </c>
      <c r="D112" t="str">
        <f>_xlfn.XLOOKUP($B112,Entradas!$B:$B,Entradas!D:D,,0,1)</f>
        <v/>
      </c>
      <c r="E112" t="str">
        <f>_xlfn.XLOOKUP($B112,Entradas!$B:$B,Entradas!E:E,,0,1)</f>
        <v>ANDERSON QUEIROZ DE CASTRO GOMES</v>
      </c>
      <c r="F112" t="str">
        <f>_xlfn.XLOOKUP($B112,Entradas!$B:$B,Entradas!F:F,,0,1)</f>
        <v>ASSISTENTE EM ADMINISTRAçãO</v>
      </c>
      <c r="G112" t="str">
        <f>_xlfn.XLOOKUP($B112,Entradas!$B:$B,Entradas!G:G,,0,1)</f>
        <v>FG-0002</v>
      </c>
      <c r="H112" t="str">
        <f>_xlfn.XLOOKUP($B112,Entradas!$B:$B,Entradas!H:H,,0,1)</f>
        <v>FG-0002</v>
      </c>
      <c r="I112" s="49">
        <f>_xlfn.XLOOKUP($B112,Entradas!$B:$B,Entradas!I:I,,0,1)</f>
        <v>45196</v>
      </c>
      <c r="J112" s="49">
        <f>_xlfn.XLOOKUP($B112,Entradas!$B:$B,Entradas!J:J,,0,1)</f>
        <v>45199</v>
      </c>
      <c r="K112" t="str">
        <f>_xlfn.XLOOKUP($B112,Entradas!$B:$B,Entradas!K:K,,0,1)</f>
        <v>Participação em Seminário do Capes PRINT</v>
      </c>
      <c r="L112">
        <f>SUMIF(Entradas!$B:$B,'Entrada Lvl 5-4 qt'!$B112,Entradas!S:S)</f>
        <v>3426.839982</v>
      </c>
      <c r="M112" t="str">
        <f>_xlfn.XLOOKUP($B112,Entradas!$B:$B,Entradas!T:T,,0,1)</f>
        <v>Aéreo</v>
      </c>
      <c r="N112" t="str">
        <f>_xlfn.XLOOKUP($B112,Entradas!$B:$B,Entradas!U:U,,0,1)</f>
        <v>Não</v>
      </c>
      <c r="O112" t="str">
        <f>_xlfn.XLOOKUP($B112,Entradas!$B:$B,Entradas!V:V,,0,1)</f>
        <v>Realizada</v>
      </c>
      <c r="P112" t="str">
        <f>_xlfn.XLOOKUP($B112,Entradas!$B:$B,Entradas!W:W,,0,1)</f>
        <v>NÃO</v>
      </c>
      <c r="Q112" t="str">
        <f>_xlfn.XLOOKUP($B112,Entradas!$B:$B,Entradas!X:X,,0,1)</f>
        <v>Sem informação</v>
      </c>
      <c r="R112" s="36">
        <f>SUMIF(Entradas!$B:$B,'Entrada Lvl 5-4 qt'!$B112,Entradas!Y:Y)</f>
        <v>1339.26</v>
      </c>
      <c r="S112" s="36">
        <f>SUMIF(Entradas!$B:$B,'Entrada Lvl 5-4 qt'!$B112,Entradas!Z:Z)</f>
        <v>0</v>
      </c>
      <c r="T112" s="36">
        <f>SUMIF(Entradas!$B:$B,'Entrada Lvl 5-4 qt'!$B112,Entradas!AA:AA)</f>
        <v>1888.5</v>
      </c>
      <c r="U112" s="36">
        <f>SUMIF(Entradas!$B:$B,'Entrada Lvl 5-4 qt'!$B112,Entradas!AB:AB)</f>
        <v>0</v>
      </c>
      <c r="V112" s="49">
        <f>_xlfn.XLOOKUP($B112,Entradas!$B:$B,Entradas!AC:AC,,0,1)</f>
        <v>45174</v>
      </c>
      <c r="W112" s="58">
        <f t="shared" si="9"/>
        <v>3</v>
      </c>
      <c r="X112" s="28" t="s">
        <v>10</v>
      </c>
      <c r="Y112" s="32">
        <f t="shared" si="5"/>
        <v>0</v>
      </c>
      <c r="Z112" s="33">
        <f t="shared" si="6"/>
        <v>1888.5</v>
      </c>
      <c r="AA112" s="34">
        <f t="shared" si="7"/>
        <v>1339.26</v>
      </c>
      <c r="AB112" s="28" t="s">
        <v>1813</v>
      </c>
      <c r="AC112" s="28" t="s">
        <v>1784</v>
      </c>
      <c r="AD112" s="29" t="str" cm="1">
        <f t="array" ref="AD112">_xlfn.IFS(L112&lt;=Constantes!$G$2,"Muito Curta (evitável)",L112&lt;=Constantes!$H$2,"Curta Distância",L112&gt;Constantes!$H$2,"Longa Distância")</f>
        <v>Curta Distância</v>
      </c>
      <c r="AE112" s="30" t="str">
        <f t="shared" si="8"/>
        <v>NÃO</v>
      </c>
      <c r="AF112" s="30">
        <f>SUMIF(Entradas!$B:$B,'Entrada Lvl 5-4 qt'!$B112,Entradas!$AG:$AG)</f>
        <v>626.66401501165365</v>
      </c>
      <c r="AG112" s="30"/>
      <c r="BD112" s="49"/>
      <c r="BE112" s="49"/>
    </row>
    <row r="113" spans="1:57" x14ac:dyDescent="0.3">
      <c r="A113">
        <f>_xlfn.XLOOKUP(B113,Entradas!B:B,Entradas!A:A,,0,-1)</f>
        <v>2</v>
      </c>
      <c r="B113">
        <v>19225071</v>
      </c>
      <c r="C113" t="str">
        <f>_xlfn.XLOOKUP($B113,Entradas!$B:$B,Entradas!C:C,,0,1)</f>
        <v>000905/23</v>
      </c>
      <c r="D113" t="str">
        <f>_xlfn.XLOOKUP($B113,Entradas!$B:$B,Entradas!D:D,,0,1)</f>
        <v/>
      </c>
      <c r="E113" t="str">
        <f>_xlfn.XLOOKUP($B113,Entradas!$B:$B,Entradas!E:E,,0,1)</f>
        <v>FRANCIELLE CRISTINE PEREIRA GONCALVES</v>
      </c>
      <c r="F113" t="str">
        <f>_xlfn.XLOOKUP($B113,Entradas!$B:$B,Entradas!F:F,,0,1)</f>
        <v/>
      </c>
      <c r="G113" t="str">
        <f>_xlfn.XLOOKUP($B113,Entradas!$B:$B,Entradas!G:G,,0,1)</f>
        <v>-1</v>
      </c>
      <c r="H113" t="str">
        <f>_xlfn.XLOOKUP($B113,Entradas!$B:$B,Entradas!H:H,,0,1)</f>
        <v>Sem informação</v>
      </c>
      <c r="I113" s="49">
        <f>_xlfn.XLOOKUP($B113,Entradas!$B:$B,Entradas!I:I,,0,1)</f>
        <v>45199</v>
      </c>
      <c r="J113" s="49">
        <f>_xlfn.XLOOKUP($B113,Entradas!$B:$B,Entradas!J:J,,0,1)</f>
        <v>45204</v>
      </c>
      <c r="K113" t="str">
        <f>_xlfn.XLOOKUP($B113,Entradas!$B:$B,Entradas!K:K,,0,1)</f>
        <v>Participação e apresentação de trabalho acadêmico-científico no XXI Encontro da SPBmat, que ocorrerá em Maceió-AL, no período de 01 a 05 de outubro de 2023.</v>
      </c>
      <c r="L113">
        <f>SUMIF(Entradas!$B:$B,'Entrada Lvl 5-4 qt'!$B113,Entradas!S:S)</f>
        <v>558.13892280000005</v>
      </c>
      <c r="M113" t="str">
        <f>_xlfn.XLOOKUP($B113,Entradas!$B:$B,Entradas!T:T,,0,1)</f>
        <v>Aéreo</v>
      </c>
      <c r="N113" t="str">
        <f>_xlfn.XLOOKUP($B113,Entradas!$B:$B,Entradas!U:U,,0,1)</f>
        <v>Não</v>
      </c>
      <c r="O113" t="str">
        <f>_xlfn.XLOOKUP($B113,Entradas!$B:$B,Entradas!V:V,,0,1)</f>
        <v>Realizada</v>
      </c>
      <c r="P113" t="str">
        <f>_xlfn.XLOOKUP($B113,Entradas!$B:$B,Entradas!W:W,,0,1)</f>
        <v>NÃO</v>
      </c>
      <c r="Q113" t="str">
        <f>_xlfn.XLOOKUP($B113,Entradas!$B:$B,Entradas!X:X,,0,1)</f>
        <v>Sem informação</v>
      </c>
      <c r="R113" s="36">
        <f>SUMIF(Entradas!$B:$B,'Entrada Lvl 5-4 qt'!$B113,Entradas!Y:Y)</f>
        <v>0</v>
      </c>
      <c r="S113" s="36">
        <f>SUMIF(Entradas!$B:$B,'Entrada Lvl 5-4 qt'!$B113,Entradas!Z:Z)</f>
        <v>0</v>
      </c>
      <c r="T113" s="36">
        <f>SUMIF(Entradas!$B:$B,'Entrada Lvl 5-4 qt'!$B113,Entradas!AA:AA)</f>
        <v>1400.6799999999998</v>
      </c>
      <c r="U113" s="36">
        <f>SUMIF(Entradas!$B:$B,'Entrada Lvl 5-4 qt'!$B113,Entradas!AB:AB)</f>
        <v>0</v>
      </c>
      <c r="V113" s="49">
        <f>_xlfn.XLOOKUP($B113,Entradas!$B:$B,Entradas!AC:AC,,0,1)</f>
        <v>45166</v>
      </c>
      <c r="W113" s="58">
        <f t="shared" si="9"/>
        <v>5</v>
      </c>
      <c r="X113" s="28" t="s">
        <v>10</v>
      </c>
      <c r="Y113" s="32">
        <f t="shared" si="5"/>
        <v>0</v>
      </c>
      <c r="Z113" s="33">
        <f t="shared" si="6"/>
        <v>1400.6799999999998</v>
      </c>
      <c r="AA113" s="34">
        <f t="shared" si="7"/>
        <v>0</v>
      </c>
      <c r="AB113" s="28" t="s">
        <v>1814</v>
      </c>
      <c r="AC113" s="28" t="s">
        <v>1822</v>
      </c>
      <c r="AD113" s="29" t="str" cm="1">
        <f t="array" ref="AD113">_xlfn.IFS(L113&lt;=Constantes!$G$2,"Muito Curta (evitável)",L113&lt;=Constantes!$H$2,"Curta Distância",L113&gt;Constantes!$H$2,"Longa Distância")</f>
        <v>Muito Curta (evitável)</v>
      </c>
      <c r="AE113" s="30" t="str">
        <f t="shared" si="8"/>
        <v>NÃO</v>
      </c>
      <c r="AF113" s="30">
        <f>SUMIF(Entradas!$B:$B,'Entrada Lvl 5-4 qt'!$B113,Entradas!$AG:$AG)</f>
        <v>152.13571329129365</v>
      </c>
      <c r="AG113" s="30"/>
      <c r="BD113" s="49"/>
      <c r="BE113" s="49"/>
    </row>
    <row r="114" spans="1:57" x14ac:dyDescent="0.3">
      <c r="A114">
        <f>_xlfn.XLOOKUP(B114,Entradas!B:B,Entradas!A:A,,0,-1)</f>
        <v>2</v>
      </c>
      <c r="B114">
        <v>19185446</v>
      </c>
      <c r="C114" t="str">
        <f>_xlfn.XLOOKUP($B114,Entradas!$B:$B,Entradas!C:C,,0,1)</f>
        <v>000821/23</v>
      </c>
      <c r="D114" t="str">
        <f>_xlfn.XLOOKUP($B114,Entradas!$B:$B,Entradas!D:D,,0,1)</f>
        <v>***.574.646-**</v>
      </c>
      <c r="E114" t="str">
        <f>_xlfn.XLOOKUP($B114,Entradas!$B:$B,Entradas!E:E,,0,1)</f>
        <v>HENRIQUE ZEFERINO DE MENEZES</v>
      </c>
      <c r="F114" t="str">
        <f>_xlfn.XLOOKUP($B114,Entradas!$B:$B,Entradas!F:F,,0,1)</f>
        <v>PROFESSOR DO MAGISTERIO SUPERIOR</v>
      </c>
      <c r="G114" t="str">
        <f>_xlfn.XLOOKUP($B114,Entradas!$B:$B,Entradas!G:G,,0,1)</f>
        <v>FUC-0001</v>
      </c>
      <c r="H114" t="str">
        <f>_xlfn.XLOOKUP($B114,Entradas!$B:$B,Entradas!H:H,,0,1)</f>
        <v>FUC-0001</v>
      </c>
      <c r="I114" s="49">
        <f>_xlfn.XLOOKUP($B114,Entradas!$B:$B,Entradas!I:I,,0,1)</f>
        <v>45200</v>
      </c>
      <c r="J114" s="49">
        <f>_xlfn.XLOOKUP($B114,Entradas!$B:$B,Entradas!J:J,,0,1)</f>
        <v>45203</v>
      </c>
      <c r="K114" t="str">
        <f>_xlfn.XLOOKUP($B114,Entradas!$B:$B,Entradas!K:K,,0,1)</f>
        <v>Participação no Seminário de meio termo de avaliação quadrienal da CAPES, no qual são apresentados os resultados preliminares da avaliação quadrienal dos PPGs (presença obrigatória)</v>
      </c>
      <c r="L114">
        <f>SUMIF(Entradas!$B:$B,'Entrada Lvl 5-4 qt'!$B114,Entradas!S:S)</f>
        <v>3426.839982</v>
      </c>
      <c r="M114" t="str">
        <f>_xlfn.XLOOKUP($B114,Entradas!$B:$B,Entradas!T:T,,0,1)</f>
        <v>Aéreo</v>
      </c>
      <c r="N114" t="str">
        <f>_xlfn.XLOOKUP($B114,Entradas!$B:$B,Entradas!U:U,,0,1)</f>
        <v>Sim</v>
      </c>
      <c r="O114" t="str">
        <f>_xlfn.XLOOKUP($B114,Entradas!$B:$B,Entradas!V:V,,0,1)</f>
        <v>Realizada</v>
      </c>
      <c r="P114" t="str">
        <f>_xlfn.XLOOKUP($B114,Entradas!$B:$B,Entradas!W:W,,0,1)</f>
        <v>NÃO</v>
      </c>
      <c r="Q114" t="str">
        <f>_xlfn.XLOOKUP($B114,Entradas!$B:$B,Entradas!X:X,,0,1)</f>
        <v>Sem informação</v>
      </c>
      <c r="R114" s="36">
        <f>SUMIF(Entradas!$B:$B,'Entrada Lvl 5-4 qt'!$B114,Entradas!Y:Y)</f>
        <v>1339.26</v>
      </c>
      <c r="S114" s="36">
        <f>SUMIF(Entradas!$B:$B,'Entrada Lvl 5-4 qt'!$B114,Entradas!Z:Z)</f>
        <v>0</v>
      </c>
      <c r="T114" s="36">
        <f>SUMIF(Entradas!$B:$B,'Entrada Lvl 5-4 qt'!$B114,Entradas!AA:AA)</f>
        <v>2316.1999999999998</v>
      </c>
      <c r="U114" s="36">
        <f>SUMIF(Entradas!$B:$B,'Entrada Lvl 5-4 qt'!$B114,Entradas!AB:AB)</f>
        <v>0</v>
      </c>
      <c r="V114" s="49">
        <f>_xlfn.XLOOKUP($B114,Entradas!$B:$B,Entradas!AC:AC,,0,1)</f>
        <v>45154</v>
      </c>
      <c r="W114" s="58">
        <f t="shared" si="9"/>
        <v>3</v>
      </c>
      <c r="X114" s="28" t="s">
        <v>10</v>
      </c>
      <c r="Y114" s="32">
        <f t="shared" si="5"/>
        <v>0</v>
      </c>
      <c r="Z114" s="33">
        <f t="shared" si="6"/>
        <v>2316.1999999999998</v>
      </c>
      <c r="AA114" s="34">
        <f t="shared" si="7"/>
        <v>1339.26</v>
      </c>
      <c r="AB114" s="28" t="s">
        <v>1813</v>
      </c>
      <c r="AC114" s="28" t="s">
        <v>1820</v>
      </c>
      <c r="AD114" s="29" t="str" cm="1">
        <f t="array" ref="AD114">_xlfn.IFS(L114&lt;=Constantes!$G$2,"Muito Curta (evitável)",L114&lt;=Constantes!$H$2,"Curta Distância",L114&gt;Constantes!$H$2,"Longa Distância")</f>
        <v>Curta Distância</v>
      </c>
      <c r="AE114" s="30" t="str">
        <f t="shared" si="8"/>
        <v>NÃO</v>
      </c>
      <c r="AF114" s="30">
        <f>SUMIF(Entradas!$B:$B,'Entrada Lvl 5-4 qt'!$B114,Entradas!$AG:$AG)</f>
        <v>626.66401501165365</v>
      </c>
      <c r="AG114" s="30"/>
      <c r="BD114" s="49"/>
      <c r="BE114" s="49"/>
    </row>
    <row r="115" spans="1:57" x14ac:dyDescent="0.3">
      <c r="A115">
        <f>_xlfn.XLOOKUP(B115,Entradas!B:B,Entradas!A:A,,0,-1)</f>
        <v>2</v>
      </c>
      <c r="B115">
        <v>19190345</v>
      </c>
      <c r="C115" t="str">
        <f>_xlfn.XLOOKUP($B115,Entradas!$B:$B,Entradas!C:C,,0,1)</f>
        <v>000850/23</v>
      </c>
      <c r="D115" t="str">
        <f>_xlfn.XLOOKUP($B115,Entradas!$B:$B,Entradas!D:D,,0,1)</f>
        <v>***.111.658-**</v>
      </c>
      <c r="E115" t="str">
        <f>_xlfn.XLOOKUP($B115,Entradas!$B:$B,Entradas!E:E,,0,1)</f>
        <v>MARINILSON BARBOSA DA SILVA</v>
      </c>
      <c r="F115" t="str">
        <f>_xlfn.XLOOKUP($B115,Entradas!$B:$B,Entradas!F:F,,0,1)</f>
        <v>PROFESSOR DO MAGISTERIO SUPERIOR</v>
      </c>
      <c r="G115" t="str">
        <f>_xlfn.XLOOKUP($B115,Entradas!$B:$B,Entradas!G:G,,0,1)</f>
        <v>FUC-0001</v>
      </c>
      <c r="H115" t="str">
        <f>_xlfn.XLOOKUP($B115,Entradas!$B:$B,Entradas!H:H,,0,1)</f>
        <v>FUC-0001</v>
      </c>
      <c r="I115" s="49">
        <f>_xlfn.XLOOKUP($B115,Entradas!$B:$B,Entradas!I:I,,0,1)</f>
        <v>45200</v>
      </c>
      <c r="J115" s="49">
        <f>_xlfn.XLOOKUP($B115,Entradas!$B:$B,Entradas!J:J,,0,1)</f>
        <v>45203</v>
      </c>
      <c r="K115" t="str">
        <f>_xlfn.XLOOKUP($B115,Entradas!$B:$B,Entradas!K:K,,0,1)</f>
        <v>Participação no Seminário de Meio Termo dos programas de pós-graduação da área de CIÊNCIAS DA RELIGIÃO E TEOLOGIA. O Seminário consiste em uma reunião dos coordenadores de área com coordenadores ou representantes dos programas de pós-graduação em funcionamento para fins de discutir e planejar, em conjunto, as metas e diretrizes da área para fins de avaliação. Além disso, esta será uma oportunidade para compartilhamento de experiências e análise do desempenho dos programas nos dois primeiros anos do quadriênio.</v>
      </c>
      <c r="L115">
        <f>SUMIF(Entradas!$B:$B,'Entrada Lvl 5-4 qt'!$B115,Entradas!S:S)</f>
        <v>3426.839982</v>
      </c>
      <c r="M115" t="str">
        <f>_xlfn.XLOOKUP($B115,Entradas!$B:$B,Entradas!T:T,,0,1)</f>
        <v>Aéreo</v>
      </c>
      <c r="N115" t="str">
        <f>_xlfn.XLOOKUP($B115,Entradas!$B:$B,Entradas!U:U,,0,1)</f>
        <v>Não</v>
      </c>
      <c r="O115" t="str">
        <f>_xlfn.XLOOKUP($B115,Entradas!$B:$B,Entradas!V:V,,0,1)</f>
        <v>Realizada</v>
      </c>
      <c r="P115" t="str">
        <f>_xlfn.XLOOKUP($B115,Entradas!$B:$B,Entradas!W:W,,0,1)</f>
        <v>NÃO</v>
      </c>
      <c r="Q115" t="str">
        <f>_xlfn.XLOOKUP($B115,Entradas!$B:$B,Entradas!X:X,,0,1)</f>
        <v>Sem informação</v>
      </c>
      <c r="R115" s="36">
        <f>SUMIF(Entradas!$B:$B,'Entrada Lvl 5-4 qt'!$B115,Entradas!Y:Y)</f>
        <v>1339.26</v>
      </c>
      <c r="S115" s="36">
        <f>SUMIF(Entradas!$B:$B,'Entrada Lvl 5-4 qt'!$B115,Entradas!Z:Z)</f>
        <v>0</v>
      </c>
      <c r="T115" s="36">
        <f>SUMIF(Entradas!$B:$B,'Entrada Lvl 5-4 qt'!$B115,Entradas!AA:AA)</f>
        <v>2310.6999999999998</v>
      </c>
      <c r="U115" s="36">
        <f>SUMIF(Entradas!$B:$B,'Entrada Lvl 5-4 qt'!$B115,Entradas!AB:AB)</f>
        <v>0</v>
      </c>
      <c r="V115" s="49">
        <f>_xlfn.XLOOKUP($B115,Entradas!$B:$B,Entradas!AC:AC,,0,1)</f>
        <v>45160</v>
      </c>
      <c r="W115" s="58">
        <f t="shared" si="9"/>
        <v>3</v>
      </c>
      <c r="X115" s="28" t="s">
        <v>10</v>
      </c>
      <c r="Y115" s="32">
        <f t="shared" si="5"/>
        <v>0</v>
      </c>
      <c r="Z115" s="33">
        <f t="shared" si="6"/>
        <v>2310.6999999999998</v>
      </c>
      <c r="AA115" s="34">
        <f t="shared" si="7"/>
        <v>1339.26</v>
      </c>
      <c r="AB115" s="28" t="s">
        <v>1813</v>
      </c>
      <c r="AC115" s="28" t="s">
        <v>1820</v>
      </c>
      <c r="AD115" s="29" t="str" cm="1">
        <f t="array" ref="AD115">_xlfn.IFS(L115&lt;=Constantes!$G$2,"Muito Curta (evitável)",L115&lt;=Constantes!$H$2,"Curta Distância",L115&gt;Constantes!$H$2,"Longa Distância")</f>
        <v>Curta Distância</v>
      </c>
      <c r="AE115" s="30" t="str">
        <f t="shared" si="8"/>
        <v>NÃO</v>
      </c>
      <c r="AF115" s="30">
        <f>SUMIF(Entradas!$B:$B,'Entrada Lvl 5-4 qt'!$B115,Entradas!$AG:$AG)</f>
        <v>626.66401501165365</v>
      </c>
      <c r="AG115" s="30"/>
      <c r="BD115" s="49"/>
      <c r="BE115" s="49"/>
    </row>
    <row r="116" spans="1:57" x14ac:dyDescent="0.3">
      <c r="A116">
        <f>_xlfn.XLOOKUP(B116,Entradas!B:B,Entradas!A:A,,0,-1)</f>
        <v>2</v>
      </c>
      <c r="B116">
        <v>19222691</v>
      </c>
      <c r="C116" t="str">
        <f>_xlfn.XLOOKUP($B116,Entradas!$B:$B,Entradas!C:C,,0,1)</f>
        <v>000901/23</v>
      </c>
      <c r="D116" t="str">
        <f>_xlfn.XLOOKUP($B116,Entradas!$B:$B,Entradas!D:D,,0,1)</f>
        <v>***.933.514-**</v>
      </c>
      <c r="E116" t="str">
        <f>_xlfn.XLOOKUP($B116,Entradas!$B:$B,Entradas!E:E,,0,1)</f>
        <v>JORGE GABRIEL GOMES DE SOUZA RAMOS</v>
      </c>
      <c r="F116" t="str">
        <f>_xlfn.XLOOKUP($B116,Entradas!$B:$B,Entradas!F:F,,0,1)</f>
        <v>PROFESSOR DO MAGISTERIO SUPERIOR</v>
      </c>
      <c r="G116" t="str">
        <f>_xlfn.XLOOKUP($B116,Entradas!$B:$B,Entradas!G:G,,0,1)</f>
        <v>FUC-0001</v>
      </c>
      <c r="H116" t="str">
        <f>_xlfn.XLOOKUP($B116,Entradas!$B:$B,Entradas!H:H,,0,1)</f>
        <v>FUC-0001</v>
      </c>
      <c r="I116" s="49">
        <f>_xlfn.XLOOKUP($B116,Entradas!$B:$B,Entradas!I:I,,0,1)</f>
        <v>45200</v>
      </c>
      <c r="J116" s="49">
        <f>_xlfn.XLOOKUP($B116,Entradas!$B:$B,Entradas!J:J,,0,1)</f>
        <v>45203</v>
      </c>
      <c r="K116" t="str">
        <f>_xlfn.XLOOKUP($B116,Entradas!$B:$B,Entradas!K:K,,0,1)</f>
        <v>Apresentação dos números do Programa de Pós-Graduação em Física/CCEN/UFPB no Seminário de Meio Termo da CAPES da área de Astronomia/ Física. Evento obrigatório para coordenadores de PPGs.</v>
      </c>
      <c r="L116">
        <f>SUMIF(Entradas!$B:$B,'Entrada Lvl 5-4 qt'!$B116,Entradas!S:S)</f>
        <v>3426.839982</v>
      </c>
      <c r="M116" t="str">
        <f>_xlfn.XLOOKUP($B116,Entradas!$B:$B,Entradas!T:T,,0,1)</f>
        <v>Aéreo</v>
      </c>
      <c r="N116" t="str">
        <f>_xlfn.XLOOKUP($B116,Entradas!$B:$B,Entradas!U:U,,0,1)</f>
        <v>Sim</v>
      </c>
      <c r="O116" t="str">
        <f>_xlfn.XLOOKUP($B116,Entradas!$B:$B,Entradas!V:V,,0,1)</f>
        <v>Realizada</v>
      </c>
      <c r="P116" t="str">
        <f>_xlfn.XLOOKUP($B116,Entradas!$B:$B,Entradas!W:W,,0,1)</f>
        <v>NÃO</v>
      </c>
      <c r="Q116" t="str">
        <f>_xlfn.XLOOKUP($B116,Entradas!$B:$B,Entradas!X:X,,0,1)</f>
        <v>Sem informação</v>
      </c>
      <c r="R116" s="36">
        <f>SUMIF(Entradas!$B:$B,'Entrada Lvl 5-4 qt'!$B116,Entradas!Y:Y)</f>
        <v>1339.26</v>
      </c>
      <c r="S116" s="36">
        <f>SUMIF(Entradas!$B:$B,'Entrada Lvl 5-4 qt'!$B116,Entradas!Z:Z)</f>
        <v>0</v>
      </c>
      <c r="T116" s="36">
        <f>SUMIF(Entradas!$B:$B,'Entrada Lvl 5-4 qt'!$B116,Entradas!AA:AA)</f>
        <v>3429.2</v>
      </c>
      <c r="U116" s="36">
        <f>SUMIF(Entradas!$B:$B,'Entrada Lvl 5-4 qt'!$B116,Entradas!AB:AB)</f>
        <v>0</v>
      </c>
      <c r="V116" s="49">
        <f>_xlfn.XLOOKUP($B116,Entradas!$B:$B,Entradas!AC:AC,,0,1)</f>
        <v>45163</v>
      </c>
      <c r="W116" s="58">
        <f t="shared" si="9"/>
        <v>3</v>
      </c>
      <c r="X116" s="28" t="s">
        <v>10</v>
      </c>
      <c r="Y116" s="32">
        <f t="shared" si="5"/>
        <v>0</v>
      </c>
      <c r="Z116" s="33">
        <f t="shared" si="6"/>
        <v>3429.2</v>
      </c>
      <c r="AA116" s="34">
        <f t="shared" si="7"/>
        <v>1339.26</v>
      </c>
      <c r="AB116" s="28" t="s">
        <v>1813</v>
      </c>
      <c r="AC116" s="28" t="s">
        <v>1820</v>
      </c>
      <c r="AD116" s="29" t="str" cm="1">
        <f t="array" ref="AD116">_xlfn.IFS(L116&lt;=Constantes!$G$2,"Muito Curta (evitável)",L116&lt;=Constantes!$H$2,"Curta Distância",L116&gt;Constantes!$H$2,"Longa Distância")</f>
        <v>Curta Distância</v>
      </c>
      <c r="AE116" s="30" t="str">
        <f t="shared" si="8"/>
        <v>NÃO</v>
      </c>
      <c r="AF116" s="30">
        <f>SUMIF(Entradas!$B:$B,'Entrada Lvl 5-4 qt'!$B116,Entradas!$AG:$AG)</f>
        <v>626.66401501165365</v>
      </c>
      <c r="AG116" s="30"/>
      <c r="BD116" s="49"/>
      <c r="BE116" s="49"/>
    </row>
    <row r="117" spans="1:57" x14ac:dyDescent="0.3">
      <c r="A117">
        <f>_xlfn.XLOOKUP(B117,Entradas!B:B,Entradas!A:A,,0,-1)</f>
        <v>2</v>
      </c>
      <c r="B117">
        <v>19253786</v>
      </c>
      <c r="C117" t="str">
        <f>_xlfn.XLOOKUP($B117,Entradas!$B:$B,Entradas!C:C,,0,1)</f>
        <v>001171/23</v>
      </c>
      <c r="D117" t="str">
        <f>_xlfn.XLOOKUP($B117,Entradas!$B:$B,Entradas!D:D,,0,1)</f>
        <v>***.365.204-**</v>
      </c>
      <c r="E117" t="str">
        <f>_xlfn.XLOOKUP($B117,Entradas!$B:$B,Entradas!E:E,,0,1)</f>
        <v>MARSILVIO GONCALVES PEREIRA</v>
      </c>
      <c r="F117" t="str">
        <f>_xlfn.XLOOKUP($B117,Entradas!$B:$B,Entradas!F:F,,0,1)</f>
        <v>PROFESSOR DO MAGISTERIO SUPERIOR</v>
      </c>
      <c r="G117" t="str">
        <f>_xlfn.XLOOKUP($B117,Entradas!$B:$B,Entradas!G:G,,0,1)</f>
        <v>-1</v>
      </c>
      <c r="H117" t="str">
        <f>_xlfn.XLOOKUP($B117,Entradas!$B:$B,Entradas!H:H,,0,1)</f>
        <v>Sem informação</v>
      </c>
      <c r="I117" s="49">
        <f>_xlfn.XLOOKUP($B117,Entradas!$B:$B,Entradas!I:I,,0,1)</f>
        <v>45200</v>
      </c>
      <c r="J117" s="49">
        <f>_xlfn.XLOOKUP($B117,Entradas!$B:$B,Entradas!J:J,,0,1)</f>
        <v>45205</v>
      </c>
      <c r="K117" t="str">
        <f>_xlfn.XLOOKUP($B117,Entradas!$B:$B,Entradas!K:K,,0,1)</f>
        <v>Participação no XIV Encontro Nacional de Pesquisa em Educação em Ciências (ENPEC) com apresentação de dois trabalhos/artigos de pesquisa.</v>
      </c>
      <c r="L117">
        <f>SUMIF(Entradas!$B:$B,'Entrada Lvl 5-4 qt'!$B117,Entradas!S:S)</f>
        <v>3750.5964819999999</v>
      </c>
      <c r="M117" t="str">
        <f>_xlfn.XLOOKUP($B117,Entradas!$B:$B,Entradas!T:T,,0,1)</f>
        <v>Aéreo</v>
      </c>
      <c r="N117" t="str">
        <f>_xlfn.XLOOKUP($B117,Entradas!$B:$B,Entradas!U:U,,0,1)</f>
        <v>Não</v>
      </c>
      <c r="O117" t="str">
        <f>_xlfn.XLOOKUP($B117,Entradas!$B:$B,Entradas!V:V,,0,1)</f>
        <v>Realizada</v>
      </c>
      <c r="P117" t="str">
        <f>_xlfn.XLOOKUP($B117,Entradas!$B:$B,Entradas!W:W,,0,1)</f>
        <v>SIM</v>
      </c>
      <c r="Q117" t="str">
        <f>_xlfn.XLOOKUP($B117,Entradas!$B:$B,Entradas!X:X,,0,1)</f>
        <v>Tramitação da portaria de afastamento durou mais do que o planejado.</v>
      </c>
      <c r="R117" s="36">
        <f>SUMIF(Entradas!$B:$B,'Entrada Lvl 5-4 qt'!$B117,Entradas!Y:Y)</f>
        <v>1821.06</v>
      </c>
      <c r="S117" s="36">
        <f>SUMIF(Entradas!$B:$B,'Entrada Lvl 5-4 qt'!$B117,Entradas!Z:Z)</f>
        <v>0</v>
      </c>
      <c r="T117" s="36">
        <f>SUMIF(Entradas!$B:$B,'Entrada Lvl 5-4 qt'!$B117,Entradas!AA:AA)</f>
        <v>3268.32</v>
      </c>
      <c r="U117" s="36">
        <f>SUMIF(Entradas!$B:$B,'Entrada Lvl 5-4 qt'!$B117,Entradas!AB:AB)</f>
        <v>0</v>
      </c>
      <c r="V117" s="49">
        <f>_xlfn.XLOOKUP($B117,Entradas!$B:$B,Entradas!AC:AC,,0,1)</f>
        <v>45191</v>
      </c>
      <c r="W117" s="58">
        <f t="shared" si="9"/>
        <v>5</v>
      </c>
      <c r="X117" s="28" t="s">
        <v>10</v>
      </c>
      <c r="Y117" s="32">
        <f t="shared" si="5"/>
        <v>0</v>
      </c>
      <c r="Z117" s="33">
        <f t="shared" si="6"/>
        <v>3268.32</v>
      </c>
      <c r="AA117" s="34">
        <f t="shared" si="7"/>
        <v>1821.06</v>
      </c>
      <c r="AB117" s="28" t="s">
        <v>1814</v>
      </c>
      <c r="AC117" s="28" t="s">
        <v>1820</v>
      </c>
      <c r="AD117" s="29" t="str" cm="1">
        <f t="array" ref="AD117">_xlfn.IFS(L117&lt;=Constantes!$G$2,"Muito Curta (evitável)",L117&lt;=Constantes!$H$2,"Curta Distância",L117&gt;Constantes!$H$2,"Longa Distância")</f>
        <v>Longa Distância</v>
      </c>
      <c r="AE117" s="30" t="str">
        <f t="shared" si="8"/>
        <v>NÃO</v>
      </c>
      <c r="AF117" s="30">
        <f>SUMIF(Entradas!$B:$B,'Entrada Lvl 5-4 qt'!$B117,Entradas!$AG:$AG)</f>
        <v>685.86915713728922</v>
      </c>
      <c r="AG117" s="30"/>
      <c r="BD117" s="49"/>
      <c r="BE117" s="49"/>
    </row>
    <row r="118" spans="1:57" x14ac:dyDescent="0.3">
      <c r="A118">
        <f>_xlfn.XLOOKUP(B118,Entradas!B:B,Entradas!A:A,,0,-1)</f>
        <v>2</v>
      </c>
      <c r="B118">
        <v>19297861</v>
      </c>
      <c r="C118" t="str">
        <f>_xlfn.XLOOKUP($B118,Entradas!$B:$B,Entradas!C:C,,0,1)</f>
        <v>001114/23</v>
      </c>
      <c r="D118" t="str">
        <f>_xlfn.XLOOKUP($B118,Entradas!$B:$B,Entradas!D:D,,0,1)</f>
        <v>***.856.554-**</v>
      </c>
      <c r="E118" t="str">
        <f>_xlfn.XLOOKUP($B118,Entradas!$B:$B,Entradas!E:E,,0,1)</f>
        <v>ROSEMBERG FERNANDES DE MENEZES</v>
      </c>
      <c r="F118" t="str">
        <f>_xlfn.XLOOKUP($B118,Entradas!$B:$B,Entradas!F:F,,0,1)</f>
        <v>PROFESSOR DO MAGISTERIO SUPERIOR</v>
      </c>
      <c r="G118" t="str">
        <f>_xlfn.XLOOKUP($B118,Entradas!$B:$B,Entradas!G:G,,0,1)</f>
        <v>-1</v>
      </c>
      <c r="H118" t="str">
        <f>_xlfn.XLOOKUP($B118,Entradas!$B:$B,Entradas!H:H,,0,1)</f>
        <v>Sem informação</v>
      </c>
      <c r="I118" s="49">
        <f>_xlfn.XLOOKUP($B118,Entradas!$B:$B,Entradas!I:I,,0,1)</f>
        <v>45200</v>
      </c>
      <c r="J118" s="49">
        <f>_xlfn.XLOOKUP($B118,Entradas!$B:$B,Entradas!J:J,,0,1)</f>
        <v>45203</v>
      </c>
      <c r="K118" t="str">
        <f>_xlfn.XLOOKUP($B118,Entradas!$B:$B,Entradas!K:K,,0,1)</f>
        <v>Participação como vice-coordenador do Programa de Pós-Graduação em Biodiversidade (PPGBIO) do Centro Ciências Agrárias (CCA-Campus, II) no Seminário de Meio Termo da CAPES da área de Biodiversidade, a ser realizado em Brasília - DF entre os dia 02 e 03 de outubro de 2023.</v>
      </c>
      <c r="L118">
        <f>SUMIF(Entradas!$B:$B,'Entrada Lvl 5-4 qt'!$B118,Entradas!S:S)</f>
        <v>3308.422912</v>
      </c>
      <c r="M118" t="str">
        <f>_xlfn.XLOOKUP($B118,Entradas!$B:$B,Entradas!T:T,,0,1)</f>
        <v>Aéreo</v>
      </c>
      <c r="N118" t="str">
        <f>_xlfn.XLOOKUP($B118,Entradas!$B:$B,Entradas!U:U,,0,1)</f>
        <v>Não</v>
      </c>
      <c r="O118" t="str">
        <f>_xlfn.XLOOKUP($B118,Entradas!$B:$B,Entradas!V:V,,0,1)</f>
        <v>Realizada</v>
      </c>
      <c r="P118" t="str">
        <f>_xlfn.XLOOKUP($B118,Entradas!$B:$B,Entradas!W:W,,0,1)</f>
        <v>SIM</v>
      </c>
      <c r="Q118" t="str">
        <f>_xlfn.XLOOKUP($B118,Entradas!$B:$B,Entradas!X:X,,0,1)</f>
        <v>Conforme Justificativa apresentada pelo proposto: 'A coordenação do programa de pós-graduação em Biodiversidade (PPGBIO) estava aguardando a liberação do recurso para a abertura do processo de solicitação de compra de passagens aéreas e DESPACHO. Nº 613/2023 - CCA-DC, anexados a este processo.</v>
      </c>
      <c r="R118" s="36">
        <f>SUMIF(Entradas!$B:$B,'Entrada Lvl 5-4 qt'!$B118,Entradas!Y:Y)</f>
        <v>1339.26</v>
      </c>
      <c r="S118" s="36">
        <f>SUMIF(Entradas!$B:$B,'Entrada Lvl 5-4 qt'!$B118,Entradas!Z:Z)</f>
        <v>0</v>
      </c>
      <c r="T118" s="36">
        <f>SUMIF(Entradas!$B:$B,'Entrada Lvl 5-4 qt'!$B118,Entradas!AA:AA)</f>
        <v>1775.85</v>
      </c>
      <c r="U118" s="36">
        <f>SUMIF(Entradas!$B:$B,'Entrada Lvl 5-4 qt'!$B118,Entradas!AB:AB)</f>
        <v>0</v>
      </c>
      <c r="V118" s="49">
        <f>_xlfn.XLOOKUP($B118,Entradas!$B:$B,Entradas!AC:AC,,0,1)</f>
        <v>45187</v>
      </c>
      <c r="W118" s="58">
        <f t="shared" si="9"/>
        <v>3</v>
      </c>
      <c r="X118" s="28" t="s">
        <v>10</v>
      </c>
      <c r="Y118" s="32">
        <f t="shared" si="5"/>
        <v>0</v>
      </c>
      <c r="Z118" s="33">
        <f t="shared" si="6"/>
        <v>1775.85</v>
      </c>
      <c r="AA118" s="34">
        <f t="shared" si="7"/>
        <v>1339.26</v>
      </c>
      <c r="AB118" s="28" t="s">
        <v>1813</v>
      </c>
      <c r="AC118" s="28" t="s">
        <v>1820</v>
      </c>
      <c r="AD118" s="29" t="str" cm="1">
        <f t="array" ref="AD118">_xlfn.IFS(L118&lt;=Constantes!$G$2,"Muito Curta (evitável)",L118&lt;=Constantes!$H$2,"Curta Distância",L118&gt;Constantes!$H$2,"Longa Distância")</f>
        <v>Curta Distância</v>
      </c>
      <c r="AE118" s="30" t="str">
        <f t="shared" si="8"/>
        <v>NÃO</v>
      </c>
      <c r="AF118" s="30">
        <f>SUMIF(Entradas!$B:$B,'Entrada Lvl 5-4 qt'!$B118,Entradas!$AG:$AG)</f>
        <v>605.00916187526457</v>
      </c>
      <c r="AG118" s="30"/>
      <c r="BD118" s="49"/>
      <c r="BE118" s="49"/>
    </row>
    <row r="119" spans="1:57" x14ac:dyDescent="0.3">
      <c r="A119">
        <f>_xlfn.XLOOKUP(B119,Entradas!B:B,Entradas!A:A,,0,-1)</f>
        <v>2</v>
      </c>
      <c r="B119">
        <v>19322431</v>
      </c>
      <c r="C119" t="str">
        <f>_xlfn.XLOOKUP($B119,Entradas!$B:$B,Entradas!C:C,,0,1)</f>
        <v>001197/23</v>
      </c>
      <c r="D119" t="str">
        <f>_xlfn.XLOOKUP($B119,Entradas!$B:$B,Entradas!D:D,,0,1)</f>
        <v>***.238.643-**</v>
      </c>
      <c r="E119" t="str">
        <f>_xlfn.XLOOKUP($B119,Entradas!$B:$B,Entradas!E:E,,0,1)</f>
        <v>FATIMA REGINA NUNES DE SOUSA</v>
      </c>
      <c r="F119" t="str">
        <f>_xlfn.XLOOKUP($B119,Entradas!$B:$B,Entradas!F:F,,0,1)</f>
        <v>PROFESSOR DO MAGISTERIO SUPERIOR</v>
      </c>
      <c r="G119" t="str">
        <f>_xlfn.XLOOKUP($B119,Entradas!$B:$B,Entradas!G:G,,0,1)</f>
        <v>-1</v>
      </c>
      <c r="H119" t="str">
        <f>_xlfn.XLOOKUP($B119,Entradas!$B:$B,Entradas!H:H,,0,1)</f>
        <v>Sem informação</v>
      </c>
      <c r="I119" s="49">
        <f>_xlfn.XLOOKUP($B119,Entradas!$B:$B,Entradas!I:I,,0,1)</f>
        <v>45200</v>
      </c>
      <c r="J119" s="49">
        <f>_xlfn.XLOOKUP($B119,Entradas!$B:$B,Entradas!J:J,,0,1)</f>
        <v>45206</v>
      </c>
      <c r="K119" t="str">
        <f>_xlfn.XLOOKUP($B119,Entradas!$B:$B,Entradas!K:K,,0,1)</f>
        <v>O PROPOSTO VIRÁ PARTICIPAR DE BANCA DE CONCURSO PÚBLICO DE DEPARTAMENTO DE CLÍNICA ODONTOLOGIA SOCIAL.</v>
      </c>
      <c r="L119">
        <f>SUMIF(Entradas!$B:$B,'Entrada Lvl 5-4 qt'!$B119,Entradas!S:S)</f>
        <v>1802.4813251999999</v>
      </c>
      <c r="M119" t="str">
        <f>_xlfn.XLOOKUP($B119,Entradas!$B:$B,Entradas!T:T,,0,1)</f>
        <v>Aéreo</v>
      </c>
      <c r="N119" t="str">
        <f>_xlfn.XLOOKUP($B119,Entradas!$B:$B,Entradas!U:U,,0,1)</f>
        <v>Não</v>
      </c>
      <c r="O119" t="str">
        <f>_xlfn.XLOOKUP($B119,Entradas!$B:$B,Entradas!V:V,,0,1)</f>
        <v>Realizada</v>
      </c>
      <c r="P119" t="str">
        <f>_xlfn.XLOOKUP($B119,Entradas!$B:$B,Entradas!W:W,,0,1)</f>
        <v>SIM</v>
      </c>
      <c r="Q119" t="str">
        <f>_xlfn.XLOOKUP($B119,Entradas!$B:$B,Entradas!X:X,,0,1)</f>
        <v>EM ANEXO.</v>
      </c>
      <c r="R119" s="36">
        <f>SUMIF(Entradas!$B:$B,'Entrada Lvl 5-4 qt'!$B119,Entradas!Y:Y)</f>
        <v>2162.08</v>
      </c>
      <c r="S119" s="36">
        <f>SUMIF(Entradas!$B:$B,'Entrada Lvl 5-4 qt'!$B119,Entradas!Z:Z)</f>
        <v>0</v>
      </c>
      <c r="T119" s="36">
        <f>SUMIF(Entradas!$B:$B,'Entrada Lvl 5-4 qt'!$B119,Entradas!AA:AA)</f>
        <v>5910.63</v>
      </c>
      <c r="U119" s="36">
        <f>SUMIF(Entradas!$B:$B,'Entrada Lvl 5-4 qt'!$B119,Entradas!AB:AB)</f>
        <v>0</v>
      </c>
      <c r="V119" s="49">
        <f>_xlfn.XLOOKUP($B119,Entradas!$B:$B,Entradas!AC:AC,,0,1)</f>
        <v>45194</v>
      </c>
      <c r="W119" s="58">
        <f t="shared" si="9"/>
        <v>6</v>
      </c>
      <c r="X119" s="28" t="s">
        <v>10</v>
      </c>
      <c r="Y119" s="32">
        <f t="shared" si="5"/>
        <v>0</v>
      </c>
      <c r="Z119" s="33">
        <f t="shared" si="6"/>
        <v>5910.63</v>
      </c>
      <c r="AA119" s="34">
        <f t="shared" si="7"/>
        <v>2162.08</v>
      </c>
      <c r="AB119" s="28" t="s">
        <v>1812</v>
      </c>
      <c r="AC119" s="28" t="s">
        <v>1820</v>
      </c>
      <c r="AD119" s="29" t="str" cm="1">
        <f t="array" ref="AD119">_xlfn.IFS(L119&lt;=Constantes!$G$2,"Muito Curta (evitável)",L119&lt;=Constantes!$H$2,"Curta Distância",L119&gt;Constantes!$H$2,"Longa Distância")</f>
        <v>Curta Distância</v>
      </c>
      <c r="AE119" s="30" t="str">
        <f t="shared" si="8"/>
        <v>NÃO</v>
      </c>
      <c r="AF119" s="30">
        <f>SUMIF(Entradas!$B:$B,'Entrada Lvl 5-4 qt'!$B119,Entradas!$AG:$AG)</f>
        <v>329.61859618963615</v>
      </c>
      <c r="AG119" s="30"/>
      <c r="BD119" s="49"/>
      <c r="BE119" s="49"/>
    </row>
    <row r="120" spans="1:57" x14ac:dyDescent="0.3">
      <c r="A120">
        <f>_xlfn.XLOOKUP(B120,Entradas!B:B,Entradas!A:A,,0,-1)</f>
        <v>2</v>
      </c>
      <c r="B120">
        <v>19158173</v>
      </c>
      <c r="C120" t="str">
        <f>_xlfn.XLOOKUP($B120,Entradas!$B:$B,Entradas!C:C,,0,1)</f>
        <v>000764/23</v>
      </c>
      <c r="D120" t="str">
        <f>_xlfn.XLOOKUP($B120,Entradas!$B:$B,Entradas!D:D,,0,1)</f>
        <v>***.373.000-**</v>
      </c>
      <c r="E120" t="str">
        <f>_xlfn.XLOOKUP($B120,Entradas!$B:$B,Entradas!E:E,,0,1)</f>
        <v>LIANE SCHNEIDER</v>
      </c>
      <c r="F120" t="str">
        <f>_xlfn.XLOOKUP($B120,Entradas!$B:$B,Entradas!F:F,,0,1)</f>
        <v>PROFESSOR DO MAGISTERIO SUPERIOR</v>
      </c>
      <c r="G120" t="str">
        <f>_xlfn.XLOOKUP($B120,Entradas!$B:$B,Entradas!G:G,,0,1)</f>
        <v>-1</v>
      </c>
      <c r="H120" t="str">
        <f>_xlfn.XLOOKUP($B120,Entradas!$B:$B,Entradas!H:H,,0,1)</f>
        <v>Sem informação</v>
      </c>
      <c r="I120" s="49">
        <f>_xlfn.XLOOKUP($B120,Entradas!$B:$B,Entradas!I:I,,0,1)</f>
        <v>45201</v>
      </c>
      <c r="J120" s="49">
        <f>_xlfn.XLOOKUP($B120,Entradas!$B:$B,Entradas!J:J,,0,1)</f>
        <v>45205</v>
      </c>
      <c r="K120" t="str">
        <f>_xlfn.XLOOKUP($B120,Entradas!$B:$B,Entradas!K:K,,0,1)</f>
        <v>Participar do 37º ENANPOLL, com o trabalho aceite 'Colonialidade e resistência em narrativas contemporâneas das Américas: retas de chegada'.</v>
      </c>
      <c r="L120">
        <f>SUMIF(Entradas!$B:$B,'Entrada Lvl 5-4 qt'!$B120,Entradas!S:S)</f>
        <v>3923.0015720000001</v>
      </c>
      <c r="M120" t="str">
        <f>_xlfn.XLOOKUP($B120,Entradas!$B:$B,Entradas!T:T,,0,1)</f>
        <v>Aéreo</v>
      </c>
      <c r="N120" t="str">
        <f>_xlfn.XLOOKUP($B120,Entradas!$B:$B,Entradas!U:U,,0,1)</f>
        <v>Não</v>
      </c>
      <c r="O120" t="str">
        <f>_xlfn.XLOOKUP($B120,Entradas!$B:$B,Entradas!V:V,,0,1)</f>
        <v>Realizada</v>
      </c>
      <c r="P120" t="str">
        <f>_xlfn.XLOOKUP($B120,Entradas!$B:$B,Entradas!W:W,,0,1)</f>
        <v>NÃO</v>
      </c>
      <c r="Q120" t="str">
        <f>_xlfn.XLOOKUP($B120,Entradas!$B:$B,Entradas!X:X,,0,1)</f>
        <v>Sem informação</v>
      </c>
      <c r="R120" s="36">
        <f>SUMIF(Entradas!$B:$B,'Entrada Lvl 5-4 qt'!$B120,Entradas!Y:Y)</f>
        <v>0</v>
      </c>
      <c r="S120" s="36">
        <f>SUMIF(Entradas!$B:$B,'Entrada Lvl 5-4 qt'!$B120,Entradas!Z:Z)</f>
        <v>0</v>
      </c>
      <c r="T120" s="36">
        <f>SUMIF(Entradas!$B:$B,'Entrada Lvl 5-4 qt'!$B120,Entradas!AA:AA)</f>
        <v>1338.29</v>
      </c>
      <c r="U120" s="36">
        <f>SUMIF(Entradas!$B:$B,'Entrada Lvl 5-4 qt'!$B120,Entradas!AB:AB)</f>
        <v>0</v>
      </c>
      <c r="V120" s="49">
        <f>_xlfn.XLOOKUP($B120,Entradas!$B:$B,Entradas!AC:AC,,0,1)</f>
        <v>45147</v>
      </c>
      <c r="W120" s="58">
        <f t="shared" si="9"/>
        <v>4</v>
      </c>
      <c r="X120" s="28" t="s">
        <v>10</v>
      </c>
      <c r="Y120" s="32">
        <f t="shared" si="5"/>
        <v>0</v>
      </c>
      <c r="Z120" s="33">
        <f t="shared" si="6"/>
        <v>1338.29</v>
      </c>
      <c r="AA120" s="34">
        <f t="shared" si="7"/>
        <v>0</v>
      </c>
      <c r="AB120" s="28" t="s">
        <v>1814</v>
      </c>
      <c r="AC120" s="28" t="s">
        <v>1820</v>
      </c>
      <c r="AD120" s="29" t="str" cm="1">
        <f t="array" ref="AD120">_xlfn.IFS(L120&lt;=Constantes!$G$2,"Muito Curta (evitável)",L120&lt;=Constantes!$H$2,"Curta Distância",L120&gt;Constantes!$H$2,"Longa Distância")</f>
        <v>Longa Distância</v>
      </c>
      <c r="AE120" s="30" t="str">
        <f t="shared" si="8"/>
        <v>NÃO</v>
      </c>
      <c r="AF120" s="30">
        <f>SUMIF(Entradas!$B:$B,'Entrada Lvl 5-4 qt'!$B120,Entradas!$AG:$AG)</f>
        <v>717.39676463438343</v>
      </c>
      <c r="AG120" s="30"/>
      <c r="BD120" s="49"/>
      <c r="BE120" s="49"/>
    </row>
    <row r="121" spans="1:57" x14ac:dyDescent="0.3">
      <c r="A121">
        <f>_xlfn.XLOOKUP(B121,Entradas!B:B,Entradas!A:A,,0,-1)</f>
        <v>2</v>
      </c>
      <c r="B121">
        <v>19162401</v>
      </c>
      <c r="C121" t="str">
        <f>_xlfn.XLOOKUP($B121,Entradas!$B:$B,Entradas!C:C,,0,1)</f>
        <v>000766/23</v>
      </c>
      <c r="D121" t="str">
        <f>_xlfn.XLOOKUP($B121,Entradas!$B:$B,Entradas!D:D,,0,1)</f>
        <v>***.853.306-**</v>
      </c>
      <c r="E121" t="str">
        <f>_xlfn.XLOOKUP($B121,Entradas!$B:$B,Entradas!E:E,,0,1)</f>
        <v>ROBERTO CARLOS DE ASSIS</v>
      </c>
      <c r="F121" t="str">
        <f>_xlfn.XLOOKUP($B121,Entradas!$B:$B,Entradas!F:F,,0,1)</f>
        <v>PROFESSOR DO MAGISTERIO SUPERIOR</v>
      </c>
      <c r="G121" t="str">
        <f>_xlfn.XLOOKUP($B121,Entradas!$B:$B,Entradas!G:G,,0,1)</f>
        <v>-1</v>
      </c>
      <c r="H121" t="str">
        <f>_xlfn.XLOOKUP($B121,Entradas!$B:$B,Entradas!H:H,,0,1)</f>
        <v>Sem informação</v>
      </c>
      <c r="I121" s="49">
        <f>_xlfn.XLOOKUP($B121,Entradas!$B:$B,Entradas!I:I,,0,1)</f>
        <v>45201</v>
      </c>
      <c r="J121" s="49">
        <f>_xlfn.XLOOKUP($B121,Entradas!$B:$B,Entradas!J:J,,0,1)</f>
        <v>45205</v>
      </c>
      <c r="K121" t="str">
        <f>_xlfn.XLOOKUP($B121,Entradas!$B:$B,Entradas!K:K,,0,1)</f>
        <v>Participar do 37º ENANPOLL - Encontro Nacional da Associação Nacional de Pós-Graduação e Pesquisa em Letras e Linguística.</v>
      </c>
      <c r="L121">
        <f>SUMIF(Entradas!$B:$B,'Entrada Lvl 5-4 qt'!$B121,Entradas!S:S)</f>
        <v>3911.011</v>
      </c>
      <c r="M121" t="str">
        <f>_xlfn.XLOOKUP($B121,Entradas!$B:$B,Entradas!T:T,,0,1)</f>
        <v>Aéreo</v>
      </c>
      <c r="N121" t="str">
        <f>_xlfn.XLOOKUP($B121,Entradas!$B:$B,Entradas!U:U,,0,1)</f>
        <v>Não</v>
      </c>
      <c r="O121" t="str">
        <f>_xlfn.XLOOKUP($B121,Entradas!$B:$B,Entradas!V:V,,0,1)</f>
        <v>Realizada</v>
      </c>
      <c r="P121" t="str">
        <f>_xlfn.XLOOKUP($B121,Entradas!$B:$B,Entradas!W:W,,0,1)</f>
        <v>NÃO</v>
      </c>
      <c r="Q121" t="str">
        <f>_xlfn.XLOOKUP($B121,Entradas!$B:$B,Entradas!X:X,,0,1)</f>
        <v>Sem informação</v>
      </c>
      <c r="R121" s="36">
        <f>SUMIF(Entradas!$B:$B,'Entrada Lvl 5-4 qt'!$B121,Entradas!Y:Y)</f>
        <v>0</v>
      </c>
      <c r="S121" s="36">
        <f>SUMIF(Entradas!$B:$B,'Entrada Lvl 5-4 qt'!$B121,Entradas!Z:Z)</f>
        <v>0</v>
      </c>
      <c r="T121" s="36">
        <f>SUMIF(Entradas!$B:$B,'Entrada Lvl 5-4 qt'!$B121,Entradas!AA:AA)</f>
        <v>1564.99</v>
      </c>
      <c r="U121" s="36">
        <f>SUMIF(Entradas!$B:$B,'Entrada Lvl 5-4 qt'!$B121,Entradas!AB:AB)</f>
        <v>0</v>
      </c>
      <c r="V121" s="49">
        <f>_xlfn.XLOOKUP($B121,Entradas!$B:$B,Entradas!AC:AC,,0,1)</f>
        <v>45152</v>
      </c>
      <c r="W121" s="58">
        <f t="shared" si="9"/>
        <v>4</v>
      </c>
      <c r="X121" s="28" t="s">
        <v>10</v>
      </c>
      <c r="Y121" s="32">
        <f t="shared" si="5"/>
        <v>0</v>
      </c>
      <c r="Z121" s="33">
        <f t="shared" si="6"/>
        <v>1564.99</v>
      </c>
      <c r="AA121" s="34">
        <f t="shared" si="7"/>
        <v>0</v>
      </c>
      <c r="AB121" s="28" t="s">
        <v>1814</v>
      </c>
      <c r="AC121" s="28" t="s">
        <v>1820</v>
      </c>
      <c r="AD121" s="29" t="str" cm="1">
        <f t="array" ref="AD121">_xlfn.IFS(L121&lt;=Constantes!$G$2,"Muito Curta (evitável)",L121&lt;=Constantes!$H$2,"Curta Distância",L121&gt;Constantes!$H$2,"Longa Distância")</f>
        <v>Longa Distância</v>
      </c>
      <c r="AE121" s="30" t="str">
        <f t="shared" si="8"/>
        <v>NÃO</v>
      </c>
      <c r="AF121" s="30">
        <f>SUMIF(Entradas!$B:$B,'Entrada Lvl 5-4 qt'!$B121,Entradas!$AG:$AG)</f>
        <v>715.20405647430744</v>
      </c>
      <c r="AG121" s="30"/>
      <c r="BD121" s="49"/>
      <c r="BE121" s="49"/>
    </row>
    <row r="122" spans="1:57" x14ac:dyDescent="0.3">
      <c r="A122">
        <f>_xlfn.XLOOKUP(B122,Entradas!B:B,Entradas!A:A,,0,-1)</f>
        <v>2</v>
      </c>
      <c r="B122">
        <v>19171863</v>
      </c>
      <c r="C122" t="str">
        <f>_xlfn.XLOOKUP($B122,Entradas!$B:$B,Entradas!C:C,,0,1)</f>
        <v>000812/23</v>
      </c>
      <c r="D122" t="str">
        <f>_xlfn.XLOOKUP($B122,Entradas!$B:$B,Entradas!D:D,,0,1)</f>
        <v>***.729.954-**</v>
      </c>
      <c r="E122" t="str">
        <f>_xlfn.XLOOKUP($B122,Entradas!$B:$B,Entradas!E:E,,0,1)</f>
        <v>ANA CRISTINA MARINHO LUCIO</v>
      </c>
      <c r="F122" t="str">
        <f>_xlfn.XLOOKUP($B122,Entradas!$B:$B,Entradas!F:F,,0,1)</f>
        <v>PROFESSOR DO MAGISTERIO SUPERIOR</v>
      </c>
      <c r="G122" t="str">
        <f>_xlfn.XLOOKUP($B122,Entradas!$B:$B,Entradas!G:G,,0,1)</f>
        <v>-1</v>
      </c>
      <c r="H122" t="str">
        <f>_xlfn.XLOOKUP($B122,Entradas!$B:$B,Entradas!H:H,,0,1)</f>
        <v>Sem informação</v>
      </c>
      <c r="I122" s="49">
        <f>_xlfn.XLOOKUP($B122,Entradas!$B:$B,Entradas!I:I,,0,1)</f>
        <v>45201</v>
      </c>
      <c r="J122" s="49">
        <f>_xlfn.XLOOKUP($B122,Entradas!$B:$B,Entradas!J:J,,0,1)</f>
        <v>45207</v>
      </c>
      <c r="K122" t="str">
        <f>_xlfn.XLOOKUP($B122,Entradas!$B:$B,Entradas!K:K,,0,1)</f>
        <v>Participar do ENAMPOLL e reuniões Nos dias 06 e 07 de outubro terei reuniões com professores do Grupo de Estudos Feministas e Interseccionais (GEFIS - UERJ/CNPq), Maximiliano Torres e Viviane da Silva Vasconcelos.</v>
      </c>
      <c r="L122">
        <f>SUMIF(Entradas!$B:$B,'Entrada Lvl 5-4 qt'!$B122,Entradas!S:S)</f>
        <v>3923.0015720000001</v>
      </c>
      <c r="M122" t="str">
        <f>_xlfn.XLOOKUP($B122,Entradas!$B:$B,Entradas!T:T,,0,1)</f>
        <v>Aéreo</v>
      </c>
      <c r="N122" t="str">
        <f>_xlfn.XLOOKUP($B122,Entradas!$B:$B,Entradas!U:U,,0,1)</f>
        <v>Não</v>
      </c>
      <c r="O122" t="str">
        <f>_xlfn.XLOOKUP($B122,Entradas!$B:$B,Entradas!V:V,,0,1)</f>
        <v>Realizada</v>
      </c>
      <c r="P122" t="str">
        <f>_xlfn.XLOOKUP($B122,Entradas!$B:$B,Entradas!W:W,,0,1)</f>
        <v>NÃO</v>
      </c>
      <c r="Q122" t="str">
        <f>_xlfn.XLOOKUP($B122,Entradas!$B:$B,Entradas!X:X,,0,1)</f>
        <v>Sem informação</v>
      </c>
      <c r="R122" s="36">
        <f>SUMIF(Entradas!$B:$B,'Entrada Lvl 5-4 qt'!$B122,Entradas!Y:Y)</f>
        <v>0</v>
      </c>
      <c r="S122" s="36">
        <f>SUMIF(Entradas!$B:$B,'Entrada Lvl 5-4 qt'!$B122,Entradas!Z:Z)</f>
        <v>0</v>
      </c>
      <c r="T122" s="36">
        <f>SUMIF(Entradas!$B:$B,'Entrada Lvl 5-4 qt'!$B122,Entradas!AA:AA)</f>
        <v>1430.0900000000001</v>
      </c>
      <c r="U122" s="36">
        <f>SUMIF(Entradas!$B:$B,'Entrada Lvl 5-4 qt'!$B122,Entradas!AB:AB)</f>
        <v>0</v>
      </c>
      <c r="V122" s="49">
        <f>_xlfn.XLOOKUP($B122,Entradas!$B:$B,Entradas!AC:AC,,0,1)</f>
        <v>45154</v>
      </c>
      <c r="W122" s="58">
        <f t="shared" si="9"/>
        <v>6</v>
      </c>
      <c r="X122" s="28" t="s">
        <v>10</v>
      </c>
      <c r="Y122" s="32">
        <f t="shared" si="5"/>
        <v>0</v>
      </c>
      <c r="Z122" s="33">
        <f t="shared" si="6"/>
        <v>1430.0900000000001</v>
      </c>
      <c r="AA122" s="34">
        <f t="shared" si="7"/>
        <v>0</v>
      </c>
      <c r="AB122" s="28" t="s">
        <v>1814</v>
      </c>
      <c r="AC122" s="28" t="s">
        <v>1820</v>
      </c>
      <c r="AD122" s="29" t="str" cm="1">
        <f t="array" ref="AD122">_xlfn.IFS(L122&lt;=Constantes!$G$2,"Muito Curta (evitável)",L122&lt;=Constantes!$H$2,"Curta Distância",L122&gt;Constantes!$H$2,"Longa Distância")</f>
        <v>Longa Distância</v>
      </c>
      <c r="AE122" s="30" t="str">
        <f t="shared" si="8"/>
        <v>NÃO</v>
      </c>
      <c r="AF122" s="30">
        <f>SUMIF(Entradas!$B:$B,'Entrada Lvl 5-4 qt'!$B122,Entradas!$AG:$AG)</f>
        <v>717.39676463438343</v>
      </c>
      <c r="AG122" s="30"/>
      <c r="BD122" s="49"/>
      <c r="BE122" s="49"/>
    </row>
    <row r="123" spans="1:57" x14ac:dyDescent="0.3">
      <c r="A123">
        <f>_xlfn.XLOOKUP(B123,Entradas!B:B,Entradas!A:A,,0,-1)</f>
        <v>2</v>
      </c>
      <c r="B123">
        <v>19291123</v>
      </c>
      <c r="C123" t="str">
        <f>_xlfn.XLOOKUP($B123,Entradas!$B:$B,Entradas!C:C,,0,1)</f>
        <v>001109/23</v>
      </c>
      <c r="D123" t="str">
        <f>_xlfn.XLOOKUP($B123,Entradas!$B:$B,Entradas!D:D,,0,1)</f>
        <v>***.851.521-**</v>
      </c>
      <c r="E123" t="str">
        <f>_xlfn.XLOOKUP($B123,Entradas!$B:$B,Entradas!E:E,,0,1)</f>
        <v>CLAUDIO VAZ TORRES</v>
      </c>
      <c r="F123" t="str">
        <f>_xlfn.XLOOKUP($B123,Entradas!$B:$B,Entradas!F:F,,0,1)</f>
        <v>PROFESSOR DO MAGISTERIO SUPERIOR</v>
      </c>
      <c r="G123" t="str">
        <f>_xlfn.XLOOKUP($B123,Entradas!$B:$B,Entradas!G:G,,0,1)</f>
        <v>-1</v>
      </c>
      <c r="H123" t="str">
        <f>_xlfn.XLOOKUP($B123,Entradas!$B:$B,Entradas!H:H,,0,1)</f>
        <v>Sem informação</v>
      </c>
      <c r="I123" s="49">
        <f>_xlfn.XLOOKUP($B123,Entradas!$B:$B,Entradas!I:I,,0,1)</f>
        <v>45201</v>
      </c>
      <c r="J123" s="49">
        <f>_xlfn.XLOOKUP($B123,Entradas!$B:$B,Entradas!J:J,,0,1)</f>
        <v>45204</v>
      </c>
      <c r="K123" t="str">
        <f>_xlfn.XLOOKUP($B123,Entradas!$B:$B,Entradas!K:K,,0,1)</f>
        <v>Participação da Jornada de Doutorado 2023 na área de Psicologia Social, como leitor externo dos trabalhos inscritos.</v>
      </c>
      <c r="L123">
        <f>SUMIF(Entradas!$B:$B,'Entrada Lvl 5-4 qt'!$B123,Entradas!S:S)</f>
        <v>3426.839982</v>
      </c>
      <c r="M123" t="str">
        <f>_xlfn.XLOOKUP($B123,Entradas!$B:$B,Entradas!T:T,,0,1)</f>
        <v>Aéreo</v>
      </c>
      <c r="N123" t="str">
        <f>_xlfn.XLOOKUP($B123,Entradas!$B:$B,Entradas!U:U,,0,1)</f>
        <v>Não</v>
      </c>
      <c r="O123" t="str">
        <f>_xlfn.XLOOKUP($B123,Entradas!$B:$B,Entradas!V:V,,0,1)</f>
        <v>Realizada</v>
      </c>
      <c r="P123" t="str">
        <f>_xlfn.XLOOKUP($B123,Entradas!$B:$B,Entradas!W:W,,0,1)</f>
        <v>SIM</v>
      </c>
      <c r="Q123" t="str">
        <f>_xlfn.XLOOKUP($B123,Entradas!$B:$B,Entradas!X:X,,0,1)</f>
        <v>A solicitação hoje deve-se a problemas pessoais de outro convidado.</v>
      </c>
      <c r="R123" s="36">
        <f>SUMIF(Entradas!$B:$B,'Entrada Lvl 5-4 qt'!$B123,Entradas!Y:Y)</f>
        <v>1168.93</v>
      </c>
      <c r="S123" s="36">
        <f>SUMIF(Entradas!$B:$B,'Entrada Lvl 5-4 qt'!$B123,Entradas!Z:Z)</f>
        <v>0</v>
      </c>
      <c r="T123" s="36">
        <f>SUMIF(Entradas!$B:$B,'Entrada Lvl 5-4 qt'!$B123,Entradas!AA:AA)</f>
        <v>1928.6</v>
      </c>
      <c r="U123" s="36">
        <f>SUMIF(Entradas!$B:$B,'Entrada Lvl 5-4 qt'!$B123,Entradas!AB:AB)</f>
        <v>0</v>
      </c>
      <c r="V123" s="49">
        <f>_xlfn.XLOOKUP($B123,Entradas!$B:$B,Entradas!AC:AC,,0,1)</f>
        <v>45187</v>
      </c>
      <c r="W123" s="58">
        <f t="shared" si="9"/>
        <v>3</v>
      </c>
      <c r="X123" s="28" t="s">
        <v>10</v>
      </c>
      <c r="Y123" s="32">
        <f t="shared" si="5"/>
        <v>0</v>
      </c>
      <c r="Z123" s="33">
        <f t="shared" si="6"/>
        <v>1928.6</v>
      </c>
      <c r="AA123" s="34">
        <f t="shared" si="7"/>
        <v>1168.93</v>
      </c>
      <c r="AB123" s="28" t="s">
        <v>1814</v>
      </c>
      <c r="AC123" s="28" t="s">
        <v>1820</v>
      </c>
      <c r="AD123" s="29" t="str" cm="1">
        <f t="array" ref="AD123">_xlfn.IFS(L123&lt;=Constantes!$G$2,"Muito Curta (evitável)",L123&lt;=Constantes!$H$2,"Curta Distância",L123&gt;Constantes!$H$2,"Longa Distância")</f>
        <v>Curta Distância</v>
      </c>
      <c r="AE123" s="30" t="str">
        <f t="shared" si="8"/>
        <v>NÃO</v>
      </c>
      <c r="AF123" s="30">
        <f>SUMIF(Entradas!$B:$B,'Entrada Lvl 5-4 qt'!$B123,Entradas!$AG:$AG)</f>
        <v>626.66401501165365</v>
      </c>
      <c r="AG123" s="30"/>
      <c r="BD123" s="49"/>
      <c r="BE123" s="49"/>
    </row>
    <row r="124" spans="1:57" x14ac:dyDescent="0.3">
      <c r="A124">
        <f>_xlfn.XLOOKUP(B124,Entradas!B:B,Entradas!A:A,,0,-1)</f>
        <v>2</v>
      </c>
      <c r="B124">
        <v>19305842</v>
      </c>
      <c r="C124" t="str">
        <f>_xlfn.XLOOKUP($B124,Entradas!$B:$B,Entradas!C:C,,0,1)</f>
        <v>001132/23</v>
      </c>
      <c r="D124" t="str">
        <f>_xlfn.XLOOKUP($B124,Entradas!$B:$B,Entradas!D:D,,0,1)</f>
        <v>***.672.645-**</v>
      </c>
      <c r="E124" t="str">
        <f>_xlfn.XLOOKUP($B124,Entradas!$B:$B,Entradas!E:E,,0,1)</f>
        <v>ANTONIO VIRGILIO BITTENCOURT BASTOS</v>
      </c>
      <c r="F124" t="str">
        <f>_xlfn.XLOOKUP($B124,Entradas!$B:$B,Entradas!F:F,,0,1)</f>
        <v/>
      </c>
      <c r="G124" t="str">
        <f>_xlfn.XLOOKUP($B124,Entradas!$B:$B,Entradas!G:G,,0,1)</f>
        <v>CD-0004</v>
      </c>
      <c r="H124" t="str">
        <f>_xlfn.XLOOKUP($B124,Entradas!$B:$B,Entradas!H:H,,0,1)</f>
        <v>Cargo Comissionado de Direção</v>
      </c>
      <c r="I124" s="49">
        <f>_xlfn.XLOOKUP($B124,Entradas!$B:$B,Entradas!I:I,,0,1)</f>
        <v>45201</v>
      </c>
      <c r="J124" s="49">
        <f>_xlfn.XLOOKUP($B124,Entradas!$B:$B,Entradas!J:J,,0,1)</f>
        <v>45203</v>
      </c>
      <c r="K124" t="str">
        <f>_xlfn.XLOOKUP($B124,Entradas!$B:$B,Entradas!K:K,,0,1)</f>
        <v>Participar da Jornada do Doutorado em Psicologia - 2023 como palestrante de abertura do evento.</v>
      </c>
      <c r="L124">
        <f>SUMIF(Entradas!$B:$B,'Entrada Lvl 5-4 qt'!$B124,Entradas!S:S)</f>
        <v>2454.5394041</v>
      </c>
      <c r="M124" t="str">
        <f>_xlfn.XLOOKUP($B124,Entradas!$B:$B,Entradas!T:T,,0,1)</f>
        <v>Aéreo</v>
      </c>
      <c r="N124" t="str">
        <f>_xlfn.XLOOKUP($B124,Entradas!$B:$B,Entradas!U:U,,0,1)</f>
        <v>Sim</v>
      </c>
      <c r="O124" t="str">
        <f>_xlfn.XLOOKUP($B124,Entradas!$B:$B,Entradas!V:V,,0,1)</f>
        <v>Realizada</v>
      </c>
      <c r="P124" t="str">
        <f>_xlfn.XLOOKUP($B124,Entradas!$B:$B,Entradas!W:W,,0,1)</f>
        <v>SIM</v>
      </c>
      <c r="Q124" t="str">
        <f>_xlfn.XLOOKUP($B124,Entradas!$B:$B,Entradas!X:X,,0,1)</f>
        <v>O proposto necessitou de tempo para ajuste na agenda e confirmação de sua participação na Jornada.</v>
      </c>
      <c r="R124" s="36">
        <f>SUMIF(Entradas!$B:$B,'Entrada Lvl 5-4 qt'!$B124,Entradas!Y:Y)</f>
        <v>947.55</v>
      </c>
      <c r="S124" s="36">
        <f>SUMIF(Entradas!$B:$B,'Entrada Lvl 5-4 qt'!$B124,Entradas!Z:Z)</f>
        <v>0</v>
      </c>
      <c r="T124" s="36">
        <f>SUMIF(Entradas!$B:$B,'Entrada Lvl 5-4 qt'!$B124,Entradas!AA:AA)</f>
        <v>1538.79</v>
      </c>
      <c r="U124" s="36">
        <f>SUMIF(Entradas!$B:$B,'Entrada Lvl 5-4 qt'!$B124,Entradas!AB:AB)</f>
        <v>0</v>
      </c>
      <c r="V124" s="49">
        <f>_xlfn.XLOOKUP($B124,Entradas!$B:$B,Entradas!AC:AC,,0,1)</f>
        <v>45189</v>
      </c>
      <c r="W124" s="58">
        <f t="shared" si="9"/>
        <v>2</v>
      </c>
      <c r="X124" s="28" t="s">
        <v>10</v>
      </c>
      <c r="Y124" s="32">
        <f t="shared" si="5"/>
        <v>0</v>
      </c>
      <c r="Z124" s="33">
        <f t="shared" si="6"/>
        <v>1538.79</v>
      </c>
      <c r="AA124" s="34">
        <f t="shared" si="7"/>
        <v>947.55</v>
      </c>
      <c r="AB124" s="28" t="s">
        <v>1814</v>
      </c>
      <c r="AC124" s="28" t="s">
        <v>1784</v>
      </c>
      <c r="AD124" s="29" t="str" cm="1">
        <f t="array" ref="AD124">_xlfn.IFS(L124&lt;=Constantes!$G$2,"Muito Curta (evitável)",L124&lt;=Constantes!$H$2,"Curta Distância",L124&gt;Constantes!$H$2,"Longa Distância")</f>
        <v>Curta Distância</v>
      </c>
      <c r="AE124" s="30" t="str">
        <f t="shared" si="8"/>
        <v>NÃO</v>
      </c>
      <c r="AF124" s="30">
        <f>SUMIF(Entradas!$B:$B,'Entrada Lvl 5-4 qt'!$B124,Entradas!$AG:$AG)</f>
        <v>448.86003608487658</v>
      </c>
      <c r="AG124" s="30"/>
      <c r="BD124" s="49"/>
      <c r="BE124" s="49"/>
    </row>
    <row r="125" spans="1:57" x14ac:dyDescent="0.3">
      <c r="A125">
        <f>_xlfn.XLOOKUP(B125,Entradas!B:B,Entradas!A:A,,0,-1)</f>
        <v>2</v>
      </c>
      <c r="B125">
        <v>19340849</v>
      </c>
      <c r="C125" t="str">
        <f>_xlfn.XLOOKUP($B125,Entradas!$B:$B,Entradas!C:C,,0,1)</f>
        <v>001225/23</v>
      </c>
      <c r="D125" t="str">
        <f>_xlfn.XLOOKUP($B125,Entradas!$B:$B,Entradas!D:D,,0,1)</f>
        <v>***.673.604-**</v>
      </c>
      <c r="E125" t="str">
        <f>_xlfn.XLOOKUP($B125,Entradas!$B:$B,Entradas!E:E,,0,1)</f>
        <v>LEANDRO FIRMINO FERNANDES</v>
      </c>
      <c r="F125" t="str">
        <f>_xlfn.XLOOKUP($B125,Entradas!$B:$B,Entradas!F:F,,0,1)</f>
        <v>TECNICO DE LABORATORIO AREA</v>
      </c>
      <c r="G125" t="str">
        <f>_xlfn.XLOOKUP($B125,Entradas!$B:$B,Entradas!G:G,,0,1)</f>
        <v>FG-0002</v>
      </c>
      <c r="H125" t="str">
        <f>_xlfn.XLOOKUP($B125,Entradas!$B:$B,Entradas!H:H,,0,1)</f>
        <v>FG-0002</v>
      </c>
      <c r="I125" s="49">
        <f>_xlfn.XLOOKUP($B125,Entradas!$B:$B,Entradas!I:I,,0,1)</f>
        <v>45201</v>
      </c>
      <c r="J125" s="49">
        <f>_xlfn.XLOOKUP($B125,Entradas!$B:$B,Entradas!J:J,,0,1)</f>
        <v>45206</v>
      </c>
      <c r="K125" t="str">
        <f>_xlfn.XLOOKUP($B125,Entradas!$B:$B,Entradas!K:K,,0,1)</f>
        <v>Vista técnica ao Colégio Politécnico e o CETISM da Universidade Federal de Santa Maria - UFSM, à convite para conhecer os projetos ações da área de Agricultura de Precisão, Escritório de Projetos, Estágios, Ação de ensino, pesquisa e extensão para o Ensino Profissional.</v>
      </c>
      <c r="L125">
        <f>SUMIF(Entradas!$B:$B,'Entrada Lvl 5-4 qt'!$B125,Entradas!S:S)</f>
        <v>6109.5910640000002</v>
      </c>
      <c r="M125" t="str">
        <f>_xlfn.XLOOKUP($B125,Entradas!$B:$B,Entradas!T:T,,0,1)</f>
        <v>Aéreo</v>
      </c>
      <c r="N125" t="str">
        <f>_xlfn.XLOOKUP($B125,Entradas!$B:$B,Entradas!U:U,,0,1)</f>
        <v>Não</v>
      </c>
      <c r="O125" t="str">
        <f>_xlfn.XLOOKUP($B125,Entradas!$B:$B,Entradas!V:V,,0,1)</f>
        <v>Realizada</v>
      </c>
      <c r="P125" t="str">
        <f>_xlfn.XLOOKUP($B125,Entradas!$B:$B,Entradas!W:W,,0,1)</f>
        <v>SIM</v>
      </c>
      <c r="Q125" t="str">
        <f>_xlfn.XLOOKUP($B125,Entradas!$B:$B,Entradas!X:X,,0,1)</f>
        <v>Conforme DESPACHO. Nº 680 / 2023 - CCA-DC,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v>
      </c>
      <c r="R125" s="36">
        <f>SUMIF(Entradas!$B:$B,'Entrada Lvl 5-4 qt'!$B125,Entradas!Y:Y)</f>
        <v>1313.05</v>
      </c>
      <c r="S125" s="36">
        <f>SUMIF(Entradas!$B:$B,'Entrada Lvl 5-4 qt'!$B125,Entradas!Z:Z)</f>
        <v>0</v>
      </c>
      <c r="T125" s="36">
        <f>SUMIF(Entradas!$B:$B,'Entrada Lvl 5-4 qt'!$B125,Entradas!AA:AA)</f>
        <v>4612.1299999999992</v>
      </c>
      <c r="U125" s="36">
        <f>SUMIF(Entradas!$B:$B,'Entrada Lvl 5-4 qt'!$B125,Entradas!AB:AB)</f>
        <v>0</v>
      </c>
      <c r="V125" s="49">
        <f>_xlfn.XLOOKUP($B125,Entradas!$B:$B,Entradas!AC:AC,,0,1)</f>
        <v>45197</v>
      </c>
      <c r="W125" s="58">
        <f t="shared" si="9"/>
        <v>5</v>
      </c>
      <c r="X125" s="28" t="s">
        <v>10</v>
      </c>
      <c r="Y125" s="32">
        <f t="shared" si="5"/>
        <v>0</v>
      </c>
      <c r="Z125" s="33">
        <f t="shared" si="6"/>
        <v>4612.1299999999992</v>
      </c>
      <c r="AA125" s="34">
        <f t="shared" si="7"/>
        <v>1313.05</v>
      </c>
      <c r="AB125" s="28" t="s">
        <v>1816</v>
      </c>
      <c r="AC125" s="28" t="s">
        <v>1784</v>
      </c>
      <c r="AD125" s="29" t="str" cm="1">
        <f t="array" ref="AD125">_xlfn.IFS(L125&lt;=Constantes!$G$2,"Muito Curta (evitável)",L125&lt;=Constantes!$H$2,"Curta Distância",L125&gt;Constantes!$H$2,"Longa Distância")</f>
        <v>Longa Distância</v>
      </c>
      <c r="AE125" s="30" t="str">
        <f t="shared" si="8"/>
        <v>NÃO</v>
      </c>
      <c r="AF125" s="30">
        <f>SUMIF(Entradas!$B:$B,'Entrada Lvl 5-4 qt'!$B125,Entradas!$AG:$AG)</f>
        <v>1117.256973292067</v>
      </c>
      <c r="AG125" s="30"/>
      <c r="BD125" s="49"/>
      <c r="BE125" s="49"/>
    </row>
    <row r="126" spans="1:57" x14ac:dyDescent="0.3">
      <c r="A126">
        <f>_xlfn.XLOOKUP(B126,Entradas!B:B,Entradas!A:A,,0,-1)</f>
        <v>2</v>
      </c>
      <c r="B126">
        <v>19340895</v>
      </c>
      <c r="C126" t="str">
        <f>_xlfn.XLOOKUP($B126,Entradas!$B:$B,Entradas!C:C,,0,1)</f>
        <v>001227/23</v>
      </c>
      <c r="D126" t="str">
        <f>_xlfn.XLOOKUP($B126,Entradas!$B:$B,Entradas!D:D,,0,1)</f>
        <v>***.448.864-**</v>
      </c>
      <c r="E126" t="str">
        <f>_xlfn.XLOOKUP($B126,Entradas!$B:$B,Entradas!E:E,,0,1)</f>
        <v>CLEBER BRITO DE SOUZA</v>
      </c>
      <c r="F126" t="str">
        <f>_xlfn.XLOOKUP($B126,Entradas!$B:$B,Entradas!F:F,,0,1)</f>
        <v>PROFESSOR ENS BASICO TECN TECNOLOGICO</v>
      </c>
      <c r="G126" t="str">
        <f>_xlfn.XLOOKUP($B126,Entradas!$B:$B,Entradas!G:G,,0,1)</f>
        <v>-1</v>
      </c>
      <c r="H126" t="str">
        <f>_xlfn.XLOOKUP($B126,Entradas!$B:$B,Entradas!H:H,,0,1)</f>
        <v>Sem informação</v>
      </c>
      <c r="I126" s="49">
        <f>_xlfn.XLOOKUP($B126,Entradas!$B:$B,Entradas!I:I,,0,1)</f>
        <v>45201</v>
      </c>
      <c r="J126" s="49">
        <f>_xlfn.XLOOKUP($B126,Entradas!$B:$B,Entradas!J:J,,0,1)</f>
        <v>45206</v>
      </c>
      <c r="K126" t="str">
        <f>_xlfn.XLOOKUP($B126,Entradas!$B:$B,Entradas!K:K,,0,1)</f>
        <v>Vista técnica ao Colégio Politécnico e o CETISM da Universidade Federal de Santa Maria - UFSM, à convite para conhecer os projetos ações da área de Agricultura de Precisão, Escritório de Projetos, Estágios, Ação de ensino, pesquisa e extensão para o Ensino Profissional.</v>
      </c>
      <c r="L126">
        <f>SUMIF(Entradas!$B:$B,'Entrada Lvl 5-4 qt'!$B126,Entradas!S:S)</f>
        <v>6109.5910640000002</v>
      </c>
      <c r="M126" t="str">
        <f>_xlfn.XLOOKUP($B126,Entradas!$B:$B,Entradas!T:T,,0,1)</f>
        <v>Aéreo</v>
      </c>
      <c r="N126" t="str">
        <f>_xlfn.XLOOKUP($B126,Entradas!$B:$B,Entradas!U:U,,0,1)</f>
        <v>Não</v>
      </c>
      <c r="O126" t="str">
        <f>_xlfn.XLOOKUP($B126,Entradas!$B:$B,Entradas!V:V,,0,1)</f>
        <v>Realizada</v>
      </c>
      <c r="P126" t="str">
        <f>_xlfn.XLOOKUP($B126,Entradas!$B:$B,Entradas!W:W,,0,1)</f>
        <v>SIM</v>
      </c>
      <c r="Q126" t="str">
        <f>_xlfn.XLOOKUP($B126,Entradas!$B:$B,Entradas!X:X,,0,1)</f>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v>
      </c>
      <c r="R126" s="36">
        <f>SUMIF(Entradas!$B:$B,'Entrada Lvl 5-4 qt'!$B126,Entradas!Y:Y)</f>
        <v>1505.4</v>
      </c>
      <c r="S126" s="36">
        <f>SUMIF(Entradas!$B:$B,'Entrada Lvl 5-4 qt'!$B126,Entradas!Z:Z)</f>
        <v>0</v>
      </c>
      <c r="T126" s="36">
        <f>SUMIF(Entradas!$B:$B,'Entrada Lvl 5-4 qt'!$B126,Entradas!AA:AA)</f>
        <v>4612.1299999999992</v>
      </c>
      <c r="U126" s="36">
        <f>SUMIF(Entradas!$B:$B,'Entrada Lvl 5-4 qt'!$B126,Entradas!AB:AB)</f>
        <v>0</v>
      </c>
      <c r="V126" s="49">
        <f>_xlfn.XLOOKUP($B126,Entradas!$B:$B,Entradas!AC:AC,,0,1)</f>
        <v>45197</v>
      </c>
      <c r="W126" s="58">
        <f t="shared" si="9"/>
        <v>5</v>
      </c>
      <c r="X126" s="28" t="s">
        <v>10</v>
      </c>
      <c r="Y126" s="32">
        <f t="shared" si="5"/>
        <v>0</v>
      </c>
      <c r="Z126" s="33">
        <f t="shared" si="6"/>
        <v>4612.1299999999992</v>
      </c>
      <c r="AA126" s="34">
        <f t="shared" si="7"/>
        <v>1505.4</v>
      </c>
      <c r="AB126" s="28" t="s">
        <v>1816</v>
      </c>
      <c r="AC126" s="28" t="s">
        <v>1820</v>
      </c>
      <c r="AD126" s="29" t="str" cm="1">
        <f t="array" ref="AD126">_xlfn.IFS(L126&lt;=Constantes!$G$2,"Muito Curta (evitável)",L126&lt;=Constantes!$H$2,"Curta Distância",L126&gt;Constantes!$H$2,"Longa Distância")</f>
        <v>Longa Distância</v>
      </c>
      <c r="AE126" s="30" t="str">
        <f t="shared" si="8"/>
        <v>NÃO</v>
      </c>
      <c r="AF126" s="30">
        <f>SUMIF(Entradas!$B:$B,'Entrada Lvl 5-4 qt'!$B126,Entradas!$AG:$AG)</f>
        <v>1117.256973292067</v>
      </c>
      <c r="AG126" s="30"/>
      <c r="BD126" s="49"/>
      <c r="BE126" s="49"/>
    </row>
    <row r="127" spans="1:57" x14ac:dyDescent="0.3">
      <c r="A127">
        <f>_xlfn.XLOOKUP(B127,Entradas!B:B,Entradas!A:A,,0,-1)</f>
        <v>2</v>
      </c>
      <c r="B127">
        <v>19342070</v>
      </c>
      <c r="C127" t="str">
        <f>_xlfn.XLOOKUP($B127,Entradas!$B:$B,Entradas!C:C,,0,1)</f>
        <v>001230/23</v>
      </c>
      <c r="D127" t="str">
        <f>_xlfn.XLOOKUP($B127,Entradas!$B:$B,Entradas!D:D,,0,1)</f>
        <v>***.138.224-**</v>
      </c>
      <c r="E127" t="str">
        <f>_xlfn.XLOOKUP($B127,Entradas!$B:$B,Entradas!E:E,,0,1)</f>
        <v>FELIPE ROQUE VICENTE</v>
      </c>
      <c r="F127" t="str">
        <f>_xlfn.XLOOKUP($B127,Entradas!$B:$B,Entradas!F:F,,0,1)</f>
        <v>ASSISTENTE EM ADMINISTRAçãO</v>
      </c>
      <c r="G127" t="str">
        <f>_xlfn.XLOOKUP($B127,Entradas!$B:$B,Entradas!G:G,,0,1)</f>
        <v>-1</v>
      </c>
      <c r="H127" t="str">
        <f>_xlfn.XLOOKUP($B127,Entradas!$B:$B,Entradas!H:H,,0,1)</f>
        <v>Sem informação</v>
      </c>
      <c r="I127" s="49">
        <f>_xlfn.XLOOKUP($B127,Entradas!$B:$B,Entradas!I:I,,0,1)</f>
        <v>45201</v>
      </c>
      <c r="J127" s="49">
        <f>_xlfn.XLOOKUP($B127,Entradas!$B:$B,Entradas!J:J,,0,1)</f>
        <v>45206</v>
      </c>
      <c r="K127" t="str">
        <f>_xlfn.XLOOKUP($B127,Entradas!$B:$B,Entradas!K:K,,0,1)</f>
        <v>Vista técnica ao Colégio Politécnico e o CETISM da Universidade Federal de Santa Maria - UFSM, à convite para conhecer os projetos ações da área de Agricultura de Precisão, Escritório de Projetos, Estágios, Ação de ensino, pesquisa e extensão para o Ensino Profissional.</v>
      </c>
      <c r="L127">
        <f>SUMIF(Entradas!$B:$B,'Entrada Lvl 5-4 qt'!$B127,Entradas!S:S)</f>
        <v>6109.5910640000002</v>
      </c>
      <c r="M127" t="str">
        <f>_xlfn.XLOOKUP($B127,Entradas!$B:$B,Entradas!T:T,,0,1)</f>
        <v>Aéreo</v>
      </c>
      <c r="N127" t="str">
        <f>_xlfn.XLOOKUP($B127,Entradas!$B:$B,Entradas!U:U,,0,1)</f>
        <v>Não</v>
      </c>
      <c r="O127" t="str">
        <f>_xlfn.XLOOKUP($B127,Entradas!$B:$B,Entradas!V:V,,0,1)</f>
        <v>Realizada</v>
      </c>
      <c r="P127" t="str">
        <f>_xlfn.XLOOKUP($B127,Entradas!$B:$B,Entradas!W:W,,0,1)</f>
        <v>SIM</v>
      </c>
      <c r="Q127" t="str">
        <f>_xlfn.XLOOKUP($B127,Entradas!$B:$B,Entradas!X:X,,0,1)</f>
        <v>Conforme DESPACHO. Nº 681/2023,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v>
      </c>
      <c r="R127" s="36">
        <f>SUMIF(Entradas!$B:$B,'Entrada Lvl 5-4 qt'!$B127,Entradas!Y:Y)</f>
        <v>1096.2</v>
      </c>
      <c r="S127" s="36">
        <f>SUMIF(Entradas!$B:$B,'Entrada Lvl 5-4 qt'!$B127,Entradas!Z:Z)</f>
        <v>0</v>
      </c>
      <c r="T127" s="36">
        <f>SUMIF(Entradas!$B:$B,'Entrada Lvl 5-4 qt'!$B127,Entradas!AA:AA)</f>
        <v>4612.1299999999992</v>
      </c>
      <c r="U127" s="36">
        <f>SUMIF(Entradas!$B:$B,'Entrada Lvl 5-4 qt'!$B127,Entradas!AB:AB)</f>
        <v>0</v>
      </c>
      <c r="V127" s="49">
        <f>_xlfn.XLOOKUP($B127,Entradas!$B:$B,Entradas!AC:AC,,0,1)</f>
        <v>45197</v>
      </c>
      <c r="W127" s="58">
        <f t="shared" si="9"/>
        <v>5</v>
      </c>
      <c r="X127" s="28" t="s">
        <v>10</v>
      </c>
      <c r="Y127" s="32">
        <f t="shared" si="5"/>
        <v>0</v>
      </c>
      <c r="Z127" s="33">
        <f t="shared" si="6"/>
        <v>4612.1299999999992</v>
      </c>
      <c r="AA127" s="34">
        <f t="shared" si="7"/>
        <v>1096.2</v>
      </c>
      <c r="AB127" s="28" t="s">
        <v>1816</v>
      </c>
      <c r="AC127" s="28" t="s">
        <v>1784</v>
      </c>
      <c r="AD127" s="29" t="str" cm="1">
        <f t="array" ref="AD127">_xlfn.IFS(L127&lt;=Constantes!$G$2,"Muito Curta (evitável)",L127&lt;=Constantes!$H$2,"Curta Distância",L127&gt;Constantes!$H$2,"Longa Distância")</f>
        <v>Longa Distância</v>
      </c>
      <c r="AE127" s="30" t="str">
        <f t="shared" si="8"/>
        <v>NÃO</v>
      </c>
      <c r="AF127" s="30">
        <f>SUMIF(Entradas!$B:$B,'Entrada Lvl 5-4 qt'!$B127,Entradas!$AG:$AG)</f>
        <v>1117.256973292067</v>
      </c>
      <c r="AG127" s="30"/>
      <c r="BD127" s="49"/>
      <c r="BE127" s="49"/>
    </row>
    <row r="128" spans="1:57" x14ac:dyDescent="0.3">
      <c r="A128">
        <f>_xlfn.XLOOKUP(B128,Entradas!B:B,Entradas!A:A,,0,-1)</f>
        <v>2</v>
      </c>
      <c r="B128">
        <v>19342110</v>
      </c>
      <c r="C128" t="str">
        <f>_xlfn.XLOOKUP($B128,Entradas!$B:$B,Entradas!C:C,,0,1)</f>
        <v>001231/23</v>
      </c>
      <c r="D128" t="str">
        <f>_xlfn.XLOOKUP($B128,Entradas!$B:$B,Entradas!D:D,,0,1)</f>
        <v>***.463.654-**</v>
      </c>
      <c r="E128" t="str">
        <f>_xlfn.XLOOKUP($B128,Entradas!$B:$B,Entradas!E:E,,0,1)</f>
        <v>BRUNO FERREIRA MATOS</v>
      </c>
      <c r="F128" t="str">
        <f>_xlfn.XLOOKUP($B128,Entradas!$B:$B,Entradas!F:F,,0,1)</f>
        <v>TECNICO EM AGROPECUARIA</v>
      </c>
      <c r="G128" t="str">
        <f>_xlfn.XLOOKUP($B128,Entradas!$B:$B,Entradas!G:G,,0,1)</f>
        <v>FG-0001</v>
      </c>
      <c r="H128" t="str">
        <f>_xlfn.XLOOKUP($B128,Entradas!$B:$B,Entradas!H:H,,0,1)</f>
        <v>FG-0001</v>
      </c>
      <c r="I128" s="49">
        <f>_xlfn.XLOOKUP($B128,Entradas!$B:$B,Entradas!I:I,,0,1)</f>
        <v>45201</v>
      </c>
      <c r="J128" s="49">
        <f>_xlfn.XLOOKUP($B128,Entradas!$B:$B,Entradas!J:J,,0,1)</f>
        <v>45206</v>
      </c>
      <c r="K128" t="str">
        <f>_xlfn.XLOOKUP($B128,Entradas!$B:$B,Entradas!K:K,,0,1)</f>
        <v>Vista técnica ao Colégio Politécnico e o CETISM da Universidade Federal de Santa Maria - UFSM, à convite para conhecer os projetos ações da área de Agricultura de Precisão, Escritório de Projetos, Estágios, Ação de ensino, pesquisa e extensão para o Ensino Profissional.</v>
      </c>
      <c r="L128">
        <f>SUMIF(Entradas!$B:$B,'Entrada Lvl 5-4 qt'!$B128,Entradas!S:S)</f>
        <v>6109.5910640000002</v>
      </c>
      <c r="M128" t="str">
        <f>_xlfn.XLOOKUP($B128,Entradas!$B:$B,Entradas!T:T,,0,1)</f>
        <v>Aéreo</v>
      </c>
      <c r="N128" t="str">
        <f>_xlfn.XLOOKUP($B128,Entradas!$B:$B,Entradas!U:U,,0,1)</f>
        <v>Não</v>
      </c>
      <c r="O128" t="str">
        <f>_xlfn.XLOOKUP($B128,Entradas!$B:$B,Entradas!V:V,,0,1)</f>
        <v>Realizada</v>
      </c>
      <c r="P128" t="str">
        <f>_xlfn.XLOOKUP($B128,Entradas!$B:$B,Entradas!W:W,,0,1)</f>
        <v>SIM</v>
      </c>
      <c r="Q128" t="str">
        <f>_xlfn.XLOOKUP($B128,Entradas!$B:$B,Entradas!X:X,,0,1)</f>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v>
      </c>
      <c r="R128" s="36">
        <f>SUMIF(Entradas!$B:$B,'Entrada Lvl 5-4 qt'!$B128,Entradas!Y:Y)</f>
        <v>1505.4</v>
      </c>
      <c r="S128" s="36">
        <f>SUMIF(Entradas!$B:$B,'Entrada Lvl 5-4 qt'!$B128,Entradas!Z:Z)</f>
        <v>0</v>
      </c>
      <c r="T128" s="36">
        <f>SUMIF(Entradas!$B:$B,'Entrada Lvl 5-4 qt'!$B128,Entradas!AA:AA)</f>
        <v>4612.1299999999992</v>
      </c>
      <c r="U128" s="36">
        <f>SUMIF(Entradas!$B:$B,'Entrada Lvl 5-4 qt'!$B128,Entradas!AB:AB)</f>
        <v>0</v>
      </c>
      <c r="V128" s="49">
        <f>_xlfn.XLOOKUP($B128,Entradas!$B:$B,Entradas!AC:AC,,0,1)</f>
        <v>45197</v>
      </c>
      <c r="W128" s="58">
        <f t="shared" si="9"/>
        <v>5</v>
      </c>
      <c r="X128" s="28" t="s">
        <v>10</v>
      </c>
      <c r="Y128" s="32">
        <f t="shared" si="5"/>
        <v>0</v>
      </c>
      <c r="Z128" s="33">
        <f t="shared" si="6"/>
        <v>4612.1299999999992</v>
      </c>
      <c r="AA128" s="34">
        <f t="shared" si="7"/>
        <v>1505.4</v>
      </c>
      <c r="AB128" s="28" t="s">
        <v>1816</v>
      </c>
      <c r="AC128" s="28" t="s">
        <v>1784</v>
      </c>
      <c r="AD128" s="29" t="str" cm="1">
        <f t="array" ref="AD128">_xlfn.IFS(L128&lt;=Constantes!$G$2,"Muito Curta (evitável)",L128&lt;=Constantes!$H$2,"Curta Distância",L128&gt;Constantes!$H$2,"Longa Distância")</f>
        <v>Longa Distância</v>
      </c>
      <c r="AE128" s="30" t="str">
        <f t="shared" si="8"/>
        <v>NÃO</v>
      </c>
      <c r="AF128" s="30">
        <f>SUMIF(Entradas!$B:$B,'Entrada Lvl 5-4 qt'!$B128,Entradas!$AG:$AG)</f>
        <v>1117.256973292067</v>
      </c>
      <c r="AG128" s="30"/>
      <c r="BD128" s="49"/>
      <c r="BE128" s="49"/>
    </row>
    <row r="129" spans="1:57" x14ac:dyDescent="0.3">
      <c r="A129">
        <f>_xlfn.XLOOKUP(B129,Entradas!B:B,Entradas!A:A,,0,-1)</f>
        <v>2</v>
      </c>
      <c r="B129">
        <v>19342162</v>
      </c>
      <c r="C129" t="str">
        <f>_xlfn.XLOOKUP($B129,Entradas!$B:$B,Entradas!C:C,,0,1)</f>
        <v>001236/23</v>
      </c>
      <c r="D129" t="str">
        <f>_xlfn.XLOOKUP($B129,Entradas!$B:$B,Entradas!D:D,,0,1)</f>
        <v>***.147.624-**</v>
      </c>
      <c r="E129" t="str">
        <f>_xlfn.XLOOKUP($B129,Entradas!$B:$B,Entradas!E:E,,0,1)</f>
        <v>EDVALDO MESQUITA BELTRAO FILHO</v>
      </c>
      <c r="F129" t="str">
        <f>_xlfn.XLOOKUP($B129,Entradas!$B:$B,Entradas!F:F,,0,1)</f>
        <v>PROFESSOR ENS BASICO TECN TECNOLOGICO</v>
      </c>
      <c r="G129" t="str">
        <f>_xlfn.XLOOKUP($B129,Entradas!$B:$B,Entradas!G:G,,0,1)</f>
        <v>CD-0003</v>
      </c>
      <c r="H129" t="str">
        <f>_xlfn.XLOOKUP($B129,Entradas!$B:$B,Entradas!H:H,,0,1)</f>
        <v>Cargo Comissionado de Direção</v>
      </c>
      <c r="I129" s="49">
        <f>_xlfn.XLOOKUP($B129,Entradas!$B:$B,Entradas!I:I,,0,1)</f>
        <v>45201</v>
      </c>
      <c r="J129" s="49">
        <f>_xlfn.XLOOKUP($B129,Entradas!$B:$B,Entradas!J:J,,0,1)</f>
        <v>45206</v>
      </c>
      <c r="K129" t="str">
        <f>_xlfn.XLOOKUP($B129,Entradas!$B:$B,Entradas!K:K,,0,1)</f>
        <v>Vista técnica ao Colégio Politécnico e o CETISM da Universidade Federal de Santa Maria - UFSM, à convite para conhecer os projetos ações da área de Agricultura de Precisão, Escritório de Projetos, Estágios, Ação de ensino, pesquisa e extensão para o Ensino Profissional.</v>
      </c>
      <c r="L129">
        <f>SUMIF(Entradas!$B:$B,'Entrada Lvl 5-4 qt'!$B129,Entradas!S:S)</f>
        <v>6109.5910640000002</v>
      </c>
      <c r="M129" t="str">
        <f>_xlfn.XLOOKUP($B129,Entradas!$B:$B,Entradas!T:T,,0,1)</f>
        <v>Aéreo</v>
      </c>
      <c r="N129" t="str">
        <f>_xlfn.XLOOKUP($B129,Entradas!$B:$B,Entradas!U:U,,0,1)</f>
        <v>Não</v>
      </c>
      <c r="O129" t="str">
        <f>_xlfn.XLOOKUP($B129,Entradas!$B:$B,Entradas!V:V,,0,1)</f>
        <v>Realizada</v>
      </c>
      <c r="P129" t="str">
        <f>_xlfn.XLOOKUP($B129,Entradas!$B:$B,Entradas!W:W,,0,1)</f>
        <v>SIM</v>
      </c>
      <c r="Q129" t="str">
        <f>_xlfn.XLOOKUP($B129,Entradas!$B:$B,Entradas!X:X,,0,1)</f>
        <v>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v>
      </c>
      <c r="R129" s="36">
        <f>SUMIF(Entradas!$B:$B,'Entrada Lvl 5-4 qt'!$B129,Entradas!Y:Y)</f>
        <v>1732.72</v>
      </c>
      <c r="S129" s="36">
        <f>SUMIF(Entradas!$B:$B,'Entrada Lvl 5-4 qt'!$B129,Entradas!Z:Z)</f>
        <v>0</v>
      </c>
      <c r="T129" s="36">
        <f>SUMIF(Entradas!$B:$B,'Entrada Lvl 5-4 qt'!$B129,Entradas!AA:AA)</f>
        <v>4612.1299999999992</v>
      </c>
      <c r="U129" s="36">
        <f>SUMIF(Entradas!$B:$B,'Entrada Lvl 5-4 qt'!$B129,Entradas!AB:AB)</f>
        <v>0</v>
      </c>
      <c r="V129" s="49">
        <f>_xlfn.XLOOKUP($B129,Entradas!$B:$B,Entradas!AC:AC,,0,1)</f>
        <v>45197</v>
      </c>
      <c r="W129" s="58">
        <f t="shared" si="9"/>
        <v>5</v>
      </c>
      <c r="X129" s="28" t="s">
        <v>10</v>
      </c>
      <c r="Y129" s="32">
        <f t="shared" si="5"/>
        <v>0</v>
      </c>
      <c r="Z129" s="33">
        <f t="shared" si="6"/>
        <v>4612.1299999999992</v>
      </c>
      <c r="AA129" s="34">
        <f t="shared" si="7"/>
        <v>1732.72</v>
      </c>
      <c r="AB129" s="28" t="s">
        <v>1816</v>
      </c>
      <c r="AC129" s="28" t="s">
        <v>1820</v>
      </c>
      <c r="AD129" s="29" t="str" cm="1">
        <f t="array" ref="AD129">_xlfn.IFS(L129&lt;=Constantes!$G$2,"Muito Curta (evitável)",L129&lt;=Constantes!$H$2,"Curta Distância",L129&gt;Constantes!$H$2,"Longa Distância")</f>
        <v>Longa Distância</v>
      </c>
      <c r="AE129" s="30" t="str">
        <f t="shared" si="8"/>
        <v>NÃO</v>
      </c>
      <c r="AF129" s="30">
        <f>SUMIF(Entradas!$B:$B,'Entrada Lvl 5-4 qt'!$B129,Entradas!$AG:$AG)</f>
        <v>1117.256973292067</v>
      </c>
      <c r="AG129" s="30"/>
      <c r="BD129" s="49"/>
      <c r="BE129" s="49"/>
    </row>
    <row r="130" spans="1:57" x14ac:dyDescent="0.3">
      <c r="A130">
        <f>_xlfn.XLOOKUP(B130,Entradas!B:B,Entradas!A:A,,0,-1)</f>
        <v>2</v>
      </c>
      <c r="B130">
        <v>19312470</v>
      </c>
      <c r="C130" t="str">
        <f>_xlfn.XLOOKUP($B130,Entradas!$B:$B,Entradas!C:C,,0,1)</f>
        <v>001145/23</v>
      </c>
      <c r="D130" t="str">
        <f>_xlfn.XLOOKUP($B130,Entradas!$B:$B,Entradas!D:D,,0,1)</f>
        <v/>
      </c>
      <c r="E130" t="str">
        <f>_xlfn.XLOOKUP($B130,Entradas!$B:$B,Entradas!E:E,,0,1)</f>
        <v>LARISSA DA COSTA BANDEIRA HONORIO</v>
      </c>
      <c r="F130" t="str">
        <f>_xlfn.XLOOKUP($B130,Entradas!$B:$B,Entradas!F:F,,0,1)</f>
        <v/>
      </c>
      <c r="G130" t="str">
        <f>_xlfn.XLOOKUP($B130,Entradas!$B:$B,Entradas!G:G,,0,1)</f>
        <v>-1</v>
      </c>
      <c r="H130" t="str">
        <f>_xlfn.XLOOKUP($B130,Entradas!$B:$B,Entradas!H:H,,0,1)</f>
        <v>Sem informação</v>
      </c>
      <c r="I130" s="49">
        <f>_xlfn.XLOOKUP($B130,Entradas!$B:$B,Entradas!I:I,,0,1)</f>
        <v>45202</v>
      </c>
      <c r="J130" s="49">
        <f>_xlfn.XLOOKUP($B130,Entradas!$B:$B,Entradas!J:J,,0,1)</f>
        <v>45206</v>
      </c>
      <c r="K130" t="str">
        <f>_xlfn.XLOOKUP($B130,Entradas!$B:$B,Entradas!K:K,,0,1)</f>
        <v>PROPOSTO IRÁ APRESENTAR TRABALHOS EM EVENTO NACIONAL NA CIDADE DE BELO HORIZONTE, COMO COMPLEMENTO AO SEU CURSO DE GRADUAÇÃO NA UFPB.</v>
      </c>
      <c r="L130">
        <f>SUMIF(Entradas!$B:$B,'Entrada Lvl 5-4 qt'!$B130,Entradas!S:S)</f>
        <v>3429.6730739999998</v>
      </c>
      <c r="M130" t="str">
        <f>_xlfn.XLOOKUP($B130,Entradas!$B:$B,Entradas!T:T,,0,1)</f>
        <v>Aéreo</v>
      </c>
      <c r="N130" t="str">
        <f>_xlfn.XLOOKUP($B130,Entradas!$B:$B,Entradas!U:U,,0,1)</f>
        <v>Sim</v>
      </c>
      <c r="O130" t="str">
        <f>_xlfn.XLOOKUP($B130,Entradas!$B:$B,Entradas!V:V,,0,1)</f>
        <v>Realizada</v>
      </c>
      <c r="P130" t="str">
        <f>_xlfn.XLOOKUP($B130,Entradas!$B:$B,Entradas!W:W,,0,1)</f>
        <v>SIM</v>
      </c>
      <c r="Q130" t="str">
        <f>_xlfn.XLOOKUP($B130,Entradas!$B:$B,Entradas!X:X,,0,1)</f>
        <v>DEVIDO A ALTA DEMANDA DE SOLICITAÇÕES DE PASSAGENS NO SETOR, SÓ CONSEGUIMOS SOLICITAR ESSA EMISSÃO NESSE PERÍODO.</v>
      </c>
      <c r="R130" s="36">
        <f>SUMIF(Entradas!$B:$B,'Entrada Lvl 5-4 qt'!$B130,Entradas!Y:Y)</f>
        <v>0</v>
      </c>
      <c r="S130" s="36">
        <f>SUMIF(Entradas!$B:$B,'Entrada Lvl 5-4 qt'!$B130,Entradas!Z:Z)</f>
        <v>0</v>
      </c>
      <c r="T130" s="36">
        <f>SUMIF(Entradas!$B:$B,'Entrada Lvl 5-4 qt'!$B130,Entradas!AA:AA)</f>
        <v>3179.49</v>
      </c>
      <c r="U130" s="36">
        <f>SUMIF(Entradas!$B:$B,'Entrada Lvl 5-4 qt'!$B130,Entradas!AB:AB)</f>
        <v>0</v>
      </c>
      <c r="V130" s="49">
        <f>_xlfn.XLOOKUP($B130,Entradas!$B:$B,Entradas!AC:AC,,0,1)</f>
        <v>45189</v>
      </c>
      <c r="W130" s="58">
        <f t="shared" si="9"/>
        <v>4</v>
      </c>
      <c r="X130" s="28" t="s">
        <v>10</v>
      </c>
      <c r="Y130" s="32">
        <f t="shared" ref="Y130:Y193" si="10">IF(A130&lt;3,0,1)</f>
        <v>0</v>
      </c>
      <c r="Z130" s="33">
        <f t="shared" ref="Z130:Z193" si="11">IFERROR(SUM(T130:U130),0)</f>
        <v>3179.49</v>
      </c>
      <c r="AA130" s="34">
        <f t="shared" ref="AA130:AA193" si="12">IFERROR(SUM(R130:S130),0)</f>
        <v>0</v>
      </c>
      <c r="AB130" s="28" t="s">
        <v>1814</v>
      </c>
      <c r="AC130" s="28" t="s">
        <v>1822</v>
      </c>
      <c r="AD130" s="29" t="str" cm="1">
        <f t="array" ref="AD130">_xlfn.IFS(L130&lt;=Constantes!$G$2,"Muito Curta (evitável)",L130&lt;=Constantes!$H$2,"Curta Distância",L130&gt;Constantes!$H$2,"Longa Distância")</f>
        <v>Curta Distância</v>
      </c>
      <c r="AE130" s="30" t="str">
        <f t="shared" ref="AE130:AE193" si="13">IF(P130="SIM",IF(Q130="Sem Informação","SIM","NÃO"),"NÃO")</f>
        <v>NÃO</v>
      </c>
      <c r="AF130" s="30">
        <f>SUMIF(Entradas!$B:$B,'Entrada Lvl 5-4 qt'!$B130,Entradas!$AG:$AG)</f>
        <v>627.18210071654289</v>
      </c>
      <c r="AG130" s="30"/>
      <c r="BD130" s="49"/>
      <c r="BE130" s="49"/>
    </row>
    <row r="131" spans="1:57" x14ac:dyDescent="0.3">
      <c r="A131">
        <f>_xlfn.XLOOKUP(B131,Entradas!B:B,Entradas!A:A,,0,-1)</f>
        <v>2</v>
      </c>
      <c r="B131">
        <v>19318863</v>
      </c>
      <c r="C131" t="str">
        <f>_xlfn.XLOOKUP($B131,Entradas!$B:$B,Entradas!C:C,,0,1)</f>
        <v>001178/23</v>
      </c>
      <c r="D131" t="str">
        <f>_xlfn.XLOOKUP($B131,Entradas!$B:$B,Entradas!D:D,,0,1)</f>
        <v/>
      </c>
      <c r="E131" t="str">
        <f>_xlfn.XLOOKUP($B131,Entradas!$B:$B,Entradas!E:E,,0,1)</f>
        <v>MELISSA KATHLEEN DE OLIVEIRA LIMA</v>
      </c>
      <c r="F131" t="str">
        <f>_xlfn.XLOOKUP($B131,Entradas!$B:$B,Entradas!F:F,,0,1)</f>
        <v/>
      </c>
      <c r="G131" t="str">
        <f>_xlfn.XLOOKUP($B131,Entradas!$B:$B,Entradas!G:G,,0,1)</f>
        <v>-1</v>
      </c>
      <c r="H131" t="str">
        <f>_xlfn.XLOOKUP($B131,Entradas!$B:$B,Entradas!H:H,,0,1)</f>
        <v>Sem informação</v>
      </c>
      <c r="I131" s="49">
        <f>_xlfn.XLOOKUP($B131,Entradas!$B:$B,Entradas!I:I,,0,1)</f>
        <v>45202</v>
      </c>
      <c r="J131" s="49">
        <f>_xlfn.XLOOKUP($B131,Entradas!$B:$B,Entradas!J:J,,0,1)</f>
        <v>45206</v>
      </c>
      <c r="K131" t="str">
        <f>_xlfn.XLOOKUP($B131,Entradas!$B:$B,Entradas!K:K,,0,1)</f>
        <v>PROPOSTO IRÁ PARTICIPAR DE EVENTO ACADÊMICO APRESENTANDO TRABALHOS INERENTES AO SEU CURSO NA UFPB.</v>
      </c>
      <c r="L131">
        <f>SUMIF(Entradas!$B:$B,'Entrada Lvl 5-4 qt'!$B131,Entradas!S:S)</f>
        <v>3429.6730739999998</v>
      </c>
      <c r="M131" t="str">
        <f>_xlfn.XLOOKUP($B131,Entradas!$B:$B,Entradas!T:T,,0,1)</f>
        <v>Aéreo</v>
      </c>
      <c r="N131" t="str">
        <f>_xlfn.XLOOKUP($B131,Entradas!$B:$B,Entradas!U:U,,0,1)</f>
        <v>Sim</v>
      </c>
      <c r="O131" t="str">
        <f>_xlfn.XLOOKUP($B131,Entradas!$B:$B,Entradas!V:V,,0,1)</f>
        <v>Realizada</v>
      </c>
      <c r="P131" t="str">
        <f>_xlfn.XLOOKUP($B131,Entradas!$B:$B,Entradas!W:W,,0,1)</f>
        <v>SIM</v>
      </c>
      <c r="Q131" t="str">
        <f>_xlfn.XLOOKUP($B131,Entradas!$B:$B,Entradas!X:X,,0,1)</f>
        <v>DEVIDO O AUMENTO DE DEMANDA DO SETOR E A NECESSIDADE DE SOLICITAÇÃO DAS PASSAGENS, FOI REALIZADA SOLICITAÇÃO DENTRO DOS 20 DIAS.</v>
      </c>
      <c r="R131" s="36">
        <f>SUMIF(Entradas!$B:$B,'Entrada Lvl 5-4 qt'!$B131,Entradas!Y:Y)</f>
        <v>0</v>
      </c>
      <c r="S131" s="36">
        <f>SUMIF(Entradas!$B:$B,'Entrada Lvl 5-4 qt'!$B131,Entradas!Z:Z)</f>
        <v>0</v>
      </c>
      <c r="T131" s="36">
        <f>SUMIF(Entradas!$B:$B,'Entrada Lvl 5-4 qt'!$B131,Entradas!AA:AA)</f>
        <v>3394.49</v>
      </c>
      <c r="U131" s="36">
        <f>SUMIF(Entradas!$B:$B,'Entrada Lvl 5-4 qt'!$B131,Entradas!AB:AB)</f>
        <v>0</v>
      </c>
      <c r="V131" s="49">
        <f>_xlfn.XLOOKUP($B131,Entradas!$B:$B,Entradas!AC:AC,,0,1)</f>
        <v>45191</v>
      </c>
      <c r="W131" s="58">
        <f t="shared" ref="W131:W194" si="14">J131-I131</f>
        <v>4</v>
      </c>
      <c r="X131" s="28" t="s">
        <v>10</v>
      </c>
      <c r="Y131" s="32">
        <f t="shared" si="10"/>
        <v>0</v>
      </c>
      <c r="Z131" s="33">
        <f t="shared" si="11"/>
        <v>3394.49</v>
      </c>
      <c r="AA131" s="34">
        <f t="shared" si="12"/>
        <v>0</v>
      </c>
      <c r="AB131" s="28" t="s">
        <v>1814</v>
      </c>
      <c r="AC131" s="28" t="s">
        <v>1822</v>
      </c>
      <c r="AD131" s="29" t="str" cm="1">
        <f t="array" ref="AD131">_xlfn.IFS(L131&lt;=Constantes!$G$2,"Muito Curta (evitável)",L131&lt;=Constantes!$H$2,"Curta Distância",L131&gt;Constantes!$H$2,"Longa Distância")</f>
        <v>Curta Distância</v>
      </c>
      <c r="AE131" s="30" t="str">
        <f t="shared" si="13"/>
        <v>NÃO</v>
      </c>
      <c r="AF131" s="30">
        <f>SUMIF(Entradas!$B:$B,'Entrada Lvl 5-4 qt'!$B131,Entradas!$AG:$AG)</f>
        <v>627.18210071654289</v>
      </c>
      <c r="AG131" s="30"/>
      <c r="BD131" s="49"/>
      <c r="BE131" s="49"/>
    </row>
    <row r="132" spans="1:57" x14ac:dyDescent="0.3">
      <c r="A132">
        <f>_xlfn.XLOOKUP(B132,Entradas!B:B,Entradas!A:A,,0,-1)</f>
        <v>2</v>
      </c>
      <c r="B132">
        <v>19076874</v>
      </c>
      <c r="C132" t="str">
        <f>_xlfn.XLOOKUP($B132,Entradas!$B:$B,Entradas!C:C,,0,1)</f>
        <v>000569/23</v>
      </c>
      <c r="D132" t="str">
        <f>_xlfn.XLOOKUP($B132,Entradas!$B:$B,Entradas!D:D,,0,1)</f>
        <v>***.530.354-**</v>
      </c>
      <c r="E132" t="str">
        <f>_xlfn.XLOOKUP($B132,Entradas!$B:$B,Entradas!E:E,,0,1)</f>
        <v>LUCIANA CORDEIRO DO NASCIMENTO</v>
      </c>
      <c r="F132" t="str">
        <f>_xlfn.XLOOKUP($B132,Entradas!$B:$B,Entradas!F:F,,0,1)</f>
        <v>PROFESSOR DO MAGISTERIO SUPERIOR</v>
      </c>
      <c r="G132" t="str">
        <f>_xlfn.XLOOKUP($B132,Entradas!$B:$B,Entradas!G:G,,0,1)</f>
        <v>FUC-0001</v>
      </c>
      <c r="H132" t="str">
        <f>_xlfn.XLOOKUP($B132,Entradas!$B:$B,Entradas!H:H,,0,1)</f>
        <v>FUC-0001</v>
      </c>
      <c r="I132" s="49">
        <f>_xlfn.XLOOKUP($B132,Entradas!$B:$B,Entradas!I:I,,0,1)</f>
        <v>45203</v>
      </c>
      <c r="J132" s="49">
        <f>_xlfn.XLOOKUP($B132,Entradas!$B:$B,Entradas!J:J,,0,1)</f>
        <v>45206</v>
      </c>
      <c r="K132" t="str">
        <f>_xlfn.XLOOKUP($B132,Entradas!$B:$B,Entradas!K:K,,0,1)</f>
        <v>REUNIÃO DE MEIO TERMO DE COORDENADORES DE PÓS-GRADUAÇÃO DA GRANDE ÁREA DE CIÊNCIAS AGRARIAS I NA CAPES - BRASÍLIA-DF.</v>
      </c>
      <c r="L132">
        <f>SUMIF(Entradas!$B:$B,'Entrada Lvl 5-4 qt'!$B132,Entradas!S:S)</f>
        <v>3426.839982</v>
      </c>
      <c r="M132" t="str">
        <f>_xlfn.XLOOKUP($B132,Entradas!$B:$B,Entradas!T:T,,0,1)</f>
        <v>Aéreo</v>
      </c>
      <c r="N132" t="str">
        <f>_xlfn.XLOOKUP($B132,Entradas!$B:$B,Entradas!U:U,,0,1)</f>
        <v>Não</v>
      </c>
      <c r="O132" t="str">
        <f>_xlfn.XLOOKUP($B132,Entradas!$B:$B,Entradas!V:V,,0,1)</f>
        <v>Realizada</v>
      </c>
      <c r="P132" t="str">
        <f>_xlfn.XLOOKUP($B132,Entradas!$B:$B,Entradas!W:W,,0,1)</f>
        <v>NÃO</v>
      </c>
      <c r="Q132" t="str">
        <f>_xlfn.XLOOKUP($B132,Entradas!$B:$B,Entradas!X:X,,0,1)</f>
        <v>Sem informação</v>
      </c>
      <c r="R132" s="36">
        <f>SUMIF(Entradas!$B:$B,'Entrada Lvl 5-4 qt'!$B132,Entradas!Y:Y)</f>
        <v>1339.26</v>
      </c>
      <c r="S132" s="36">
        <f>SUMIF(Entradas!$B:$B,'Entrada Lvl 5-4 qt'!$B132,Entradas!Z:Z)</f>
        <v>0</v>
      </c>
      <c r="T132" s="36">
        <f>SUMIF(Entradas!$B:$B,'Entrada Lvl 5-4 qt'!$B132,Entradas!AA:AA)</f>
        <v>1529.4</v>
      </c>
      <c r="U132" s="36">
        <f>SUMIF(Entradas!$B:$B,'Entrada Lvl 5-4 qt'!$B132,Entradas!AB:AB)</f>
        <v>0</v>
      </c>
      <c r="V132" s="49">
        <f>_xlfn.XLOOKUP($B132,Entradas!$B:$B,Entradas!AC:AC,,0,1)</f>
        <v>45134</v>
      </c>
      <c r="W132" s="58">
        <f t="shared" si="14"/>
        <v>3</v>
      </c>
      <c r="X132" s="28" t="s">
        <v>10</v>
      </c>
      <c r="Y132" s="32">
        <f t="shared" si="10"/>
        <v>0</v>
      </c>
      <c r="Z132" s="33">
        <f t="shared" si="11"/>
        <v>1529.4</v>
      </c>
      <c r="AA132" s="34">
        <f t="shared" si="12"/>
        <v>1339.26</v>
      </c>
      <c r="AB132" s="28" t="s">
        <v>1813</v>
      </c>
      <c r="AC132" s="28" t="s">
        <v>1784</v>
      </c>
      <c r="AD132" s="29" t="str" cm="1">
        <f t="array" ref="AD132">_xlfn.IFS(L132&lt;=Constantes!$G$2,"Muito Curta (evitável)",L132&lt;=Constantes!$H$2,"Curta Distância",L132&gt;Constantes!$H$2,"Longa Distância")</f>
        <v>Curta Distância</v>
      </c>
      <c r="AE132" s="30" t="str">
        <f t="shared" si="13"/>
        <v>NÃO</v>
      </c>
      <c r="AF132" s="30">
        <f>SUMIF(Entradas!$B:$B,'Entrada Lvl 5-4 qt'!$B132,Entradas!$AG:$AG)</f>
        <v>626.66401501165365</v>
      </c>
      <c r="AG132" s="30"/>
      <c r="BD132" s="49"/>
      <c r="BE132" s="49"/>
    </row>
    <row r="133" spans="1:57" x14ac:dyDescent="0.3">
      <c r="A133">
        <f>_xlfn.XLOOKUP(B133,Entradas!B:B,Entradas!A:A,,0,-1)</f>
        <v>2</v>
      </c>
      <c r="B133">
        <v>19099989</v>
      </c>
      <c r="C133" t="str">
        <f>_xlfn.XLOOKUP($B133,Entradas!$B:$B,Entradas!C:C,,0,1)</f>
        <v>000603/23</v>
      </c>
      <c r="D133" t="str">
        <f>_xlfn.XLOOKUP($B133,Entradas!$B:$B,Entradas!D:D,,0,1)</f>
        <v>***.417.494-**</v>
      </c>
      <c r="E133" t="str">
        <f>_xlfn.XLOOKUP($B133,Entradas!$B:$B,Entradas!E:E,,0,1)</f>
        <v>FLAVIO PEREIRA DE OLIVEIRA</v>
      </c>
      <c r="F133" t="str">
        <f>_xlfn.XLOOKUP($B133,Entradas!$B:$B,Entradas!F:F,,0,1)</f>
        <v>PROFESSOR DO MAGISTERIO SUPERIOR</v>
      </c>
      <c r="G133" t="str">
        <f>_xlfn.XLOOKUP($B133,Entradas!$B:$B,Entradas!G:G,,0,1)</f>
        <v>FUC-0001</v>
      </c>
      <c r="H133" t="str">
        <f>_xlfn.XLOOKUP($B133,Entradas!$B:$B,Entradas!H:H,,0,1)</f>
        <v>FUC-0001</v>
      </c>
      <c r="I133" s="49">
        <f>_xlfn.XLOOKUP($B133,Entradas!$B:$B,Entradas!I:I,,0,1)</f>
        <v>45203</v>
      </c>
      <c r="J133" s="49">
        <f>_xlfn.XLOOKUP($B133,Entradas!$B:$B,Entradas!J:J,,0,1)</f>
        <v>45206</v>
      </c>
      <c r="K133" t="str">
        <f>_xlfn.XLOOKUP($B133,Entradas!$B:$B,Entradas!K:K,,0,1)</f>
        <v>Seminário de Meio Termo, organizado pela Coordenação de Aperfeiçoamento de Pessoal de Nível Superior - CAPES, para Coordenadores de Pós-Graduação de Ciências Agrárias I</v>
      </c>
      <c r="L133">
        <f>SUMIF(Entradas!$B:$B,'Entrada Lvl 5-4 qt'!$B133,Entradas!S:S)</f>
        <v>3426.839982</v>
      </c>
      <c r="M133" t="str">
        <f>_xlfn.XLOOKUP($B133,Entradas!$B:$B,Entradas!T:T,,0,1)</f>
        <v>Aéreo</v>
      </c>
      <c r="N133" t="str">
        <f>_xlfn.XLOOKUP($B133,Entradas!$B:$B,Entradas!U:U,,0,1)</f>
        <v>Sim</v>
      </c>
      <c r="O133" t="str">
        <f>_xlfn.XLOOKUP($B133,Entradas!$B:$B,Entradas!V:V,,0,1)</f>
        <v>Realizada</v>
      </c>
      <c r="P133" t="str">
        <f>_xlfn.XLOOKUP($B133,Entradas!$B:$B,Entradas!W:W,,0,1)</f>
        <v>NÃO</v>
      </c>
      <c r="Q133" t="str">
        <f>_xlfn.XLOOKUP($B133,Entradas!$B:$B,Entradas!X:X,,0,1)</f>
        <v>Sem informação</v>
      </c>
      <c r="R133" s="36">
        <f>SUMIF(Entradas!$B:$B,'Entrada Lvl 5-4 qt'!$B133,Entradas!Y:Y)</f>
        <v>1127.46</v>
      </c>
      <c r="S133" s="36">
        <f>SUMIF(Entradas!$B:$B,'Entrada Lvl 5-4 qt'!$B133,Entradas!Z:Z)</f>
        <v>0</v>
      </c>
      <c r="T133" s="36">
        <f>SUMIF(Entradas!$B:$B,'Entrada Lvl 5-4 qt'!$B133,Entradas!AA:AA)</f>
        <v>1529.4</v>
      </c>
      <c r="U133" s="36">
        <f>SUMIF(Entradas!$B:$B,'Entrada Lvl 5-4 qt'!$B133,Entradas!AB:AB)</f>
        <v>0</v>
      </c>
      <c r="V133" s="49">
        <f>_xlfn.XLOOKUP($B133,Entradas!$B:$B,Entradas!AC:AC,,0,1)</f>
        <v>45134</v>
      </c>
      <c r="W133" s="58">
        <f t="shared" si="14"/>
        <v>3</v>
      </c>
      <c r="X133" s="28" t="s">
        <v>10</v>
      </c>
      <c r="Y133" s="32">
        <f t="shared" si="10"/>
        <v>0</v>
      </c>
      <c r="Z133" s="33">
        <f t="shared" si="11"/>
        <v>1529.4</v>
      </c>
      <c r="AA133" s="34">
        <f t="shared" si="12"/>
        <v>1127.46</v>
      </c>
      <c r="AB133" s="28" t="s">
        <v>1813</v>
      </c>
      <c r="AC133" s="28" t="s">
        <v>1784</v>
      </c>
      <c r="AD133" s="29" t="str" cm="1">
        <f t="array" ref="AD133">_xlfn.IFS(L133&lt;=Constantes!$G$2,"Muito Curta (evitável)",L133&lt;=Constantes!$H$2,"Curta Distância",L133&gt;Constantes!$H$2,"Longa Distância")</f>
        <v>Curta Distância</v>
      </c>
      <c r="AE133" s="30" t="str">
        <f t="shared" si="13"/>
        <v>NÃO</v>
      </c>
      <c r="AF133" s="30">
        <f>SUMIF(Entradas!$B:$B,'Entrada Lvl 5-4 qt'!$B133,Entradas!$AG:$AG)</f>
        <v>626.66401501165365</v>
      </c>
      <c r="AG133" s="30"/>
      <c r="BD133" s="49"/>
      <c r="BE133" s="49"/>
    </row>
    <row r="134" spans="1:57" x14ac:dyDescent="0.3">
      <c r="A134">
        <f>_xlfn.XLOOKUP(B134,Entradas!B:B,Entradas!A:A,,0,-1)</f>
        <v>2</v>
      </c>
      <c r="B134">
        <v>19276393</v>
      </c>
      <c r="C134" t="str">
        <f>_xlfn.XLOOKUP($B134,Entradas!$B:$B,Entradas!C:C,,0,1)</f>
        <v>001108/23</v>
      </c>
      <c r="D134" t="str">
        <f>_xlfn.XLOOKUP($B134,Entradas!$B:$B,Entradas!D:D,,0,1)</f>
        <v>***.645.134-**</v>
      </c>
      <c r="E134" t="str">
        <f>_xlfn.XLOOKUP($B134,Entradas!$B:$B,Entradas!E:E,,0,1)</f>
        <v>BELISIA LUCIA MOREIRA TOSCANO DINIZ</v>
      </c>
      <c r="F134" t="str">
        <f>_xlfn.XLOOKUP($B134,Entradas!$B:$B,Entradas!F:F,,0,1)</f>
        <v>PROFESSOR DO MAGISTERIO SUPERIOR</v>
      </c>
      <c r="G134" t="str">
        <f>_xlfn.XLOOKUP($B134,Entradas!$B:$B,Entradas!G:G,,0,1)</f>
        <v>FUC-0001</v>
      </c>
      <c r="H134" t="str">
        <f>_xlfn.XLOOKUP($B134,Entradas!$B:$B,Entradas!H:H,,0,1)</f>
        <v>FUC-0001</v>
      </c>
      <c r="I134" s="49">
        <f>_xlfn.XLOOKUP($B134,Entradas!$B:$B,Entradas!I:I,,0,1)</f>
        <v>45203</v>
      </c>
      <c r="J134" s="49">
        <f>_xlfn.XLOOKUP($B134,Entradas!$B:$B,Entradas!J:J,,0,1)</f>
        <v>45206</v>
      </c>
      <c r="K134" t="str">
        <f>_xlfn.XLOOKUP($B134,Entradas!$B:$B,Entradas!K:K,,0,1)</f>
        <v>Seminário de Meio Termo da Capes da Área de Ciências Agrárias I, ofertado aos Programas de PósGraduação no País.</v>
      </c>
      <c r="L134">
        <f>SUMIF(Entradas!$B:$B,'Entrada Lvl 5-4 qt'!$B134,Entradas!S:S)</f>
        <v>3426.839982</v>
      </c>
      <c r="M134" t="str">
        <f>_xlfn.XLOOKUP($B134,Entradas!$B:$B,Entradas!T:T,,0,1)</f>
        <v>Aéreo</v>
      </c>
      <c r="N134" t="str">
        <f>_xlfn.XLOOKUP($B134,Entradas!$B:$B,Entradas!U:U,,0,1)</f>
        <v>Não</v>
      </c>
      <c r="O134" t="str">
        <f>_xlfn.XLOOKUP($B134,Entradas!$B:$B,Entradas!V:V,,0,1)</f>
        <v>Realizada</v>
      </c>
      <c r="P134" t="str">
        <f>_xlfn.XLOOKUP($B134,Entradas!$B:$B,Entradas!W:W,,0,1)</f>
        <v>SIM</v>
      </c>
      <c r="Q134" t="str">
        <f>_xlfn.XLOOKUP($B134,Entradas!$B:$B,Entradas!X:X,,0,1)</f>
        <v>Evento marcado para essa data.</v>
      </c>
      <c r="R134" s="36">
        <f>SUMIF(Entradas!$B:$B,'Entrada Lvl 5-4 qt'!$B134,Entradas!Y:Y)</f>
        <v>95</v>
      </c>
      <c r="S134" s="36">
        <f>SUMIF(Entradas!$B:$B,'Entrada Lvl 5-4 qt'!$B134,Entradas!Z:Z)</f>
        <v>0</v>
      </c>
      <c r="T134" s="36">
        <f>SUMIF(Entradas!$B:$B,'Entrada Lvl 5-4 qt'!$B134,Entradas!AA:AA)</f>
        <v>4226.5</v>
      </c>
      <c r="U134" s="36">
        <f>SUMIF(Entradas!$B:$B,'Entrada Lvl 5-4 qt'!$B134,Entradas!AB:AB)</f>
        <v>0</v>
      </c>
      <c r="V134" s="49">
        <f>_xlfn.XLOOKUP($B134,Entradas!$B:$B,Entradas!AC:AC,,0,1)</f>
        <v>45190</v>
      </c>
      <c r="W134" s="58">
        <f t="shared" si="14"/>
        <v>3</v>
      </c>
      <c r="X134" s="28" t="s">
        <v>10</v>
      </c>
      <c r="Y134" s="32">
        <f t="shared" si="10"/>
        <v>0</v>
      </c>
      <c r="Z134" s="33">
        <f t="shared" si="11"/>
        <v>4226.5</v>
      </c>
      <c r="AA134" s="34">
        <f t="shared" si="12"/>
        <v>95</v>
      </c>
      <c r="AB134" s="28" t="s">
        <v>1813</v>
      </c>
      <c r="AC134" s="28" t="s">
        <v>1784</v>
      </c>
      <c r="AD134" s="29" t="str" cm="1">
        <f t="array" ref="AD134">_xlfn.IFS(L134&lt;=Constantes!$G$2,"Muito Curta (evitável)",L134&lt;=Constantes!$H$2,"Curta Distância",L134&gt;Constantes!$H$2,"Longa Distância")</f>
        <v>Curta Distância</v>
      </c>
      <c r="AE134" s="30" t="str">
        <f t="shared" si="13"/>
        <v>NÃO</v>
      </c>
      <c r="AF134" s="30">
        <f>SUMIF(Entradas!$B:$B,'Entrada Lvl 5-4 qt'!$B134,Entradas!$AG:$AG)</f>
        <v>626.66401501165365</v>
      </c>
      <c r="AG134" s="30"/>
      <c r="BD134" s="49"/>
      <c r="BE134" s="49"/>
    </row>
    <row r="135" spans="1:57" x14ac:dyDescent="0.3">
      <c r="A135">
        <f>_xlfn.XLOOKUP(B135,Entradas!B:B,Entradas!A:A,,0,-1)</f>
        <v>2</v>
      </c>
      <c r="B135">
        <v>19295355</v>
      </c>
      <c r="C135" t="str">
        <f>_xlfn.XLOOKUP($B135,Entradas!$B:$B,Entradas!C:C,,0,1)</f>
        <v>001102/23</v>
      </c>
      <c r="D135" t="str">
        <f>_xlfn.XLOOKUP($B135,Entradas!$B:$B,Entradas!D:D,,0,1)</f>
        <v/>
      </c>
      <c r="E135" t="str">
        <f>_xlfn.XLOOKUP($B135,Entradas!$B:$B,Entradas!E:E,,0,1)</f>
        <v>DANIELE DE FATIMA DE PAIVA ABREU</v>
      </c>
      <c r="F135" t="str">
        <f>_xlfn.XLOOKUP($B135,Entradas!$B:$B,Entradas!F:F,,0,1)</f>
        <v/>
      </c>
      <c r="G135" t="str">
        <f>_xlfn.XLOOKUP($B135,Entradas!$B:$B,Entradas!G:G,,0,1)</f>
        <v>-1</v>
      </c>
      <c r="H135" t="str">
        <f>_xlfn.XLOOKUP($B135,Entradas!$B:$B,Entradas!H:H,,0,1)</f>
        <v>Sem informação</v>
      </c>
      <c r="I135" s="49">
        <f>_xlfn.XLOOKUP($B135,Entradas!$B:$B,Entradas!I:I,,0,1)</f>
        <v>45203</v>
      </c>
      <c r="J135" s="49">
        <f>_xlfn.XLOOKUP($B135,Entradas!$B:$B,Entradas!J:J,,0,1)</f>
        <v>45208</v>
      </c>
      <c r="K135" t="str">
        <f>_xlfn.XLOOKUP($B135,Entradas!$B:$B,Entradas!K:K,,0,1)</f>
        <v>Proposto irá participar de Evento 'Congresso Internacional e Brasileiro de Neuropsicologia' o qual se vincula diretamente com a sua pesquisa de iniciação científica e com o seu Trabalho de Conclusão de Curso da UFPB.</v>
      </c>
      <c r="L135">
        <f>SUMIF(Entradas!$B:$B,'Entrada Lvl 5-4 qt'!$B135,Entradas!S:S)</f>
        <v>3429.6730739999998</v>
      </c>
      <c r="M135" t="str">
        <f>_xlfn.XLOOKUP($B135,Entradas!$B:$B,Entradas!T:T,,0,1)</f>
        <v>Aéreo</v>
      </c>
      <c r="N135" t="str">
        <f>_xlfn.XLOOKUP($B135,Entradas!$B:$B,Entradas!U:U,,0,1)</f>
        <v>Sim</v>
      </c>
      <c r="O135" t="str">
        <f>_xlfn.XLOOKUP($B135,Entradas!$B:$B,Entradas!V:V,,0,1)</f>
        <v>Realizada</v>
      </c>
      <c r="P135" t="str">
        <f>_xlfn.XLOOKUP($B135,Entradas!$B:$B,Entradas!W:W,,0,1)</f>
        <v>NÃO</v>
      </c>
      <c r="Q135" t="str">
        <f>_xlfn.XLOOKUP($B135,Entradas!$B:$B,Entradas!X:X,,0,1)</f>
        <v>Sem informação</v>
      </c>
      <c r="R135" s="36">
        <f>SUMIF(Entradas!$B:$B,'Entrada Lvl 5-4 qt'!$B135,Entradas!Y:Y)</f>
        <v>0</v>
      </c>
      <c r="S135" s="36">
        <f>SUMIF(Entradas!$B:$B,'Entrada Lvl 5-4 qt'!$B135,Entradas!Z:Z)</f>
        <v>0</v>
      </c>
      <c r="T135" s="36">
        <f>SUMIF(Entradas!$B:$B,'Entrada Lvl 5-4 qt'!$B135,Entradas!AA:AA)</f>
        <v>2446.29</v>
      </c>
      <c r="U135" s="36">
        <f>SUMIF(Entradas!$B:$B,'Entrada Lvl 5-4 qt'!$B135,Entradas!AB:AB)</f>
        <v>0</v>
      </c>
      <c r="V135" s="49">
        <f>_xlfn.XLOOKUP($B135,Entradas!$B:$B,Entradas!AC:AC,,0,1)</f>
        <v>45184</v>
      </c>
      <c r="W135" s="58">
        <f t="shared" si="14"/>
        <v>5</v>
      </c>
      <c r="X135" s="28" t="s">
        <v>10</v>
      </c>
      <c r="Y135" s="32">
        <f t="shared" si="10"/>
        <v>0</v>
      </c>
      <c r="Z135" s="33">
        <f t="shared" si="11"/>
        <v>2446.29</v>
      </c>
      <c r="AA135" s="34">
        <f t="shared" si="12"/>
        <v>0</v>
      </c>
      <c r="AB135" s="28" t="s">
        <v>1814</v>
      </c>
      <c r="AC135" s="28" t="s">
        <v>1822</v>
      </c>
      <c r="AD135" s="29" t="str" cm="1">
        <f t="array" ref="AD135">_xlfn.IFS(L135&lt;=Constantes!$G$2,"Muito Curta (evitável)",L135&lt;=Constantes!$H$2,"Curta Distância",L135&gt;Constantes!$H$2,"Longa Distância")</f>
        <v>Curta Distância</v>
      </c>
      <c r="AE135" s="30" t="str">
        <f t="shared" si="13"/>
        <v>NÃO</v>
      </c>
      <c r="AF135" s="30">
        <f>SUMIF(Entradas!$B:$B,'Entrada Lvl 5-4 qt'!$B135,Entradas!$AG:$AG)</f>
        <v>627.18210071654289</v>
      </c>
      <c r="AG135" s="30"/>
      <c r="BD135" s="49"/>
      <c r="BE135" s="49"/>
    </row>
    <row r="136" spans="1:57" x14ac:dyDescent="0.3">
      <c r="A136">
        <f>_xlfn.XLOOKUP(B136,Entradas!B:B,Entradas!A:A,,0,-1)</f>
        <v>2</v>
      </c>
      <c r="B136">
        <v>19103008</v>
      </c>
      <c r="C136" t="str">
        <f>_xlfn.XLOOKUP($B136,Entradas!$B:$B,Entradas!C:C,,0,1)</f>
        <v>000654/23</v>
      </c>
      <c r="D136" t="str">
        <f>_xlfn.XLOOKUP($B136,Entradas!$B:$B,Entradas!D:D,,0,1)</f>
        <v>***.978.257-**</v>
      </c>
      <c r="E136" t="str">
        <f>_xlfn.XLOOKUP($B136,Entradas!$B:$B,Entradas!E:E,,0,1)</f>
        <v>LUIZ MOREIRA COELHO JUNIOR</v>
      </c>
      <c r="F136" t="str">
        <f>_xlfn.XLOOKUP($B136,Entradas!$B:$B,Entradas!F:F,,0,1)</f>
        <v>PROFESSOR DO MAGISTERIO SUPERIOR</v>
      </c>
      <c r="G136" t="str">
        <f>_xlfn.XLOOKUP($B136,Entradas!$B:$B,Entradas!G:G,,0,1)</f>
        <v>-1</v>
      </c>
      <c r="H136" t="str">
        <f>_xlfn.XLOOKUP($B136,Entradas!$B:$B,Entradas!H:H,,0,1)</f>
        <v>Sem informação</v>
      </c>
      <c r="I136" s="49">
        <f>_xlfn.XLOOKUP($B136,Entradas!$B:$B,Entradas!I:I,,0,1)</f>
        <v>45207</v>
      </c>
      <c r="J136" s="49">
        <f>_xlfn.XLOOKUP($B136,Entradas!$B:$B,Entradas!J:J,,0,1)</f>
        <v>45210</v>
      </c>
      <c r="K136" t="str">
        <f>_xlfn.XLOOKUP($B136,Entradas!$B:$B,Entradas!K:K,,0,1)</f>
        <v>Participação no Seminário de Meio Termo dos programas de Pós-graduação da área de ENGENHARIAS III da CAPES, no período de 09 e 10 de outubro de 2022, na cidade de Brasília.</v>
      </c>
      <c r="L136">
        <f>SUMIF(Entradas!$B:$B,'Entrada Lvl 5-4 qt'!$B136,Entradas!S:S)</f>
        <v>3426.839982</v>
      </c>
      <c r="M136" t="str">
        <f>_xlfn.XLOOKUP($B136,Entradas!$B:$B,Entradas!T:T,,0,1)</f>
        <v>Aéreo</v>
      </c>
      <c r="N136" t="str">
        <f>_xlfn.XLOOKUP($B136,Entradas!$B:$B,Entradas!U:U,,0,1)</f>
        <v>Não</v>
      </c>
      <c r="O136" t="str">
        <f>_xlfn.XLOOKUP($B136,Entradas!$B:$B,Entradas!V:V,,0,1)</f>
        <v>Realizada</v>
      </c>
      <c r="P136" t="str">
        <f>_xlfn.XLOOKUP($B136,Entradas!$B:$B,Entradas!W:W,,0,1)</f>
        <v>NÃO</v>
      </c>
      <c r="Q136" t="str">
        <f>_xlfn.XLOOKUP($B136,Entradas!$B:$B,Entradas!X:X,,0,1)</f>
        <v>Sem informação</v>
      </c>
      <c r="R136" s="36">
        <f>SUMIF(Entradas!$B:$B,'Entrada Lvl 5-4 qt'!$B136,Entradas!Y:Y)</f>
        <v>1339.26</v>
      </c>
      <c r="S136" s="36">
        <f>SUMIF(Entradas!$B:$B,'Entrada Lvl 5-4 qt'!$B136,Entradas!Z:Z)</f>
        <v>0</v>
      </c>
      <c r="T136" s="36">
        <f>SUMIF(Entradas!$B:$B,'Entrada Lvl 5-4 qt'!$B136,Entradas!AA:AA)</f>
        <v>2243.2600000000002</v>
      </c>
      <c r="U136" s="36">
        <f>SUMIF(Entradas!$B:$B,'Entrada Lvl 5-4 qt'!$B136,Entradas!AB:AB)</f>
        <v>0</v>
      </c>
      <c r="V136" s="49">
        <f>_xlfn.XLOOKUP($B136,Entradas!$B:$B,Entradas!AC:AC,,0,1)</f>
        <v>45128</v>
      </c>
      <c r="W136" s="58">
        <f t="shared" si="14"/>
        <v>3</v>
      </c>
      <c r="X136" s="28" t="s">
        <v>10</v>
      </c>
      <c r="Y136" s="32">
        <f t="shared" si="10"/>
        <v>0</v>
      </c>
      <c r="Z136" s="33">
        <f t="shared" si="11"/>
        <v>2243.2600000000002</v>
      </c>
      <c r="AA136" s="34">
        <f t="shared" si="12"/>
        <v>1339.26</v>
      </c>
      <c r="AB136" s="28" t="s">
        <v>1813</v>
      </c>
      <c r="AC136" s="28" t="s">
        <v>1820</v>
      </c>
      <c r="AD136" s="29" t="str" cm="1">
        <f t="array" ref="AD136">_xlfn.IFS(L136&lt;=Constantes!$G$2,"Muito Curta (evitável)",L136&lt;=Constantes!$H$2,"Curta Distância",L136&gt;Constantes!$H$2,"Longa Distância")</f>
        <v>Curta Distância</v>
      </c>
      <c r="AE136" s="30" t="str">
        <f t="shared" si="13"/>
        <v>NÃO</v>
      </c>
      <c r="AF136" s="30">
        <f>SUMIF(Entradas!$B:$B,'Entrada Lvl 5-4 qt'!$B136,Entradas!$AG:$AG)</f>
        <v>626.66401501165365</v>
      </c>
      <c r="AG136" s="30"/>
      <c r="BD136" s="49"/>
      <c r="BE136" s="49"/>
    </row>
    <row r="137" spans="1:57" x14ac:dyDescent="0.3">
      <c r="A137">
        <f>_xlfn.XLOOKUP(B137,Entradas!B:B,Entradas!A:A,,0,-1)</f>
        <v>2</v>
      </c>
      <c r="B137">
        <v>19203567</v>
      </c>
      <c r="C137" t="str">
        <f>_xlfn.XLOOKUP($B137,Entradas!$B:$B,Entradas!C:C,,0,1)</f>
        <v>000874/23</v>
      </c>
      <c r="D137" t="str">
        <f>_xlfn.XLOOKUP($B137,Entradas!$B:$B,Entradas!D:D,,0,1)</f>
        <v/>
      </c>
      <c r="E137" t="str">
        <f>_xlfn.XLOOKUP($B137,Entradas!$B:$B,Entradas!E:E,,0,1)</f>
        <v>ANNIELY RODRIGUES SOARES</v>
      </c>
      <c r="F137" t="str">
        <f>_xlfn.XLOOKUP($B137,Entradas!$B:$B,Entradas!F:F,,0,1)</f>
        <v/>
      </c>
      <c r="G137" t="str">
        <f>_xlfn.XLOOKUP($B137,Entradas!$B:$B,Entradas!G:G,,0,1)</f>
        <v>-1</v>
      </c>
      <c r="H137" t="str">
        <f>_xlfn.XLOOKUP($B137,Entradas!$B:$B,Entradas!H:H,,0,1)</f>
        <v>Sem informação</v>
      </c>
      <c r="I137" s="49">
        <f>_xlfn.XLOOKUP($B137,Entradas!$B:$B,Entradas!I:I,,0,1)</f>
        <v>45207</v>
      </c>
      <c r="J137" s="49">
        <f>_xlfn.XLOOKUP($B137,Entradas!$B:$B,Entradas!J:J,,0,1)</f>
        <v>45211</v>
      </c>
      <c r="K137" t="str">
        <f>_xlfn.XLOOKUP($B137,Entradas!$B:$B,Entradas!K:K,,0,1)</f>
        <v>Participação em Congresso Nacional e apresentação de trabalho em área relacionada a tese de doutorado.</v>
      </c>
      <c r="L137">
        <f>SUMIF(Entradas!$B:$B,'Entrada Lvl 5-4 qt'!$B137,Entradas!S:S)</f>
        <v>3429.6730739999998</v>
      </c>
      <c r="M137" t="str">
        <f>_xlfn.XLOOKUP($B137,Entradas!$B:$B,Entradas!T:T,,0,1)</f>
        <v>Aéreo</v>
      </c>
      <c r="N137" t="str">
        <f>_xlfn.XLOOKUP($B137,Entradas!$B:$B,Entradas!U:U,,0,1)</f>
        <v>Sim</v>
      </c>
      <c r="O137" t="str">
        <f>_xlfn.XLOOKUP($B137,Entradas!$B:$B,Entradas!V:V,,0,1)</f>
        <v>Realizada</v>
      </c>
      <c r="P137" t="str">
        <f>_xlfn.XLOOKUP($B137,Entradas!$B:$B,Entradas!W:W,,0,1)</f>
        <v>NÃO</v>
      </c>
      <c r="Q137" t="str">
        <f>_xlfn.XLOOKUP($B137,Entradas!$B:$B,Entradas!X:X,,0,1)</f>
        <v>Sem informação</v>
      </c>
      <c r="R137" s="36">
        <f>SUMIF(Entradas!$B:$B,'Entrada Lvl 5-4 qt'!$B137,Entradas!Y:Y)</f>
        <v>0</v>
      </c>
      <c r="S137" s="36">
        <f>SUMIF(Entradas!$B:$B,'Entrada Lvl 5-4 qt'!$B137,Entradas!Z:Z)</f>
        <v>0</v>
      </c>
      <c r="T137" s="36">
        <f>SUMIF(Entradas!$B:$B,'Entrada Lvl 5-4 qt'!$B137,Entradas!AA:AA)</f>
        <v>1934.09</v>
      </c>
      <c r="U137" s="36">
        <f>SUMIF(Entradas!$B:$B,'Entrada Lvl 5-4 qt'!$B137,Entradas!AB:AB)</f>
        <v>0</v>
      </c>
      <c r="V137" s="49">
        <f>_xlfn.XLOOKUP($B137,Entradas!$B:$B,Entradas!AC:AC,,0,1)</f>
        <v>45160</v>
      </c>
      <c r="W137" s="58">
        <f t="shared" si="14"/>
        <v>4</v>
      </c>
      <c r="X137" s="28" t="s">
        <v>10</v>
      </c>
      <c r="Y137" s="32">
        <f t="shared" si="10"/>
        <v>0</v>
      </c>
      <c r="Z137" s="33">
        <f t="shared" si="11"/>
        <v>1934.09</v>
      </c>
      <c r="AA137" s="34">
        <f t="shared" si="12"/>
        <v>0</v>
      </c>
      <c r="AB137" s="28" t="s">
        <v>1814</v>
      </c>
      <c r="AC137" s="28" t="s">
        <v>1822</v>
      </c>
      <c r="AD137" s="29" t="str" cm="1">
        <f t="array" ref="AD137">_xlfn.IFS(L137&lt;=Constantes!$G$2,"Muito Curta (evitável)",L137&lt;=Constantes!$H$2,"Curta Distância",L137&gt;Constantes!$H$2,"Longa Distância")</f>
        <v>Curta Distância</v>
      </c>
      <c r="AE137" s="30" t="str">
        <f t="shared" si="13"/>
        <v>NÃO</v>
      </c>
      <c r="AF137" s="30">
        <f>SUMIF(Entradas!$B:$B,'Entrada Lvl 5-4 qt'!$B137,Entradas!$AG:$AG)</f>
        <v>627.18210071654289</v>
      </c>
      <c r="AG137" s="30"/>
      <c r="BD137" s="49"/>
      <c r="BE137" s="49"/>
    </row>
    <row r="138" spans="1:57" x14ac:dyDescent="0.3">
      <c r="A138">
        <f>_xlfn.XLOOKUP(B138,Entradas!B:B,Entradas!A:A,,0,-1)</f>
        <v>2</v>
      </c>
      <c r="B138">
        <v>19231794</v>
      </c>
      <c r="C138" t="str">
        <f>_xlfn.XLOOKUP($B138,Entradas!$B:$B,Entradas!C:C,,0,1)</f>
        <v>000925/23</v>
      </c>
      <c r="D138" t="str">
        <f>_xlfn.XLOOKUP($B138,Entradas!$B:$B,Entradas!D:D,,0,1)</f>
        <v>***.493.284-**</v>
      </c>
      <c r="E138" t="str">
        <f>_xlfn.XLOOKUP($B138,Entradas!$B:$B,Entradas!E:E,,0,1)</f>
        <v>ALISSON VASCONCELOS DE BRITO</v>
      </c>
      <c r="F138" t="str">
        <f>_xlfn.XLOOKUP($B138,Entradas!$B:$B,Entradas!F:F,,0,1)</f>
        <v>PROFESSOR DO MAGISTERIO SUPERIOR</v>
      </c>
      <c r="G138" t="str">
        <f>_xlfn.XLOOKUP($B138,Entradas!$B:$B,Entradas!G:G,,0,1)</f>
        <v>-1</v>
      </c>
      <c r="H138" t="str">
        <f>_xlfn.XLOOKUP($B138,Entradas!$B:$B,Entradas!H:H,,0,1)</f>
        <v>Sem informação</v>
      </c>
      <c r="I138" s="49">
        <f>_xlfn.XLOOKUP($B138,Entradas!$B:$B,Entradas!I:I,,0,1)</f>
        <v>45207</v>
      </c>
      <c r="J138" s="49">
        <f>_xlfn.XLOOKUP($B138,Entradas!$B:$B,Entradas!J:J,,0,1)</f>
        <v>45210</v>
      </c>
      <c r="K138" t="str">
        <f>_xlfn.XLOOKUP($B138,Entradas!$B:$B,Entradas!K:K,,0,1)</f>
        <v>Participação do professor Alisson Vasconcelos de Brito, representante do PPGI, no seminário de meio termo da CAPES.</v>
      </c>
      <c r="L138">
        <f>SUMIF(Entradas!$B:$B,'Entrada Lvl 5-4 qt'!$B138,Entradas!S:S)</f>
        <v>3426.839982</v>
      </c>
      <c r="M138" t="str">
        <f>_xlfn.XLOOKUP($B138,Entradas!$B:$B,Entradas!T:T,,0,1)</f>
        <v>Aéreo</v>
      </c>
      <c r="N138" t="str">
        <f>_xlfn.XLOOKUP($B138,Entradas!$B:$B,Entradas!U:U,,0,1)</f>
        <v>Sim</v>
      </c>
      <c r="O138" t="str">
        <f>_xlfn.XLOOKUP($B138,Entradas!$B:$B,Entradas!V:V,,0,1)</f>
        <v>Realizada</v>
      </c>
      <c r="P138" t="str">
        <f>_xlfn.XLOOKUP($B138,Entradas!$B:$B,Entradas!W:W,,0,1)</f>
        <v>NÃO</v>
      </c>
      <c r="Q138" t="str">
        <f>_xlfn.XLOOKUP($B138,Entradas!$B:$B,Entradas!X:X,,0,1)</f>
        <v>Sem informação</v>
      </c>
      <c r="R138" s="36">
        <f>SUMIF(Entradas!$B:$B,'Entrada Lvl 5-4 qt'!$B138,Entradas!Y:Y)</f>
        <v>1339.26</v>
      </c>
      <c r="S138" s="36">
        <f>SUMIF(Entradas!$B:$B,'Entrada Lvl 5-4 qt'!$B138,Entradas!Z:Z)</f>
        <v>0</v>
      </c>
      <c r="T138" s="36">
        <f>SUMIF(Entradas!$B:$B,'Entrada Lvl 5-4 qt'!$B138,Entradas!AA:AA)</f>
        <v>3463.4</v>
      </c>
      <c r="U138" s="36">
        <f>SUMIF(Entradas!$B:$B,'Entrada Lvl 5-4 qt'!$B138,Entradas!AB:AB)</f>
        <v>0</v>
      </c>
      <c r="V138" s="49">
        <f>_xlfn.XLOOKUP($B138,Entradas!$B:$B,Entradas!AC:AC,,0,1)</f>
        <v>45168</v>
      </c>
      <c r="W138" s="58">
        <f t="shared" si="14"/>
        <v>3</v>
      </c>
      <c r="X138" s="28" t="s">
        <v>10</v>
      </c>
      <c r="Y138" s="32">
        <f t="shared" si="10"/>
        <v>0</v>
      </c>
      <c r="Z138" s="33">
        <f t="shared" si="11"/>
        <v>3463.4</v>
      </c>
      <c r="AA138" s="34">
        <f t="shared" si="12"/>
        <v>1339.26</v>
      </c>
      <c r="AB138" s="28" t="s">
        <v>1813</v>
      </c>
      <c r="AC138" s="28" t="s">
        <v>1820</v>
      </c>
      <c r="AD138" s="29" t="str" cm="1">
        <f t="array" ref="AD138">_xlfn.IFS(L138&lt;=Constantes!$G$2,"Muito Curta (evitável)",L138&lt;=Constantes!$H$2,"Curta Distância",L138&gt;Constantes!$H$2,"Longa Distância")</f>
        <v>Curta Distância</v>
      </c>
      <c r="AE138" s="30" t="str">
        <f t="shared" si="13"/>
        <v>NÃO</v>
      </c>
      <c r="AF138" s="30">
        <f>SUMIF(Entradas!$B:$B,'Entrada Lvl 5-4 qt'!$B138,Entradas!$AG:$AG)</f>
        <v>626.66401501165365</v>
      </c>
      <c r="AG138" s="30"/>
      <c r="BD138" s="49"/>
      <c r="BE138" s="49"/>
    </row>
    <row r="139" spans="1:57" x14ac:dyDescent="0.3">
      <c r="A139">
        <f>_xlfn.XLOOKUP(B139,Entradas!B:B,Entradas!A:A,,0,-1)</f>
        <v>2</v>
      </c>
      <c r="B139">
        <v>19240270</v>
      </c>
      <c r="C139" t="str">
        <f>_xlfn.XLOOKUP($B139,Entradas!$B:$B,Entradas!C:C,,0,1)</f>
        <v>000961/23</v>
      </c>
      <c r="D139" t="str">
        <f>_xlfn.XLOOKUP($B139,Entradas!$B:$B,Entradas!D:D,,0,1)</f>
        <v>***.789.374-**</v>
      </c>
      <c r="E139" t="str">
        <f>_xlfn.XLOOKUP($B139,Entradas!$B:$B,Entradas!E:E,,0,1)</f>
        <v>ANIERES BARBOSA DA SILVA</v>
      </c>
      <c r="F139" t="str">
        <f>_xlfn.XLOOKUP($B139,Entradas!$B:$B,Entradas!F:F,,0,1)</f>
        <v>PROFESSOR DO MAGISTERIO SUPERIOR</v>
      </c>
      <c r="G139" t="str">
        <f>_xlfn.XLOOKUP($B139,Entradas!$B:$B,Entradas!G:G,,0,1)</f>
        <v>FUC-0001</v>
      </c>
      <c r="H139" t="str">
        <f>_xlfn.XLOOKUP($B139,Entradas!$B:$B,Entradas!H:H,,0,1)</f>
        <v>FUC-0001</v>
      </c>
      <c r="I139" s="49">
        <f>_xlfn.XLOOKUP($B139,Entradas!$B:$B,Entradas!I:I,,0,1)</f>
        <v>45207</v>
      </c>
      <c r="J139" s="49">
        <f>_xlfn.XLOOKUP($B139,Entradas!$B:$B,Entradas!J:J,,0,1)</f>
        <v>45214</v>
      </c>
      <c r="K139" t="str">
        <f>_xlfn.XLOOKUP($B139,Entradas!$B:$B,Entradas!K:K,,0,1)</f>
        <v>Participar das atividades do Encontro Nacional de Pós-Graduação e Pesquisa em Geografia - ENANPEGE e dos fóruns de coordenadores de PPGGs (Capes e Anpege).</v>
      </c>
      <c r="L139">
        <f>SUMIF(Entradas!$B:$B,'Entrada Lvl 5-4 qt'!$B139,Entradas!S:S)</f>
        <v>3030.0198380000002</v>
      </c>
      <c r="M139" t="str">
        <f>_xlfn.XLOOKUP($B139,Entradas!$B:$B,Entradas!T:T,,0,1)</f>
        <v>Aéreo</v>
      </c>
      <c r="N139" t="str">
        <f>_xlfn.XLOOKUP($B139,Entradas!$B:$B,Entradas!U:U,,0,1)</f>
        <v>Não</v>
      </c>
      <c r="O139" t="str">
        <f>_xlfn.XLOOKUP($B139,Entradas!$B:$B,Entradas!V:V,,0,1)</f>
        <v>Realizada</v>
      </c>
      <c r="P139" t="str">
        <f>_xlfn.XLOOKUP($B139,Entradas!$B:$B,Entradas!W:W,,0,1)</f>
        <v>NÃO</v>
      </c>
      <c r="Q139" t="str">
        <f>_xlfn.XLOOKUP($B139,Entradas!$B:$B,Entradas!X:X,,0,1)</f>
        <v>Sem informação</v>
      </c>
      <c r="R139" s="36">
        <f>SUMIF(Entradas!$B:$B,'Entrada Lvl 5-4 qt'!$B139,Entradas!Y:Y)</f>
        <v>2533.0100000000002</v>
      </c>
      <c r="S139" s="36">
        <f>SUMIF(Entradas!$B:$B,'Entrada Lvl 5-4 qt'!$B139,Entradas!Z:Z)</f>
        <v>0</v>
      </c>
      <c r="T139" s="36">
        <f>SUMIF(Entradas!$B:$B,'Entrada Lvl 5-4 qt'!$B139,Entradas!AA:AA)</f>
        <v>3287.48</v>
      </c>
      <c r="U139" s="36">
        <f>SUMIF(Entradas!$B:$B,'Entrada Lvl 5-4 qt'!$B139,Entradas!AB:AB)</f>
        <v>0</v>
      </c>
      <c r="V139" s="49">
        <f>_xlfn.XLOOKUP($B139,Entradas!$B:$B,Entradas!AC:AC,,0,1)</f>
        <v>45170</v>
      </c>
      <c r="W139" s="58">
        <f t="shared" si="14"/>
        <v>7</v>
      </c>
      <c r="X139" s="28" t="s">
        <v>10</v>
      </c>
      <c r="Y139" s="32">
        <f t="shared" si="10"/>
        <v>0</v>
      </c>
      <c r="Z139" s="33">
        <f t="shared" si="11"/>
        <v>3287.48</v>
      </c>
      <c r="AA139" s="34">
        <f t="shared" si="12"/>
        <v>2533.0100000000002</v>
      </c>
      <c r="AB139" s="28" t="s">
        <v>1814</v>
      </c>
      <c r="AC139" s="28" t="s">
        <v>1820</v>
      </c>
      <c r="AD139" s="29" t="str" cm="1">
        <f t="array" ref="AD139">_xlfn.IFS(L139&lt;=Constantes!$G$2,"Muito Curta (evitável)",L139&lt;=Constantes!$H$2,"Curta Distância",L139&gt;Constantes!$H$2,"Longa Distância")</f>
        <v>Curta Distância</v>
      </c>
      <c r="AE139" s="30" t="str">
        <f t="shared" si="13"/>
        <v>NÃO</v>
      </c>
      <c r="AF139" s="30">
        <f>SUMIF(Entradas!$B:$B,'Entrada Lvl 5-4 qt'!$B139,Entradas!$AG:$AG)</f>
        <v>554.09777148037267</v>
      </c>
      <c r="AG139" s="30"/>
      <c r="BD139" s="49"/>
      <c r="BE139" s="49"/>
    </row>
    <row r="140" spans="1:57" x14ac:dyDescent="0.3">
      <c r="A140">
        <f>_xlfn.XLOOKUP(B140,Entradas!B:B,Entradas!A:A,,0,-1)</f>
        <v>2</v>
      </c>
      <c r="B140">
        <v>19269792</v>
      </c>
      <c r="C140" t="str">
        <f>_xlfn.XLOOKUP($B140,Entradas!$B:$B,Entradas!C:C,,0,1)</f>
        <v>001118/23</v>
      </c>
      <c r="D140" t="str">
        <f>_xlfn.XLOOKUP($B140,Entradas!$B:$B,Entradas!D:D,,0,1)</f>
        <v>***.955.884-**</v>
      </c>
      <c r="E140" t="str">
        <f>_xlfn.XLOOKUP($B140,Entradas!$B:$B,Entradas!E:E,,0,1)</f>
        <v>IGUATEMI EDUARDO DA FONSECA</v>
      </c>
      <c r="F140" t="str">
        <f>_xlfn.XLOOKUP($B140,Entradas!$B:$B,Entradas!F:F,,0,1)</f>
        <v>PROFESSOR DO MAGISTERIO SUPERIOR</v>
      </c>
      <c r="G140" t="str">
        <f>_xlfn.XLOOKUP($B140,Entradas!$B:$B,Entradas!G:G,,0,1)</f>
        <v>-1</v>
      </c>
      <c r="H140" t="str">
        <f>_xlfn.XLOOKUP($B140,Entradas!$B:$B,Entradas!H:H,,0,1)</f>
        <v>Sem informação</v>
      </c>
      <c r="I140" s="49">
        <f>_xlfn.XLOOKUP($B140,Entradas!$B:$B,Entradas!I:I,,0,1)</f>
        <v>45207</v>
      </c>
      <c r="J140" s="49">
        <f>_xlfn.XLOOKUP($B140,Entradas!$B:$B,Entradas!J:J,,0,1)</f>
        <v>45210</v>
      </c>
      <c r="K140" t="str">
        <f>_xlfn.XLOOKUP($B140,Entradas!$B:$B,Entradas!K:K,,0,1)</f>
        <v>Apresentação de trabalhos no XLI Simpósio Brasileiro de Telecomunicações e Processamento de Sinais - 2023</v>
      </c>
      <c r="L140">
        <f>SUMIF(Entradas!$B:$B,'Entrada Lvl 5-4 qt'!$B140,Entradas!S:S)</f>
        <v>4379.9484839999996</v>
      </c>
      <c r="M140" t="str">
        <f>_xlfn.XLOOKUP($B140,Entradas!$B:$B,Entradas!T:T,,0,1)</f>
        <v>Aéreo</v>
      </c>
      <c r="N140" t="str">
        <f>_xlfn.XLOOKUP($B140,Entradas!$B:$B,Entradas!U:U,,0,1)</f>
        <v>Não</v>
      </c>
      <c r="O140" t="str">
        <f>_xlfn.XLOOKUP($B140,Entradas!$B:$B,Entradas!V:V,,0,1)</f>
        <v>Realizada</v>
      </c>
      <c r="P140" t="str">
        <f>_xlfn.XLOOKUP($B140,Entradas!$B:$B,Entradas!W:W,,0,1)</f>
        <v>NÃO</v>
      </c>
      <c r="Q140" t="str">
        <f>_xlfn.XLOOKUP($B140,Entradas!$B:$B,Entradas!X:X,,0,1)</f>
        <v>Sem informação</v>
      </c>
      <c r="R140" s="36">
        <f>SUMIF(Entradas!$B:$B,'Entrada Lvl 5-4 qt'!$B140,Entradas!Y:Y)</f>
        <v>1248.42</v>
      </c>
      <c r="S140" s="36">
        <f>SUMIF(Entradas!$B:$B,'Entrada Lvl 5-4 qt'!$B140,Entradas!Z:Z)</f>
        <v>0</v>
      </c>
      <c r="T140" s="36">
        <f>SUMIF(Entradas!$B:$B,'Entrada Lvl 5-4 qt'!$B140,Entradas!AA:AA)</f>
        <v>2388.14</v>
      </c>
      <c r="U140" s="36">
        <f>SUMIF(Entradas!$B:$B,'Entrada Lvl 5-4 qt'!$B140,Entradas!AB:AB)</f>
        <v>0</v>
      </c>
      <c r="V140" s="49">
        <f>_xlfn.XLOOKUP($B140,Entradas!$B:$B,Entradas!AC:AC,,0,1)</f>
        <v>45188</v>
      </c>
      <c r="W140" s="58">
        <f t="shared" si="14"/>
        <v>3</v>
      </c>
      <c r="X140" s="28" t="s">
        <v>10</v>
      </c>
      <c r="Y140" s="32">
        <f t="shared" si="10"/>
        <v>0</v>
      </c>
      <c r="Z140" s="33">
        <f t="shared" si="11"/>
        <v>2388.14</v>
      </c>
      <c r="AA140" s="34">
        <f t="shared" si="12"/>
        <v>1248.42</v>
      </c>
      <c r="AB140" s="28" t="s">
        <v>1814</v>
      </c>
      <c r="AC140" s="28" t="s">
        <v>1820</v>
      </c>
      <c r="AD140" s="29" t="str" cm="1">
        <f t="array" ref="AD140">_xlfn.IFS(L140&lt;=Constantes!$G$2,"Muito Curta (evitável)",L140&lt;=Constantes!$H$2,"Curta Distância",L140&gt;Constantes!$H$2,"Longa Distância")</f>
        <v>Longa Distância</v>
      </c>
      <c r="AE140" s="30" t="str">
        <f t="shared" si="13"/>
        <v>NÃO</v>
      </c>
      <c r="AF140" s="30">
        <f>SUMIF(Entradas!$B:$B,'Entrada Lvl 5-4 qt'!$B140,Entradas!$AG:$AG)</f>
        <v>800.95835140972315</v>
      </c>
      <c r="AG140" s="30"/>
      <c r="BD140" s="49"/>
      <c r="BE140" s="49"/>
    </row>
    <row r="141" spans="1:57" x14ac:dyDescent="0.3">
      <c r="A141">
        <f>_xlfn.XLOOKUP(B141,Entradas!B:B,Entradas!A:A,,0,-1)</f>
        <v>2</v>
      </c>
      <c r="B141">
        <v>19280102</v>
      </c>
      <c r="C141" t="str">
        <f>_xlfn.XLOOKUP($B141,Entradas!$B:$B,Entradas!C:C,,0,1)</f>
        <v>001056/23</v>
      </c>
      <c r="D141" t="str">
        <f>_xlfn.XLOOKUP($B141,Entradas!$B:$B,Entradas!D:D,,0,1)</f>
        <v/>
      </c>
      <c r="E141" t="str">
        <f>_xlfn.XLOOKUP($B141,Entradas!$B:$B,Entradas!E:E,,0,1)</f>
        <v>LYRIEL KATLEY ALVES COSTA</v>
      </c>
      <c r="F141" t="str">
        <f>_xlfn.XLOOKUP($B141,Entradas!$B:$B,Entradas!F:F,,0,1)</f>
        <v/>
      </c>
      <c r="G141" t="str">
        <f>_xlfn.XLOOKUP($B141,Entradas!$B:$B,Entradas!G:G,,0,1)</f>
        <v>-1</v>
      </c>
      <c r="H141" t="str">
        <f>_xlfn.XLOOKUP($B141,Entradas!$B:$B,Entradas!H:H,,0,1)</f>
        <v>Sem informação</v>
      </c>
      <c r="I141" s="49">
        <f>_xlfn.XLOOKUP($B141,Entradas!$B:$B,Entradas!I:I,,0,1)</f>
        <v>45207</v>
      </c>
      <c r="J141" s="49">
        <f>_xlfn.XLOOKUP($B141,Entradas!$B:$B,Entradas!J:J,,0,1)</f>
        <v>45216</v>
      </c>
      <c r="K141" t="str">
        <f>_xlfn.XLOOKUP($B141,Entradas!$B:$B,Entradas!K:K,,0,1)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1">
        <f>SUMIF(Entradas!$B:$B,'Entrada Lvl 5-4 qt'!$B141,Entradas!S:S)</f>
        <v>13338.205480000001</v>
      </c>
      <c r="M141" t="str">
        <f>_xlfn.XLOOKUP($B141,Entradas!$B:$B,Entradas!T:T,,0,1)</f>
        <v>Aéreo</v>
      </c>
      <c r="N141" t="str">
        <f>_xlfn.XLOOKUP($B141,Entradas!$B:$B,Entradas!U:U,,0,1)</f>
        <v>Não</v>
      </c>
      <c r="O141" t="str">
        <f>_xlfn.XLOOKUP($B141,Entradas!$B:$B,Entradas!V:V,,0,1)</f>
        <v>Realizada</v>
      </c>
      <c r="P141" t="str">
        <f>_xlfn.XLOOKUP($B141,Entradas!$B:$B,Entradas!W:W,,0,1)</f>
        <v>NÃO</v>
      </c>
      <c r="Q141" t="str">
        <f>_xlfn.XLOOKUP($B141,Entradas!$B:$B,Entradas!X:X,,0,1)</f>
        <v>Sem informação</v>
      </c>
      <c r="R141" s="36">
        <f>SUMIF(Entradas!$B:$B,'Entrada Lvl 5-4 qt'!$B141,Entradas!Y:Y)</f>
        <v>0</v>
      </c>
      <c r="S141" s="36">
        <f>SUMIF(Entradas!$B:$B,'Entrada Lvl 5-4 qt'!$B141,Entradas!Z:Z)</f>
        <v>444.6</v>
      </c>
      <c r="T141" s="36">
        <f>SUMIF(Entradas!$B:$B,'Entrada Lvl 5-4 qt'!$B141,Entradas!AA:AA)</f>
        <v>8706.33</v>
      </c>
      <c r="U141" s="36">
        <f>SUMIF(Entradas!$B:$B,'Entrada Lvl 5-4 qt'!$B141,Entradas!AB:AB)</f>
        <v>0</v>
      </c>
      <c r="V141" s="49">
        <f>_xlfn.XLOOKUP($B141,Entradas!$B:$B,Entradas!AC:AC,,0,1)</f>
        <v>45191</v>
      </c>
      <c r="W141" s="58">
        <f t="shared" si="14"/>
        <v>9</v>
      </c>
      <c r="X141" s="28" t="s">
        <v>10</v>
      </c>
      <c r="Y141" s="32">
        <f t="shared" si="10"/>
        <v>0</v>
      </c>
      <c r="Z141" s="33">
        <f t="shared" si="11"/>
        <v>8706.33</v>
      </c>
      <c r="AA141" s="34">
        <f t="shared" si="12"/>
        <v>444.6</v>
      </c>
      <c r="AB141" s="28" t="s">
        <v>1814</v>
      </c>
      <c r="AC141" s="28" t="s">
        <v>1822</v>
      </c>
      <c r="AD141" s="29" t="str" cm="1">
        <f t="array" ref="AD141">_xlfn.IFS(L141&lt;=Constantes!$G$2,"Muito Curta (evitável)",L141&lt;=Constantes!$H$2,"Curta Distância",L141&gt;Constantes!$H$2,"Longa Distância")</f>
        <v>Longa Distância</v>
      </c>
      <c r="AE141" s="30" t="str">
        <f t="shared" si="13"/>
        <v>NÃO</v>
      </c>
      <c r="AF141" s="30">
        <f>SUMIF(Entradas!$B:$B,'Entrada Lvl 5-4 qt'!$B141,Entradas!$AG:$AG)</f>
        <v>2669.0853640508271</v>
      </c>
      <c r="AG141" s="30"/>
      <c r="BD141" s="49"/>
      <c r="BE141" s="49"/>
    </row>
    <row r="142" spans="1:57" x14ac:dyDescent="0.3">
      <c r="A142">
        <f>_xlfn.XLOOKUP(B142,Entradas!B:B,Entradas!A:A,,0,-1)</f>
        <v>2</v>
      </c>
      <c r="B142">
        <v>19281212</v>
      </c>
      <c r="C142" t="str">
        <f>_xlfn.XLOOKUP($B142,Entradas!$B:$B,Entradas!C:C,,0,1)</f>
        <v>001085/23</v>
      </c>
      <c r="D142" t="str">
        <f>_xlfn.XLOOKUP($B142,Entradas!$B:$B,Entradas!D:D,,0,1)</f>
        <v/>
      </c>
      <c r="E142" t="str">
        <f>_xlfn.XLOOKUP($B142,Entradas!$B:$B,Entradas!E:E,,0,1)</f>
        <v>MURILLO AUGUSTO CIPRIANO AZEVEDO</v>
      </c>
      <c r="F142" t="str">
        <f>_xlfn.XLOOKUP($B142,Entradas!$B:$B,Entradas!F:F,,0,1)</f>
        <v/>
      </c>
      <c r="G142" t="str">
        <f>_xlfn.XLOOKUP($B142,Entradas!$B:$B,Entradas!G:G,,0,1)</f>
        <v>-1</v>
      </c>
      <c r="H142" t="str">
        <f>_xlfn.XLOOKUP($B142,Entradas!$B:$B,Entradas!H:H,,0,1)</f>
        <v>Sem informação</v>
      </c>
      <c r="I142" s="49">
        <f>_xlfn.XLOOKUP($B142,Entradas!$B:$B,Entradas!I:I,,0,1)</f>
        <v>45207</v>
      </c>
      <c r="J142" s="49">
        <f>_xlfn.XLOOKUP($B142,Entradas!$B:$B,Entradas!J:J,,0,1)</f>
        <v>45216</v>
      </c>
      <c r="K142" t="str">
        <f>_xlfn.XLOOKUP($B142,Entradas!$B:$B,Entradas!K:K,,0,1)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2">
        <f>SUMIF(Entradas!$B:$B,'Entrada Lvl 5-4 qt'!$B142,Entradas!S:S)</f>
        <v>13338.205480000001</v>
      </c>
      <c r="M142" t="str">
        <f>_xlfn.XLOOKUP($B142,Entradas!$B:$B,Entradas!T:T,,0,1)</f>
        <v>Aéreo</v>
      </c>
      <c r="N142" t="str">
        <f>_xlfn.XLOOKUP($B142,Entradas!$B:$B,Entradas!U:U,,0,1)</f>
        <v>Não</v>
      </c>
      <c r="O142" t="str">
        <f>_xlfn.XLOOKUP($B142,Entradas!$B:$B,Entradas!V:V,,0,1)</f>
        <v>Realizada</v>
      </c>
      <c r="P142" t="str">
        <f>_xlfn.XLOOKUP($B142,Entradas!$B:$B,Entradas!W:W,,0,1)</f>
        <v>NÃO</v>
      </c>
      <c r="Q142" t="str">
        <f>_xlfn.XLOOKUP($B142,Entradas!$B:$B,Entradas!X:X,,0,1)</f>
        <v>Sem informação</v>
      </c>
      <c r="R142" s="36">
        <f>SUMIF(Entradas!$B:$B,'Entrada Lvl 5-4 qt'!$B142,Entradas!Y:Y)</f>
        <v>0</v>
      </c>
      <c r="S142" s="36">
        <f>SUMIF(Entradas!$B:$B,'Entrada Lvl 5-4 qt'!$B142,Entradas!Z:Z)</f>
        <v>444.6</v>
      </c>
      <c r="T142" s="36">
        <f>SUMIF(Entradas!$B:$B,'Entrada Lvl 5-4 qt'!$B142,Entradas!AA:AA)</f>
        <v>8706.33</v>
      </c>
      <c r="U142" s="36">
        <f>SUMIF(Entradas!$B:$B,'Entrada Lvl 5-4 qt'!$B142,Entradas!AB:AB)</f>
        <v>0</v>
      </c>
      <c r="V142" s="49">
        <f>_xlfn.XLOOKUP($B142,Entradas!$B:$B,Entradas!AC:AC,,0,1)</f>
        <v>45191</v>
      </c>
      <c r="W142" s="58">
        <f t="shared" si="14"/>
        <v>9</v>
      </c>
      <c r="X142" s="28" t="s">
        <v>10</v>
      </c>
      <c r="Y142" s="32">
        <f t="shared" si="10"/>
        <v>0</v>
      </c>
      <c r="Z142" s="33">
        <f t="shared" si="11"/>
        <v>8706.33</v>
      </c>
      <c r="AA142" s="34">
        <f t="shared" si="12"/>
        <v>444.6</v>
      </c>
      <c r="AB142" s="28" t="s">
        <v>1814</v>
      </c>
      <c r="AC142" s="28" t="s">
        <v>1822</v>
      </c>
      <c r="AD142" s="29" t="str" cm="1">
        <f t="array" ref="AD142">_xlfn.IFS(L142&lt;=Constantes!$G$2,"Muito Curta (evitável)",L142&lt;=Constantes!$H$2,"Curta Distância",L142&gt;Constantes!$H$2,"Longa Distância")</f>
        <v>Longa Distância</v>
      </c>
      <c r="AE142" s="30" t="str">
        <f t="shared" si="13"/>
        <v>NÃO</v>
      </c>
      <c r="AF142" s="30">
        <f>SUMIF(Entradas!$B:$B,'Entrada Lvl 5-4 qt'!$B142,Entradas!$AG:$AG)</f>
        <v>2669.0853640508271</v>
      </c>
      <c r="AG142" s="30"/>
      <c r="BD142" s="49"/>
      <c r="BE142" s="49"/>
    </row>
    <row r="143" spans="1:57" x14ac:dyDescent="0.3">
      <c r="A143">
        <f>_xlfn.XLOOKUP(B143,Entradas!B:B,Entradas!A:A,,0,-1)</f>
        <v>2</v>
      </c>
      <c r="B143">
        <v>19281441</v>
      </c>
      <c r="C143" t="str">
        <f>_xlfn.XLOOKUP($B143,Entradas!$B:$B,Entradas!C:C,,0,1)</f>
        <v>001059/23</v>
      </c>
      <c r="D143" t="str">
        <f>_xlfn.XLOOKUP($B143,Entradas!$B:$B,Entradas!D:D,,0,1)</f>
        <v/>
      </c>
      <c r="E143" t="str">
        <f>_xlfn.XLOOKUP($B143,Entradas!$B:$B,Entradas!E:E,,0,1)</f>
        <v>CAROLINE RIBEIRO ALVES</v>
      </c>
      <c r="F143" t="str">
        <f>_xlfn.XLOOKUP($B143,Entradas!$B:$B,Entradas!F:F,,0,1)</f>
        <v/>
      </c>
      <c r="G143" t="str">
        <f>_xlfn.XLOOKUP($B143,Entradas!$B:$B,Entradas!G:G,,0,1)</f>
        <v>-1</v>
      </c>
      <c r="H143" t="str">
        <f>_xlfn.XLOOKUP($B143,Entradas!$B:$B,Entradas!H:H,,0,1)</f>
        <v>Sem informação</v>
      </c>
      <c r="I143" s="49">
        <f>_xlfn.XLOOKUP($B143,Entradas!$B:$B,Entradas!I:I,,0,1)</f>
        <v>45207</v>
      </c>
      <c r="J143" s="49">
        <f>_xlfn.XLOOKUP($B143,Entradas!$B:$B,Entradas!J:J,,0,1)</f>
        <v>45216</v>
      </c>
      <c r="K143" t="str">
        <f>_xlfn.XLOOKUP($B143,Entradas!$B:$B,Entradas!K:K,,0,1)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3">
        <f>SUMIF(Entradas!$B:$B,'Entrada Lvl 5-4 qt'!$B143,Entradas!S:S)</f>
        <v>13338.205480000001</v>
      </c>
      <c r="M143" t="str">
        <f>_xlfn.XLOOKUP($B143,Entradas!$B:$B,Entradas!T:T,,0,1)</f>
        <v>Aéreo</v>
      </c>
      <c r="N143" t="str">
        <f>_xlfn.XLOOKUP($B143,Entradas!$B:$B,Entradas!U:U,,0,1)</f>
        <v>Sim</v>
      </c>
      <c r="O143" t="str">
        <f>_xlfn.XLOOKUP($B143,Entradas!$B:$B,Entradas!V:V,,0,1)</f>
        <v>Realizada</v>
      </c>
      <c r="P143" t="str">
        <f>_xlfn.XLOOKUP($B143,Entradas!$B:$B,Entradas!W:W,,0,1)</f>
        <v>NÃO</v>
      </c>
      <c r="Q143" t="str">
        <f>_xlfn.XLOOKUP($B143,Entradas!$B:$B,Entradas!X:X,,0,1)</f>
        <v>Sem informação</v>
      </c>
      <c r="R143" s="36">
        <f>SUMIF(Entradas!$B:$B,'Entrada Lvl 5-4 qt'!$B143,Entradas!Y:Y)</f>
        <v>0</v>
      </c>
      <c r="S143" s="36">
        <f>SUMIF(Entradas!$B:$B,'Entrada Lvl 5-4 qt'!$B143,Entradas!Z:Z)</f>
        <v>444.6</v>
      </c>
      <c r="T143" s="36">
        <f>SUMIF(Entradas!$B:$B,'Entrada Lvl 5-4 qt'!$B143,Entradas!AA:AA)</f>
        <v>8706.33</v>
      </c>
      <c r="U143" s="36">
        <f>SUMIF(Entradas!$B:$B,'Entrada Lvl 5-4 qt'!$B143,Entradas!AB:AB)</f>
        <v>0</v>
      </c>
      <c r="V143" s="49">
        <f>_xlfn.XLOOKUP($B143,Entradas!$B:$B,Entradas!AC:AC,,0,1)</f>
        <v>45191</v>
      </c>
      <c r="W143" s="58">
        <f t="shared" si="14"/>
        <v>9</v>
      </c>
      <c r="X143" s="28" t="s">
        <v>10</v>
      </c>
      <c r="Y143" s="32">
        <f t="shared" si="10"/>
        <v>0</v>
      </c>
      <c r="Z143" s="33">
        <f t="shared" si="11"/>
        <v>8706.33</v>
      </c>
      <c r="AA143" s="34">
        <f t="shared" si="12"/>
        <v>444.6</v>
      </c>
      <c r="AB143" s="28" t="s">
        <v>1814</v>
      </c>
      <c r="AC143" s="28" t="s">
        <v>1822</v>
      </c>
      <c r="AD143" s="29" t="str" cm="1">
        <f t="array" ref="AD143">_xlfn.IFS(L143&lt;=Constantes!$G$2,"Muito Curta (evitável)",L143&lt;=Constantes!$H$2,"Curta Distância",L143&gt;Constantes!$H$2,"Longa Distância")</f>
        <v>Longa Distância</v>
      </c>
      <c r="AE143" s="30" t="str">
        <f t="shared" si="13"/>
        <v>NÃO</v>
      </c>
      <c r="AF143" s="30">
        <f>SUMIF(Entradas!$B:$B,'Entrada Lvl 5-4 qt'!$B143,Entradas!$AG:$AG)</f>
        <v>2669.0853640508271</v>
      </c>
      <c r="AG143" s="30"/>
      <c r="BD143" s="49"/>
      <c r="BE143" s="49"/>
    </row>
    <row r="144" spans="1:57" x14ac:dyDescent="0.3">
      <c r="A144">
        <f>_xlfn.XLOOKUP(B144,Entradas!B:B,Entradas!A:A,,0,-1)</f>
        <v>2</v>
      </c>
      <c r="B144">
        <v>19281615</v>
      </c>
      <c r="C144" t="str">
        <f>_xlfn.XLOOKUP($B144,Entradas!$B:$B,Entradas!C:C,,0,1)</f>
        <v>001060/23</v>
      </c>
      <c r="D144" t="str">
        <f>_xlfn.XLOOKUP($B144,Entradas!$B:$B,Entradas!D:D,,0,1)</f>
        <v/>
      </c>
      <c r="E144" t="str">
        <f>_xlfn.XLOOKUP($B144,Entradas!$B:$B,Entradas!E:E,,0,1)</f>
        <v>MATEUS ALVES LEITE</v>
      </c>
      <c r="F144" t="str">
        <f>_xlfn.XLOOKUP($B144,Entradas!$B:$B,Entradas!F:F,,0,1)</f>
        <v/>
      </c>
      <c r="G144" t="str">
        <f>_xlfn.XLOOKUP($B144,Entradas!$B:$B,Entradas!G:G,,0,1)</f>
        <v>-1</v>
      </c>
      <c r="H144" t="str">
        <f>_xlfn.XLOOKUP($B144,Entradas!$B:$B,Entradas!H:H,,0,1)</f>
        <v>Sem informação</v>
      </c>
      <c r="I144" s="49">
        <f>_xlfn.XLOOKUP($B144,Entradas!$B:$B,Entradas!I:I,,0,1)</f>
        <v>45207</v>
      </c>
      <c r="J144" s="49">
        <f>_xlfn.XLOOKUP($B144,Entradas!$B:$B,Entradas!J:J,,0,1)</f>
        <v>45216</v>
      </c>
      <c r="K144" t="str">
        <f>_xlfn.XLOOKUP($B144,Entradas!$B:$B,Entradas!K:K,,0,1)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4">
        <f>SUMIF(Entradas!$B:$B,'Entrada Lvl 5-4 qt'!$B144,Entradas!S:S)</f>
        <v>13338.205480000001</v>
      </c>
      <c r="M144" t="str">
        <f>_xlfn.XLOOKUP($B144,Entradas!$B:$B,Entradas!T:T,,0,1)</f>
        <v>Aéreo</v>
      </c>
      <c r="N144" t="str">
        <f>_xlfn.XLOOKUP($B144,Entradas!$B:$B,Entradas!U:U,,0,1)</f>
        <v>Não</v>
      </c>
      <c r="O144" t="str">
        <f>_xlfn.XLOOKUP($B144,Entradas!$B:$B,Entradas!V:V,,0,1)</f>
        <v>Realizada</v>
      </c>
      <c r="P144" t="str">
        <f>_xlfn.XLOOKUP($B144,Entradas!$B:$B,Entradas!W:W,,0,1)</f>
        <v>NÃO</v>
      </c>
      <c r="Q144" t="str">
        <f>_xlfn.XLOOKUP($B144,Entradas!$B:$B,Entradas!X:X,,0,1)</f>
        <v>Sem informação</v>
      </c>
      <c r="R144" s="36">
        <f>SUMIF(Entradas!$B:$B,'Entrada Lvl 5-4 qt'!$B144,Entradas!Y:Y)</f>
        <v>0</v>
      </c>
      <c r="S144" s="36">
        <f>SUMIF(Entradas!$B:$B,'Entrada Lvl 5-4 qt'!$B144,Entradas!Z:Z)</f>
        <v>444.6</v>
      </c>
      <c r="T144" s="36">
        <f>SUMIF(Entradas!$B:$B,'Entrada Lvl 5-4 qt'!$B144,Entradas!AA:AA)</f>
        <v>8706.33</v>
      </c>
      <c r="U144" s="36">
        <f>SUMIF(Entradas!$B:$B,'Entrada Lvl 5-4 qt'!$B144,Entradas!AB:AB)</f>
        <v>0</v>
      </c>
      <c r="V144" s="49">
        <f>_xlfn.XLOOKUP($B144,Entradas!$B:$B,Entradas!AC:AC,,0,1)</f>
        <v>45191</v>
      </c>
      <c r="W144" s="58">
        <f t="shared" si="14"/>
        <v>9</v>
      </c>
      <c r="X144" s="28" t="s">
        <v>10</v>
      </c>
      <c r="Y144" s="32">
        <f t="shared" si="10"/>
        <v>0</v>
      </c>
      <c r="Z144" s="33">
        <f t="shared" si="11"/>
        <v>8706.33</v>
      </c>
      <c r="AA144" s="34">
        <f t="shared" si="12"/>
        <v>444.6</v>
      </c>
      <c r="AB144" s="28" t="s">
        <v>1814</v>
      </c>
      <c r="AC144" s="28" t="s">
        <v>1822</v>
      </c>
      <c r="AD144" s="29" t="str" cm="1">
        <f t="array" ref="AD144">_xlfn.IFS(L144&lt;=Constantes!$G$2,"Muito Curta (evitável)",L144&lt;=Constantes!$H$2,"Curta Distância",L144&gt;Constantes!$H$2,"Longa Distância")</f>
        <v>Longa Distância</v>
      </c>
      <c r="AE144" s="30" t="str">
        <f t="shared" si="13"/>
        <v>NÃO</v>
      </c>
      <c r="AF144" s="30">
        <f>SUMIF(Entradas!$B:$B,'Entrada Lvl 5-4 qt'!$B144,Entradas!$AG:$AG)</f>
        <v>2669.0853640508271</v>
      </c>
      <c r="AG144" s="30"/>
      <c r="BD144" s="49"/>
      <c r="BE144" s="49"/>
    </row>
    <row r="145" spans="1:57" x14ac:dyDescent="0.3">
      <c r="A145">
        <f>_xlfn.XLOOKUP(B145,Entradas!B:B,Entradas!A:A,,0,-1)</f>
        <v>2</v>
      </c>
      <c r="B145">
        <v>19281740</v>
      </c>
      <c r="C145" t="str">
        <f>_xlfn.XLOOKUP($B145,Entradas!$B:$B,Entradas!C:C,,0,1)</f>
        <v>001061/23</v>
      </c>
      <c r="D145" t="str">
        <f>_xlfn.XLOOKUP($B145,Entradas!$B:$B,Entradas!D:D,,0,1)</f>
        <v/>
      </c>
      <c r="E145" t="str">
        <f>_xlfn.XLOOKUP($B145,Entradas!$B:$B,Entradas!E:E,,0,1)</f>
        <v>CAIO ARAUJO LIMA</v>
      </c>
      <c r="F145" t="str">
        <f>_xlfn.XLOOKUP($B145,Entradas!$B:$B,Entradas!F:F,,0,1)</f>
        <v/>
      </c>
      <c r="G145" t="str">
        <f>_xlfn.XLOOKUP($B145,Entradas!$B:$B,Entradas!G:G,,0,1)</f>
        <v>-1</v>
      </c>
      <c r="H145" t="str">
        <f>_xlfn.XLOOKUP($B145,Entradas!$B:$B,Entradas!H:H,,0,1)</f>
        <v>Sem informação</v>
      </c>
      <c r="I145" s="49">
        <f>_xlfn.XLOOKUP($B145,Entradas!$B:$B,Entradas!I:I,,0,1)</f>
        <v>45207</v>
      </c>
      <c r="J145" s="49">
        <f>_xlfn.XLOOKUP($B145,Entradas!$B:$B,Entradas!J:J,,0,1)</f>
        <v>45216</v>
      </c>
      <c r="K145" t="str">
        <f>_xlfn.XLOOKUP($B145,Entradas!$B:$B,Entradas!K:K,,0,1)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5">
        <f>SUMIF(Entradas!$B:$B,'Entrada Lvl 5-4 qt'!$B145,Entradas!S:S)</f>
        <v>13338.205480000001</v>
      </c>
      <c r="M145" t="str">
        <f>_xlfn.XLOOKUP($B145,Entradas!$B:$B,Entradas!T:T,,0,1)</f>
        <v>Aéreo</v>
      </c>
      <c r="N145" t="str">
        <f>_xlfn.XLOOKUP($B145,Entradas!$B:$B,Entradas!U:U,,0,1)</f>
        <v>Não</v>
      </c>
      <c r="O145" t="str">
        <f>_xlfn.XLOOKUP($B145,Entradas!$B:$B,Entradas!V:V,,0,1)</f>
        <v>Realizada</v>
      </c>
      <c r="P145" t="str">
        <f>_xlfn.XLOOKUP($B145,Entradas!$B:$B,Entradas!W:W,,0,1)</f>
        <v>NÃO</v>
      </c>
      <c r="Q145" t="str">
        <f>_xlfn.XLOOKUP($B145,Entradas!$B:$B,Entradas!X:X,,0,1)</f>
        <v>Sem informação</v>
      </c>
      <c r="R145" s="36">
        <f>SUMIF(Entradas!$B:$B,'Entrada Lvl 5-4 qt'!$B145,Entradas!Y:Y)</f>
        <v>0</v>
      </c>
      <c r="S145" s="36">
        <f>SUMIF(Entradas!$B:$B,'Entrada Lvl 5-4 qt'!$B145,Entradas!Z:Z)</f>
        <v>444.6</v>
      </c>
      <c r="T145" s="36">
        <f>SUMIF(Entradas!$B:$B,'Entrada Lvl 5-4 qt'!$B145,Entradas!AA:AA)</f>
        <v>8706.33</v>
      </c>
      <c r="U145" s="36">
        <f>SUMIF(Entradas!$B:$B,'Entrada Lvl 5-4 qt'!$B145,Entradas!AB:AB)</f>
        <v>0</v>
      </c>
      <c r="V145" s="49">
        <f>_xlfn.XLOOKUP($B145,Entradas!$B:$B,Entradas!AC:AC,,0,1)</f>
        <v>45191</v>
      </c>
      <c r="W145" s="58">
        <f t="shared" si="14"/>
        <v>9</v>
      </c>
      <c r="X145" s="28" t="s">
        <v>10</v>
      </c>
      <c r="Y145" s="32">
        <f t="shared" si="10"/>
        <v>0</v>
      </c>
      <c r="Z145" s="33">
        <f t="shared" si="11"/>
        <v>8706.33</v>
      </c>
      <c r="AA145" s="34">
        <f t="shared" si="12"/>
        <v>444.6</v>
      </c>
      <c r="AB145" s="28" t="s">
        <v>1814</v>
      </c>
      <c r="AC145" s="28" t="s">
        <v>1822</v>
      </c>
      <c r="AD145" s="29" t="str" cm="1">
        <f t="array" ref="AD145">_xlfn.IFS(L145&lt;=Constantes!$G$2,"Muito Curta (evitável)",L145&lt;=Constantes!$H$2,"Curta Distância",L145&gt;Constantes!$H$2,"Longa Distância")</f>
        <v>Longa Distância</v>
      </c>
      <c r="AE145" s="30" t="str">
        <f t="shared" si="13"/>
        <v>NÃO</v>
      </c>
      <c r="AF145" s="30">
        <f>SUMIF(Entradas!$B:$B,'Entrada Lvl 5-4 qt'!$B145,Entradas!$AG:$AG)</f>
        <v>2669.0853640508271</v>
      </c>
      <c r="AG145" s="30"/>
      <c r="BD145" s="49"/>
      <c r="BE145" s="49"/>
    </row>
    <row r="146" spans="1:57" x14ac:dyDescent="0.3">
      <c r="A146">
        <f>_xlfn.XLOOKUP(B146,Entradas!B:B,Entradas!A:A,,0,-1)</f>
        <v>2</v>
      </c>
      <c r="B146">
        <v>19282859</v>
      </c>
      <c r="C146" t="str">
        <f>_xlfn.XLOOKUP($B146,Entradas!$B:$B,Entradas!C:C,,0,1)</f>
        <v>001084/23</v>
      </c>
      <c r="D146" t="str">
        <f>_xlfn.XLOOKUP($B146,Entradas!$B:$B,Entradas!D:D,,0,1)</f>
        <v/>
      </c>
      <c r="E146" t="str">
        <f>_xlfn.XLOOKUP($B146,Entradas!$B:$B,Entradas!E:E,,0,1)</f>
        <v>GABRIEL MAURICIO DE MOURA E SOUZA</v>
      </c>
      <c r="F146" t="str">
        <f>_xlfn.XLOOKUP($B146,Entradas!$B:$B,Entradas!F:F,,0,1)</f>
        <v/>
      </c>
      <c r="G146" t="str">
        <f>_xlfn.XLOOKUP($B146,Entradas!$B:$B,Entradas!G:G,,0,1)</f>
        <v>-1</v>
      </c>
      <c r="H146" t="str">
        <f>_xlfn.XLOOKUP($B146,Entradas!$B:$B,Entradas!H:H,,0,1)</f>
        <v>Sem informação</v>
      </c>
      <c r="I146" s="49">
        <f>_xlfn.XLOOKUP($B146,Entradas!$B:$B,Entradas!I:I,,0,1)</f>
        <v>45207</v>
      </c>
      <c r="J146" s="49">
        <f>_xlfn.XLOOKUP($B146,Entradas!$B:$B,Entradas!J:J,,0,1)</f>
        <v>45216</v>
      </c>
      <c r="K146" t="str">
        <f>_xlfn.XLOOKUP($B146,Entradas!$B:$B,Entradas!K:K,,0,1)</f>
        <v>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v>
      </c>
      <c r="L146">
        <f>SUMIF(Entradas!$B:$B,'Entrada Lvl 5-4 qt'!$B146,Entradas!S:S)</f>
        <v>13338.205480000001</v>
      </c>
      <c r="M146" t="str">
        <f>_xlfn.XLOOKUP($B146,Entradas!$B:$B,Entradas!T:T,,0,1)</f>
        <v>Aéreo</v>
      </c>
      <c r="N146" t="str">
        <f>_xlfn.XLOOKUP($B146,Entradas!$B:$B,Entradas!U:U,,0,1)</f>
        <v>Não</v>
      </c>
      <c r="O146" t="str">
        <f>_xlfn.XLOOKUP($B146,Entradas!$B:$B,Entradas!V:V,,0,1)</f>
        <v>Realizada</v>
      </c>
      <c r="P146" t="str">
        <f>_xlfn.XLOOKUP($B146,Entradas!$B:$B,Entradas!W:W,,0,1)</f>
        <v>NÃO</v>
      </c>
      <c r="Q146" t="str">
        <f>_xlfn.XLOOKUP($B146,Entradas!$B:$B,Entradas!X:X,,0,1)</f>
        <v>Sem informação</v>
      </c>
      <c r="R146" s="36">
        <f>SUMIF(Entradas!$B:$B,'Entrada Lvl 5-4 qt'!$B146,Entradas!Y:Y)</f>
        <v>0</v>
      </c>
      <c r="S146" s="36">
        <f>SUMIF(Entradas!$B:$B,'Entrada Lvl 5-4 qt'!$B146,Entradas!Z:Z)</f>
        <v>444.6</v>
      </c>
      <c r="T146" s="36">
        <f>SUMIF(Entradas!$B:$B,'Entrada Lvl 5-4 qt'!$B146,Entradas!AA:AA)</f>
        <v>8706.33</v>
      </c>
      <c r="U146" s="36">
        <f>SUMIF(Entradas!$B:$B,'Entrada Lvl 5-4 qt'!$B146,Entradas!AB:AB)</f>
        <v>0</v>
      </c>
      <c r="V146" s="49">
        <f>_xlfn.XLOOKUP($B146,Entradas!$B:$B,Entradas!AC:AC,,0,1)</f>
        <v>45191</v>
      </c>
      <c r="W146" s="58">
        <f t="shared" si="14"/>
        <v>9</v>
      </c>
      <c r="X146" s="28" t="s">
        <v>10</v>
      </c>
      <c r="Y146" s="32">
        <f t="shared" si="10"/>
        <v>0</v>
      </c>
      <c r="Z146" s="33">
        <f t="shared" si="11"/>
        <v>8706.33</v>
      </c>
      <c r="AA146" s="34">
        <f t="shared" si="12"/>
        <v>444.6</v>
      </c>
      <c r="AB146" s="28" t="s">
        <v>1814</v>
      </c>
      <c r="AC146" s="28" t="s">
        <v>1822</v>
      </c>
      <c r="AD146" s="29" t="str" cm="1">
        <f t="array" ref="AD146">_xlfn.IFS(L146&lt;=Constantes!$G$2,"Muito Curta (evitável)",L146&lt;=Constantes!$H$2,"Curta Distância",L146&gt;Constantes!$H$2,"Longa Distância")</f>
        <v>Longa Distância</v>
      </c>
      <c r="AE146" s="30" t="str">
        <f t="shared" si="13"/>
        <v>NÃO</v>
      </c>
      <c r="AF146" s="30">
        <f>SUMIF(Entradas!$B:$B,'Entrada Lvl 5-4 qt'!$B146,Entradas!$AG:$AG)</f>
        <v>2669.0853640508271</v>
      </c>
      <c r="AG146" s="30"/>
      <c r="BD146" s="49"/>
      <c r="BE146" s="49"/>
    </row>
    <row r="147" spans="1:57" x14ac:dyDescent="0.3">
      <c r="A147">
        <f>_xlfn.XLOOKUP(B147,Entradas!B:B,Entradas!A:A,,0,-1)</f>
        <v>2</v>
      </c>
      <c r="B147">
        <v>19296208</v>
      </c>
      <c r="C147" t="str">
        <f>_xlfn.XLOOKUP($B147,Entradas!$B:$B,Entradas!C:C,,0,1)</f>
        <v>001105/23</v>
      </c>
      <c r="D147" t="str">
        <f>_xlfn.XLOOKUP($B147,Entradas!$B:$B,Entradas!D:D,,0,1)</f>
        <v>***.865.394-**</v>
      </c>
      <c r="E147" t="str">
        <f>_xlfn.XLOOKUP($B147,Entradas!$B:$B,Entradas!E:E,,0,1)</f>
        <v>MAURO BARBOSA DA SILVA</v>
      </c>
      <c r="F147" t="str">
        <f>_xlfn.XLOOKUP($B147,Entradas!$B:$B,Entradas!F:F,,0,1)</f>
        <v>ASSISTENTE EM ADMINISTRAçãO</v>
      </c>
      <c r="G147" t="str">
        <f>_xlfn.XLOOKUP($B147,Entradas!$B:$B,Entradas!G:G,,0,1)</f>
        <v>-1</v>
      </c>
      <c r="H147" t="str">
        <f>_xlfn.XLOOKUP($B147,Entradas!$B:$B,Entradas!H:H,,0,1)</f>
        <v>Sem informação</v>
      </c>
      <c r="I147" s="49">
        <f>_xlfn.XLOOKUP($B147,Entradas!$B:$B,Entradas!I:I,,0,1)</f>
        <v>45207</v>
      </c>
      <c r="J147" s="49">
        <f>_xlfn.XLOOKUP($B147,Entradas!$B:$B,Entradas!J:J,,0,1)</f>
        <v>45211</v>
      </c>
      <c r="K147" t="str">
        <f>_xlfn.XLOOKUP($B147,Entradas!$B:$B,Entradas!K:K,,0,1)</f>
        <v>PARTICIPAR DO X FÓRUM DAS CIS, EM PORTO ALEGRE, NO PERÍODO DE 09 A 11/010/2023</v>
      </c>
      <c r="L147">
        <f>SUMIF(Entradas!$B:$B,'Entrada Lvl 5-4 qt'!$B147,Entradas!S:S)</f>
        <v>6109.5910640000002</v>
      </c>
      <c r="M147" t="str">
        <f>_xlfn.XLOOKUP($B147,Entradas!$B:$B,Entradas!T:T,,0,1)</f>
        <v>Aéreo</v>
      </c>
      <c r="N147" t="str">
        <f>_xlfn.XLOOKUP($B147,Entradas!$B:$B,Entradas!U:U,,0,1)</f>
        <v>Não</v>
      </c>
      <c r="O147" t="str">
        <f>_xlfn.XLOOKUP($B147,Entradas!$B:$B,Entradas!V:V,,0,1)</f>
        <v>Realizada</v>
      </c>
      <c r="P147" t="str">
        <f>_xlfn.XLOOKUP($B147,Entradas!$B:$B,Entradas!W:W,,0,1)</f>
        <v>NÃO</v>
      </c>
      <c r="Q147" t="str">
        <f>_xlfn.XLOOKUP($B147,Entradas!$B:$B,Entradas!X:X,,0,1)</f>
        <v>Sem informação</v>
      </c>
      <c r="R147" s="36">
        <f>SUMIF(Entradas!$B:$B,'Entrada Lvl 5-4 qt'!$B147,Entradas!Y:Y)</f>
        <v>1539.86</v>
      </c>
      <c r="S147" s="36">
        <f>SUMIF(Entradas!$B:$B,'Entrada Lvl 5-4 qt'!$B147,Entradas!Z:Z)</f>
        <v>0</v>
      </c>
      <c r="T147" s="36">
        <f>SUMIF(Entradas!$B:$B,'Entrada Lvl 5-4 qt'!$B147,Entradas!AA:AA)</f>
        <v>2409.4300000000003</v>
      </c>
      <c r="U147" s="36">
        <f>SUMIF(Entradas!$B:$B,'Entrada Lvl 5-4 qt'!$B147,Entradas!AB:AB)</f>
        <v>0</v>
      </c>
      <c r="V147" s="49">
        <f>_xlfn.XLOOKUP($B147,Entradas!$B:$B,Entradas!AC:AC,,0,1)</f>
        <v>45187</v>
      </c>
      <c r="W147" s="58">
        <f t="shared" si="14"/>
        <v>4</v>
      </c>
      <c r="X147" s="28" t="s">
        <v>10</v>
      </c>
      <c r="Y147" s="32">
        <f t="shared" si="10"/>
        <v>0</v>
      </c>
      <c r="Z147" s="33">
        <f t="shared" si="11"/>
        <v>2409.4300000000003</v>
      </c>
      <c r="AA147" s="34">
        <f t="shared" si="12"/>
        <v>1539.86</v>
      </c>
      <c r="AB147" s="28" t="s">
        <v>1813</v>
      </c>
      <c r="AC147" s="28" t="s">
        <v>1784</v>
      </c>
      <c r="AD147" s="29" t="str" cm="1">
        <f t="array" ref="AD147">_xlfn.IFS(L147&lt;=Constantes!$G$2,"Muito Curta (evitável)",L147&lt;=Constantes!$H$2,"Curta Distância",L147&gt;Constantes!$H$2,"Longa Distância")</f>
        <v>Longa Distância</v>
      </c>
      <c r="AE147" s="30" t="str">
        <f t="shared" si="13"/>
        <v>NÃO</v>
      </c>
      <c r="AF147" s="30">
        <f>SUMIF(Entradas!$B:$B,'Entrada Lvl 5-4 qt'!$B147,Entradas!$AG:$AG)</f>
        <v>1117.256973292067</v>
      </c>
      <c r="AG147" s="30"/>
      <c r="BD147" s="49"/>
      <c r="BE147" s="49"/>
    </row>
    <row r="148" spans="1:57" x14ac:dyDescent="0.3">
      <c r="A148">
        <f>_xlfn.XLOOKUP(B148,Entradas!B:B,Entradas!A:A,,0,-1)</f>
        <v>2</v>
      </c>
      <c r="B148">
        <v>19298105</v>
      </c>
      <c r="C148" t="str">
        <f>_xlfn.XLOOKUP($B148,Entradas!$B:$B,Entradas!C:C,,0,1)</f>
        <v>001106/23</v>
      </c>
      <c r="D148" t="str">
        <f>_xlfn.XLOOKUP($B148,Entradas!$B:$B,Entradas!D:D,,0,1)</f>
        <v>***.429.254-**</v>
      </c>
      <c r="E148" t="str">
        <f>_xlfn.XLOOKUP($B148,Entradas!$B:$B,Entradas!E:E,,0,1)</f>
        <v>PEDRO JOSE DE SOUZA BIAS</v>
      </c>
      <c r="F148" t="str">
        <f>_xlfn.XLOOKUP($B148,Entradas!$B:$B,Entradas!F:F,,0,1)</f>
        <v>MEDICO VETERINARIO</v>
      </c>
      <c r="G148" t="str">
        <f>_xlfn.XLOOKUP($B148,Entradas!$B:$B,Entradas!G:G,,0,1)</f>
        <v>-1</v>
      </c>
      <c r="H148" t="str">
        <f>_xlfn.XLOOKUP($B148,Entradas!$B:$B,Entradas!H:H,,0,1)</f>
        <v>Sem informação</v>
      </c>
      <c r="I148" s="49">
        <f>_xlfn.XLOOKUP($B148,Entradas!$B:$B,Entradas!I:I,,0,1)</f>
        <v>45207</v>
      </c>
      <c r="J148" s="49">
        <f>_xlfn.XLOOKUP($B148,Entradas!$B:$B,Entradas!J:J,,0,1)</f>
        <v>45211</v>
      </c>
      <c r="K148" t="str">
        <f>_xlfn.XLOOKUP($B148,Entradas!$B:$B,Entradas!K:K,,0,1)</f>
        <v>PARTICIPAR DO X FÓRUM DAS CIS, EM PORTO ALEGRE/RS, NO PERÍODO DE 09 A 11 DE OUTUBRO/2023</v>
      </c>
      <c r="L148">
        <f>SUMIF(Entradas!$B:$B,'Entrada Lvl 5-4 qt'!$B148,Entradas!S:S)</f>
        <v>6109.5910640000002</v>
      </c>
      <c r="M148" t="str">
        <f>_xlfn.XLOOKUP($B148,Entradas!$B:$B,Entradas!T:T,,0,1)</f>
        <v>Aéreo</v>
      </c>
      <c r="N148" t="str">
        <f>_xlfn.XLOOKUP($B148,Entradas!$B:$B,Entradas!U:U,,0,1)</f>
        <v>Não</v>
      </c>
      <c r="O148" t="str">
        <f>_xlfn.XLOOKUP($B148,Entradas!$B:$B,Entradas!V:V,,0,1)</f>
        <v>Realizada</v>
      </c>
      <c r="P148" t="str">
        <f>_xlfn.XLOOKUP($B148,Entradas!$B:$B,Entradas!W:W,,0,1)</f>
        <v>NÃO</v>
      </c>
      <c r="Q148" t="str">
        <f>_xlfn.XLOOKUP($B148,Entradas!$B:$B,Entradas!X:X,,0,1)</f>
        <v>Sem informação</v>
      </c>
      <c r="R148" s="36">
        <f>SUMIF(Entradas!$B:$B,'Entrada Lvl 5-4 qt'!$B148,Entradas!Y:Y)</f>
        <v>1539.86</v>
      </c>
      <c r="S148" s="36">
        <f>SUMIF(Entradas!$B:$B,'Entrada Lvl 5-4 qt'!$B148,Entradas!Z:Z)</f>
        <v>0</v>
      </c>
      <c r="T148" s="36">
        <f>SUMIF(Entradas!$B:$B,'Entrada Lvl 5-4 qt'!$B148,Entradas!AA:AA)</f>
        <v>2409.4300000000003</v>
      </c>
      <c r="U148" s="36">
        <f>SUMIF(Entradas!$B:$B,'Entrada Lvl 5-4 qt'!$B148,Entradas!AB:AB)</f>
        <v>0</v>
      </c>
      <c r="V148" s="49">
        <f>_xlfn.XLOOKUP($B148,Entradas!$B:$B,Entradas!AC:AC,,0,1)</f>
        <v>45187</v>
      </c>
      <c r="W148" s="58">
        <f t="shared" si="14"/>
        <v>4</v>
      </c>
      <c r="X148" s="28" t="s">
        <v>10</v>
      </c>
      <c r="Y148" s="32">
        <f t="shared" si="10"/>
        <v>0</v>
      </c>
      <c r="Z148" s="33">
        <f t="shared" si="11"/>
        <v>2409.4300000000003</v>
      </c>
      <c r="AA148" s="34">
        <f t="shared" si="12"/>
        <v>1539.86</v>
      </c>
      <c r="AB148" s="28" t="s">
        <v>1813</v>
      </c>
      <c r="AC148" s="28" t="s">
        <v>1784</v>
      </c>
      <c r="AD148" s="29" t="str" cm="1">
        <f t="array" ref="AD148">_xlfn.IFS(L148&lt;=Constantes!$G$2,"Muito Curta (evitável)",L148&lt;=Constantes!$H$2,"Curta Distância",L148&gt;Constantes!$H$2,"Longa Distância")</f>
        <v>Longa Distância</v>
      </c>
      <c r="AE148" s="30" t="str">
        <f t="shared" si="13"/>
        <v>NÃO</v>
      </c>
      <c r="AF148" s="30">
        <f>SUMIF(Entradas!$B:$B,'Entrada Lvl 5-4 qt'!$B148,Entradas!$AG:$AG)</f>
        <v>1117.256973292067</v>
      </c>
      <c r="AG148" s="30"/>
      <c r="BD148" s="49"/>
      <c r="BE148" s="49"/>
    </row>
    <row r="149" spans="1:57" x14ac:dyDescent="0.3">
      <c r="A149">
        <f>_xlfn.XLOOKUP(B149,Entradas!B:B,Entradas!A:A,,0,-1)</f>
        <v>2</v>
      </c>
      <c r="B149">
        <v>19318681</v>
      </c>
      <c r="C149" t="str">
        <f>_xlfn.XLOOKUP($B149,Entradas!$B:$B,Entradas!C:C,,0,1)</f>
        <v>001174/23</v>
      </c>
      <c r="D149" t="str">
        <f>_xlfn.XLOOKUP($B149,Entradas!$B:$B,Entradas!D:D,,0,1)</f>
        <v>***.335.734-**</v>
      </c>
      <c r="E149" t="str">
        <f>_xlfn.XLOOKUP($B149,Entradas!$B:$B,Entradas!E:E,,0,1)</f>
        <v>MOISES DANTAS DOS SANTOS</v>
      </c>
      <c r="F149" t="str">
        <f>_xlfn.XLOOKUP($B149,Entradas!$B:$B,Entradas!F:F,,0,1)</f>
        <v>PROFESSOR DO MAGISTERIO SUPERIOR</v>
      </c>
      <c r="G149" t="str">
        <f>_xlfn.XLOOKUP($B149,Entradas!$B:$B,Entradas!G:G,,0,1)</f>
        <v>FUC-0001</v>
      </c>
      <c r="H149" t="str">
        <f>_xlfn.XLOOKUP($B149,Entradas!$B:$B,Entradas!H:H,,0,1)</f>
        <v>FUC-0001</v>
      </c>
      <c r="I149" s="49">
        <f>_xlfn.XLOOKUP($B149,Entradas!$B:$B,Entradas!I:I,,0,1)</f>
        <v>45207</v>
      </c>
      <c r="J149" s="49">
        <f>_xlfn.XLOOKUP($B149,Entradas!$B:$B,Entradas!J:J,,0,1)</f>
        <v>45210</v>
      </c>
      <c r="K149" t="str">
        <f>_xlfn.XLOOKUP($B149,Entradas!$B:$B,Entradas!K:K,,0,1)</f>
        <v>Participação do proposto no Seminário Meio Termo da CAPES, na qualidade de Coordenador do PPGEM/UFPB, que ocorrerá nos dias 09 e 10 de outubro de 2023, em Brasília/DF, conforme convite nos termos do Ofício Circular nº 18/2023-DAV/CAPES.</v>
      </c>
      <c r="L149">
        <f>SUMIF(Entradas!$B:$B,'Entrada Lvl 5-4 qt'!$B149,Entradas!S:S)</f>
        <v>3426.839982</v>
      </c>
      <c r="M149" t="str">
        <f>_xlfn.XLOOKUP($B149,Entradas!$B:$B,Entradas!T:T,,0,1)</f>
        <v>Aéreo</v>
      </c>
      <c r="N149" t="str">
        <f>_xlfn.XLOOKUP($B149,Entradas!$B:$B,Entradas!U:U,,0,1)</f>
        <v>Não</v>
      </c>
      <c r="O149" t="str">
        <f>_xlfn.XLOOKUP($B149,Entradas!$B:$B,Entradas!V:V,,0,1)</f>
        <v>Realizada</v>
      </c>
      <c r="P149" t="str">
        <f>_xlfn.XLOOKUP($B149,Entradas!$B:$B,Entradas!W:W,,0,1)</f>
        <v>NÃO</v>
      </c>
      <c r="Q149" t="str">
        <f>_xlfn.XLOOKUP($B149,Entradas!$B:$B,Entradas!X:X,,0,1)</f>
        <v>Sem informação</v>
      </c>
      <c r="R149" s="36">
        <f>SUMIF(Entradas!$B:$B,'Entrada Lvl 5-4 qt'!$B149,Entradas!Y:Y)</f>
        <v>1339.26</v>
      </c>
      <c r="S149" s="36">
        <f>SUMIF(Entradas!$B:$B,'Entrada Lvl 5-4 qt'!$B149,Entradas!Z:Z)</f>
        <v>0</v>
      </c>
      <c r="T149" s="36">
        <f>SUMIF(Entradas!$B:$B,'Entrada Lvl 5-4 qt'!$B149,Entradas!AA:AA)</f>
        <v>2297</v>
      </c>
      <c r="U149" s="36">
        <f>SUMIF(Entradas!$B:$B,'Entrada Lvl 5-4 qt'!$B149,Entradas!AB:AB)</f>
        <v>0</v>
      </c>
      <c r="V149" s="49">
        <f>_xlfn.XLOOKUP($B149,Entradas!$B:$B,Entradas!AC:AC,,0,1)</f>
        <v>45190</v>
      </c>
      <c r="W149" s="58">
        <f t="shared" si="14"/>
        <v>3</v>
      </c>
      <c r="X149" s="28" t="s">
        <v>10</v>
      </c>
      <c r="Y149" s="32">
        <f t="shared" si="10"/>
        <v>0</v>
      </c>
      <c r="Z149" s="33">
        <f t="shared" si="11"/>
        <v>2297</v>
      </c>
      <c r="AA149" s="34">
        <f t="shared" si="12"/>
        <v>1339.26</v>
      </c>
      <c r="AB149" s="28" t="s">
        <v>1813</v>
      </c>
      <c r="AC149" s="28" t="s">
        <v>1820</v>
      </c>
      <c r="AD149" s="29" t="str" cm="1">
        <f t="array" ref="AD149">_xlfn.IFS(L149&lt;=Constantes!$G$2,"Muito Curta (evitável)",L149&lt;=Constantes!$H$2,"Curta Distância",L149&gt;Constantes!$H$2,"Longa Distância")</f>
        <v>Curta Distância</v>
      </c>
      <c r="AE149" s="30" t="str">
        <f t="shared" si="13"/>
        <v>NÃO</v>
      </c>
      <c r="AF149" s="30">
        <f>SUMIF(Entradas!$B:$B,'Entrada Lvl 5-4 qt'!$B149,Entradas!$AG:$AG)</f>
        <v>626.66401501165365</v>
      </c>
      <c r="AG149" s="30"/>
      <c r="BD149" s="49"/>
      <c r="BE149" s="49"/>
    </row>
    <row r="150" spans="1:57" x14ac:dyDescent="0.3">
      <c r="A150">
        <f>_xlfn.XLOOKUP(B150,Entradas!B:B,Entradas!A:A,,0,-1)</f>
        <v>2</v>
      </c>
      <c r="B150">
        <v>19144173</v>
      </c>
      <c r="C150" t="str">
        <f>_xlfn.XLOOKUP($B150,Entradas!$B:$B,Entradas!C:C,,0,1)</f>
        <v>000859/23</v>
      </c>
      <c r="D150" t="str">
        <f>_xlfn.XLOOKUP($B150,Entradas!$B:$B,Entradas!D:D,,0,1)</f>
        <v>***.551.204-**</v>
      </c>
      <c r="E150" t="str">
        <f>_xlfn.XLOOKUP($B150,Entradas!$B:$B,Entradas!E:E,,0,1)</f>
        <v>MARIA JOSE NUNES GADELHA</v>
      </c>
      <c r="F150" t="str">
        <f>_xlfn.XLOOKUP($B150,Entradas!$B:$B,Entradas!F:F,,0,1)</f>
        <v>PROFESSOR DO MAGISTERIO SUPERIOR</v>
      </c>
      <c r="G150" t="str">
        <f>_xlfn.XLOOKUP($B150,Entradas!$B:$B,Entradas!G:G,,0,1)</f>
        <v>-1</v>
      </c>
      <c r="H150" t="str">
        <f>_xlfn.XLOOKUP($B150,Entradas!$B:$B,Entradas!H:H,,0,1)</f>
        <v>Sem informação</v>
      </c>
      <c r="I150" s="49">
        <f>_xlfn.XLOOKUP($B150,Entradas!$B:$B,Entradas!I:I,,0,1)</f>
        <v>45210</v>
      </c>
      <c r="J150" s="49">
        <f>_xlfn.XLOOKUP($B150,Entradas!$B:$B,Entradas!J:J,,0,1)</f>
        <v>45214</v>
      </c>
      <c r="K150" t="str">
        <f>_xlfn.XLOOKUP($B150,Entradas!$B:$B,Entradas!K:K,,0,1)</f>
        <v>A solicitação das diárias e passagens refere-se à participação da docente colaboradora do programa na XIII Reunião Anual do Instituto Brasileiro de Neuropsicologia (IBNeC), principal evento brasileiro para divulgação do conhecimento científico, reunindo diversos cientistas da área de Neurociências e Neuropsicologia do país. Possui relação direta com as atividades de ensino e pesquisa que a requerente vem desenvolvendo como colaboradora no Programa de Pós-graduação em Neurociência Cognitiva e Comportamento (PPGNeC/UFPB).</v>
      </c>
      <c r="L150">
        <f>SUMIF(Entradas!$B:$B,'Entrada Lvl 5-4 qt'!$B150,Entradas!S:S)</f>
        <v>4164.6737540000004</v>
      </c>
      <c r="M150" t="str">
        <f>_xlfn.XLOOKUP($B150,Entradas!$B:$B,Entradas!T:T,,0,1)</f>
        <v>Aéreo</v>
      </c>
      <c r="N150" t="str">
        <f>_xlfn.XLOOKUP($B150,Entradas!$B:$B,Entradas!U:U,,0,1)</f>
        <v>Sim</v>
      </c>
      <c r="O150" t="str">
        <f>_xlfn.XLOOKUP($B150,Entradas!$B:$B,Entradas!V:V,,0,1)</f>
        <v>Realizada</v>
      </c>
      <c r="P150" t="str">
        <f>_xlfn.XLOOKUP($B150,Entradas!$B:$B,Entradas!W:W,,0,1)</f>
        <v>NÃO</v>
      </c>
      <c r="Q150" t="str">
        <f>_xlfn.XLOOKUP($B150,Entradas!$B:$B,Entradas!X:X,,0,1)</f>
        <v>Sem informação</v>
      </c>
      <c r="R150" s="36">
        <f>SUMIF(Entradas!$B:$B,'Entrada Lvl 5-4 qt'!$B150,Entradas!Y:Y)</f>
        <v>1750.31</v>
      </c>
      <c r="S150" s="36">
        <f>SUMIF(Entradas!$B:$B,'Entrada Lvl 5-4 qt'!$B150,Entradas!Z:Z)</f>
        <v>0</v>
      </c>
      <c r="T150" s="36">
        <f>SUMIF(Entradas!$B:$B,'Entrada Lvl 5-4 qt'!$B150,Entradas!AA:AA)</f>
        <v>1998.27</v>
      </c>
      <c r="U150" s="36">
        <f>SUMIF(Entradas!$B:$B,'Entrada Lvl 5-4 qt'!$B150,Entradas!AB:AB)</f>
        <v>0</v>
      </c>
      <c r="V150" s="49">
        <f>_xlfn.XLOOKUP($B150,Entradas!$B:$B,Entradas!AC:AC,,0,1)</f>
        <v>45156</v>
      </c>
      <c r="W150" s="58">
        <f t="shared" si="14"/>
        <v>4</v>
      </c>
      <c r="X150" s="28" t="s">
        <v>10</v>
      </c>
      <c r="Y150" s="32">
        <f t="shared" si="10"/>
        <v>0</v>
      </c>
      <c r="Z150" s="33">
        <f t="shared" si="11"/>
        <v>1998.27</v>
      </c>
      <c r="AA150" s="34">
        <f t="shared" si="12"/>
        <v>1750.31</v>
      </c>
      <c r="AB150" s="28" t="s">
        <v>1814</v>
      </c>
      <c r="AC150" s="28" t="s">
        <v>1820</v>
      </c>
      <c r="AD150" s="29" t="str" cm="1">
        <f t="array" ref="AD150">_xlfn.IFS(L150&lt;=Constantes!$G$2,"Muito Curta (evitável)",L150&lt;=Constantes!$H$2,"Curta Distância",L150&gt;Constantes!$H$2,"Longa Distância")</f>
        <v>Longa Distância</v>
      </c>
      <c r="AE150" s="30" t="str">
        <f t="shared" si="13"/>
        <v>NÃO</v>
      </c>
      <c r="AF150" s="30">
        <f>SUMIF(Entradas!$B:$B,'Entrada Lvl 5-4 qt'!$B150,Entradas!$AG:$AG)</f>
        <v>761.5912005240798</v>
      </c>
      <c r="AG150" s="30"/>
      <c r="BD150" s="49"/>
      <c r="BE150" s="49"/>
    </row>
    <row r="151" spans="1:57" x14ac:dyDescent="0.3">
      <c r="A151">
        <f>_xlfn.XLOOKUP(B151,Entradas!B:B,Entradas!A:A,,0,-1)</f>
        <v>2</v>
      </c>
      <c r="B151">
        <v>19286033</v>
      </c>
      <c r="C151" t="str">
        <f>_xlfn.XLOOKUP($B151,Entradas!$B:$B,Entradas!C:C,,0,1)</f>
        <v>001126/23</v>
      </c>
      <c r="D151" t="str">
        <f>_xlfn.XLOOKUP($B151,Entradas!$B:$B,Entradas!D:D,,0,1)</f>
        <v>***.409.554-**</v>
      </c>
      <c r="E151" t="str">
        <f>_xlfn.XLOOKUP($B151,Entradas!$B:$B,Entradas!E:E,,0,1)</f>
        <v>TANIELSON RODRIGUES DA SILVA</v>
      </c>
      <c r="F151" t="str">
        <f>_xlfn.XLOOKUP($B151,Entradas!$B:$B,Entradas!F:F,,0,1)</f>
        <v/>
      </c>
      <c r="G151" t="str">
        <f>_xlfn.XLOOKUP($B151,Entradas!$B:$B,Entradas!G:G,,0,1)</f>
        <v>-1</v>
      </c>
      <c r="H151" t="str">
        <f>_xlfn.XLOOKUP($B151,Entradas!$B:$B,Entradas!H:H,,0,1)</f>
        <v>Sem informação</v>
      </c>
      <c r="I151" s="49">
        <f>_xlfn.XLOOKUP($B151,Entradas!$B:$B,Entradas!I:I,,0,1)</f>
        <v>45211</v>
      </c>
      <c r="J151" s="49">
        <f>_xlfn.XLOOKUP($B151,Entradas!$B:$B,Entradas!J:J,,0,1)</f>
        <v>45221</v>
      </c>
      <c r="K151" t="str">
        <f>_xlfn.XLOOKUP($B151,Entradas!$B:$B,Entradas!K:K,,0,1)</f>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v>
      </c>
      <c r="L151">
        <f>SUMIF(Entradas!$B:$B,'Entrada Lvl 5-4 qt'!$B151,Entradas!S:S)</f>
        <v>3262.9122579999998</v>
      </c>
      <c r="M151" t="str">
        <f>_xlfn.XLOOKUP($B151,Entradas!$B:$B,Entradas!T:T,,0,1)</f>
        <v>Aéreo</v>
      </c>
      <c r="N151" t="str">
        <f>_xlfn.XLOOKUP($B151,Entradas!$B:$B,Entradas!U:U,,0,1)</f>
        <v>Não</v>
      </c>
      <c r="O151" t="str">
        <f>_xlfn.XLOOKUP($B151,Entradas!$B:$B,Entradas!V:V,,0,1)</f>
        <v>Realizada</v>
      </c>
      <c r="P151" t="str">
        <f>_xlfn.XLOOKUP($B151,Entradas!$B:$B,Entradas!W:W,,0,1)</f>
        <v>SIM</v>
      </c>
      <c r="Q151" t="str">
        <f>_xlfn.XLOOKUP($B151,Entradas!$B:$B,Entradas!X:X,,0,1)</f>
        <v>Em detrimento do trâmite do empenho de diárias a colaboradores eventuais (1530652023NE003417), o qual foi apenas liberado no dia 02 de outubro de 2023, justifico a viagem emergencial.</v>
      </c>
      <c r="R151" s="36">
        <f>SUMIF(Entradas!$B:$B,'Entrada Lvl 5-4 qt'!$B151,Entradas!Y:Y)</f>
        <v>3294.57</v>
      </c>
      <c r="S151" s="36">
        <f>SUMIF(Entradas!$B:$B,'Entrada Lvl 5-4 qt'!$B151,Entradas!Z:Z)</f>
        <v>0</v>
      </c>
      <c r="T151" s="36">
        <f>SUMIF(Entradas!$B:$B,'Entrada Lvl 5-4 qt'!$B151,Entradas!AA:AA)</f>
        <v>4298.68</v>
      </c>
      <c r="U151" s="36">
        <f>SUMIF(Entradas!$B:$B,'Entrada Lvl 5-4 qt'!$B151,Entradas!AB:AB)</f>
        <v>0</v>
      </c>
      <c r="V151" s="49">
        <f>_xlfn.XLOOKUP($B151,Entradas!$B:$B,Entradas!AC:AC,,0,1)</f>
        <v>45202</v>
      </c>
      <c r="W151" s="58">
        <f t="shared" si="14"/>
        <v>10</v>
      </c>
      <c r="X151" s="28" t="s">
        <v>10</v>
      </c>
      <c r="Y151" s="32">
        <f t="shared" si="10"/>
        <v>0</v>
      </c>
      <c r="Z151" s="33">
        <f t="shared" si="11"/>
        <v>4298.68</v>
      </c>
      <c r="AA151" s="34">
        <f t="shared" si="12"/>
        <v>3294.57</v>
      </c>
      <c r="AB151" s="28" t="s">
        <v>1814</v>
      </c>
      <c r="AC151" s="28" t="s">
        <v>1821</v>
      </c>
      <c r="AD151" s="29" t="str" cm="1">
        <f t="array" ref="AD151">_xlfn.IFS(L151&lt;=Constantes!$G$2,"Muito Curta (evitável)",L151&lt;=Constantes!$H$2,"Curta Distância",L151&gt;Constantes!$H$2,"Longa Distância")</f>
        <v>Curta Distância</v>
      </c>
      <c r="AE151" s="30" t="str">
        <f t="shared" si="13"/>
        <v>NÃO</v>
      </c>
      <c r="AF151" s="30">
        <f>SUMIF(Entradas!$B:$B,'Entrada Lvl 5-4 qt'!$B151,Entradas!$AG:$AG)</f>
        <v>596.68665796167329</v>
      </c>
      <c r="AG151" s="30"/>
      <c r="BD151" s="49"/>
      <c r="BE151" s="49"/>
    </row>
    <row r="152" spans="1:57" x14ac:dyDescent="0.3">
      <c r="A152">
        <f>_xlfn.XLOOKUP(B152,Entradas!B:B,Entradas!A:A,,0,-1)</f>
        <v>2</v>
      </c>
      <c r="B152">
        <v>19295088</v>
      </c>
      <c r="C152" t="str">
        <f>_xlfn.XLOOKUP($B152,Entradas!$B:$B,Entradas!C:C,,0,1)</f>
        <v>001294/23</v>
      </c>
      <c r="D152" t="str">
        <f>_xlfn.XLOOKUP($B152,Entradas!$B:$B,Entradas!D:D,,0,1)</f>
        <v/>
      </c>
      <c r="E152" t="str">
        <f>_xlfn.XLOOKUP($B152,Entradas!$B:$B,Entradas!E:E,,0,1)</f>
        <v>FERNANDA SORAGGI SILVA</v>
      </c>
      <c r="F152" t="str">
        <f>_xlfn.XLOOKUP($B152,Entradas!$B:$B,Entradas!F:F,,0,1)</f>
        <v/>
      </c>
      <c r="G152" t="str">
        <f>_xlfn.XLOOKUP($B152,Entradas!$B:$B,Entradas!G:G,,0,1)</f>
        <v>-1</v>
      </c>
      <c r="H152" t="str">
        <f>_xlfn.XLOOKUP($B152,Entradas!$B:$B,Entradas!H:H,,0,1)</f>
        <v>Sem informação</v>
      </c>
      <c r="I152" s="49">
        <f>_xlfn.XLOOKUP($B152,Entradas!$B:$B,Entradas!I:I,,0,1)</f>
        <v>45211</v>
      </c>
      <c r="J152" s="49">
        <f>_xlfn.XLOOKUP($B152,Entradas!$B:$B,Entradas!J:J,,0,1)</f>
        <v>45221</v>
      </c>
      <c r="K152" t="str">
        <f>_xlfn.XLOOKUP($B152,Entradas!$B:$B,Entradas!K:K,,0,1)</f>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v>
      </c>
      <c r="L152">
        <f>SUMIF(Entradas!$B:$B,'Entrada Lvl 5-4 qt'!$B152,Entradas!S:S)</f>
        <v>3262.9122579999998</v>
      </c>
      <c r="M152" t="str">
        <f>_xlfn.XLOOKUP($B152,Entradas!$B:$B,Entradas!T:T,,0,1)</f>
        <v>Aéreo</v>
      </c>
      <c r="N152" t="str">
        <f>_xlfn.XLOOKUP($B152,Entradas!$B:$B,Entradas!U:U,,0,1)</f>
        <v>Não</v>
      </c>
      <c r="O152" t="str">
        <f>_xlfn.XLOOKUP($B152,Entradas!$B:$B,Entradas!V:V,,0,1)</f>
        <v>Realizada</v>
      </c>
      <c r="P152" t="str">
        <f>_xlfn.XLOOKUP($B152,Entradas!$B:$B,Entradas!W:W,,0,1)</f>
        <v>SIM</v>
      </c>
      <c r="Q152" t="str">
        <f>_xlfn.XLOOKUP($B152,Entradas!$B:$B,Entradas!X:X,,0,1)</f>
        <v>Em detrimento do trâmite do empenho de diárias a colaboradores eventuais, o qual foi apenas liberado no dia 02 de outubro de 2023, justifico a viagem emergencial.</v>
      </c>
      <c r="R152" s="36">
        <f>SUMIF(Entradas!$B:$B,'Entrada Lvl 5-4 qt'!$B152,Entradas!Y:Y)</f>
        <v>3294.57</v>
      </c>
      <c r="S152" s="36">
        <f>SUMIF(Entradas!$B:$B,'Entrada Lvl 5-4 qt'!$B152,Entradas!Z:Z)</f>
        <v>0</v>
      </c>
      <c r="T152" s="36">
        <f>SUMIF(Entradas!$B:$B,'Entrada Lvl 5-4 qt'!$B152,Entradas!AA:AA)</f>
        <v>4298.68</v>
      </c>
      <c r="U152" s="36">
        <f>SUMIF(Entradas!$B:$B,'Entrada Lvl 5-4 qt'!$B152,Entradas!AB:AB)</f>
        <v>0</v>
      </c>
      <c r="V152" s="49">
        <f>_xlfn.XLOOKUP($B152,Entradas!$B:$B,Entradas!AC:AC,,0,1)</f>
        <v>45202</v>
      </c>
      <c r="W152" s="58">
        <f t="shared" si="14"/>
        <v>10</v>
      </c>
      <c r="X152" s="28" t="s">
        <v>10</v>
      </c>
      <c r="Y152" s="32">
        <f t="shared" si="10"/>
        <v>0</v>
      </c>
      <c r="Z152" s="33">
        <f t="shared" si="11"/>
        <v>4298.68</v>
      </c>
      <c r="AA152" s="34">
        <f t="shared" si="12"/>
        <v>3294.57</v>
      </c>
      <c r="AB152" s="28" t="s">
        <v>1814</v>
      </c>
      <c r="AC152" s="28" t="s">
        <v>1821</v>
      </c>
      <c r="AD152" s="29" t="str" cm="1">
        <f t="array" ref="AD152">_xlfn.IFS(L152&lt;=Constantes!$G$2,"Muito Curta (evitável)",L152&lt;=Constantes!$H$2,"Curta Distância",L152&gt;Constantes!$H$2,"Longa Distância")</f>
        <v>Curta Distância</v>
      </c>
      <c r="AE152" s="30" t="str">
        <f t="shared" si="13"/>
        <v>NÃO</v>
      </c>
      <c r="AF152" s="30">
        <f>SUMIF(Entradas!$B:$B,'Entrada Lvl 5-4 qt'!$B152,Entradas!$AG:$AG)</f>
        <v>596.68665796167329</v>
      </c>
      <c r="AG152" s="30"/>
      <c r="BD152" s="49"/>
      <c r="BE152" s="49"/>
    </row>
    <row r="153" spans="1:57" x14ac:dyDescent="0.3">
      <c r="A153">
        <f>_xlfn.XLOOKUP(B153,Entradas!B:B,Entradas!A:A,,0,-1)</f>
        <v>2</v>
      </c>
      <c r="B153">
        <v>19259579</v>
      </c>
      <c r="C153" t="str">
        <f>_xlfn.XLOOKUP($B153,Entradas!$B:$B,Entradas!C:C,,0,1)</f>
        <v>001032/23</v>
      </c>
      <c r="D153" t="str">
        <f>_xlfn.XLOOKUP($B153,Entradas!$B:$B,Entradas!D:D,,0,1)</f>
        <v/>
      </c>
      <c r="E153" t="str">
        <f>_xlfn.XLOOKUP($B153,Entradas!$B:$B,Entradas!E:E,,0,1)</f>
        <v>JULIO CESAR DA SILVA</v>
      </c>
      <c r="F153" t="str">
        <f>_xlfn.XLOOKUP($B153,Entradas!$B:$B,Entradas!F:F,,0,1)</f>
        <v/>
      </c>
      <c r="G153" t="str">
        <f>_xlfn.XLOOKUP($B153,Entradas!$B:$B,Entradas!G:G,,0,1)</f>
        <v>-1</v>
      </c>
      <c r="H153" t="str">
        <f>_xlfn.XLOOKUP($B153,Entradas!$B:$B,Entradas!H:H,,0,1)</f>
        <v>Sem informação</v>
      </c>
      <c r="I153" s="49">
        <f>_xlfn.XLOOKUP($B153,Entradas!$B:$B,Entradas!I:I,,0,1)</f>
        <v>45213</v>
      </c>
      <c r="J153" s="49">
        <f>_xlfn.XLOOKUP($B153,Entradas!$B:$B,Entradas!J:J,,0,1)</f>
        <v>45218</v>
      </c>
      <c r="K153" t="str">
        <f>_xlfn.XLOOKUP($B153,Entradas!$B:$B,Entradas!K:K,,0,1)</f>
        <v>Participação e apresentação de trabalho acadêmico-científico no Simpósio Brasileiro de Automação Inteligente, SBAI 2023, que ocorrerá em Manaus/AM, no período de 15 a 18 de outubro de 2023.</v>
      </c>
      <c r="L153">
        <f>SUMIF(Entradas!$B:$B,'Entrada Lvl 5-4 qt'!$B153,Entradas!S:S)</f>
        <v>5634.1966119999997</v>
      </c>
      <c r="M153" t="str">
        <f>_xlfn.XLOOKUP($B153,Entradas!$B:$B,Entradas!T:T,,0,1)</f>
        <v>Aéreo</v>
      </c>
      <c r="N153" t="str">
        <f>_xlfn.XLOOKUP($B153,Entradas!$B:$B,Entradas!U:U,,0,1)</f>
        <v>Não</v>
      </c>
      <c r="O153" t="str">
        <f>_xlfn.XLOOKUP($B153,Entradas!$B:$B,Entradas!V:V,,0,1)</f>
        <v>Realizada</v>
      </c>
      <c r="P153" t="str">
        <f>_xlfn.XLOOKUP($B153,Entradas!$B:$B,Entradas!W:W,,0,1)</f>
        <v>NÃO</v>
      </c>
      <c r="Q153" t="str">
        <f>_xlfn.XLOOKUP($B153,Entradas!$B:$B,Entradas!X:X,,0,1)</f>
        <v>Sem informação</v>
      </c>
      <c r="R153" s="36">
        <f>SUMIF(Entradas!$B:$B,'Entrada Lvl 5-4 qt'!$B153,Entradas!Y:Y)</f>
        <v>0</v>
      </c>
      <c r="S153" s="36">
        <f>SUMIF(Entradas!$B:$B,'Entrada Lvl 5-4 qt'!$B153,Entradas!Z:Z)</f>
        <v>0</v>
      </c>
      <c r="T153" s="36">
        <f>SUMIF(Entradas!$B:$B,'Entrada Lvl 5-4 qt'!$B153,Entradas!AA:AA)</f>
        <v>3556.1099999999997</v>
      </c>
      <c r="U153" s="36">
        <f>SUMIF(Entradas!$B:$B,'Entrada Lvl 5-4 qt'!$B153,Entradas!AB:AB)</f>
        <v>0</v>
      </c>
      <c r="V153" s="49">
        <f>_xlfn.XLOOKUP($B153,Entradas!$B:$B,Entradas!AC:AC,,0,1)</f>
        <v>45182</v>
      </c>
      <c r="W153" s="58">
        <f t="shared" si="14"/>
        <v>5</v>
      </c>
      <c r="X153" s="28" t="s">
        <v>10</v>
      </c>
      <c r="Y153" s="32">
        <f t="shared" si="10"/>
        <v>0</v>
      </c>
      <c r="Z153" s="33">
        <f t="shared" si="11"/>
        <v>3556.1099999999997</v>
      </c>
      <c r="AA153" s="34">
        <f t="shared" si="12"/>
        <v>0</v>
      </c>
      <c r="AB153" s="28" t="s">
        <v>1814</v>
      </c>
      <c r="AC153" s="28" t="s">
        <v>1822</v>
      </c>
      <c r="AD153" s="29" t="str" cm="1">
        <f t="array" ref="AD153">_xlfn.IFS(L153&lt;=Constantes!$G$2,"Muito Curta (evitável)",L153&lt;=Constantes!$H$2,"Curta Distância",L153&gt;Constantes!$H$2,"Longa Distância")</f>
        <v>Longa Distância</v>
      </c>
      <c r="AE153" s="30" t="str">
        <f t="shared" si="13"/>
        <v>NÃO</v>
      </c>
      <c r="AF153" s="30">
        <f>SUMIF(Entradas!$B:$B,'Entrada Lvl 5-4 qt'!$B153,Entradas!$AG:$AG)</f>
        <v>1030.3218967873522</v>
      </c>
      <c r="AG153" s="30"/>
      <c r="BD153" s="49"/>
      <c r="BE153" s="49"/>
    </row>
    <row r="154" spans="1:57" x14ac:dyDescent="0.3">
      <c r="A154">
        <f>_xlfn.XLOOKUP(B154,Entradas!B:B,Entradas!A:A,,0,-1)</f>
        <v>2</v>
      </c>
      <c r="B154">
        <v>19293802</v>
      </c>
      <c r="C154" t="str">
        <f>_xlfn.XLOOKUP($B154,Entradas!$B:$B,Entradas!C:C,,0,1)</f>
        <v>001299/23</v>
      </c>
      <c r="D154" t="str">
        <f>_xlfn.XLOOKUP($B154,Entradas!$B:$B,Entradas!D:D,,0,1)</f>
        <v/>
      </c>
      <c r="E154" t="str">
        <f>_xlfn.XLOOKUP($B154,Entradas!$B:$B,Entradas!E:E,,0,1)</f>
        <v>MARILIA POKWYJ RIBEIRO DE SOUSA KRAHO</v>
      </c>
      <c r="F154" t="str">
        <f>_xlfn.XLOOKUP($B154,Entradas!$B:$B,Entradas!F:F,,0,1)</f>
        <v/>
      </c>
      <c r="G154" t="str">
        <f>_xlfn.XLOOKUP($B154,Entradas!$B:$B,Entradas!G:G,,0,1)</f>
        <v>-1</v>
      </c>
      <c r="H154" t="str">
        <f>_xlfn.XLOOKUP($B154,Entradas!$B:$B,Entradas!H:H,,0,1)</f>
        <v>Sem informação</v>
      </c>
      <c r="I154" s="49">
        <f>_xlfn.XLOOKUP($B154,Entradas!$B:$B,Entradas!I:I,,0,1)</f>
        <v>45213</v>
      </c>
      <c r="J154" s="49">
        <f>_xlfn.XLOOKUP($B154,Entradas!$B:$B,Entradas!J:J,,0,1)</f>
        <v>45221</v>
      </c>
      <c r="K154" t="str">
        <f>_xlfn.XLOOKUP($B154,Entradas!$B:$B,Entradas!K:K,,0,1)</f>
        <v>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v>
      </c>
      <c r="L154">
        <f>SUMIF(Entradas!$B:$B,'Entrada Lvl 5-4 qt'!$B154,Entradas!S:S)</f>
        <v>3030.0198380000002</v>
      </c>
      <c r="M154" t="str">
        <f>_xlfn.XLOOKUP($B154,Entradas!$B:$B,Entradas!T:T,,0,1)</f>
        <v>Aéreo</v>
      </c>
      <c r="N154" t="str">
        <f>_xlfn.XLOOKUP($B154,Entradas!$B:$B,Entradas!U:U,,0,1)</f>
        <v>Não</v>
      </c>
      <c r="O154" t="str">
        <f>_xlfn.XLOOKUP($B154,Entradas!$B:$B,Entradas!V:V,,0,1)</f>
        <v>Realizada</v>
      </c>
      <c r="P154" t="str">
        <f>_xlfn.XLOOKUP($B154,Entradas!$B:$B,Entradas!W:W,,0,1)</f>
        <v>SIM</v>
      </c>
      <c r="Q154" t="str">
        <f>_xlfn.XLOOKUP($B154,Entradas!$B:$B,Entradas!X:X,,0,1)</f>
        <v>Em detrimento do trâmite do empenho de diárias a colaboradores eventuais (1530652023NE003417), o qual foi apenas liberado no dia 02 de outubro de 2023, justifico a viagem emergencial.</v>
      </c>
      <c r="R154" s="36">
        <f>SUMIF(Entradas!$B:$B,'Entrada Lvl 5-4 qt'!$B154,Entradas!Y:Y)</f>
        <v>2652.65</v>
      </c>
      <c r="S154" s="36">
        <f>SUMIF(Entradas!$B:$B,'Entrada Lvl 5-4 qt'!$B154,Entradas!Z:Z)</f>
        <v>0</v>
      </c>
      <c r="T154" s="36">
        <f>SUMIF(Entradas!$B:$B,'Entrada Lvl 5-4 qt'!$B154,Entradas!AA:AA)</f>
        <v>2389.6800000000003</v>
      </c>
      <c r="U154" s="36">
        <f>SUMIF(Entradas!$B:$B,'Entrada Lvl 5-4 qt'!$B154,Entradas!AB:AB)</f>
        <v>0</v>
      </c>
      <c r="V154" s="49">
        <f>_xlfn.XLOOKUP($B154,Entradas!$B:$B,Entradas!AC:AC,,0,1)</f>
        <v>45203</v>
      </c>
      <c r="W154" s="58">
        <f t="shared" si="14"/>
        <v>8</v>
      </c>
      <c r="X154" s="28" t="s">
        <v>10</v>
      </c>
      <c r="Y154" s="32">
        <f t="shared" si="10"/>
        <v>0</v>
      </c>
      <c r="Z154" s="33">
        <f t="shared" si="11"/>
        <v>2389.6800000000003</v>
      </c>
      <c r="AA154" s="34">
        <f t="shared" si="12"/>
        <v>2652.65</v>
      </c>
      <c r="AB154" s="28" t="s">
        <v>1814</v>
      </c>
      <c r="AC154" s="28" t="s">
        <v>1821</v>
      </c>
      <c r="AD154" s="29" t="str" cm="1">
        <f t="array" ref="AD154">_xlfn.IFS(L154&lt;=Constantes!$G$2,"Muito Curta (evitável)",L154&lt;=Constantes!$H$2,"Curta Distância",L154&gt;Constantes!$H$2,"Longa Distância")</f>
        <v>Curta Distância</v>
      </c>
      <c r="AE154" s="30" t="str">
        <f t="shared" si="13"/>
        <v>NÃO</v>
      </c>
      <c r="AF154" s="30">
        <f>SUMIF(Entradas!$B:$B,'Entrada Lvl 5-4 qt'!$B154,Entradas!$AG:$AG)</f>
        <v>554.09777148037267</v>
      </c>
      <c r="AG154" s="30"/>
      <c r="BD154" s="49"/>
      <c r="BE154" s="49"/>
    </row>
    <row r="155" spans="1:57" x14ac:dyDescent="0.3">
      <c r="A155">
        <f>_xlfn.XLOOKUP(B155,Entradas!B:B,Entradas!A:A,,0,-1)</f>
        <v>2</v>
      </c>
      <c r="B155">
        <v>19119278</v>
      </c>
      <c r="C155" t="str">
        <f>_xlfn.XLOOKUP($B155,Entradas!$B:$B,Entradas!C:C,,0,1)</f>
        <v>000665/23</v>
      </c>
      <c r="D155" t="str">
        <f>_xlfn.XLOOKUP($B155,Entradas!$B:$B,Entradas!D:D,,0,1)</f>
        <v>***.103.474-**</v>
      </c>
      <c r="E155" t="str">
        <f>_xlfn.XLOOKUP($B155,Entradas!$B:$B,Entradas!E:E,,0,1)</f>
        <v>HIDELBRANDO JOSE FARKAT DIOGENES</v>
      </c>
      <c r="F155" t="str">
        <f>_xlfn.XLOOKUP($B155,Entradas!$B:$B,Entradas!F:F,,0,1)</f>
        <v>PROFESSOR DO MAGISTERIO SUPERIOR</v>
      </c>
      <c r="G155" t="str">
        <f>_xlfn.XLOOKUP($B155,Entradas!$B:$B,Entradas!G:G,,0,1)</f>
        <v>FUC-0001</v>
      </c>
      <c r="H155" t="str">
        <f>_xlfn.XLOOKUP($B155,Entradas!$B:$B,Entradas!H:H,,0,1)</f>
        <v>FUC-0001</v>
      </c>
      <c r="I155" s="49">
        <f>_xlfn.XLOOKUP($B155,Entradas!$B:$B,Entradas!I:I,,0,1)</f>
        <v>45214</v>
      </c>
      <c r="J155" s="49">
        <f>_xlfn.XLOOKUP($B155,Entradas!$B:$B,Entradas!J:J,,0,1)</f>
        <v>45217</v>
      </c>
      <c r="K155" t="str">
        <f>_xlfn.XLOOKUP($B155,Entradas!$B:$B,Entradas!K:K,,0,1)</f>
        <v>Trata-se da participação no Seminário de Meio Termo da CAPES, representando o PPGECAM.</v>
      </c>
      <c r="L155">
        <f>SUMIF(Entradas!$B:$B,'Entrada Lvl 5-4 qt'!$B155,Entradas!S:S)</f>
        <v>3426.839982</v>
      </c>
      <c r="M155" t="str">
        <f>_xlfn.XLOOKUP($B155,Entradas!$B:$B,Entradas!T:T,,0,1)</f>
        <v>Aéreo</v>
      </c>
      <c r="N155" t="str">
        <f>_xlfn.XLOOKUP($B155,Entradas!$B:$B,Entradas!U:U,,0,1)</f>
        <v>Sim</v>
      </c>
      <c r="O155" t="str">
        <f>_xlfn.XLOOKUP($B155,Entradas!$B:$B,Entradas!V:V,,0,1)</f>
        <v>Realizada</v>
      </c>
      <c r="P155" t="str">
        <f>_xlfn.XLOOKUP($B155,Entradas!$B:$B,Entradas!W:W,,0,1)</f>
        <v>NÃO</v>
      </c>
      <c r="Q155" t="str">
        <f>_xlfn.XLOOKUP($B155,Entradas!$B:$B,Entradas!X:X,,0,1)</f>
        <v>Sem informação</v>
      </c>
      <c r="R155" s="36">
        <f>SUMIF(Entradas!$B:$B,'Entrada Lvl 5-4 qt'!$B155,Entradas!Y:Y)</f>
        <v>1339.26</v>
      </c>
      <c r="S155" s="36">
        <f>SUMIF(Entradas!$B:$B,'Entrada Lvl 5-4 qt'!$B155,Entradas!Z:Z)</f>
        <v>0</v>
      </c>
      <c r="T155" s="36">
        <f>SUMIF(Entradas!$B:$B,'Entrada Lvl 5-4 qt'!$B155,Entradas!AA:AA)</f>
        <v>2832</v>
      </c>
      <c r="U155" s="36">
        <f>SUMIF(Entradas!$B:$B,'Entrada Lvl 5-4 qt'!$B155,Entradas!AB:AB)</f>
        <v>0</v>
      </c>
      <c r="V155" s="49">
        <f>_xlfn.XLOOKUP($B155,Entradas!$B:$B,Entradas!AC:AC,,0,1)</f>
        <v>45133</v>
      </c>
      <c r="W155" s="58">
        <f t="shared" si="14"/>
        <v>3</v>
      </c>
      <c r="X155" s="28" t="s">
        <v>10</v>
      </c>
      <c r="Y155" s="32">
        <f t="shared" si="10"/>
        <v>0</v>
      </c>
      <c r="Z155" s="33">
        <f t="shared" si="11"/>
        <v>2832</v>
      </c>
      <c r="AA155" s="34">
        <f t="shared" si="12"/>
        <v>1339.26</v>
      </c>
      <c r="AB155" s="28" t="s">
        <v>1813</v>
      </c>
      <c r="AC155" s="28" t="s">
        <v>1784</v>
      </c>
      <c r="AD155" s="29" t="str" cm="1">
        <f t="array" ref="AD155">_xlfn.IFS(L155&lt;=Constantes!$G$2,"Muito Curta (evitável)",L155&lt;=Constantes!$H$2,"Curta Distância",L155&gt;Constantes!$H$2,"Longa Distância")</f>
        <v>Curta Distância</v>
      </c>
      <c r="AE155" s="30" t="str">
        <f t="shared" si="13"/>
        <v>NÃO</v>
      </c>
      <c r="AF155" s="30">
        <f>SUMIF(Entradas!$B:$B,'Entrada Lvl 5-4 qt'!$B155,Entradas!$AG:$AG)</f>
        <v>626.66401501165365</v>
      </c>
      <c r="AG155" s="30"/>
      <c r="BD155" s="49"/>
      <c r="BE155" s="49"/>
    </row>
    <row r="156" spans="1:57" x14ac:dyDescent="0.3">
      <c r="A156">
        <f>_xlfn.XLOOKUP(B156,Entradas!B:B,Entradas!A:A,,0,-1)</f>
        <v>2</v>
      </c>
      <c r="B156">
        <v>19123862</v>
      </c>
      <c r="C156" t="str">
        <f>_xlfn.XLOOKUP($B156,Entradas!$B:$B,Entradas!C:C,,0,1)</f>
        <v>000679/23</v>
      </c>
      <c r="D156" t="str">
        <f>_xlfn.XLOOKUP($B156,Entradas!$B:$B,Entradas!D:D,,0,1)</f>
        <v>***.434.124-**</v>
      </c>
      <c r="E156" t="str">
        <f>_xlfn.XLOOKUP($B156,Entradas!$B:$B,Entradas!E:E,,0,1)</f>
        <v>ANDREA FARIAS DE ALMEIDA</v>
      </c>
      <c r="F156" t="str">
        <f>_xlfn.XLOOKUP($B156,Entradas!$B:$B,Entradas!F:F,,0,1)</f>
        <v>PROFESSOR DO MAGISTERIO SUPERIOR</v>
      </c>
      <c r="G156" t="str">
        <f>_xlfn.XLOOKUP($B156,Entradas!$B:$B,Entradas!G:G,,0,1)</f>
        <v>FUC-0001</v>
      </c>
      <c r="H156" t="str">
        <f>_xlfn.XLOOKUP($B156,Entradas!$B:$B,Entradas!H:H,,0,1)</f>
        <v>FUC-0001</v>
      </c>
      <c r="I156" s="49">
        <f>_xlfn.XLOOKUP($B156,Entradas!$B:$B,Entradas!I:I,,0,1)</f>
        <v>45214</v>
      </c>
      <c r="J156" s="49">
        <f>_xlfn.XLOOKUP($B156,Entradas!$B:$B,Entradas!J:J,,0,1)</f>
        <v>45217</v>
      </c>
      <c r="K156" t="str">
        <f>_xlfn.XLOOKUP($B156,Entradas!$B:$B,Entradas!K:K,,0,1)</f>
        <v>Participação no Seminário de Meio Termo da CAPES da área de Engenharias II como coordenadora do Programa de Pós-Graduação em Engenharia Química da UFPB.</v>
      </c>
      <c r="L156">
        <f>SUMIF(Entradas!$B:$B,'Entrada Lvl 5-4 qt'!$B156,Entradas!S:S)</f>
        <v>3426.839982</v>
      </c>
      <c r="M156" t="str">
        <f>_xlfn.XLOOKUP($B156,Entradas!$B:$B,Entradas!T:T,,0,1)</f>
        <v>Aéreo</v>
      </c>
      <c r="N156" t="str">
        <f>_xlfn.XLOOKUP($B156,Entradas!$B:$B,Entradas!U:U,,0,1)</f>
        <v>Sim</v>
      </c>
      <c r="O156" t="str">
        <f>_xlfn.XLOOKUP($B156,Entradas!$B:$B,Entradas!V:V,,0,1)</f>
        <v>Realizada</v>
      </c>
      <c r="P156" t="str">
        <f>_xlfn.XLOOKUP($B156,Entradas!$B:$B,Entradas!W:W,,0,1)</f>
        <v>NÃO</v>
      </c>
      <c r="Q156" t="str">
        <f>_xlfn.XLOOKUP($B156,Entradas!$B:$B,Entradas!X:X,,0,1)</f>
        <v>Sem informação</v>
      </c>
      <c r="R156" s="36">
        <f>SUMIF(Entradas!$B:$B,'Entrada Lvl 5-4 qt'!$B156,Entradas!Y:Y)</f>
        <v>1339.26</v>
      </c>
      <c r="S156" s="36">
        <f>SUMIF(Entradas!$B:$B,'Entrada Lvl 5-4 qt'!$B156,Entradas!Z:Z)</f>
        <v>0</v>
      </c>
      <c r="T156" s="36">
        <f>SUMIF(Entradas!$B:$B,'Entrada Lvl 5-4 qt'!$B156,Entradas!AA:AA)</f>
        <v>2453.1</v>
      </c>
      <c r="U156" s="36">
        <f>SUMIF(Entradas!$B:$B,'Entrada Lvl 5-4 qt'!$B156,Entradas!AB:AB)</f>
        <v>0</v>
      </c>
      <c r="V156" s="49">
        <f>_xlfn.XLOOKUP($B156,Entradas!$B:$B,Entradas!AC:AC,,0,1)</f>
        <v>45139</v>
      </c>
      <c r="W156" s="58">
        <f t="shared" si="14"/>
        <v>3</v>
      </c>
      <c r="X156" s="28" t="s">
        <v>10</v>
      </c>
      <c r="Y156" s="32">
        <f t="shared" si="10"/>
        <v>0</v>
      </c>
      <c r="Z156" s="33">
        <f t="shared" si="11"/>
        <v>2453.1</v>
      </c>
      <c r="AA156" s="34">
        <f t="shared" si="12"/>
        <v>1339.26</v>
      </c>
      <c r="AB156" s="28" t="s">
        <v>1813</v>
      </c>
      <c r="AC156" s="28" t="s">
        <v>1784</v>
      </c>
      <c r="AD156" s="29" t="str" cm="1">
        <f t="array" ref="AD156">_xlfn.IFS(L156&lt;=Constantes!$G$2,"Muito Curta (evitável)",L156&lt;=Constantes!$H$2,"Curta Distância",L156&gt;Constantes!$H$2,"Longa Distância")</f>
        <v>Curta Distância</v>
      </c>
      <c r="AE156" s="30" t="str">
        <f t="shared" si="13"/>
        <v>NÃO</v>
      </c>
      <c r="AF156" s="30">
        <f>SUMIF(Entradas!$B:$B,'Entrada Lvl 5-4 qt'!$B156,Entradas!$AG:$AG)</f>
        <v>626.66401501165365</v>
      </c>
      <c r="AG156" s="30"/>
      <c r="BD156" s="49"/>
      <c r="BE156" s="49"/>
    </row>
    <row r="157" spans="1:57" x14ac:dyDescent="0.3">
      <c r="A157">
        <f>_xlfn.XLOOKUP(B157,Entradas!B:B,Entradas!A:A,,0,-1)</f>
        <v>2</v>
      </c>
      <c r="B157">
        <v>19274544</v>
      </c>
      <c r="C157" t="str">
        <f>_xlfn.XLOOKUP($B157,Entradas!$B:$B,Entradas!C:C,,0,1)</f>
        <v>001066/23</v>
      </c>
      <c r="D157" t="str">
        <f>_xlfn.XLOOKUP($B157,Entradas!$B:$B,Entradas!D:D,,0,1)</f>
        <v>***.520.944-**</v>
      </c>
      <c r="E157" t="str">
        <f>_xlfn.XLOOKUP($B157,Entradas!$B:$B,Entradas!E:E,,0,1)</f>
        <v>DANIEL ARAUJO DE MACEDO</v>
      </c>
      <c r="F157" t="str">
        <f>_xlfn.XLOOKUP($B157,Entradas!$B:$B,Entradas!F:F,,0,1)</f>
        <v>PROFESSOR DO MAGISTERIO SUPERIOR</v>
      </c>
      <c r="G157" t="str">
        <f>_xlfn.XLOOKUP($B157,Entradas!$B:$B,Entradas!G:G,,0,1)</f>
        <v>FUC-0001</v>
      </c>
      <c r="H157" t="str">
        <f>_xlfn.XLOOKUP($B157,Entradas!$B:$B,Entradas!H:H,,0,1)</f>
        <v>FUC-0001</v>
      </c>
      <c r="I157" s="49">
        <f>_xlfn.XLOOKUP($B157,Entradas!$B:$B,Entradas!I:I,,0,1)</f>
        <v>45214</v>
      </c>
      <c r="J157" s="49">
        <f>_xlfn.XLOOKUP($B157,Entradas!$B:$B,Entradas!J:J,,0,1)</f>
        <v>45217</v>
      </c>
      <c r="K157" t="str">
        <f>_xlfn.XLOOKUP($B157,Entradas!$B:$B,Entradas!K:K,,0,1)</f>
        <v>O Coordenador do PPCEM participará do Seminário de Meio Termo da CAPES</v>
      </c>
      <c r="L157">
        <f>SUMIF(Entradas!$B:$B,'Entrada Lvl 5-4 qt'!$B157,Entradas!S:S)</f>
        <v>3426.839982</v>
      </c>
      <c r="M157" t="str">
        <f>_xlfn.XLOOKUP($B157,Entradas!$B:$B,Entradas!T:T,,0,1)</f>
        <v>Aéreo</v>
      </c>
      <c r="N157" t="str">
        <f>_xlfn.XLOOKUP($B157,Entradas!$B:$B,Entradas!U:U,,0,1)</f>
        <v>Não</v>
      </c>
      <c r="O157" t="str">
        <f>_xlfn.XLOOKUP($B157,Entradas!$B:$B,Entradas!V:V,,0,1)</f>
        <v>Realizada</v>
      </c>
      <c r="P157" t="str">
        <f>_xlfn.XLOOKUP($B157,Entradas!$B:$B,Entradas!W:W,,0,1)</f>
        <v>NÃO</v>
      </c>
      <c r="Q157" t="str">
        <f>_xlfn.XLOOKUP($B157,Entradas!$B:$B,Entradas!X:X,,0,1)</f>
        <v>Sem informação</v>
      </c>
      <c r="R157" s="36">
        <f>SUMIF(Entradas!$B:$B,'Entrada Lvl 5-4 qt'!$B157,Entradas!Y:Y)</f>
        <v>1339.26</v>
      </c>
      <c r="S157" s="36">
        <f>SUMIF(Entradas!$B:$B,'Entrada Lvl 5-4 qt'!$B157,Entradas!Z:Z)</f>
        <v>0</v>
      </c>
      <c r="T157" s="36">
        <f>SUMIF(Entradas!$B:$B,'Entrada Lvl 5-4 qt'!$B157,Entradas!AA:AA)</f>
        <v>3446.5</v>
      </c>
      <c r="U157" s="36">
        <f>SUMIF(Entradas!$B:$B,'Entrada Lvl 5-4 qt'!$B157,Entradas!AB:AB)</f>
        <v>0</v>
      </c>
      <c r="V157" s="49">
        <f>_xlfn.XLOOKUP($B157,Entradas!$B:$B,Entradas!AC:AC,,0,1)</f>
        <v>45182</v>
      </c>
      <c r="W157" s="58">
        <f t="shared" si="14"/>
        <v>3</v>
      </c>
      <c r="X157" s="28" t="s">
        <v>10</v>
      </c>
      <c r="Y157" s="32">
        <f t="shared" si="10"/>
        <v>0</v>
      </c>
      <c r="Z157" s="33">
        <f t="shared" si="11"/>
        <v>3446.5</v>
      </c>
      <c r="AA157" s="34">
        <f t="shared" si="12"/>
        <v>1339.26</v>
      </c>
      <c r="AB157" s="28" t="s">
        <v>1813</v>
      </c>
      <c r="AC157" s="28" t="s">
        <v>1784</v>
      </c>
      <c r="AD157" s="29" t="str" cm="1">
        <f t="array" ref="AD157">_xlfn.IFS(L157&lt;=Constantes!$G$2,"Muito Curta (evitável)",L157&lt;=Constantes!$H$2,"Curta Distância",L157&gt;Constantes!$H$2,"Longa Distância")</f>
        <v>Curta Distância</v>
      </c>
      <c r="AE157" s="30" t="str">
        <f t="shared" si="13"/>
        <v>NÃO</v>
      </c>
      <c r="AF157" s="30">
        <f>SUMIF(Entradas!$B:$B,'Entrada Lvl 5-4 qt'!$B157,Entradas!$AG:$AG)</f>
        <v>626.66401501165365</v>
      </c>
      <c r="AG157" s="30"/>
      <c r="BD157" s="49"/>
      <c r="BE157" s="49"/>
    </row>
    <row r="158" spans="1:57" x14ac:dyDescent="0.3">
      <c r="A158">
        <f>_xlfn.XLOOKUP(B158,Entradas!B:B,Entradas!A:A,,0,-1)</f>
        <v>2</v>
      </c>
      <c r="B158">
        <v>19309933</v>
      </c>
      <c r="C158" t="str">
        <f>_xlfn.XLOOKUP($B158,Entradas!$B:$B,Entradas!C:C,,0,1)</f>
        <v>001298/23</v>
      </c>
      <c r="D158" t="str">
        <f>_xlfn.XLOOKUP($B158,Entradas!$B:$B,Entradas!D:D,,0,1)</f>
        <v>***.170.872-**</v>
      </c>
      <c r="E158" t="str">
        <f>_xlfn.XLOOKUP($B158,Entradas!$B:$B,Entradas!E:E,,0,1)</f>
        <v>ARLINDO ALEMAO GREGORIO</v>
      </c>
      <c r="F158" t="str">
        <f>_xlfn.XLOOKUP($B158,Entradas!$B:$B,Entradas!F:F,,0,1)</f>
        <v/>
      </c>
      <c r="G158" t="str">
        <f>_xlfn.XLOOKUP($B158,Entradas!$B:$B,Entradas!G:G,,0,1)</f>
        <v>-1</v>
      </c>
      <c r="H158" t="str">
        <f>_xlfn.XLOOKUP($B158,Entradas!$B:$B,Entradas!H:H,,0,1)</f>
        <v>Sem informação</v>
      </c>
      <c r="I158" s="49">
        <f>_xlfn.XLOOKUP($B158,Entradas!$B:$B,Entradas!I:I,,0,1)</f>
        <v>45214</v>
      </c>
      <c r="J158" s="49">
        <f>_xlfn.XLOOKUP($B158,Entradas!$B:$B,Entradas!J:J,,0,1)</f>
        <v>45219</v>
      </c>
      <c r="K158" t="str">
        <f>_xlfn.XLOOKUP($B158,Entradas!$B:$B,Entradas!K:K,,0,1)</f>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v>
      </c>
      <c r="L158">
        <f>SUMIF(Entradas!$B:$B,'Entrada Lvl 5-4 qt'!$B158,Entradas!S:S)</f>
        <v>4387.7299999999996</v>
      </c>
      <c r="M158" t="str">
        <f>_xlfn.XLOOKUP($B158,Entradas!$B:$B,Entradas!T:T,,0,1)</f>
        <v>Aéreo</v>
      </c>
      <c r="N158" t="str">
        <f>_xlfn.XLOOKUP($B158,Entradas!$B:$B,Entradas!U:U,,0,1)</f>
        <v>Não</v>
      </c>
      <c r="O158" t="str">
        <f>_xlfn.XLOOKUP($B158,Entradas!$B:$B,Entradas!V:V,,0,1)</f>
        <v>Realizada</v>
      </c>
      <c r="P158" t="str">
        <f>_xlfn.XLOOKUP($B158,Entradas!$B:$B,Entradas!W:W,,0,1)</f>
        <v>SIM</v>
      </c>
      <c r="Q158" t="str">
        <f>_xlfn.XLOOKUP($B158,Entradas!$B:$B,Entradas!X:X,,0,1)</f>
        <v>Em detrimento do trâmite do empenho de diárias a colaboradores eventuais (1530652023NE003417), o qual foi apenas liberado no dia 02 de outubro de 2023, justifico a viagem emergencial.</v>
      </c>
      <c r="R158" s="36">
        <f>SUMIF(Entradas!$B:$B,'Entrada Lvl 5-4 qt'!$B158,Entradas!Y:Y)</f>
        <v>1749.95</v>
      </c>
      <c r="S158" s="36">
        <f>SUMIF(Entradas!$B:$B,'Entrada Lvl 5-4 qt'!$B158,Entradas!Z:Z)</f>
        <v>0</v>
      </c>
      <c r="T158" s="36">
        <f>SUMIF(Entradas!$B:$B,'Entrada Lvl 5-4 qt'!$B158,Entradas!AA:AA)</f>
        <v>4076.6400000000003</v>
      </c>
      <c r="U158" s="36">
        <f>SUMIF(Entradas!$B:$B,'Entrada Lvl 5-4 qt'!$B158,Entradas!AB:AB)</f>
        <v>0</v>
      </c>
      <c r="V158" s="49">
        <f>_xlfn.XLOOKUP($B158,Entradas!$B:$B,Entradas!AC:AC,,0,1)</f>
        <v>45205</v>
      </c>
      <c r="W158" s="58">
        <f t="shared" si="14"/>
        <v>5</v>
      </c>
      <c r="X158" s="28" t="s">
        <v>10</v>
      </c>
      <c r="Y158" s="32">
        <f t="shared" si="10"/>
        <v>0</v>
      </c>
      <c r="Z158" s="33">
        <f t="shared" si="11"/>
        <v>4076.6400000000003</v>
      </c>
      <c r="AA158" s="34">
        <f t="shared" si="12"/>
        <v>1749.95</v>
      </c>
      <c r="AB158" s="28" t="s">
        <v>1814</v>
      </c>
      <c r="AC158" s="28" t="s">
        <v>1821</v>
      </c>
      <c r="AD158" s="29" t="str" cm="1">
        <f t="array" ref="AD158">_xlfn.IFS(L158&lt;=Constantes!$G$2,"Muito Curta (evitável)",L158&lt;=Constantes!$H$2,"Curta Distância",L158&gt;Constantes!$H$2,"Longa Distância")</f>
        <v>Longa Distância</v>
      </c>
      <c r="AE158" s="30" t="str">
        <f t="shared" si="13"/>
        <v>NÃO</v>
      </c>
      <c r="AF158" s="30">
        <f>SUMIF(Entradas!$B:$B,'Entrada Lvl 5-4 qt'!$B158,Entradas!$AG:$AG)</f>
        <v>802.381352216604</v>
      </c>
      <c r="AG158" s="30"/>
      <c r="BD158" s="49"/>
      <c r="BE158" s="49"/>
    </row>
    <row r="159" spans="1:57" x14ac:dyDescent="0.3">
      <c r="A159">
        <f>_xlfn.XLOOKUP(B159,Entradas!B:B,Entradas!A:A,,0,-1)</f>
        <v>2</v>
      </c>
      <c r="B159">
        <v>19311024</v>
      </c>
      <c r="C159" t="str">
        <f>_xlfn.XLOOKUP($B159,Entradas!$B:$B,Entradas!C:C,,0,1)</f>
        <v>001309/23</v>
      </c>
      <c r="D159" t="str">
        <f>_xlfn.XLOOKUP($B159,Entradas!$B:$B,Entradas!D:D,,0,1)</f>
        <v>***.086.902-**</v>
      </c>
      <c r="E159" t="str">
        <f>_xlfn.XLOOKUP($B159,Entradas!$B:$B,Entradas!E:E,,0,1)</f>
        <v>LUANA DA SILVA CARDOSO</v>
      </c>
      <c r="F159" t="str">
        <f>_xlfn.XLOOKUP($B159,Entradas!$B:$B,Entradas!F:F,,0,1)</f>
        <v/>
      </c>
      <c r="G159" t="str">
        <f>_xlfn.XLOOKUP($B159,Entradas!$B:$B,Entradas!G:G,,0,1)</f>
        <v>-1</v>
      </c>
      <c r="H159" t="str">
        <f>_xlfn.XLOOKUP($B159,Entradas!$B:$B,Entradas!H:H,,0,1)</f>
        <v>Sem informação</v>
      </c>
      <c r="I159" s="49">
        <f>_xlfn.XLOOKUP($B159,Entradas!$B:$B,Entradas!I:I,,0,1)</f>
        <v>45214</v>
      </c>
      <c r="J159" s="49">
        <f>_xlfn.XLOOKUP($B159,Entradas!$B:$B,Entradas!J:J,,0,1)</f>
        <v>45220</v>
      </c>
      <c r="K159" t="str">
        <f>_xlfn.XLOOKUP($B159,Entradas!$B:$B,Entradas!K:K,,0,1)</f>
        <v>Proposto convidado para participar do X ENEI POTIGUARA, em Rio Tinto - PB. Foi uma das organizadoras do IV ENEI/2016 realizado na UFOPA (Universidade Federal do Oeste do Pará), foi a primeira mulher indígena a forma no curso de Antropologia, por isso o Centro Acadêmico de Antropologia em homenagem carrega o nome Luana Kumaruara. Foi Co-fundadora do DAIN (Diretório Acadêmico Indígena/UFOPA) e Co-fundaddora da ABIA (Articulação Brasileira de Indígenas Antropólogos).</v>
      </c>
      <c r="L159">
        <f>SUMIF(Entradas!$B:$B,'Entrada Lvl 5-4 qt'!$B159,Entradas!S:S)</f>
        <v>3262.9122579999998</v>
      </c>
      <c r="M159" t="str">
        <f>_xlfn.XLOOKUP($B159,Entradas!$B:$B,Entradas!T:T,,0,1)</f>
        <v>Aéreo</v>
      </c>
      <c r="N159" t="str">
        <f>_xlfn.XLOOKUP($B159,Entradas!$B:$B,Entradas!U:U,,0,1)</f>
        <v>Não</v>
      </c>
      <c r="O159" t="str">
        <f>_xlfn.XLOOKUP($B159,Entradas!$B:$B,Entradas!V:V,,0,1)</f>
        <v>Realizada</v>
      </c>
      <c r="P159" t="str">
        <f>_xlfn.XLOOKUP($B159,Entradas!$B:$B,Entradas!W:W,,0,1)</f>
        <v>SIM</v>
      </c>
      <c r="Q159" t="str">
        <f>_xlfn.XLOOKUP($B159,Entradas!$B:$B,Entradas!X:X,,0,1)</f>
        <v>Em detrimento do trâmite do empenho de solicitação de diárias aos colaboradores eventuais, justifico viagem urgente.</v>
      </c>
      <c r="R159" s="36">
        <f>SUMIF(Entradas!$B:$B,'Entrada Lvl 5-4 qt'!$B159,Entradas!Y:Y)</f>
        <v>2090.9699999999998</v>
      </c>
      <c r="S159" s="36">
        <f>SUMIF(Entradas!$B:$B,'Entrada Lvl 5-4 qt'!$B159,Entradas!Z:Z)</f>
        <v>0</v>
      </c>
      <c r="T159" s="36">
        <f>SUMIF(Entradas!$B:$B,'Entrada Lvl 5-4 qt'!$B159,Entradas!AA:AA)</f>
        <v>4405.08</v>
      </c>
      <c r="U159" s="36">
        <f>SUMIF(Entradas!$B:$B,'Entrada Lvl 5-4 qt'!$B159,Entradas!AB:AB)</f>
        <v>0</v>
      </c>
      <c r="V159" s="49">
        <f>_xlfn.XLOOKUP($B159,Entradas!$B:$B,Entradas!AC:AC,,0,1)</f>
        <v>45203</v>
      </c>
      <c r="W159" s="58">
        <f t="shared" si="14"/>
        <v>6</v>
      </c>
      <c r="X159" s="28" t="s">
        <v>10</v>
      </c>
      <c r="Y159" s="32">
        <f t="shared" si="10"/>
        <v>0</v>
      </c>
      <c r="Z159" s="33">
        <f t="shared" si="11"/>
        <v>4405.08</v>
      </c>
      <c r="AA159" s="34">
        <f t="shared" si="12"/>
        <v>2090.9699999999998</v>
      </c>
      <c r="AB159" s="28" t="s">
        <v>1814</v>
      </c>
      <c r="AC159" s="28" t="s">
        <v>1821</v>
      </c>
      <c r="AD159" s="29" t="str" cm="1">
        <f t="array" ref="AD159">_xlfn.IFS(L159&lt;=Constantes!$G$2,"Muito Curta (evitável)",L159&lt;=Constantes!$H$2,"Curta Distância",L159&gt;Constantes!$H$2,"Longa Distância")</f>
        <v>Curta Distância</v>
      </c>
      <c r="AE159" s="30" t="str">
        <f t="shared" si="13"/>
        <v>NÃO</v>
      </c>
      <c r="AF159" s="30">
        <f>SUMIF(Entradas!$B:$B,'Entrada Lvl 5-4 qt'!$B159,Entradas!$AG:$AG)</f>
        <v>596.68665796167329</v>
      </c>
      <c r="AG159" s="30"/>
      <c r="BD159" s="49"/>
      <c r="BE159" s="49"/>
    </row>
    <row r="160" spans="1:57" x14ac:dyDescent="0.3">
      <c r="A160">
        <f>_xlfn.XLOOKUP(B160,Entradas!B:B,Entradas!A:A,,0,-1)</f>
        <v>2</v>
      </c>
      <c r="B160">
        <v>19314758</v>
      </c>
      <c r="C160" t="str">
        <f>_xlfn.XLOOKUP($B160,Entradas!$B:$B,Entradas!C:C,,0,1)</f>
        <v>001312/23</v>
      </c>
      <c r="D160" t="str">
        <f>_xlfn.XLOOKUP($B160,Entradas!$B:$B,Entradas!D:D,,0,1)</f>
        <v>***.195.512-**</v>
      </c>
      <c r="E160" t="str">
        <f>_xlfn.XLOOKUP($B160,Entradas!$B:$B,Entradas!E:E,,0,1)</f>
        <v>BRAULINA AURORA</v>
      </c>
      <c r="F160" t="str">
        <f>_xlfn.XLOOKUP($B160,Entradas!$B:$B,Entradas!F:F,,0,1)</f>
        <v/>
      </c>
      <c r="G160" t="str">
        <f>_xlfn.XLOOKUP($B160,Entradas!$B:$B,Entradas!G:G,,0,1)</f>
        <v>-1</v>
      </c>
      <c r="H160" t="str">
        <f>_xlfn.XLOOKUP($B160,Entradas!$B:$B,Entradas!H:H,,0,1)</f>
        <v>Sem informação</v>
      </c>
      <c r="I160" s="49">
        <f>_xlfn.XLOOKUP($B160,Entradas!$B:$B,Entradas!I:I,,0,1)</f>
        <v>45214</v>
      </c>
      <c r="J160" s="49">
        <f>_xlfn.XLOOKUP($B160,Entradas!$B:$B,Entradas!J:J,,0,1)</f>
        <v>45217</v>
      </c>
      <c r="K160" t="str">
        <f>_xlfn.XLOOKUP($B160,Entradas!$B:$B,Entradas!K:K,,0,1)</f>
        <v>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v>
      </c>
      <c r="L160">
        <f>SUMIF(Entradas!$B:$B,'Entrada Lvl 5-4 qt'!$B160,Entradas!S:S)</f>
        <v>3426.839982</v>
      </c>
      <c r="M160" t="str">
        <f>_xlfn.XLOOKUP($B160,Entradas!$B:$B,Entradas!T:T,,0,1)</f>
        <v>Aéreo</v>
      </c>
      <c r="N160" t="str">
        <f>_xlfn.XLOOKUP($B160,Entradas!$B:$B,Entradas!U:U,,0,1)</f>
        <v>Não</v>
      </c>
      <c r="O160" t="str">
        <f>_xlfn.XLOOKUP($B160,Entradas!$B:$B,Entradas!V:V,,0,1)</f>
        <v>Realizada</v>
      </c>
      <c r="P160" t="str">
        <f>_xlfn.XLOOKUP($B160,Entradas!$B:$B,Entradas!W:W,,0,1)</f>
        <v>SIM</v>
      </c>
      <c r="Q160" t="str">
        <f>_xlfn.XLOOKUP($B160,Entradas!$B:$B,Entradas!X:X,,0,1)</f>
        <v>Em detrimento do trâmite do empenho de solicitação de diárias aos colaboradores eventuais, justifico viagem urgente.</v>
      </c>
      <c r="R160" s="36">
        <f>SUMIF(Entradas!$B:$B,'Entrada Lvl 5-4 qt'!$B160,Entradas!Y:Y)</f>
        <v>1148.1500000000001</v>
      </c>
      <c r="S160" s="36">
        <f>SUMIF(Entradas!$B:$B,'Entrada Lvl 5-4 qt'!$B160,Entradas!Z:Z)</f>
        <v>0</v>
      </c>
      <c r="T160" s="36">
        <f>SUMIF(Entradas!$B:$B,'Entrada Lvl 5-4 qt'!$B160,Entradas!AA:AA)</f>
        <v>2761.1</v>
      </c>
      <c r="U160" s="36">
        <f>SUMIF(Entradas!$B:$B,'Entrada Lvl 5-4 qt'!$B160,Entradas!AB:AB)</f>
        <v>0</v>
      </c>
      <c r="V160" s="49">
        <f>_xlfn.XLOOKUP($B160,Entradas!$B:$B,Entradas!AC:AC,,0,1)</f>
        <v>45203</v>
      </c>
      <c r="W160" s="58">
        <f t="shared" si="14"/>
        <v>3</v>
      </c>
      <c r="X160" s="28" t="s">
        <v>10</v>
      </c>
      <c r="Y160" s="32">
        <f t="shared" si="10"/>
        <v>0</v>
      </c>
      <c r="Z160" s="33">
        <f t="shared" si="11"/>
        <v>2761.1</v>
      </c>
      <c r="AA160" s="34">
        <f t="shared" si="12"/>
        <v>1148.1500000000001</v>
      </c>
      <c r="AB160" s="28" t="s">
        <v>1814</v>
      </c>
      <c r="AC160" s="28" t="s">
        <v>1821</v>
      </c>
      <c r="AD160" s="29" t="str" cm="1">
        <f t="array" ref="AD160">_xlfn.IFS(L160&lt;=Constantes!$G$2,"Muito Curta (evitável)",L160&lt;=Constantes!$H$2,"Curta Distância",L160&gt;Constantes!$H$2,"Longa Distância")</f>
        <v>Curta Distância</v>
      </c>
      <c r="AE160" s="30" t="str">
        <f t="shared" si="13"/>
        <v>NÃO</v>
      </c>
      <c r="AF160" s="30">
        <f>SUMIF(Entradas!$B:$B,'Entrada Lvl 5-4 qt'!$B160,Entradas!$AG:$AG)</f>
        <v>626.66401501165365</v>
      </c>
      <c r="AG160" s="30"/>
      <c r="BD160" s="49"/>
      <c r="BE160" s="49"/>
    </row>
    <row r="161" spans="1:57" x14ac:dyDescent="0.3">
      <c r="A161">
        <f>_xlfn.XLOOKUP(B161,Entradas!B:B,Entradas!A:A,,0,-1)</f>
        <v>2</v>
      </c>
      <c r="B161">
        <v>19328310</v>
      </c>
      <c r="C161" t="str">
        <f>_xlfn.XLOOKUP($B161,Entradas!$B:$B,Entradas!C:C,,0,1)</f>
        <v>001245/23</v>
      </c>
      <c r="D161" t="str">
        <f>_xlfn.XLOOKUP($B161,Entradas!$B:$B,Entradas!D:D,,0,1)</f>
        <v>***.836.253-**</v>
      </c>
      <c r="E161" t="str">
        <f>_xlfn.XLOOKUP($B161,Entradas!$B:$B,Entradas!E:E,,0,1)</f>
        <v>HELDER BUENOS AIRES DE CARVALHO</v>
      </c>
      <c r="F161" t="str">
        <f>_xlfn.XLOOKUP($B161,Entradas!$B:$B,Entradas!F:F,,0,1)</f>
        <v>PROFESSOR DO MAGISTERIO SUPERIOR</v>
      </c>
      <c r="G161" t="str">
        <f>_xlfn.XLOOKUP($B161,Entradas!$B:$B,Entradas!G:G,,0,1)</f>
        <v>-1</v>
      </c>
      <c r="H161" t="str">
        <f>_xlfn.XLOOKUP($B161,Entradas!$B:$B,Entradas!H:H,,0,1)</f>
        <v>Sem informação</v>
      </c>
      <c r="I161" s="49">
        <f>_xlfn.XLOOKUP($B161,Entradas!$B:$B,Entradas!I:I,,0,1)</f>
        <v>45214</v>
      </c>
      <c r="J161" s="49">
        <f>_xlfn.XLOOKUP($B161,Entradas!$B:$B,Entradas!J:J,,0,1)</f>
        <v>45220</v>
      </c>
      <c r="K161" t="str">
        <f>_xlfn.XLOOKUP($B161,Entradas!$B:$B,Entradas!K:K,,0,1)</f>
        <v>Participar como avaliador do XXXI ENCONTRO DE INICIAÇÃO CIENTIFICA/ENIC - 2023</v>
      </c>
      <c r="L161">
        <f>SUMIF(Entradas!$B:$B,'Entrada Lvl 5-4 qt'!$B161,Entradas!S:S)</f>
        <v>1802.4813251999999</v>
      </c>
      <c r="M161" t="str">
        <f>_xlfn.XLOOKUP($B161,Entradas!$B:$B,Entradas!T:T,,0,1)</f>
        <v>Aéreo</v>
      </c>
      <c r="N161" t="str">
        <f>_xlfn.XLOOKUP($B161,Entradas!$B:$B,Entradas!U:U,,0,1)</f>
        <v>Não</v>
      </c>
      <c r="O161" t="str">
        <f>_xlfn.XLOOKUP($B161,Entradas!$B:$B,Entradas!V:V,,0,1)</f>
        <v>Realizada</v>
      </c>
      <c r="P161" t="str">
        <f>_xlfn.XLOOKUP($B161,Entradas!$B:$B,Entradas!W:W,,0,1)</f>
        <v>SIM</v>
      </c>
      <c r="Q161" t="str">
        <f>_xlfn.XLOOKUP($B161,Entradas!$B:$B,Entradas!X:X,,0,1)</f>
        <v>A entrada da requisição foi no prazo e devido a ajustes entrou no prazo de urgência</v>
      </c>
      <c r="R161" s="36">
        <f>SUMIF(Entradas!$B:$B,'Entrada Lvl 5-4 qt'!$B161,Entradas!Y:Y)</f>
        <v>2162.08</v>
      </c>
      <c r="S161" s="36">
        <f>SUMIF(Entradas!$B:$B,'Entrada Lvl 5-4 qt'!$B161,Entradas!Z:Z)</f>
        <v>0</v>
      </c>
      <c r="T161" s="36">
        <f>SUMIF(Entradas!$B:$B,'Entrada Lvl 5-4 qt'!$B161,Entradas!AA:AA)</f>
        <v>4033.63</v>
      </c>
      <c r="U161" s="36">
        <f>SUMIF(Entradas!$B:$B,'Entrada Lvl 5-4 qt'!$B161,Entradas!AB:AB)</f>
        <v>0</v>
      </c>
      <c r="V161" s="49">
        <f>_xlfn.XLOOKUP($B161,Entradas!$B:$B,Entradas!AC:AC,,0,1)</f>
        <v>45202</v>
      </c>
      <c r="W161" s="58">
        <f t="shared" si="14"/>
        <v>6</v>
      </c>
      <c r="X161" s="28" t="s">
        <v>10</v>
      </c>
      <c r="Y161" s="32">
        <f t="shared" si="10"/>
        <v>0</v>
      </c>
      <c r="Z161" s="33">
        <f t="shared" si="11"/>
        <v>4033.63</v>
      </c>
      <c r="AA161" s="34">
        <f t="shared" si="12"/>
        <v>2162.08</v>
      </c>
      <c r="AB161" s="28" t="s">
        <v>1814</v>
      </c>
      <c r="AC161" s="28" t="s">
        <v>1820</v>
      </c>
      <c r="AD161" s="29" t="str" cm="1">
        <f t="array" ref="AD161">_xlfn.IFS(L161&lt;=Constantes!$G$2,"Muito Curta (evitável)",L161&lt;=Constantes!$H$2,"Curta Distância",L161&gt;Constantes!$H$2,"Longa Distância")</f>
        <v>Curta Distância</v>
      </c>
      <c r="AE161" s="30" t="str">
        <f t="shared" si="13"/>
        <v>NÃO</v>
      </c>
      <c r="AF161" s="30">
        <f>SUMIF(Entradas!$B:$B,'Entrada Lvl 5-4 qt'!$B161,Entradas!$AG:$AG)</f>
        <v>329.61859618963615</v>
      </c>
      <c r="AG161" s="30"/>
      <c r="BD161" s="49"/>
      <c r="BE161" s="49"/>
    </row>
    <row r="162" spans="1:57" x14ac:dyDescent="0.3">
      <c r="A162">
        <f>_xlfn.XLOOKUP(B162,Entradas!B:B,Entradas!A:A,,0,-1)</f>
        <v>2</v>
      </c>
      <c r="B162">
        <v>19328610</v>
      </c>
      <c r="C162" t="str">
        <f>_xlfn.XLOOKUP($B162,Entradas!$B:$B,Entradas!C:C,,0,1)</f>
        <v>001246/23</v>
      </c>
      <c r="D162" t="str">
        <f>_xlfn.XLOOKUP($B162,Entradas!$B:$B,Entradas!D:D,,0,1)</f>
        <v>***.894.819-**</v>
      </c>
      <c r="E162" t="str">
        <f>_xlfn.XLOOKUP($B162,Entradas!$B:$B,Entradas!E:E,,0,1)</f>
        <v>JORGE MAURICIO DAVID</v>
      </c>
      <c r="F162" t="str">
        <f>_xlfn.XLOOKUP($B162,Entradas!$B:$B,Entradas!F:F,,0,1)</f>
        <v>PROFESSOR DO MAGISTERIO SUPERIOR</v>
      </c>
      <c r="G162" t="str">
        <f>_xlfn.XLOOKUP($B162,Entradas!$B:$B,Entradas!G:G,,0,1)</f>
        <v>-1</v>
      </c>
      <c r="H162" t="str">
        <f>_xlfn.XLOOKUP($B162,Entradas!$B:$B,Entradas!H:H,,0,1)</f>
        <v>Sem informação</v>
      </c>
      <c r="I162" s="49">
        <f>_xlfn.XLOOKUP($B162,Entradas!$B:$B,Entradas!I:I,,0,1)</f>
        <v>45214</v>
      </c>
      <c r="J162" s="49">
        <f>_xlfn.XLOOKUP($B162,Entradas!$B:$B,Entradas!J:J,,0,1)</f>
        <v>45219</v>
      </c>
      <c r="K162" t="str">
        <f>_xlfn.XLOOKUP($B162,Entradas!$B:$B,Entradas!K:K,,0,1)</f>
        <v>Participação como avaliador externo do ENIC - Encontro de Iniciação Científica da UFPB.</v>
      </c>
      <c r="L162">
        <f>SUMIF(Entradas!$B:$B,'Entrada Lvl 5-4 qt'!$B162,Entradas!S:S)</f>
        <v>1482.2388261999999</v>
      </c>
      <c r="M162" t="str">
        <f>_xlfn.XLOOKUP($B162,Entradas!$B:$B,Entradas!T:T,,0,1)</f>
        <v>Aéreo</v>
      </c>
      <c r="N162" t="str">
        <f>_xlfn.XLOOKUP($B162,Entradas!$B:$B,Entradas!U:U,,0,1)</f>
        <v>Não</v>
      </c>
      <c r="O162" t="str">
        <f>_xlfn.XLOOKUP($B162,Entradas!$B:$B,Entradas!V:V,,0,1)</f>
        <v>Realizada</v>
      </c>
      <c r="P162" t="str">
        <f>_xlfn.XLOOKUP($B162,Entradas!$B:$B,Entradas!W:W,,0,1)</f>
        <v>SIM</v>
      </c>
      <c r="Q162" t="str">
        <f>_xlfn.XLOOKUP($B162,Entradas!$B:$B,Entradas!X:X,,0,1)</f>
        <v>O servidor esta tentado</v>
      </c>
      <c r="R162" s="36">
        <f>SUMIF(Entradas!$B:$B,'Entrada Lvl 5-4 qt'!$B162,Entradas!Y:Y)</f>
        <v>1821.06</v>
      </c>
      <c r="S162" s="36">
        <f>SUMIF(Entradas!$B:$B,'Entrada Lvl 5-4 qt'!$B162,Entradas!Z:Z)</f>
        <v>0</v>
      </c>
      <c r="T162" s="36">
        <f>SUMIF(Entradas!$B:$B,'Entrada Lvl 5-4 qt'!$B162,Entradas!AA:AA)</f>
        <v>2050.58</v>
      </c>
      <c r="U162" s="36">
        <f>SUMIF(Entradas!$B:$B,'Entrada Lvl 5-4 qt'!$B162,Entradas!AB:AB)</f>
        <v>0</v>
      </c>
      <c r="V162" s="49">
        <f>_xlfn.XLOOKUP($B162,Entradas!$B:$B,Entradas!AC:AC,,0,1)</f>
        <v>45202</v>
      </c>
      <c r="W162" s="58">
        <f t="shared" si="14"/>
        <v>5</v>
      </c>
      <c r="X162" s="28" t="s">
        <v>10</v>
      </c>
      <c r="Y162" s="32">
        <f t="shared" si="10"/>
        <v>0</v>
      </c>
      <c r="Z162" s="33">
        <f t="shared" si="11"/>
        <v>2050.58</v>
      </c>
      <c r="AA162" s="34">
        <f t="shared" si="12"/>
        <v>1821.06</v>
      </c>
      <c r="AB162" s="28" t="s">
        <v>1814</v>
      </c>
      <c r="AC162" s="28" t="s">
        <v>1820</v>
      </c>
      <c r="AD162" s="29" t="str" cm="1">
        <f t="array" ref="AD162">_xlfn.IFS(L162&lt;=Constantes!$G$2,"Muito Curta (evitável)",L162&lt;=Constantes!$H$2,"Curta Distância",L162&gt;Constantes!$H$2,"Longa Distância")</f>
        <v>Curta Distância</v>
      </c>
      <c r="AE162" s="30" t="str">
        <f t="shared" si="13"/>
        <v>NÃO</v>
      </c>
      <c r="AF162" s="30">
        <f>SUMIF(Entradas!$B:$B,'Entrada Lvl 5-4 qt'!$B162,Entradas!$AG:$AG)</f>
        <v>271.05605715809952</v>
      </c>
      <c r="AG162" s="30"/>
      <c r="BD162" s="49"/>
      <c r="BE162" s="49"/>
    </row>
    <row r="163" spans="1:57" x14ac:dyDescent="0.3">
      <c r="A163">
        <f>_xlfn.XLOOKUP(B163,Entradas!B:B,Entradas!A:A,,0,-1)</f>
        <v>2</v>
      </c>
      <c r="B163">
        <v>19373861</v>
      </c>
      <c r="C163" t="str">
        <f>_xlfn.XLOOKUP($B163,Entradas!$B:$B,Entradas!C:C,,0,1)</f>
        <v>001395/23</v>
      </c>
      <c r="D163" t="str">
        <f>_xlfn.XLOOKUP($B163,Entradas!$B:$B,Entradas!D:D,,0,1)</f>
        <v>***.523.899-**</v>
      </c>
      <c r="E163" t="str">
        <f>_xlfn.XLOOKUP($B163,Entradas!$B:$B,Entradas!E:E,,0,1)</f>
        <v>ANDRE CARLOS LEHUM</v>
      </c>
      <c r="F163" t="str">
        <f>_xlfn.XLOOKUP($B163,Entradas!$B:$B,Entradas!F:F,,0,1)</f>
        <v>PROFESSOR DO MAGISTERIO SUPERIOR</v>
      </c>
      <c r="G163" t="str">
        <f>_xlfn.XLOOKUP($B163,Entradas!$B:$B,Entradas!G:G,,0,1)</f>
        <v>-1</v>
      </c>
      <c r="H163" t="str">
        <f>_xlfn.XLOOKUP($B163,Entradas!$B:$B,Entradas!H:H,,0,1)</f>
        <v>Sem informação</v>
      </c>
      <c r="I163" s="49">
        <f>_xlfn.XLOOKUP($B163,Entradas!$B:$B,Entradas!I:I,,0,1)</f>
        <v>45214</v>
      </c>
      <c r="J163" s="49">
        <f>_xlfn.XLOOKUP($B163,Entradas!$B:$B,Entradas!J:J,,0,1)</f>
        <v>45221</v>
      </c>
      <c r="K163" t="str">
        <f>_xlfn.XLOOKUP($B163,Entradas!$B:$B,Entradas!K:K,,0,1)</f>
        <v>Fazer colaboração científica no grupo Teoria Quântica de Campos</v>
      </c>
      <c r="L163">
        <f>SUMIF(Entradas!$B:$B,'Entrada Lvl 5-4 qt'!$B163,Entradas!S:S)</f>
        <v>3262.9122579999998</v>
      </c>
      <c r="M163" t="str">
        <f>_xlfn.XLOOKUP($B163,Entradas!$B:$B,Entradas!T:T,,0,1)</f>
        <v>Aéreo</v>
      </c>
      <c r="N163" t="str">
        <f>_xlfn.XLOOKUP($B163,Entradas!$B:$B,Entradas!U:U,,0,1)</f>
        <v>Sim</v>
      </c>
      <c r="O163" t="str">
        <f>_xlfn.XLOOKUP($B163,Entradas!$B:$B,Entradas!V:V,,0,1)</f>
        <v>Realizada</v>
      </c>
      <c r="P163" t="str">
        <f>_xlfn.XLOOKUP($B163,Entradas!$B:$B,Entradas!W:W,,0,1)</f>
        <v>SIM</v>
      </c>
      <c r="Q163" t="str">
        <f>_xlfn.XLOOKUP($B163,Entradas!$B:$B,Entradas!X:X,,0,1)</f>
        <v>Conforme justificativa em anexo 'O atraso para o pedido de diárias e passagem se deu em virtude de verificar a disponibilidade da agenda do diretor do Centro para fazer o convite ao proposto'</v>
      </c>
      <c r="R163" s="36">
        <f>SUMIF(Entradas!$B:$B,'Entrada Lvl 5-4 qt'!$B163,Entradas!Y:Y)</f>
        <v>2503.1</v>
      </c>
      <c r="S163" s="36">
        <f>SUMIF(Entradas!$B:$B,'Entrada Lvl 5-4 qt'!$B163,Entradas!Z:Z)</f>
        <v>0</v>
      </c>
      <c r="T163" s="36">
        <f>SUMIF(Entradas!$B:$B,'Entrada Lvl 5-4 qt'!$B163,Entradas!AA:AA)</f>
        <v>5307.3799999999992</v>
      </c>
      <c r="U163" s="36">
        <f>SUMIF(Entradas!$B:$B,'Entrada Lvl 5-4 qt'!$B163,Entradas!AB:AB)</f>
        <v>0</v>
      </c>
      <c r="V163" s="49">
        <f>_xlfn.XLOOKUP($B163,Entradas!$B:$B,Entradas!AC:AC,,0,1)</f>
        <v>45209</v>
      </c>
      <c r="W163" s="58">
        <f t="shared" si="14"/>
        <v>7</v>
      </c>
      <c r="X163" s="28" t="s">
        <v>10</v>
      </c>
      <c r="Y163" s="32">
        <f t="shared" si="10"/>
        <v>0</v>
      </c>
      <c r="Z163" s="33">
        <f t="shared" si="11"/>
        <v>5307.3799999999992</v>
      </c>
      <c r="AA163" s="34">
        <f t="shared" si="12"/>
        <v>2503.1</v>
      </c>
      <c r="AB163" s="28" t="s">
        <v>1814</v>
      </c>
      <c r="AC163" s="28" t="s">
        <v>1820</v>
      </c>
      <c r="AD163" s="29" t="str" cm="1">
        <f t="array" ref="AD163">_xlfn.IFS(L163&lt;=Constantes!$G$2,"Muito Curta (evitável)",L163&lt;=Constantes!$H$2,"Curta Distância",L163&gt;Constantes!$H$2,"Longa Distância")</f>
        <v>Curta Distância</v>
      </c>
      <c r="AE163" s="30" t="str">
        <f t="shared" si="13"/>
        <v>NÃO</v>
      </c>
      <c r="AF163" s="30">
        <f>SUMIF(Entradas!$B:$B,'Entrada Lvl 5-4 qt'!$B163,Entradas!$AG:$AG)</f>
        <v>596.68665796167329</v>
      </c>
      <c r="AG163" s="30"/>
      <c r="BD163" s="49"/>
      <c r="BE163" s="49"/>
    </row>
    <row r="164" spans="1:57" x14ac:dyDescent="0.3">
      <c r="A164">
        <f>_xlfn.XLOOKUP(B164,Entradas!B:B,Entradas!A:A,,0,-1)</f>
        <v>2</v>
      </c>
      <c r="B164">
        <v>19394869</v>
      </c>
      <c r="C164" t="str">
        <f>_xlfn.XLOOKUP($B164,Entradas!$B:$B,Entradas!C:C,,0,1)</f>
        <v>001438/23</v>
      </c>
      <c r="D164" t="str">
        <f>_xlfn.XLOOKUP($B164,Entradas!$B:$B,Entradas!D:D,,0,1)</f>
        <v>***.822.414-**</v>
      </c>
      <c r="E164" t="str">
        <f>_xlfn.XLOOKUP($B164,Entradas!$B:$B,Entradas!E:E,,0,1)</f>
        <v>ANNE AUGUSTA ALENCAR LEITE REINALDO</v>
      </c>
      <c r="F164" t="str">
        <f>_xlfn.XLOOKUP($B164,Entradas!$B:$B,Entradas!F:F,,0,1)</f>
        <v>PROFESSOR DO MAGISTERIO SUPERIOR</v>
      </c>
      <c r="G164" t="str">
        <f>_xlfn.XLOOKUP($B164,Entradas!$B:$B,Entradas!G:G,,0,1)</f>
        <v>CD-0003</v>
      </c>
      <c r="H164" t="str">
        <f>_xlfn.XLOOKUP($B164,Entradas!$B:$B,Entradas!H:H,,0,1)</f>
        <v>Cargo Comissionado de Direção</v>
      </c>
      <c r="I164" s="49">
        <f>_xlfn.XLOOKUP($B164,Entradas!$B:$B,Entradas!I:I,,0,1)</f>
        <v>45214</v>
      </c>
      <c r="J164" s="49">
        <f>_xlfn.XLOOKUP($B164,Entradas!$B:$B,Entradas!J:J,,0,1)</f>
        <v>45217</v>
      </c>
      <c r="K164" t="str">
        <f>_xlfn.XLOOKUP($B164,Entradas!$B:$B,Entradas!K:K,,0,1)</f>
        <v>Participação no COLÉGIO BRASILEIRO DE FACULDADES DE DIREITO PÚBLICAS E GRATUITAS.</v>
      </c>
      <c r="L164">
        <f>SUMIF(Entradas!$B:$B,'Entrada Lvl 5-4 qt'!$B164,Entradas!S:S)</f>
        <v>4379.9484839999996</v>
      </c>
      <c r="M164" t="str">
        <f>_xlfn.XLOOKUP($B164,Entradas!$B:$B,Entradas!T:T,,0,1)</f>
        <v>Aéreo</v>
      </c>
      <c r="N164" t="str">
        <f>_xlfn.XLOOKUP($B164,Entradas!$B:$B,Entradas!U:U,,0,1)</f>
        <v>Sim</v>
      </c>
      <c r="O164" t="str">
        <f>_xlfn.XLOOKUP($B164,Entradas!$B:$B,Entradas!V:V,,0,1)</f>
        <v>Realizada</v>
      </c>
      <c r="P164" t="str">
        <f>_xlfn.XLOOKUP($B164,Entradas!$B:$B,Entradas!W:W,,0,1)</f>
        <v>SIM</v>
      </c>
      <c r="Q164" t="str">
        <f>_xlfn.XLOOKUP($B164,Entradas!$B:$B,Entradas!X:X,,0,1)</f>
        <v>Convite recebido no dia 10/10/2023</v>
      </c>
      <c r="R164" s="36">
        <f>SUMIF(Entradas!$B:$B,'Entrada Lvl 5-4 qt'!$B164,Entradas!Y:Y)</f>
        <v>1522.48</v>
      </c>
      <c r="S164" s="36">
        <f>SUMIF(Entradas!$B:$B,'Entrada Lvl 5-4 qt'!$B164,Entradas!Z:Z)</f>
        <v>0</v>
      </c>
      <c r="T164" s="36">
        <f>SUMIF(Entradas!$B:$B,'Entrada Lvl 5-4 qt'!$B164,Entradas!AA:AA)</f>
        <v>5102.84</v>
      </c>
      <c r="U164" s="36">
        <f>SUMIF(Entradas!$B:$B,'Entrada Lvl 5-4 qt'!$B164,Entradas!AB:AB)</f>
        <v>0</v>
      </c>
      <c r="V164" s="49">
        <f>_xlfn.XLOOKUP($B164,Entradas!$B:$B,Entradas!AC:AC,,0,1)</f>
        <v>45210</v>
      </c>
      <c r="W164" s="58">
        <f t="shared" si="14"/>
        <v>3</v>
      </c>
      <c r="X164" s="28" t="s">
        <v>10</v>
      </c>
      <c r="Y164" s="32">
        <f t="shared" si="10"/>
        <v>0</v>
      </c>
      <c r="Z164" s="33">
        <f t="shared" si="11"/>
        <v>5102.84</v>
      </c>
      <c r="AA164" s="34">
        <f t="shared" si="12"/>
        <v>1522.48</v>
      </c>
      <c r="AB164" s="28" t="s">
        <v>1813</v>
      </c>
      <c r="AC164" s="28" t="s">
        <v>1784</v>
      </c>
      <c r="AD164" s="29" t="str" cm="1">
        <f t="array" ref="AD164">_xlfn.IFS(L164&lt;=Constantes!$G$2,"Muito Curta (evitável)",L164&lt;=Constantes!$H$2,"Curta Distância",L164&gt;Constantes!$H$2,"Longa Distância")</f>
        <v>Longa Distância</v>
      </c>
      <c r="AE164" s="30" t="str">
        <f t="shared" si="13"/>
        <v>NÃO</v>
      </c>
      <c r="AF164" s="30">
        <f>SUMIF(Entradas!$B:$B,'Entrada Lvl 5-4 qt'!$B164,Entradas!$AG:$AG)</f>
        <v>800.95835140972315</v>
      </c>
      <c r="AG164" s="30"/>
      <c r="BD164" s="49"/>
      <c r="BE164" s="49"/>
    </row>
    <row r="165" spans="1:57" x14ac:dyDescent="0.3">
      <c r="A165">
        <f>_xlfn.XLOOKUP(B165,Entradas!B:B,Entradas!A:A,,0,-1)</f>
        <v>2</v>
      </c>
      <c r="B165">
        <v>19395066</v>
      </c>
      <c r="C165" t="str">
        <f>_xlfn.XLOOKUP($B165,Entradas!$B:$B,Entradas!C:C,,0,1)</f>
        <v>001445/23</v>
      </c>
      <c r="D165" t="str">
        <f>_xlfn.XLOOKUP($B165,Entradas!$B:$B,Entradas!D:D,,0,1)</f>
        <v>***.240.820-**</v>
      </c>
      <c r="E165" t="str">
        <f>_xlfn.XLOOKUP($B165,Entradas!$B:$B,Entradas!E:E,,0,1)</f>
        <v>ANA PAULA BASSO</v>
      </c>
      <c r="F165" t="str">
        <f>_xlfn.XLOOKUP($B165,Entradas!$B:$B,Entradas!F:F,,0,1)</f>
        <v>PROFESSOR DO MAGISTERIO SUPERIOR</v>
      </c>
      <c r="G165" t="str">
        <f>_xlfn.XLOOKUP($B165,Entradas!$B:$B,Entradas!G:G,,0,1)</f>
        <v>-1</v>
      </c>
      <c r="H165" t="str">
        <f>_xlfn.XLOOKUP($B165,Entradas!$B:$B,Entradas!H:H,,0,1)</f>
        <v>Sem informação</v>
      </c>
      <c r="I165" s="49">
        <f>_xlfn.XLOOKUP($B165,Entradas!$B:$B,Entradas!I:I,,0,1)</f>
        <v>45214</v>
      </c>
      <c r="J165" s="49">
        <f>_xlfn.XLOOKUP($B165,Entradas!$B:$B,Entradas!J:J,,0,1)</f>
        <v>45217</v>
      </c>
      <c r="K165" t="str">
        <f>_xlfn.XLOOKUP($B165,Entradas!$B:$B,Entradas!K:K,,0,1)</f>
        <v>Participação no Colégio Brasileiro de Faculdades de Direito Públicas e Gratuitas.</v>
      </c>
      <c r="L165">
        <f>SUMIF(Entradas!$B:$B,'Entrada Lvl 5-4 qt'!$B165,Entradas!S:S)</f>
        <v>4379.9484839999996</v>
      </c>
      <c r="M165" t="str">
        <f>_xlfn.XLOOKUP($B165,Entradas!$B:$B,Entradas!T:T,,0,1)</f>
        <v>Aéreo</v>
      </c>
      <c r="N165" t="str">
        <f>_xlfn.XLOOKUP($B165,Entradas!$B:$B,Entradas!U:U,,0,1)</f>
        <v>Sim</v>
      </c>
      <c r="O165" t="str">
        <f>_xlfn.XLOOKUP($B165,Entradas!$B:$B,Entradas!V:V,,0,1)</f>
        <v>Realizada</v>
      </c>
      <c r="P165" t="str">
        <f>_xlfn.XLOOKUP($B165,Entradas!$B:$B,Entradas!W:W,,0,1)</f>
        <v>SIM</v>
      </c>
      <c r="Q165" t="str">
        <f>_xlfn.XLOOKUP($B165,Entradas!$B:$B,Entradas!X:X,,0,1)</f>
        <v>O convite do evento foi enviado somente, em 10/10/2023, o que impossibilitou a solicitação em momento anterior.</v>
      </c>
      <c r="R165" s="36">
        <f>SUMIF(Entradas!$B:$B,'Entrada Lvl 5-4 qt'!$B165,Entradas!Y:Y)</f>
        <v>1339.26</v>
      </c>
      <c r="S165" s="36">
        <f>SUMIF(Entradas!$B:$B,'Entrada Lvl 5-4 qt'!$B165,Entradas!Z:Z)</f>
        <v>0</v>
      </c>
      <c r="T165" s="36">
        <f>SUMIF(Entradas!$B:$B,'Entrada Lvl 5-4 qt'!$B165,Entradas!AA:AA)</f>
        <v>5102.84</v>
      </c>
      <c r="U165" s="36">
        <f>SUMIF(Entradas!$B:$B,'Entrada Lvl 5-4 qt'!$B165,Entradas!AB:AB)</f>
        <v>0</v>
      </c>
      <c r="V165" s="49">
        <f>_xlfn.XLOOKUP($B165,Entradas!$B:$B,Entradas!AC:AC,,0,1)</f>
        <v>45210</v>
      </c>
      <c r="W165" s="58">
        <f t="shared" si="14"/>
        <v>3</v>
      </c>
      <c r="X165" s="28" t="s">
        <v>10</v>
      </c>
      <c r="Y165" s="32">
        <f t="shared" si="10"/>
        <v>0</v>
      </c>
      <c r="Z165" s="33">
        <f t="shared" si="11"/>
        <v>5102.84</v>
      </c>
      <c r="AA165" s="34">
        <f t="shared" si="12"/>
        <v>1339.26</v>
      </c>
      <c r="AB165" s="28" t="s">
        <v>1813</v>
      </c>
      <c r="AC165" s="28" t="s">
        <v>1820</v>
      </c>
      <c r="AD165" s="29" t="str" cm="1">
        <f t="array" ref="AD165">_xlfn.IFS(L165&lt;=Constantes!$G$2,"Muito Curta (evitável)",L165&lt;=Constantes!$H$2,"Curta Distância",L165&gt;Constantes!$H$2,"Longa Distância")</f>
        <v>Longa Distância</v>
      </c>
      <c r="AE165" s="30" t="str">
        <f t="shared" si="13"/>
        <v>NÃO</v>
      </c>
      <c r="AF165" s="30">
        <f>SUMIF(Entradas!$B:$B,'Entrada Lvl 5-4 qt'!$B165,Entradas!$AG:$AG)</f>
        <v>800.95835140972315</v>
      </c>
      <c r="AG165" s="30"/>
      <c r="BD165" s="49"/>
      <c r="BE165" s="49"/>
    </row>
    <row r="166" spans="1:57" x14ac:dyDescent="0.3">
      <c r="A166">
        <f>_xlfn.XLOOKUP(B166,Entradas!B:B,Entradas!A:A,,0,-1)</f>
        <v>2</v>
      </c>
      <c r="B166">
        <v>19291959</v>
      </c>
      <c r="C166" t="str">
        <f>_xlfn.XLOOKUP($B166,Entradas!$B:$B,Entradas!C:C,,0,1)</f>
        <v>001104/23</v>
      </c>
      <c r="D166" t="str">
        <f>_xlfn.XLOOKUP($B166,Entradas!$B:$B,Entradas!D:D,,0,1)</f>
        <v>***.284.471-**</v>
      </c>
      <c r="E166" t="str">
        <f>_xlfn.XLOOKUP($B166,Entradas!$B:$B,Entradas!E:E,,0,1)</f>
        <v>CLAUDIA REGINA NUNES DOS SANTOS RENAULT</v>
      </c>
      <c r="F166" t="str">
        <f>_xlfn.XLOOKUP($B166,Entradas!$B:$B,Entradas!F:F,,0,1)</f>
        <v>ASSISTENTE SOCIAL</v>
      </c>
      <c r="G166" t="str">
        <f>_xlfn.XLOOKUP($B166,Entradas!$B:$B,Entradas!G:G,,0,1)</f>
        <v>FG-0001</v>
      </c>
      <c r="H166" t="str">
        <f>_xlfn.XLOOKUP($B166,Entradas!$B:$B,Entradas!H:H,,0,1)</f>
        <v>FG-0001</v>
      </c>
      <c r="I166" s="49">
        <f>_xlfn.XLOOKUP($B166,Entradas!$B:$B,Entradas!I:I,,0,1)</f>
        <v>45215</v>
      </c>
      <c r="J166" s="49">
        <f>_xlfn.XLOOKUP($B166,Entradas!$B:$B,Entradas!J:J,,0,1)</f>
        <v>45219</v>
      </c>
      <c r="K166" t="str">
        <f>_xlfn.XLOOKUP($B166,Entradas!$B:$B,Entradas!K:K,,0,1)</f>
        <v>O proposto participará do X ENEI entre os dias 16 a 20/10/2023 - Cidade de Rio Tinto, como coordenadora de Mesa e palestrante</v>
      </c>
      <c r="L166">
        <f>SUMIF(Entradas!$B:$B,'Entrada Lvl 5-4 qt'!$B166,Entradas!S:S)</f>
        <v>3426.839982</v>
      </c>
      <c r="M166" t="str">
        <f>_xlfn.XLOOKUP($B166,Entradas!$B:$B,Entradas!T:T,,0,1)</f>
        <v>Aéreo</v>
      </c>
      <c r="N166" t="str">
        <f>_xlfn.XLOOKUP($B166,Entradas!$B:$B,Entradas!U:U,,0,1)</f>
        <v>Não</v>
      </c>
      <c r="O166" t="str">
        <f>_xlfn.XLOOKUP($B166,Entradas!$B:$B,Entradas!V:V,,0,1)</f>
        <v>Realizada</v>
      </c>
      <c r="P166" t="str">
        <f>_xlfn.XLOOKUP($B166,Entradas!$B:$B,Entradas!W:W,,0,1)</f>
        <v>NÃO</v>
      </c>
      <c r="Q166" t="str">
        <f>_xlfn.XLOOKUP($B166,Entradas!$B:$B,Entradas!X:X,,0,1)</f>
        <v>Sem informação</v>
      </c>
      <c r="R166" s="36">
        <f>SUMIF(Entradas!$B:$B,'Entrada Lvl 5-4 qt'!$B166,Entradas!Y:Y)</f>
        <v>1299.5</v>
      </c>
      <c r="S166" s="36">
        <f>SUMIF(Entradas!$B:$B,'Entrada Lvl 5-4 qt'!$B166,Entradas!Z:Z)</f>
        <v>0</v>
      </c>
      <c r="T166" s="36">
        <f>SUMIF(Entradas!$B:$B,'Entrada Lvl 5-4 qt'!$B166,Entradas!AA:AA)</f>
        <v>2184.8999999999996</v>
      </c>
      <c r="U166" s="36">
        <f>SUMIF(Entradas!$B:$B,'Entrada Lvl 5-4 qt'!$B166,Entradas!AB:AB)</f>
        <v>0</v>
      </c>
      <c r="V166" s="49">
        <f>_xlfn.XLOOKUP($B166,Entradas!$B:$B,Entradas!AC:AC,,0,1)</f>
        <v>45196</v>
      </c>
      <c r="W166" s="58">
        <f t="shared" si="14"/>
        <v>4</v>
      </c>
      <c r="X166" s="28" t="s">
        <v>10</v>
      </c>
      <c r="Y166" s="32">
        <f t="shared" si="10"/>
        <v>0</v>
      </c>
      <c r="Z166" s="33">
        <f t="shared" si="11"/>
        <v>2184.8999999999996</v>
      </c>
      <c r="AA166" s="34">
        <f t="shared" si="12"/>
        <v>1299.5</v>
      </c>
      <c r="AB166" s="28" t="s">
        <v>1814</v>
      </c>
      <c r="AC166" s="28" t="s">
        <v>1784</v>
      </c>
      <c r="AD166" s="29" t="str" cm="1">
        <f t="array" ref="AD166">_xlfn.IFS(L166&lt;=Constantes!$G$2,"Muito Curta (evitável)",L166&lt;=Constantes!$H$2,"Curta Distância",L166&gt;Constantes!$H$2,"Longa Distância")</f>
        <v>Curta Distância</v>
      </c>
      <c r="AE166" s="30" t="str">
        <f t="shared" si="13"/>
        <v>NÃO</v>
      </c>
      <c r="AF166" s="30">
        <f>SUMIF(Entradas!$B:$B,'Entrada Lvl 5-4 qt'!$B166,Entradas!$AG:$AG)</f>
        <v>626.66401501165365</v>
      </c>
      <c r="AG166" s="30"/>
      <c r="BD166" s="49"/>
      <c r="BE166" s="49"/>
    </row>
    <row r="167" spans="1:57" x14ac:dyDescent="0.3">
      <c r="A167">
        <f>_xlfn.XLOOKUP(B167,Entradas!B:B,Entradas!A:A,,0,-1)</f>
        <v>2</v>
      </c>
      <c r="B167">
        <v>19310853</v>
      </c>
      <c r="C167" t="str">
        <f>_xlfn.XLOOKUP($B167,Entradas!$B:$B,Entradas!C:C,,0,1)</f>
        <v>001304/23</v>
      </c>
      <c r="D167" t="str">
        <f>_xlfn.XLOOKUP($B167,Entradas!$B:$B,Entradas!D:D,,0,1)</f>
        <v/>
      </c>
      <c r="E167" t="str">
        <f>_xlfn.XLOOKUP($B167,Entradas!$B:$B,Entradas!E:E,,0,1)</f>
        <v>INDIANARA RAMIRES MACHADO</v>
      </c>
      <c r="F167" t="str">
        <f>_xlfn.XLOOKUP($B167,Entradas!$B:$B,Entradas!F:F,,0,1)</f>
        <v/>
      </c>
      <c r="G167" t="str">
        <f>_xlfn.XLOOKUP($B167,Entradas!$B:$B,Entradas!G:G,,0,1)</f>
        <v>-1</v>
      </c>
      <c r="H167" t="str">
        <f>_xlfn.XLOOKUP($B167,Entradas!$B:$B,Entradas!H:H,,0,1)</f>
        <v>Sem informação</v>
      </c>
      <c r="I167" s="49">
        <f>_xlfn.XLOOKUP($B167,Entradas!$B:$B,Entradas!I:I,,0,1)</f>
        <v>45215</v>
      </c>
      <c r="J167" s="49">
        <f>_xlfn.XLOOKUP($B167,Entradas!$B:$B,Entradas!J:J,,0,1)</f>
        <v>45219</v>
      </c>
      <c r="K167" t="str">
        <f>_xlfn.XLOOKUP($B167,Entradas!$B:$B,Entradas!K:K,,0,1)</f>
        <v>Proposto convidado para participar do X ENEI POTIGUARA, em Rio Tinto - PB</v>
      </c>
      <c r="L167">
        <f>SUMIF(Entradas!$B:$B,'Entrada Lvl 5-4 qt'!$B167,Entradas!S:S)</f>
        <v>5177.7978640000001</v>
      </c>
      <c r="M167" t="str">
        <f>_xlfn.XLOOKUP($B167,Entradas!$B:$B,Entradas!T:T,,0,1)</f>
        <v>Aéreo</v>
      </c>
      <c r="N167" t="str">
        <f>_xlfn.XLOOKUP($B167,Entradas!$B:$B,Entradas!U:U,,0,1)</f>
        <v>Não</v>
      </c>
      <c r="O167" t="str">
        <f>_xlfn.XLOOKUP($B167,Entradas!$B:$B,Entradas!V:V,,0,1)</f>
        <v>Realizada</v>
      </c>
      <c r="P167" t="str">
        <f>_xlfn.XLOOKUP($B167,Entradas!$B:$B,Entradas!W:W,,0,1)</f>
        <v>SIM</v>
      </c>
      <c r="Q167" t="str">
        <f>_xlfn.XLOOKUP($B167,Entradas!$B:$B,Entradas!X:X,,0,1)</f>
        <v>Em detrimento do trâmite de solicitação de empenho para colaboradores eventuais, justifico.</v>
      </c>
      <c r="R167" s="36">
        <f>SUMIF(Entradas!$B:$B,'Entrada Lvl 5-4 qt'!$B167,Entradas!Y:Y)</f>
        <v>1449.05</v>
      </c>
      <c r="S167" s="36">
        <f>SUMIF(Entradas!$B:$B,'Entrada Lvl 5-4 qt'!$B167,Entradas!Z:Z)</f>
        <v>0</v>
      </c>
      <c r="T167" s="36">
        <f>SUMIF(Entradas!$B:$B,'Entrada Lvl 5-4 qt'!$B167,Entradas!AA:AA)</f>
        <v>2775.92</v>
      </c>
      <c r="U167" s="36">
        <f>SUMIF(Entradas!$B:$B,'Entrada Lvl 5-4 qt'!$B167,Entradas!AB:AB)</f>
        <v>0</v>
      </c>
      <c r="V167" s="49">
        <f>_xlfn.XLOOKUP($B167,Entradas!$B:$B,Entradas!AC:AC,,0,1)</f>
        <v>45203</v>
      </c>
      <c r="W167" s="58">
        <f t="shared" si="14"/>
        <v>4</v>
      </c>
      <c r="X167" s="28" t="s">
        <v>10</v>
      </c>
      <c r="Y167" s="32">
        <f t="shared" si="10"/>
        <v>0</v>
      </c>
      <c r="Z167" s="33">
        <f t="shared" si="11"/>
        <v>2775.92</v>
      </c>
      <c r="AA167" s="34">
        <f t="shared" si="12"/>
        <v>1449.05</v>
      </c>
      <c r="AB167" s="28" t="s">
        <v>1814</v>
      </c>
      <c r="AC167" s="28" t="s">
        <v>1821</v>
      </c>
      <c r="AD167" s="29" t="str" cm="1">
        <f t="array" ref="AD167">_xlfn.IFS(L167&lt;=Constantes!$G$2,"Muito Curta (evitável)",L167&lt;=Constantes!$H$2,"Curta Distância",L167&gt;Constantes!$H$2,"Longa Distância")</f>
        <v>Longa Distância</v>
      </c>
      <c r="AE167" s="30" t="str">
        <f t="shared" si="13"/>
        <v>NÃO</v>
      </c>
      <c r="AF167" s="30">
        <f>SUMIF(Entradas!$B:$B,'Entrada Lvl 5-4 qt'!$B167,Entradas!$AG:$AG)</f>
        <v>946.86055240877727</v>
      </c>
      <c r="AG167" s="30"/>
      <c r="BD167" s="49"/>
      <c r="BE167" s="49"/>
    </row>
    <row r="168" spans="1:57" x14ac:dyDescent="0.3">
      <c r="A168">
        <f>_xlfn.XLOOKUP(B168,Entradas!B:B,Entradas!A:A,,0,-1)</f>
        <v>2</v>
      </c>
      <c r="B168">
        <v>19311228</v>
      </c>
      <c r="C168" t="str">
        <f>_xlfn.XLOOKUP($B168,Entradas!$B:$B,Entradas!C:C,,0,1)</f>
        <v>001202/23</v>
      </c>
      <c r="D168" t="str">
        <f>_xlfn.XLOOKUP($B168,Entradas!$B:$B,Entradas!D:D,,0,1)</f>
        <v>***.831.622-**</v>
      </c>
      <c r="E168" t="str">
        <f>_xlfn.XLOOKUP($B168,Entradas!$B:$B,Entradas!E:E,,0,1)</f>
        <v>PIERLANGELA NASCIMENTO DA CUNHA</v>
      </c>
      <c r="F168" t="str">
        <f>_xlfn.XLOOKUP($B168,Entradas!$B:$B,Entradas!F:F,,0,1)</f>
        <v>PROFESSOR ENS BASICO TECN TECNOLOGICO</v>
      </c>
      <c r="G168" t="str">
        <f>_xlfn.XLOOKUP($B168,Entradas!$B:$B,Entradas!G:G,,0,1)</f>
        <v>CD-0002</v>
      </c>
      <c r="H168" t="str">
        <f>_xlfn.XLOOKUP($B168,Entradas!$B:$B,Entradas!H:H,,0,1)</f>
        <v>Cargo Comissionado de Direção</v>
      </c>
      <c r="I168" s="49">
        <f>_xlfn.XLOOKUP($B168,Entradas!$B:$B,Entradas!I:I,,0,1)</f>
        <v>45215</v>
      </c>
      <c r="J168" s="49">
        <f>_xlfn.XLOOKUP($B168,Entradas!$B:$B,Entradas!J:J,,0,1)</f>
        <v>45220</v>
      </c>
      <c r="K168" t="str">
        <f>_xlfn.XLOOKUP($B168,Entradas!$B:$B,Entradas!K:K,,0,1)</f>
        <v>Participação como palestrante no X Encontro Nacional dos Estudantes Indígenas - ENEI e no Fórum sobre Ensino Superior Indígena.</v>
      </c>
      <c r="L168">
        <f>SUMIF(Entradas!$B:$B,'Entrada Lvl 5-4 qt'!$B168,Entradas!S:S)</f>
        <v>6131.9118760000001</v>
      </c>
      <c r="M168" t="str">
        <f>_xlfn.XLOOKUP($B168,Entradas!$B:$B,Entradas!T:T,,0,1)</f>
        <v>Aéreo</v>
      </c>
      <c r="N168" t="str">
        <f>_xlfn.XLOOKUP($B168,Entradas!$B:$B,Entradas!U:U,,0,1)</f>
        <v>Não</v>
      </c>
      <c r="O168" t="str">
        <f>_xlfn.XLOOKUP($B168,Entradas!$B:$B,Entradas!V:V,,0,1)</f>
        <v>Realizada</v>
      </c>
      <c r="P168" t="str">
        <f>_xlfn.XLOOKUP($B168,Entradas!$B:$B,Entradas!W:W,,0,1)</f>
        <v>NÃO</v>
      </c>
      <c r="Q168" t="str">
        <f>_xlfn.XLOOKUP($B168,Entradas!$B:$B,Entradas!X:X,,0,1)</f>
        <v>Sem informação</v>
      </c>
      <c r="R168" s="36">
        <f>SUMIF(Entradas!$B:$B,'Entrada Lvl 5-4 qt'!$B168,Entradas!Y:Y)</f>
        <v>1417.7</v>
      </c>
      <c r="S168" s="36">
        <f>SUMIF(Entradas!$B:$B,'Entrada Lvl 5-4 qt'!$B168,Entradas!Z:Z)</f>
        <v>0</v>
      </c>
      <c r="T168" s="36">
        <f>SUMIF(Entradas!$B:$B,'Entrada Lvl 5-4 qt'!$B168,Entradas!AA:AA)</f>
        <v>5034.3</v>
      </c>
      <c r="U168" s="36">
        <f>SUMIF(Entradas!$B:$B,'Entrada Lvl 5-4 qt'!$B168,Entradas!AB:AB)</f>
        <v>0</v>
      </c>
      <c r="V168" s="49">
        <f>_xlfn.XLOOKUP($B168,Entradas!$B:$B,Entradas!AC:AC,,0,1)</f>
        <v>45197</v>
      </c>
      <c r="W168" s="58">
        <f t="shared" si="14"/>
        <v>5</v>
      </c>
      <c r="X168" s="28" t="s">
        <v>10</v>
      </c>
      <c r="Y168" s="32">
        <f t="shared" si="10"/>
        <v>0</v>
      </c>
      <c r="Z168" s="33">
        <f t="shared" si="11"/>
        <v>5034.3</v>
      </c>
      <c r="AA168" s="34">
        <f t="shared" si="12"/>
        <v>1417.7</v>
      </c>
      <c r="AB168" s="28" t="s">
        <v>1814</v>
      </c>
      <c r="AC168" s="28" t="s">
        <v>1784</v>
      </c>
      <c r="AD168" s="29" t="str" cm="1">
        <f t="array" ref="AD168">_xlfn.IFS(L168&lt;=Constantes!$G$2,"Muito Curta (evitável)",L168&lt;=Constantes!$H$2,"Curta Distância",L168&gt;Constantes!$H$2,"Longa Distância")</f>
        <v>Longa Distância</v>
      </c>
      <c r="AE168" s="30" t="str">
        <f t="shared" si="13"/>
        <v>NÃO</v>
      </c>
      <c r="AF168" s="30">
        <f>SUMIF(Entradas!$B:$B,'Entrada Lvl 5-4 qt'!$B168,Entradas!$AG:$AG)</f>
        <v>1121.3387657713517</v>
      </c>
      <c r="AG168" s="30"/>
      <c r="BD168" s="49"/>
      <c r="BE168" s="49"/>
    </row>
    <row r="169" spans="1:57" x14ac:dyDescent="0.3">
      <c r="A169">
        <f>_xlfn.XLOOKUP(B169,Entradas!B:B,Entradas!A:A,,0,-1)</f>
        <v>2</v>
      </c>
      <c r="B169">
        <v>19313568</v>
      </c>
      <c r="C169" t="str">
        <f>_xlfn.XLOOKUP($B169,Entradas!$B:$B,Entradas!C:C,,0,1)</f>
        <v>001306/23</v>
      </c>
      <c r="D169" t="str">
        <f>_xlfn.XLOOKUP($B169,Entradas!$B:$B,Entradas!D:D,,0,1)</f>
        <v/>
      </c>
      <c r="E169" t="str">
        <f>_xlfn.XLOOKUP($B169,Entradas!$B:$B,Entradas!E:E,,0,1)</f>
        <v>THAIRA ANTONIA PRIPRA</v>
      </c>
      <c r="F169" t="str">
        <f>_xlfn.XLOOKUP($B169,Entradas!$B:$B,Entradas!F:F,,0,1)</f>
        <v/>
      </c>
      <c r="G169" t="str">
        <f>_xlfn.XLOOKUP($B169,Entradas!$B:$B,Entradas!G:G,,0,1)</f>
        <v>-1</v>
      </c>
      <c r="H169" t="str">
        <f>_xlfn.XLOOKUP($B169,Entradas!$B:$B,Entradas!H:H,,0,1)</f>
        <v>Sem informação</v>
      </c>
      <c r="I169" s="49">
        <f>_xlfn.XLOOKUP($B169,Entradas!$B:$B,Entradas!I:I,,0,1)</f>
        <v>45215</v>
      </c>
      <c r="J169" s="49">
        <f>_xlfn.XLOOKUP($B169,Entradas!$B:$B,Entradas!J:J,,0,1)</f>
        <v>45219</v>
      </c>
      <c r="K169" t="str">
        <f>_xlfn.XLOOKUP($B169,Entradas!$B:$B,Entradas!K:K,,0,1)</f>
        <v>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v>
      </c>
      <c r="L169">
        <f>SUMIF(Entradas!$B:$B,'Entrada Lvl 5-4 qt'!$B169,Entradas!S:S)</f>
        <v>5391.1646700000001</v>
      </c>
      <c r="M169" t="str">
        <f>_xlfn.XLOOKUP($B169,Entradas!$B:$B,Entradas!T:T,,0,1)</f>
        <v>Aéreo</v>
      </c>
      <c r="N169" t="str">
        <f>_xlfn.XLOOKUP($B169,Entradas!$B:$B,Entradas!U:U,,0,1)</f>
        <v>Não</v>
      </c>
      <c r="O169" t="str">
        <f>_xlfn.XLOOKUP($B169,Entradas!$B:$B,Entradas!V:V,,0,1)</f>
        <v>Realizada</v>
      </c>
      <c r="P169" t="str">
        <f>_xlfn.XLOOKUP($B169,Entradas!$B:$B,Entradas!W:W,,0,1)</f>
        <v>SIM</v>
      </c>
      <c r="Q169" t="str">
        <f>_xlfn.XLOOKUP($B169,Entradas!$B:$B,Entradas!X:X,,0,1)</f>
        <v>Em detrimento do trâmite de solicitação de empenho para colaboradores eventuais, justifico a viagem.</v>
      </c>
      <c r="R169" s="36">
        <f>SUMIF(Entradas!$B:$B,'Entrada Lvl 5-4 qt'!$B169,Entradas!Y:Y)</f>
        <v>1489.17</v>
      </c>
      <c r="S169" s="36">
        <f>SUMIF(Entradas!$B:$B,'Entrada Lvl 5-4 qt'!$B169,Entradas!Z:Z)</f>
        <v>0</v>
      </c>
      <c r="T169" s="36">
        <f>SUMIF(Entradas!$B:$B,'Entrada Lvl 5-4 qt'!$B169,Entradas!AA:AA)</f>
        <v>4686.3900000000003</v>
      </c>
      <c r="U169" s="36">
        <f>SUMIF(Entradas!$B:$B,'Entrada Lvl 5-4 qt'!$B169,Entradas!AB:AB)</f>
        <v>0</v>
      </c>
      <c r="V169" s="49">
        <f>_xlfn.XLOOKUP($B169,Entradas!$B:$B,Entradas!AC:AC,,0,1)</f>
        <v>45203</v>
      </c>
      <c r="W169" s="58">
        <f t="shared" si="14"/>
        <v>4</v>
      </c>
      <c r="X169" s="28" t="s">
        <v>10</v>
      </c>
      <c r="Y169" s="32">
        <f t="shared" si="10"/>
        <v>0</v>
      </c>
      <c r="Z169" s="33">
        <f t="shared" si="11"/>
        <v>4686.3900000000003</v>
      </c>
      <c r="AA169" s="34">
        <f t="shared" si="12"/>
        <v>1489.17</v>
      </c>
      <c r="AB169" s="28" t="s">
        <v>1814</v>
      </c>
      <c r="AC169" s="28" t="s">
        <v>1821</v>
      </c>
      <c r="AD169" s="29" t="str" cm="1">
        <f t="array" ref="AD169">_xlfn.IFS(L169&lt;=Constantes!$G$2,"Muito Curta (evitável)",L169&lt;=Constantes!$H$2,"Curta Distância",L169&gt;Constantes!$H$2,"Longa Distância")</f>
        <v>Longa Distância</v>
      </c>
      <c r="AE169" s="30" t="str">
        <f t="shared" si="13"/>
        <v>NÃO</v>
      </c>
      <c r="AF169" s="30">
        <f>SUMIF(Entradas!$B:$B,'Entrada Lvl 5-4 qt'!$B169,Entradas!$AG:$AG)</f>
        <v>985.87880246436816</v>
      </c>
      <c r="AG169" s="30"/>
      <c r="BD169" s="49"/>
      <c r="BE169" s="49"/>
    </row>
    <row r="170" spans="1:57" x14ac:dyDescent="0.3">
      <c r="A170">
        <f>_xlfn.XLOOKUP(B170,Entradas!B:B,Entradas!A:A,,0,-1)</f>
        <v>3</v>
      </c>
      <c r="B170">
        <v>19358004</v>
      </c>
      <c r="C170" t="str">
        <f>_xlfn.XLOOKUP($B170,Entradas!$B:$B,Entradas!C:C,,0,1)</f>
        <v>001292/23</v>
      </c>
      <c r="D170" t="str">
        <f>_xlfn.XLOOKUP($B170,Entradas!$B:$B,Entradas!D:D,,0,1)</f>
        <v>***.051.554-**</v>
      </c>
      <c r="E170" t="str">
        <f>_xlfn.XLOOKUP($B170,Entradas!$B:$B,Entradas!E:E,,0,1)</f>
        <v>VALDINEY VELOSO GOUVEIA</v>
      </c>
      <c r="F170" t="str">
        <f>_xlfn.XLOOKUP($B170,Entradas!$B:$B,Entradas!F:F,,0,1)</f>
        <v>PROFESSOR DO MAGISTERIO SUPERIOR</v>
      </c>
      <c r="G170" t="str">
        <f>_xlfn.XLOOKUP($B170,Entradas!$B:$B,Entradas!G:G,,0,1)</f>
        <v>CD-0001</v>
      </c>
      <c r="H170" t="str">
        <f>_xlfn.XLOOKUP($B170,Entradas!$B:$B,Entradas!H:H,,0,1)</f>
        <v>Cargo Comissionado de Direção</v>
      </c>
      <c r="I170" s="49">
        <f>_xlfn.XLOOKUP($B170,Entradas!$B:$B,Entradas!I:I,,0,1)</f>
        <v>45215</v>
      </c>
      <c r="J170" s="49">
        <f>_xlfn.XLOOKUP($B170,Entradas!$B:$B,Entradas!J:J,,0,1)</f>
        <v>45219</v>
      </c>
      <c r="K170" t="str">
        <f>_xlfn.XLOOKUP($B170,Entradas!$B:$B,Entradas!K:K,,0,1)</f>
        <v>Participar nos dias 17 e 18/10/2023 do I Congresso Internacional de Universidades Empreendedoras , no Campus da UFABC, em São Bernardo do Campo/SP, e nos dias 18 e 19/10/2023, participar da 163ª Reunião Extraordinária do Conselho Pleno da ANDIFES, em Brasília/DF</v>
      </c>
      <c r="L170">
        <f>SUMIF(Entradas!$B:$B,'Entrada Lvl 5-4 qt'!$B170,Entradas!S:S)</f>
        <v>4757.7500029000003</v>
      </c>
      <c r="M170" t="str">
        <f>_xlfn.XLOOKUP($B170,Entradas!$B:$B,Entradas!T:T,,0,1)</f>
        <v>Aéreo</v>
      </c>
      <c r="N170" t="str">
        <f>_xlfn.XLOOKUP($B170,Entradas!$B:$B,Entradas!U:U,,0,1)</f>
        <v>Sim</v>
      </c>
      <c r="O170" t="str">
        <f>_xlfn.XLOOKUP($B170,Entradas!$B:$B,Entradas!V:V,,0,1)</f>
        <v>Realizada</v>
      </c>
      <c r="P170" t="str">
        <f>_xlfn.XLOOKUP($B170,Entradas!$B:$B,Entradas!W:W,,0,1)</f>
        <v>SIM</v>
      </c>
      <c r="Q170" t="str">
        <f>_xlfn.XLOOKUP($B170,Entradas!$B:$B,Entradas!X:X,,0,1)</f>
        <v>Estava aguardando confirmação da data da reunião da ANDIFES, conforme justificativa no formulário de solicitação</v>
      </c>
      <c r="R170" s="36">
        <f>SUMIF(Entradas!$B:$B,'Entrada Lvl 5-4 qt'!$B170,Entradas!Y:Y)</f>
        <v>1713.63</v>
      </c>
      <c r="S170" s="36">
        <f>SUMIF(Entradas!$B:$B,'Entrada Lvl 5-4 qt'!$B170,Entradas!Z:Z)</f>
        <v>0</v>
      </c>
      <c r="T170" s="36">
        <f>SUMIF(Entradas!$B:$B,'Entrada Lvl 5-4 qt'!$B170,Entradas!AA:AA)</f>
        <v>4516.1499999999996</v>
      </c>
      <c r="U170" s="36">
        <f>SUMIF(Entradas!$B:$B,'Entrada Lvl 5-4 qt'!$B170,Entradas!AB:AB)</f>
        <v>0</v>
      </c>
      <c r="V170" s="49">
        <f>_xlfn.XLOOKUP($B170,Entradas!$B:$B,Entradas!AC:AC,,0,1)</f>
        <v>45202</v>
      </c>
      <c r="W170" s="58">
        <f t="shared" si="14"/>
        <v>4</v>
      </c>
      <c r="X170" s="28" t="s">
        <v>10</v>
      </c>
      <c r="Y170" s="32">
        <f t="shared" si="10"/>
        <v>1</v>
      </c>
      <c r="Z170" s="33">
        <f t="shared" si="11"/>
        <v>4516.1499999999996</v>
      </c>
      <c r="AA170" s="34">
        <f t="shared" si="12"/>
        <v>1713.63</v>
      </c>
      <c r="AB170" s="28" t="s">
        <v>1813</v>
      </c>
      <c r="AC170" s="28" t="s">
        <v>1784</v>
      </c>
      <c r="AD170" s="29" t="str" cm="1">
        <f t="array" ref="AD170">_xlfn.IFS(L170&lt;=Constantes!$G$2,"Muito Curta (evitável)",L170&lt;=Constantes!$H$2,"Curta Distância",L170&gt;Constantes!$H$2,"Longa Distância")</f>
        <v>Longa Distância</v>
      </c>
      <c r="AE170" s="30" t="str">
        <f t="shared" si="13"/>
        <v>NÃO</v>
      </c>
      <c r="AF170" s="30">
        <f>SUMIF(Entradas!$B:$B,'Entrada Lvl 5-4 qt'!$B170,Entradas!$AG:$AG)</f>
        <v>870.04667124810635</v>
      </c>
      <c r="AG170" s="30"/>
      <c r="BD170" s="49"/>
      <c r="BE170" s="49"/>
    </row>
    <row r="171" spans="1:57" x14ac:dyDescent="0.3">
      <c r="A171">
        <f>_xlfn.XLOOKUP(B171,Entradas!B:B,Entradas!A:A,,0,-1)</f>
        <v>2</v>
      </c>
      <c r="B171">
        <v>19379967</v>
      </c>
      <c r="C171" t="str">
        <f>_xlfn.XLOOKUP($B171,Entradas!$B:$B,Entradas!C:C,,0,1)</f>
        <v>001406/23</v>
      </c>
      <c r="D171" t="str">
        <f>_xlfn.XLOOKUP($B171,Entradas!$B:$B,Entradas!D:D,,0,1)</f>
        <v>***.054.512-**</v>
      </c>
      <c r="E171" t="str">
        <f>_xlfn.XLOOKUP($B171,Entradas!$B:$B,Entradas!E:E,,0,1)</f>
        <v>ALVA ROSA LANA VIEIRA</v>
      </c>
      <c r="F171" t="str">
        <f>_xlfn.XLOOKUP($B171,Entradas!$B:$B,Entradas!F:F,,0,1)</f>
        <v/>
      </c>
      <c r="G171" t="str">
        <f>_xlfn.XLOOKUP($B171,Entradas!$B:$B,Entradas!G:G,,0,1)</f>
        <v>-1</v>
      </c>
      <c r="H171" t="str">
        <f>_xlfn.XLOOKUP($B171,Entradas!$B:$B,Entradas!H:H,,0,1)</f>
        <v>Sem informação</v>
      </c>
      <c r="I171" s="49">
        <f>_xlfn.XLOOKUP($B171,Entradas!$B:$B,Entradas!I:I,,0,1)</f>
        <v>45215</v>
      </c>
      <c r="J171" s="49">
        <f>_xlfn.XLOOKUP($B171,Entradas!$B:$B,Entradas!J:J,,0,1)</f>
        <v>45218</v>
      </c>
      <c r="K171" t="str">
        <f>_xlfn.XLOOKUP($B171,Entradas!$B:$B,Entradas!K:K,,0,1)</f>
        <v>Fórum 2: Universidade Indígena no Brasil, que será no dia 17 de outubro (terça-feira), das 16 às 18h.</v>
      </c>
      <c r="L171">
        <f>SUMIF(Entradas!$B:$B,'Entrada Lvl 5-4 qt'!$B171,Entradas!S:S)</f>
        <v>5634.1966119999997</v>
      </c>
      <c r="M171" t="str">
        <f>_xlfn.XLOOKUP($B171,Entradas!$B:$B,Entradas!T:T,,0,1)</f>
        <v>Aéreo</v>
      </c>
      <c r="N171" t="str">
        <f>_xlfn.XLOOKUP($B171,Entradas!$B:$B,Entradas!U:U,,0,1)</f>
        <v>Não</v>
      </c>
      <c r="O171" t="str">
        <f>_xlfn.XLOOKUP($B171,Entradas!$B:$B,Entradas!V:V,,0,1)</f>
        <v>Realizada</v>
      </c>
      <c r="P171" t="str">
        <f>_xlfn.XLOOKUP($B171,Entradas!$B:$B,Entradas!W:W,,0,1)</f>
        <v>SIM</v>
      </c>
      <c r="Q171" t="str">
        <f>_xlfn.XLOOKUP($B171,Entradas!$B:$B,Entradas!X:X,,0,1)</f>
        <v>Em detrimento do encaminhamento das solicitações de diárias ao CCAE, justifico viagem urgente.</v>
      </c>
      <c r="R171" s="36">
        <f>SUMIF(Entradas!$B:$B,'Entrada Lvl 5-4 qt'!$B171,Entradas!Y:Y)</f>
        <v>1057.23</v>
      </c>
      <c r="S171" s="36">
        <f>SUMIF(Entradas!$B:$B,'Entrada Lvl 5-4 qt'!$B171,Entradas!Z:Z)</f>
        <v>0</v>
      </c>
      <c r="T171" s="36">
        <f>SUMIF(Entradas!$B:$B,'Entrada Lvl 5-4 qt'!$B171,Entradas!AA:AA)</f>
        <v>4719.41</v>
      </c>
      <c r="U171" s="36">
        <f>SUMIF(Entradas!$B:$B,'Entrada Lvl 5-4 qt'!$B171,Entradas!AB:AB)</f>
        <v>0</v>
      </c>
      <c r="V171" s="49">
        <f>_xlfn.XLOOKUP($B171,Entradas!$B:$B,Entradas!AC:AC,,0,1)</f>
        <v>45209</v>
      </c>
      <c r="W171" s="58">
        <f t="shared" si="14"/>
        <v>3</v>
      </c>
      <c r="X171" s="28" t="s">
        <v>10</v>
      </c>
      <c r="Y171" s="32">
        <f t="shared" si="10"/>
        <v>0</v>
      </c>
      <c r="Z171" s="33">
        <f t="shared" si="11"/>
        <v>4719.41</v>
      </c>
      <c r="AA171" s="34">
        <f t="shared" si="12"/>
        <v>1057.23</v>
      </c>
      <c r="AB171" s="28" t="s">
        <v>1814</v>
      </c>
      <c r="AC171" s="28" t="s">
        <v>1821</v>
      </c>
      <c r="AD171" s="29" t="str" cm="1">
        <f t="array" ref="AD171">_xlfn.IFS(L171&lt;=Constantes!$G$2,"Muito Curta (evitável)",L171&lt;=Constantes!$H$2,"Curta Distância",L171&gt;Constantes!$H$2,"Longa Distância")</f>
        <v>Longa Distância</v>
      </c>
      <c r="AE171" s="30" t="str">
        <f t="shared" si="13"/>
        <v>NÃO</v>
      </c>
      <c r="AF171" s="30">
        <f>SUMIF(Entradas!$B:$B,'Entrada Lvl 5-4 qt'!$B171,Entradas!$AG:$AG)</f>
        <v>1030.3218967873522</v>
      </c>
      <c r="AG171" s="30"/>
      <c r="BD171" s="49"/>
      <c r="BE171" s="49"/>
    </row>
    <row r="172" spans="1:57" x14ac:dyDescent="0.3">
      <c r="A172">
        <f>_xlfn.XLOOKUP(B172,Entradas!B:B,Entradas!A:A,,0,-1)</f>
        <v>2</v>
      </c>
      <c r="B172">
        <v>19393248</v>
      </c>
      <c r="C172" t="str">
        <f>_xlfn.XLOOKUP($B172,Entradas!$B:$B,Entradas!C:C,,0,1)</f>
        <v>001432/23</v>
      </c>
      <c r="D172" t="str">
        <f>_xlfn.XLOOKUP($B172,Entradas!$B:$B,Entradas!D:D,,0,1)</f>
        <v>***.705.284-**</v>
      </c>
      <c r="E172" t="str">
        <f>_xlfn.XLOOKUP($B172,Entradas!$B:$B,Entradas!E:E,,0,1)</f>
        <v>PAULO DE TARSO COSTA HENRIQUES</v>
      </c>
      <c r="F172" t="str">
        <f>_xlfn.XLOOKUP($B172,Entradas!$B:$B,Entradas!F:F,,0,1)</f>
        <v/>
      </c>
      <c r="G172" t="str">
        <f>_xlfn.XLOOKUP($B172,Entradas!$B:$B,Entradas!G:G,,0,1)</f>
        <v>CD-0002</v>
      </c>
      <c r="H172" t="str">
        <f>_xlfn.XLOOKUP($B172,Entradas!$B:$B,Entradas!H:H,,0,1)</f>
        <v>Cargo Comissionado de Direção</v>
      </c>
      <c r="I172" s="49">
        <f>_xlfn.XLOOKUP($B172,Entradas!$B:$B,Entradas!I:I,,0,1)</f>
        <v>45215</v>
      </c>
      <c r="J172" s="49">
        <f>_xlfn.XLOOKUP($B172,Entradas!$B:$B,Entradas!J:J,,0,1)</f>
        <v>45219</v>
      </c>
      <c r="K172" t="str">
        <f>_xlfn.XLOOKUP($B172,Entradas!$B:$B,Entradas!K:K,,0,1)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2">
        <f>SUMIF(Entradas!$B:$B,'Entrada Lvl 5-4 qt'!$B172,Entradas!S:S)</f>
        <v>3426.839982</v>
      </c>
      <c r="M172" t="str">
        <f>_xlfn.XLOOKUP($B172,Entradas!$B:$B,Entradas!T:T,,0,1)</f>
        <v>Aéreo</v>
      </c>
      <c r="N172" t="str">
        <f>_xlfn.XLOOKUP($B172,Entradas!$B:$B,Entradas!U:U,,0,1)</f>
        <v>Sim</v>
      </c>
      <c r="O172" t="str">
        <f>_xlfn.XLOOKUP($B172,Entradas!$B:$B,Entradas!V:V,,0,1)</f>
        <v>Realizada</v>
      </c>
      <c r="P172" t="str">
        <f>_xlfn.XLOOKUP($B172,Entradas!$B:$B,Entradas!W:W,,0,1)</f>
        <v>SIM</v>
      </c>
      <c r="Q172" t="str">
        <f>_xlfn.XLOOKUP($B172,Entradas!$B:$B,Entradas!X:X,,0,1)</f>
        <v>A definição da viagem estava condicionada à agenda dos parlamentares da bancada da paraíba em Brasília, fato que ocorreu nesta semana que antecede a viagem, conforme justificativa no item 7 do Formulário de Solicitação.</v>
      </c>
      <c r="R172" s="36">
        <f>SUMIF(Entradas!$B:$B,'Entrada Lvl 5-4 qt'!$B172,Entradas!Y:Y)</f>
        <v>2045.7</v>
      </c>
      <c r="S172" s="36">
        <f>SUMIF(Entradas!$B:$B,'Entrada Lvl 5-4 qt'!$B172,Entradas!Z:Z)</f>
        <v>0</v>
      </c>
      <c r="T172" s="36">
        <f>SUMIF(Entradas!$B:$B,'Entrada Lvl 5-4 qt'!$B172,Entradas!AA:AA)</f>
        <v>4529.2</v>
      </c>
      <c r="U172" s="36">
        <f>SUMIF(Entradas!$B:$B,'Entrada Lvl 5-4 qt'!$B172,Entradas!AB:AB)</f>
        <v>0</v>
      </c>
      <c r="V172" s="49">
        <f>_xlfn.XLOOKUP($B172,Entradas!$B:$B,Entradas!AC:AC,,0,1)</f>
        <v>45210</v>
      </c>
      <c r="W172" s="58">
        <f t="shared" si="14"/>
        <v>4</v>
      </c>
      <c r="X172" s="28" t="s">
        <v>10</v>
      </c>
      <c r="Y172" s="32">
        <f t="shared" si="10"/>
        <v>0</v>
      </c>
      <c r="Z172" s="33">
        <f t="shared" si="11"/>
        <v>4529.2</v>
      </c>
      <c r="AA172" s="34">
        <f t="shared" si="12"/>
        <v>2045.7</v>
      </c>
      <c r="AB172" s="28" t="s">
        <v>1815</v>
      </c>
      <c r="AC172" s="28" t="s">
        <v>1784</v>
      </c>
      <c r="AD172" s="29" t="str" cm="1">
        <f t="array" ref="AD172">_xlfn.IFS(L172&lt;=Constantes!$G$2,"Muito Curta (evitável)",L172&lt;=Constantes!$H$2,"Curta Distância",L172&gt;Constantes!$H$2,"Longa Distância")</f>
        <v>Curta Distância</v>
      </c>
      <c r="AE172" s="30" t="str">
        <f t="shared" si="13"/>
        <v>NÃO</v>
      </c>
      <c r="AF172" s="30">
        <f>SUMIF(Entradas!$B:$B,'Entrada Lvl 5-4 qt'!$B172,Entradas!$AG:$AG)</f>
        <v>626.66401501165365</v>
      </c>
      <c r="AG172" s="30"/>
      <c r="BD172" s="49"/>
      <c r="BE172" s="49"/>
    </row>
    <row r="173" spans="1:57" x14ac:dyDescent="0.3">
      <c r="A173">
        <f>_xlfn.XLOOKUP(B173,Entradas!B:B,Entradas!A:A,,0,-1)</f>
        <v>2</v>
      </c>
      <c r="B173">
        <v>19394240</v>
      </c>
      <c r="C173" t="str">
        <f>_xlfn.XLOOKUP($B173,Entradas!$B:$B,Entradas!C:C,,0,1)</f>
        <v>001433/23</v>
      </c>
      <c r="D173" t="str">
        <f>_xlfn.XLOOKUP($B173,Entradas!$B:$B,Entradas!D:D,,0,1)</f>
        <v>***.235.814-**</v>
      </c>
      <c r="E173" t="str">
        <f>_xlfn.XLOOKUP($B173,Entradas!$B:$B,Entradas!E:E,,0,1)</f>
        <v>LIANA FILGUEIRA ALBUQUERQUE</v>
      </c>
      <c r="F173" t="str">
        <f>_xlfn.XLOOKUP($B173,Entradas!$B:$B,Entradas!F:F,,0,1)</f>
        <v>PROFESSOR DO MAGISTERIO SUPERIOR</v>
      </c>
      <c r="G173" t="str">
        <f>_xlfn.XLOOKUP($B173,Entradas!$B:$B,Entradas!G:G,,0,1)</f>
        <v>CD-0002</v>
      </c>
      <c r="H173" t="str">
        <f>_xlfn.XLOOKUP($B173,Entradas!$B:$B,Entradas!H:H,,0,1)</f>
        <v>Cargo Comissionado de Direção</v>
      </c>
      <c r="I173" s="49">
        <f>_xlfn.XLOOKUP($B173,Entradas!$B:$B,Entradas!I:I,,0,1)</f>
        <v>45215</v>
      </c>
      <c r="J173" s="49">
        <f>_xlfn.XLOOKUP($B173,Entradas!$B:$B,Entradas!J:J,,0,1)</f>
        <v>45219</v>
      </c>
      <c r="K173" t="str">
        <f>_xlfn.XLOOKUP($B173,Entradas!$B:$B,Entradas!K:K,,0,1)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3">
        <f>SUMIF(Entradas!$B:$B,'Entrada Lvl 5-4 qt'!$B173,Entradas!S:S)</f>
        <v>3426.839982</v>
      </c>
      <c r="M173" t="str">
        <f>_xlfn.XLOOKUP($B173,Entradas!$B:$B,Entradas!T:T,,0,1)</f>
        <v>Aéreo</v>
      </c>
      <c r="N173" t="str">
        <f>_xlfn.XLOOKUP($B173,Entradas!$B:$B,Entradas!U:U,,0,1)</f>
        <v>Sim</v>
      </c>
      <c r="O173" t="str">
        <f>_xlfn.XLOOKUP($B173,Entradas!$B:$B,Entradas!V:V,,0,1)</f>
        <v>Realizada</v>
      </c>
      <c r="P173" t="str">
        <f>_xlfn.XLOOKUP($B173,Entradas!$B:$B,Entradas!W:W,,0,1)</f>
        <v>SIM</v>
      </c>
      <c r="Q173" t="str">
        <f>_xlfn.XLOOKUP($B173,Entradas!$B:$B,Entradas!X:X,,0,1)</f>
        <v>A definição da viagem estava condicionada à agenda dos parlamentares da bancada da paraíba em Brasília, fato que ocorreu nesta semana que antecede a viagem, conforme justificativa no item 7 do Formulário de Solicitação.</v>
      </c>
      <c r="R173" s="36">
        <f>SUMIF(Entradas!$B:$B,'Entrada Lvl 5-4 qt'!$B173,Entradas!Y:Y)</f>
        <v>1896.15</v>
      </c>
      <c r="S173" s="36">
        <f>SUMIF(Entradas!$B:$B,'Entrada Lvl 5-4 qt'!$B173,Entradas!Z:Z)</f>
        <v>0</v>
      </c>
      <c r="T173" s="36">
        <f>SUMIF(Entradas!$B:$B,'Entrada Lvl 5-4 qt'!$B173,Entradas!AA:AA)</f>
        <v>4685.1000000000004</v>
      </c>
      <c r="U173" s="36">
        <f>SUMIF(Entradas!$B:$B,'Entrada Lvl 5-4 qt'!$B173,Entradas!AB:AB)</f>
        <v>0</v>
      </c>
      <c r="V173" s="49">
        <f>_xlfn.XLOOKUP($B173,Entradas!$B:$B,Entradas!AC:AC,,0,1)</f>
        <v>45210</v>
      </c>
      <c r="W173" s="58">
        <f t="shared" si="14"/>
        <v>4</v>
      </c>
      <c r="X173" s="28" t="s">
        <v>10</v>
      </c>
      <c r="Y173" s="32">
        <f t="shared" si="10"/>
        <v>0</v>
      </c>
      <c r="Z173" s="33">
        <f t="shared" si="11"/>
        <v>4685.1000000000004</v>
      </c>
      <c r="AA173" s="34">
        <f t="shared" si="12"/>
        <v>1896.15</v>
      </c>
      <c r="AB173" s="28" t="s">
        <v>1815</v>
      </c>
      <c r="AC173" s="28" t="s">
        <v>1784</v>
      </c>
      <c r="AD173" s="29" t="str" cm="1">
        <f t="array" ref="AD173">_xlfn.IFS(L173&lt;=Constantes!$G$2,"Muito Curta (evitável)",L173&lt;=Constantes!$H$2,"Curta Distância",L173&gt;Constantes!$H$2,"Longa Distância")</f>
        <v>Curta Distância</v>
      </c>
      <c r="AE173" s="30" t="str">
        <f t="shared" si="13"/>
        <v>NÃO</v>
      </c>
      <c r="AF173" s="30">
        <f>SUMIF(Entradas!$B:$B,'Entrada Lvl 5-4 qt'!$B173,Entradas!$AG:$AG)</f>
        <v>626.66401501165365</v>
      </c>
      <c r="AG173" s="30"/>
      <c r="BD173" s="49"/>
      <c r="BE173" s="49"/>
    </row>
    <row r="174" spans="1:57" x14ac:dyDescent="0.3">
      <c r="A174">
        <f>_xlfn.XLOOKUP(B174,Entradas!B:B,Entradas!A:A,,0,-1)</f>
        <v>2</v>
      </c>
      <c r="B174">
        <v>19394313</v>
      </c>
      <c r="C174" t="str">
        <f>_xlfn.XLOOKUP($B174,Entradas!$B:$B,Entradas!C:C,,0,1)</f>
        <v>001434/23</v>
      </c>
      <c r="D174" t="str">
        <f>_xlfn.XLOOKUP($B174,Entradas!$B:$B,Entradas!D:D,,0,1)</f>
        <v>***.652.824-**</v>
      </c>
      <c r="E174" t="str">
        <f>_xlfn.XLOOKUP($B174,Entradas!$B:$B,Entradas!E:E,,0,1)</f>
        <v>MARCAL ROSAS FLORENTINO LIMA FILHO</v>
      </c>
      <c r="F174" t="str">
        <f>_xlfn.XLOOKUP($B174,Entradas!$B:$B,Entradas!F:F,,0,1)</f>
        <v>PROFESSOR DO MAGISTERIO SUPERIOR</v>
      </c>
      <c r="G174" t="str">
        <f>_xlfn.XLOOKUP($B174,Entradas!$B:$B,Entradas!G:G,,0,1)</f>
        <v>CD-0004</v>
      </c>
      <c r="H174" t="str">
        <f>_xlfn.XLOOKUP($B174,Entradas!$B:$B,Entradas!H:H,,0,1)</f>
        <v>Cargo Comissionado de Direção</v>
      </c>
      <c r="I174" s="49">
        <f>_xlfn.XLOOKUP($B174,Entradas!$B:$B,Entradas!I:I,,0,1)</f>
        <v>45215</v>
      </c>
      <c r="J174" s="49">
        <f>_xlfn.XLOOKUP($B174,Entradas!$B:$B,Entradas!J:J,,0,1)</f>
        <v>45219</v>
      </c>
      <c r="K174" t="str">
        <f>_xlfn.XLOOKUP($B174,Entradas!$B:$B,Entradas!K:K,,0,1)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4">
        <f>SUMIF(Entradas!$B:$B,'Entrada Lvl 5-4 qt'!$B174,Entradas!S:S)</f>
        <v>3426.839982</v>
      </c>
      <c r="M174" t="str">
        <f>_xlfn.XLOOKUP($B174,Entradas!$B:$B,Entradas!T:T,,0,1)</f>
        <v>Aéreo</v>
      </c>
      <c r="N174" t="str">
        <f>_xlfn.XLOOKUP($B174,Entradas!$B:$B,Entradas!U:U,,0,1)</f>
        <v>Sim</v>
      </c>
      <c r="O174" t="str">
        <f>_xlfn.XLOOKUP($B174,Entradas!$B:$B,Entradas!V:V,,0,1)</f>
        <v>Realizada</v>
      </c>
      <c r="P174" t="str">
        <f>_xlfn.XLOOKUP($B174,Entradas!$B:$B,Entradas!W:W,,0,1)</f>
        <v>SIM</v>
      </c>
      <c r="Q174" t="str">
        <f>_xlfn.XLOOKUP($B174,Entradas!$B:$B,Entradas!X:X,,0,1)</f>
        <v>A definição da viagem estava condicionada à agenda dos parlamentares da bancada da paraíba em Brasília, fato que ocorreu nesta semana que antecede a viagem, conforme justificativa no item 7 do Formulário de Solicitação.</v>
      </c>
      <c r="R174" s="36">
        <f>SUMIF(Entradas!$B:$B,'Entrada Lvl 5-4 qt'!$B174,Entradas!Y:Y)</f>
        <v>1660.58</v>
      </c>
      <c r="S174" s="36">
        <f>SUMIF(Entradas!$B:$B,'Entrada Lvl 5-4 qt'!$B174,Entradas!Z:Z)</f>
        <v>0</v>
      </c>
      <c r="T174" s="36">
        <f>SUMIF(Entradas!$B:$B,'Entrada Lvl 5-4 qt'!$B174,Entradas!AA:AA)</f>
        <v>4857.8</v>
      </c>
      <c r="U174" s="36">
        <f>SUMIF(Entradas!$B:$B,'Entrada Lvl 5-4 qt'!$B174,Entradas!AB:AB)</f>
        <v>0</v>
      </c>
      <c r="V174" s="49">
        <f>_xlfn.XLOOKUP($B174,Entradas!$B:$B,Entradas!AC:AC,,0,1)</f>
        <v>45210</v>
      </c>
      <c r="W174" s="58">
        <f t="shared" si="14"/>
        <v>4</v>
      </c>
      <c r="X174" s="28" t="s">
        <v>10</v>
      </c>
      <c r="Y174" s="32">
        <f t="shared" si="10"/>
        <v>0</v>
      </c>
      <c r="Z174" s="33">
        <f t="shared" si="11"/>
        <v>4857.8</v>
      </c>
      <c r="AA174" s="34">
        <f t="shared" si="12"/>
        <v>1660.58</v>
      </c>
      <c r="AB174" s="28" t="s">
        <v>1815</v>
      </c>
      <c r="AC174" s="28" t="s">
        <v>1784</v>
      </c>
      <c r="AD174" s="29" t="str" cm="1">
        <f t="array" ref="AD174">_xlfn.IFS(L174&lt;=Constantes!$G$2,"Muito Curta (evitável)",L174&lt;=Constantes!$H$2,"Curta Distância",L174&gt;Constantes!$H$2,"Longa Distância")</f>
        <v>Curta Distância</v>
      </c>
      <c r="AE174" s="30" t="str">
        <f t="shared" si="13"/>
        <v>NÃO</v>
      </c>
      <c r="AF174" s="30">
        <f>SUMIF(Entradas!$B:$B,'Entrada Lvl 5-4 qt'!$B174,Entradas!$AG:$AG)</f>
        <v>626.66401501165365</v>
      </c>
      <c r="AG174" s="30"/>
      <c r="BD174" s="49"/>
      <c r="BE174" s="49"/>
    </row>
    <row r="175" spans="1:57" x14ac:dyDescent="0.3">
      <c r="A175">
        <f>_xlfn.XLOOKUP(B175,Entradas!B:B,Entradas!A:A,,0,-1)</f>
        <v>2</v>
      </c>
      <c r="B175">
        <v>19394708</v>
      </c>
      <c r="C175" t="str">
        <f>_xlfn.XLOOKUP($B175,Entradas!$B:$B,Entradas!C:C,,0,1)</f>
        <v>001442/23</v>
      </c>
      <c r="D175" t="str">
        <f>_xlfn.XLOOKUP($B175,Entradas!$B:$B,Entradas!D:D,,0,1)</f>
        <v>***.833.883-**</v>
      </c>
      <c r="E175" t="str">
        <f>_xlfn.XLOOKUP($B175,Entradas!$B:$B,Entradas!E:E,,0,1)</f>
        <v>LUCIDIO DOS ANJOS FORMIGA CABRAL</v>
      </c>
      <c r="F175" t="str">
        <f>_xlfn.XLOOKUP($B175,Entradas!$B:$B,Entradas!F:F,,0,1)</f>
        <v>PROFESSOR DO MAGISTERIO SUPERIOR</v>
      </c>
      <c r="G175" t="str">
        <f>_xlfn.XLOOKUP($B175,Entradas!$B:$B,Entradas!G:G,,0,1)</f>
        <v>CD-0003</v>
      </c>
      <c r="H175" t="str">
        <f>_xlfn.XLOOKUP($B175,Entradas!$B:$B,Entradas!H:H,,0,1)</f>
        <v>Cargo Comissionado de Direção</v>
      </c>
      <c r="I175" s="49">
        <f>_xlfn.XLOOKUP($B175,Entradas!$B:$B,Entradas!I:I,,0,1)</f>
        <v>45215</v>
      </c>
      <c r="J175" s="49">
        <f>_xlfn.XLOOKUP($B175,Entradas!$B:$B,Entradas!J:J,,0,1)</f>
        <v>45219</v>
      </c>
      <c r="K175" t="str">
        <f>_xlfn.XLOOKUP($B175,Entradas!$B:$B,Entradas!K:K,,0,1)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5">
        <f>SUMIF(Entradas!$B:$B,'Entrada Lvl 5-4 qt'!$B175,Entradas!S:S)</f>
        <v>3426.839982</v>
      </c>
      <c r="M175" t="str">
        <f>_xlfn.XLOOKUP($B175,Entradas!$B:$B,Entradas!T:T,,0,1)</f>
        <v>Aéreo</v>
      </c>
      <c r="N175" t="str">
        <f>_xlfn.XLOOKUP($B175,Entradas!$B:$B,Entradas!U:U,,0,1)</f>
        <v>Sim</v>
      </c>
      <c r="O175" t="str">
        <f>_xlfn.XLOOKUP($B175,Entradas!$B:$B,Entradas!V:V,,0,1)</f>
        <v>Realizada</v>
      </c>
      <c r="P175" t="str">
        <f>_xlfn.XLOOKUP($B175,Entradas!$B:$B,Entradas!W:W,,0,1)</f>
        <v>SIM</v>
      </c>
      <c r="Q175" t="str">
        <f>_xlfn.XLOOKUP($B175,Entradas!$B:$B,Entradas!X:X,,0,1)</f>
        <v>A definição da viagem estava condicionada à agenda dos parlamentares da bancada da paraíba em Brasília, fato que ocorreu nesta semana que antecede a viagem, conforme justificativa no item 7 do Formulário de Solicitação.</v>
      </c>
      <c r="R175" s="36">
        <f>SUMIF(Entradas!$B:$B,'Entrada Lvl 5-4 qt'!$B175,Entradas!Y:Y)</f>
        <v>1896.15</v>
      </c>
      <c r="S175" s="36">
        <f>SUMIF(Entradas!$B:$B,'Entrada Lvl 5-4 qt'!$B175,Entradas!Z:Z)</f>
        <v>0</v>
      </c>
      <c r="T175" s="36">
        <f>SUMIF(Entradas!$B:$B,'Entrada Lvl 5-4 qt'!$B175,Entradas!AA:AA)</f>
        <v>4857.8</v>
      </c>
      <c r="U175" s="36">
        <f>SUMIF(Entradas!$B:$B,'Entrada Lvl 5-4 qt'!$B175,Entradas!AB:AB)</f>
        <v>0</v>
      </c>
      <c r="V175" s="49">
        <f>_xlfn.XLOOKUP($B175,Entradas!$B:$B,Entradas!AC:AC,,0,1)</f>
        <v>45210</v>
      </c>
      <c r="W175" s="58">
        <f t="shared" si="14"/>
        <v>4</v>
      </c>
      <c r="X175" s="28" t="s">
        <v>10</v>
      </c>
      <c r="Y175" s="32">
        <f t="shared" si="10"/>
        <v>0</v>
      </c>
      <c r="Z175" s="33">
        <f t="shared" si="11"/>
        <v>4857.8</v>
      </c>
      <c r="AA175" s="34">
        <f t="shared" si="12"/>
        <v>1896.15</v>
      </c>
      <c r="AB175" s="28" t="s">
        <v>1815</v>
      </c>
      <c r="AC175" s="28" t="s">
        <v>1784</v>
      </c>
      <c r="AD175" s="29" t="str" cm="1">
        <f t="array" ref="AD175">_xlfn.IFS(L175&lt;=Constantes!$G$2,"Muito Curta (evitável)",L175&lt;=Constantes!$H$2,"Curta Distância",L175&gt;Constantes!$H$2,"Longa Distância")</f>
        <v>Curta Distância</v>
      </c>
      <c r="AE175" s="30" t="str">
        <f t="shared" si="13"/>
        <v>NÃO</v>
      </c>
      <c r="AF175" s="30">
        <f>SUMIF(Entradas!$B:$B,'Entrada Lvl 5-4 qt'!$B175,Entradas!$AG:$AG)</f>
        <v>626.66401501165365</v>
      </c>
      <c r="AG175" s="30"/>
      <c r="BD175" s="49"/>
      <c r="BE175" s="49"/>
    </row>
    <row r="176" spans="1:57" x14ac:dyDescent="0.3">
      <c r="A176">
        <f>_xlfn.XLOOKUP(B176,Entradas!B:B,Entradas!A:A,,0,-1)</f>
        <v>2</v>
      </c>
      <c r="B176">
        <v>19394737</v>
      </c>
      <c r="C176" t="str">
        <f>_xlfn.XLOOKUP($B176,Entradas!$B:$B,Entradas!C:C,,0,1)</f>
        <v>001443/23</v>
      </c>
      <c r="D176" t="str">
        <f>_xlfn.XLOOKUP($B176,Entradas!$B:$B,Entradas!D:D,,0,1)</f>
        <v>***.285.068-**</v>
      </c>
      <c r="E176" t="str">
        <f>_xlfn.XLOOKUP($B176,Entradas!$B:$B,Entradas!E:E,,0,1)</f>
        <v>RICARDO ROMAO GUERRA</v>
      </c>
      <c r="F176" t="str">
        <f>_xlfn.XLOOKUP($B176,Entradas!$B:$B,Entradas!F:F,,0,1)</f>
        <v>PROFESSOR DO MAGISTERIO SUPERIOR</v>
      </c>
      <c r="G176" t="str">
        <f>_xlfn.XLOOKUP($B176,Entradas!$B:$B,Entradas!G:G,,0,1)</f>
        <v>CD-0004</v>
      </c>
      <c r="H176" t="str">
        <f>_xlfn.XLOOKUP($B176,Entradas!$B:$B,Entradas!H:H,,0,1)</f>
        <v>Cargo Comissionado de Direção</v>
      </c>
      <c r="I176" s="49">
        <f>_xlfn.XLOOKUP($B176,Entradas!$B:$B,Entradas!I:I,,0,1)</f>
        <v>45215</v>
      </c>
      <c r="J176" s="49">
        <f>_xlfn.XLOOKUP($B176,Entradas!$B:$B,Entradas!J:J,,0,1)</f>
        <v>45219</v>
      </c>
      <c r="K176" t="str">
        <f>_xlfn.XLOOKUP($B176,Entradas!$B:$B,Entradas!K:K,,0,1)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6">
        <f>SUMIF(Entradas!$B:$B,'Entrada Lvl 5-4 qt'!$B176,Entradas!S:S)</f>
        <v>3426.839982</v>
      </c>
      <c r="M176" t="str">
        <f>_xlfn.XLOOKUP($B176,Entradas!$B:$B,Entradas!T:T,,0,1)</f>
        <v>Aéreo</v>
      </c>
      <c r="N176" t="str">
        <f>_xlfn.XLOOKUP($B176,Entradas!$B:$B,Entradas!U:U,,0,1)</f>
        <v>Não</v>
      </c>
      <c r="O176" t="str">
        <f>_xlfn.XLOOKUP($B176,Entradas!$B:$B,Entradas!V:V,,0,1)</f>
        <v>Realizada</v>
      </c>
      <c r="P176" t="str">
        <f>_xlfn.XLOOKUP($B176,Entradas!$B:$B,Entradas!W:W,,0,1)</f>
        <v>SIM</v>
      </c>
      <c r="Q176" t="str">
        <f>_xlfn.XLOOKUP($B176,Entradas!$B:$B,Entradas!X:X,,0,1)</f>
        <v>A definição da viagem estava condicionada à agenda dos parlamentares da bancada da paraíba em Brasília, fato que ocorreu nesta semana que antecede a viagem, conforme justificativa no item 7 do Formulário de Solicitação.</v>
      </c>
      <c r="R176" s="36">
        <f>SUMIF(Entradas!$B:$B,'Entrada Lvl 5-4 qt'!$B176,Entradas!Y:Y)</f>
        <v>1660.58</v>
      </c>
      <c r="S176" s="36">
        <f>SUMIF(Entradas!$B:$B,'Entrada Lvl 5-4 qt'!$B176,Entradas!Z:Z)</f>
        <v>0</v>
      </c>
      <c r="T176" s="36">
        <f>SUMIF(Entradas!$B:$B,'Entrada Lvl 5-4 qt'!$B176,Entradas!AA:AA)</f>
        <v>4857.8</v>
      </c>
      <c r="U176" s="36">
        <f>SUMIF(Entradas!$B:$B,'Entrada Lvl 5-4 qt'!$B176,Entradas!AB:AB)</f>
        <v>0</v>
      </c>
      <c r="V176" s="49">
        <f>_xlfn.XLOOKUP($B176,Entradas!$B:$B,Entradas!AC:AC,,0,1)</f>
        <v>45210</v>
      </c>
      <c r="W176" s="58">
        <f t="shared" si="14"/>
        <v>4</v>
      </c>
      <c r="X176" s="28" t="s">
        <v>10</v>
      </c>
      <c r="Y176" s="32">
        <f t="shared" si="10"/>
        <v>0</v>
      </c>
      <c r="Z176" s="33">
        <f t="shared" si="11"/>
        <v>4857.8</v>
      </c>
      <c r="AA176" s="34">
        <f t="shared" si="12"/>
        <v>1660.58</v>
      </c>
      <c r="AB176" s="28" t="s">
        <v>1815</v>
      </c>
      <c r="AC176" s="28" t="s">
        <v>1784</v>
      </c>
      <c r="AD176" s="29" t="str" cm="1">
        <f t="array" ref="AD176">_xlfn.IFS(L176&lt;=Constantes!$G$2,"Muito Curta (evitável)",L176&lt;=Constantes!$H$2,"Curta Distância",L176&gt;Constantes!$H$2,"Longa Distância")</f>
        <v>Curta Distância</v>
      </c>
      <c r="AE176" s="30" t="str">
        <f t="shared" si="13"/>
        <v>NÃO</v>
      </c>
      <c r="AF176" s="30">
        <f>SUMIF(Entradas!$B:$B,'Entrada Lvl 5-4 qt'!$B176,Entradas!$AG:$AG)</f>
        <v>626.66401501165365</v>
      </c>
      <c r="AG176" s="30"/>
      <c r="BD176" s="49"/>
      <c r="BE176" s="49"/>
    </row>
    <row r="177" spans="1:57" x14ac:dyDescent="0.3">
      <c r="A177">
        <f>_xlfn.XLOOKUP(B177,Entradas!B:B,Entradas!A:A,,0,-1)</f>
        <v>2</v>
      </c>
      <c r="B177">
        <v>19394895</v>
      </c>
      <c r="C177" t="str">
        <f>_xlfn.XLOOKUP($B177,Entradas!$B:$B,Entradas!C:C,,0,1)</f>
        <v>001444/23</v>
      </c>
      <c r="D177" t="str">
        <f>_xlfn.XLOOKUP($B177,Entradas!$B:$B,Entradas!D:D,,0,1)</f>
        <v>***.878.164-**</v>
      </c>
      <c r="E177" t="str">
        <f>_xlfn.XLOOKUP($B177,Entradas!$B:$B,Entradas!E:E,,0,1)</f>
        <v>JOSEILME FERNANDES GOUVEIA</v>
      </c>
      <c r="F177" t="str">
        <f>_xlfn.XLOOKUP($B177,Entradas!$B:$B,Entradas!F:F,,0,1)</f>
        <v>PROFESSOR DO MAGISTERIO SUPERIOR</v>
      </c>
      <c r="G177" t="str">
        <f>_xlfn.XLOOKUP($B177,Entradas!$B:$B,Entradas!G:G,,0,1)</f>
        <v>CD-0003</v>
      </c>
      <c r="H177" t="str">
        <f>_xlfn.XLOOKUP($B177,Entradas!$B:$B,Entradas!H:H,,0,1)</f>
        <v>Cargo Comissionado de Direção</v>
      </c>
      <c r="I177" s="49">
        <f>_xlfn.XLOOKUP($B177,Entradas!$B:$B,Entradas!I:I,,0,1)</f>
        <v>45215</v>
      </c>
      <c r="J177" s="49">
        <f>_xlfn.XLOOKUP($B177,Entradas!$B:$B,Entradas!J:J,,0,1)</f>
        <v>45219</v>
      </c>
      <c r="K177" t="str">
        <f>_xlfn.XLOOKUP($B177,Entradas!$B:$B,Entradas!K:K,,0,1)</f>
        <v>Viagem à Brasília/DF para visitar todos os deputados federais e senadores representantes do estado da Paraíba para tratar de apoio à concessão de Emenda Parlamentar de Bancada e Emenda Individual para o ano de 2024, de 16 a 20 de outubro de 2023.</v>
      </c>
      <c r="L177">
        <f>SUMIF(Entradas!$B:$B,'Entrada Lvl 5-4 qt'!$B177,Entradas!S:S)</f>
        <v>3426.839982</v>
      </c>
      <c r="M177" t="str">
        <f>_xlfn.XLOOKUP($B177,Entradas!$B:$B,Entradas!T:T,,0,1)</f>
        <v>Aéreo</v>
      </c>
      <c r="N177" t="str">
        <f>_xlfn.XLOOKUP($B177,Entradas!$B:$B,Entradas!U:U,,0,1)</f>
        <v>Não</v>
      </c>
      <c r="O177" t="str">
        <f>_xlfn.XLOOKUP($B177,Entradas!$B:$B,Entradas!V:V,,0,1)</f>
        <v>Realizada</v>
      </c>
      <c r="P177" t="str">
        <f>_xlfn.XLOOKUP($B177,Entradas!$B:$B,Entradas!W:W,,0,1)</f>
        <v>SIM</v>
      </c>
      <c r="Q177" t="str">
        <f>_xlfn.XLOOKUP($B177,Entradas!$B:$B,Entradas!X:X,,0,1)</f>
        <v>A definição da viagem estava condicionada à agenda dos parlamentares da bancada da paraíba em Brasília, fato que ocorreu nesta semana que antecede a viagem, conforme justificativa no item 7 do Formulário de Solicitação.</v>
      </c>
      <c r="R177" s="36">
        <f>SUMIF(Entradas!$B:$B,'Entrada Lvl 5-4 qt'!$B177,Entradas!Y:Y)</f>
        <v>1751.25</v>
      </c>
      <c r="S177" s="36">
        <f>SUMIF(Entradas!$B:$B,'Entrada Lvl 5-4 qt'!$B177,Entradas!Z:Z)</f>
        <v>0</v>
      </c>
      <c r="T177" s="36">
        <f>SUMIF(Entradas!$B:$B,'Entrada Lvl 5-4 qt'!$B177,Entradas!AA:AA)</f>
        <v>4867.3999999999996</v>
      </c>
      <c r="U177" s="36">
        <f>SUMIF(Entradas!$B:$B,'Entrada Lvl 5-4 qt'!$B177,Entradas!AB:AB)</f>
        <v>0</v>
      </c>
      <c r="V177" s="49">
        <f>_xlfn.XLOOKUP($B177,Entradas!$B:$B,Entradas!AC:AC,,0,1)</f>
        <v>45210</v>
      </c>
      <c r="W177" s="58">
        <f t="shared" si="14"/>
        <v>4</v>
      </c>
      <c r="X177" s="28" t="s">
        <v>10</v>
      </c>
      <c r="Y177" s="32">
        <f t="shared" si="10"/>
        <v>0</v>
      </c>
      <c r="Z177" s="33">
        <f t="shared" si="11"/>
        <v>4867.3999999999996</v>
      </c>
      <c r="AA177" s="34">
        <f t="shared" si="12"/>
        <v>1751.25</v>
      </c>
      <c r="AB177" s="28" t="s">
        <v>1815</v>
      </c>
      <c r="AC177" s="28" t="s">
        <v>1784</v>
      </c>
      <c r="AD177" s="29" t="str" cm="1">
        <f t="array" ref="AD177">_xlfn.IFS(L177&lt;=Constantes!$G$2,"Muito Curta (evitável)",L177&lt;=Constantes!$H$2,"Curta Distância",L177&gt;Constantes!$H$2,"Longa Distância")</f>
        <v>Curta Distância</v>
      </c>
      <c r="AE177" s="30" t="str">
        <f t="shared" si="13"/>
        <v>NÃO</v>
      </c>
      <c r="AF177" s="30">
        <f>SUMIF(Entradas!$B:$B,'Entrada Lvl 5-4 qt'!$B177,Entradas!$AG:$AG)</f>
        <v>626.66401501165365</v>
      </c>
      <c r="AG177" s="30"/>
      <c r="BD177" s="49"/>
      <c r="BE177" s="49"/>
    </row>
    <row r="178" spans="1:57" x14ac:dyDescent="0.3">
      <c r="A178">
        <f>_xlfn.XLOOKUP(B178,Entradas!B:B,Entradas!A:A,,0,-1)</f>
        <v>2</v>
      </c>
      <c r="B178">
        <v>19231762</v>
      </c>
      <c r="C178" t="str">
        <f>_xlfn.XLOOKUP($B178,Entradas!$B:$B,Entradas!C:C,,0,1)</f>
        <v>000967/23</v>
      </c>
      <c r="D178" t="str">
        <f>_xlfn.XLOOKUP($B178,Entradas!$B:$B,Entradas!D:D,,0,1)</f>
        <v>***.472.494-**</v>
      </c>
      <c r="E178" t="str">
        <f>_xlfn.XLOOKUP($B178,Entradas!$B:$B,Entradas!E:E,,0,1)</f>
        <v>THIERRY MARCELINO PASSERAT DE SILANS</v>
      </c>
      <c r="F178" t="str">
        <f>_xlfn.XLOOKUP($B178,Entradas!$B:$B,Entradas!F:F,,0,1)</f>
        <v>PROFESSOR DO MAGISTERIO SUPERIOR</v>
      </c>
      <c r="G178" t="str">
        <f>_xlfn.XLOOKUP($B178,Entradas!$B:$B,Entradas!G:G,,0,1)</f>
        <v>-1</v>
      </c>
      <c r="H178" t="str">
        <f>_xlfn.XLOOKUP($B178,Entradas!$B:$B,Entradas!H:H,,0,1)</f>
        <v>Sem informação</v>
      </c>
      <c r="I178" s="49">
        <f>_xlfn.XLOOKUP($B178,Entradas!$B:$B,Entradas!I:I,,0,1)</f>
        <v>45216</v>
      </c>
      <c r="J178" s="49">
        <f>_xlfn.XLOOKUP($B178,Entradas!$B:$B,Entradas!J:J,,0,1)</f>
        <v>45219</v>
      </c>
      <c r="K178" t="str">
        <f>_xlfn.XLOOKUP($B178,Entradas!$B:$B,Entradas!K:K,,0,1)</f>
        <v>Apresentação como palestrante convidado no XV Workshop em Física Molecular e Espectroscopia, a ser realizado entre os dias 17 e 20 de outubro no Instituto de Física, USP, São Paulo. Nesta palestra serão apresentados resultados de pesquisas realizadas no âmbito da UFPB em projetos vinculados no Programa de Pós-Graduação em Física, com participação de estudantes do programa. Participação em evento tradicional das áreas de Física Atômica e Molecular e de Ótica com vinte anos de história, com participação de palestrantes de renome tanto nacionais quanto internacionais. Divulgação de resultados de pesquisa realizadas no âmbito da UFPB em projetos vinculados no Programa de Pós-Graduação em Física, com participação de estudantes do programa. A apresentação da pesquisa realizada na UFPB no âmbito deste Workshop tradicional da área abre possibilidade de estabelecimento de novas colaborações.</v>
      </c>
      <c r="L178">
        <f>SUMIF(Entradas!$B:$B,'Entrada Lvl 5-4 qt'!$B178,Entradas!S:S)</f>
        <v>4379.9484839999996</v>
      </c>
      <c r="M178" t="str">
        <f>_xlfn.XLOOKUP($B178,Entradas!$B:$B,Entradas!T:T,,0,1)</f>
        <v>Aéreo</v>
      </c>
      <c r="N178" t="str">
        <f>_xlfn.XLOOKUP($B178,Entradas!$B:$B,Entradas!U:U,,0,1)</f>
        <v>Sim</v>
      </c>
      <c r="O178" t="str">
        <f>_xlfn.XLOOKUP($B178,Entradas!$B:$B,Entradas!V:V,,0,1)</f>
        <v>Realizada</v>
      </c>
      <c r="P178" t="str">
        <f>_xlfn.XLOOKUP($B178,Entradas!$B:$B,Entradas!W:W,,0,1)</f>
        <v>NÃO</v>
      </c>
      <c r="Q178" t="str">
        <f>_xlfn.XLOOKUP($B178,Entradas!$B:$B,Entradas!X:X,,0,1)</f>
        <v>Sem informação</v>
      </c>
      <c r="R178" s="36">
        <f>SUMIF(Entradas!$B:$B,'Entrada Lvl 5-4 qt'!$B178,Entradas!Y:Y)</f>
        <v>1309.3499999999999</v>
      </c>
      <c r="S178" s="36">
        <f>SUMIF(Entradas!$B:$B,'Entrada Lvl 5-4 qt'!$B178,Entradas!Z:Z)</f>
        <v>0</v>
      </c>
      <c r="T178" s="36">
        <f>SUMIF(Entradas!$B:$B,'Entrada Lvl 5-4 qt'!$B178,Entradas!AA:AA)</f>
        <v>2672.7200000000003</v>
      </c>
      <c r="U178" s="36">
        <f>SUMIF(Entradas!$B:$B,'Entrada Lvl 5-4 qt'!$B178,Entradas!AB:AB)</f>
        <v>0</v>
      </c>
      <c r="V178" s="49">
        <f>_xlfn.XLOOKUP($B178,Entradas!$B:$B,Entradas!AC:AC,,0,1)</f>
        <v>45170</v>
      </c>
      <c r="W178" s="58">
        <f t="shared" si="14"/>
        <v>3</v>
      </c>
      <c r="X178" s="28" t="s">
        <v>10</v>
      </c>
      <c r="Y178" s="32">
        <f t="shared" si="10"/>
        <v>0</v>
      </c>
      <c r="Z178" s="33">
        <f t="shared" si="11"/>
        <v>2672.7200000000003</v>
      </c>
      <c r="AA178" s="34">
        <f t="shared" si="12"/>
        <v>1309.3499999999999</v>
      </c>
      <c r="AB178" s="28" t="s">
        <v>1814</v>
      </c>
      <c r="AC178" s="28" t="s">
        <v>1820</v>
      </c>
      <c r="AD178" s="29" t="str" cm="1">
        <f t="array" ref="AD178">_xlfn.IFS(L178&lt;=Constantes!$G$2,"Muito Curta (evitável)",L178&lt;=Constantes!$H$2,"Curta Distância",L178&gt;Constantes!$H$2,"Longa Distância")</f>
        <v>Longa Distância</v>
      </c>
      <c r="AE178" s="30" t="str">
        <f t="shared" si="13"/>
        <v>NÃO</v>
      </c>
      <c r="AF178" s="30">
        <f>SUMIF(Entradas!$B:$B,'Entrada Lvl 5-4 qt'!$B178,Entradas!$AG:$AG)</f>
        <v>800.95835140972315</v>
      </c>
      <c r="AG178" s="30"/>
      <c r="BD178" s="49"/>
      <c r="BE178" s="49"/>
    </row>
    <row r="179" spans="1:57" x14ac:dyDescent="0.3">
      <c r="A179">
        <f>_xlfn.XLOOKUP(B179,Entradas!B:B,Entradas!A:A,,0,-1)</f>
        <v>2</v>
      </c>
      <c r="B179">
        <v>19321680</v>
      </c>
      <c r="C179" t="str">
        <f>_xlfn.XLOOKUP($B179,Entradas!$B:$B,Entradas!C:C,,0,1)</f>
        <v>001326/23</v>
      </c>
      <c r="D179" t="str">
        <f>_xlfn.XLOOKUP($B179,Entradas!$B:$B,Entradas!D:D,,0,1)</f>
        <v/>
      </c>
      <c r="E179" t="str">
        <f>_xlfn.XLOOKUP($B179,Entradas!$B:$B,Entradas!E:E,,0,1)</f>
        <v>ZULEICA DA SILVA TIAGO</v>
      </c>
      <c r="F179" t="str">
        <f>_xlfn.XLOOKUP($B179,Entradas!$B:$B,Entradas!F:F,,0,1)</f>
        <v/>
      </c>
      <c r="G179" t="str">
        <f>_xlfn.XLOOKUP($B179,Entradas!$B:$B,Entradas!G:G,,0,1)</f>
        <v>-1</v>
      </c>
      <c r="H179" t="str">
        <f>_xlfn.XLOOKUP($B179,Entradas!$B:$B,Entradas!H:H,,0,1)</f>
        <v>Sem informação</v>
      </c>
      <c r="I179" s="49">
        <f>_xlfn.XLOOKUP($B179,Entradas!$B:$B,Entradas!I:I,,0,1)</f>
        <v>45216</v>
      </c>
      <c r="J179" s="49">
        <f>_xlfn.XLOOKUP($B179,Entradas!$B:$B,Entradas!J:J,,0,1)</f>
        <v>45220</v>
      </c>
      <c r="K179" t="str">
        <f>_xlfn.XLOOKUP($B179,Entradas!$B:$B,Entradas!K:K,,0,1)</f>
        <v>Proposto participará no X ENEI com participação na comissão organizadora científica do ENEI, e na análise dos trabalhos apresentados pelos acadêmicos Indígenas.</v>
      </c>
      <c r="L179">
        <f>SUMIF(Entradas!$B:$B,'Entrada Lvl 5-4 qt'!$B179,Entradas!S:S)</f>
        <v>5177.7978640000001</v>
      </c>
      <c r="M179" t="str">
        <f>_xlfn.XLOOKUP($B179,Entradas!$B:$B,Entradas!T:T,,0,1)</f>
        <v>Aéreo</v>
      </c>
      <c r="N179" t="str">
        <f>_xlfn.XLOOKUP($B179,Entradas!$B:$B,Entradas!U:U,,0,1)</f>
        <v>Não</v>
      </c>
      <c r="O179" t="str">
        <f>_xlfn.XLOOKUP($B179,Entradas!$B:$B,Entradas!V:V,,0,1)</f>
        <v>Realizada</v>
      </c>
      <c r="P179" t="str">
        <f>_xlfn.XLOOKUP($B179,Entradas!$B:$B,Entradas!W:W,,0,1)</f>
        <v>SIM</v>
      </c>
      <c r="Q179" t="str">
        <f>_xlfn.XLOOKUP($B179,Entradas!$B:$B,Entradas!X:X,,0,1)</f>
        <v>Em detrimento do trâmite para a criação do empenho para colaboradores eventuais, justifico.</v>
      </c>
      <c r="R179" s="36">
        <f>SUMIF(Entradas!$B:$B,'Entrada Lvl 5-4 qt'!$B179,Entradas!Y:Y)</f>
        <v>1489.17</v>
      </c>
      <c r="S179" s="36">
        <f>SUMIF(Entradas!$B:$B,'Entrada Lvl 5-4 qt'!$B179,Entradas!Z:Z)</f>
        <v>0</v>
      </c>
      <c r="T179" s="36">
        <f>SUMIF(Entradas!$B:$B,'Entrada Lvl 5-4 qt'!$B179,Entradas!AA:AA)</f>
        <v>1990.12</v>
      </c>
      <c r="U179" s="36">
        <f>SUMIF(Entradas!$B:$B,'Entrada Lvl 5-4 qt'!$B179,Entradas!AB:AB)</f>
        <v>0</v>
      </c>
      <c r="V179" s="49">
        <f>_xlfn.XLOOKUP($B179,Entradas!$B:$B,Entradas!AC:AC,,0,1)</f>
        <v>45210</v>
      </c>
      <c r="W179" s="58">
        <f t="shared" si="14"/>
        <v>4</v>
      </c>
      <c r="X179" s="28" t="s">
        <v>10</v>
      </c>
      <c r="Y179" s="32">
        <f t="shared" si="10"/>
        <v>0</v>
      </c>
      <c r="Z179" s="33">
        <f t="shared" si="11"/>
        <v>1990.12</v>
      </c>
      <c r="AA179" s="34">
        <f t="shared" si="12"/>
        <v>1489.17</v>
      </c>
      <c r="AB179" s="28" t="s">
        <v>1814</v>
      </c>
      <c r="AC179" s="28" t="s">
        <v>1822</v>
      </c>
      <c r="AD179" s="29" t="str" cm="1">
        <f t="array" ref="AD179">_xlfn.IFS(L179&lt;=Constantes!$G$2,"Muito Curta (evitável)",L179&lt;=Constantes!$H$2,"Curta Distância",L179&gt;Constantes!$H$2,"Longa Distância")</f>
        <v>Longa Distância</v>
      </c>
      <c r="AE179" s="30" t="str">
        <f t="shared" si="13"/>
        <v>NÃO</v>
      </c>
      <c r="AF179" s="30">
        <f>SUMIF(Entradas!$B:$B,'Entrada Lvl 5-4 qt'!$B179,Entradas!$AG:$AG)</f>
        <v>946.86055240877727</v>
      </c>
      <c r="AG179" s="30"/>
      <c r="BD179" s="49"/>
      <c r="BE179" s="49"/>
    </row>
    <row r="180" spans="1:57" x14ac:dyDescent="0.3">
      <c r="A180">
        <f>_xlfn.XLOOKUP(B180,Entradas!B:B,Entradas!A:A,,0,-1)</f>
        <v>1</v>
      </c>
      <c r="B180">
        <v>19101393</v>
      </c>
      <c r="C180" t="str">
        <f>_xlfn.XLOOKUP($B180,Entradas!$B:$B,Entradas!C:C,,0,1)</f>
        <v>000647/23</v>
      </c>
      <c r="D180" t="str">
        <f>_xlfn.XLOOKUP($B180,Entradas!$B:$B,Entradas!D:D,,0,1)</f>
        <v>***.472.784-**</v>
      </c>
      <c r="E180" t="str">
        <f>_xlfn.XLOOKUP($B180,Entradas!$B:$B,Entradas!E:E,,0,1)</f>
        <v>EVANDRO LEITE DE SOUZA</v>
      </c>
      <c r="F180" t="str">
        <f>_xlfn.XLOOKUP($B180,Entradas!$B:$B,Entradas!F:F,,0,1)</f>
        <v>PROFESSOR DO MAGISTERIO SUPERIOR</v>
      </c>
      <c r="G180" t="str">
        <f>_xlfn.XLOOKUP($B180,Entradas!$B:$B,Entradas!G:G,,0,1)</f>
        <v>FG-0001</v>
      </c>
      <c r="H180" t="str">
        <f>_xlfn.XLOOKUP($B180,Entradas!$B:$B,Entradas!H:H,,0,1)</f>
        <v>FG-0001</v>
      </c>
      <c r="I180" s="49">
        <f>_xlfn.XLOOKUP($B180,Entradas!$B:$B,Entradas!I:I,,0,1)</f>
        <v>45217</v>
      </c>
      <c r="J180" s="49">
        <f>_xlfn.XLOOKUP($B180,Entradas!$B:$B,Entradas!J:J,,0,1)</f>
        <v>45221</v>
      </c>
      <c r="K180" t="str">
        <f>_xlfn.XLOOKUP($B180,Entradas!$B:$B,Entradas!K:K,,0,1)</f>
        <v>Participação no 32º Congresso Brasileiro de Microbiologia a ser realizado na cidade Foz do Iguaçu (Paraná) no período de 18 a 22/10/2023 na qualidade de palestrante.</v>
      </c>
      <c r="L180">
        <f>SUMIF(Entradas!$B:$B,'Entrada Lvl 5-4 qt'!$B180,Entradas!S:S)</f>
        <v>2917.0455609999999</v>
      </c>
      <c r="M180" t="str">
        <f>_xlfn.XLOOKUP($B180,Entradas!$B:$B,Entradas!T:T,,0,1)</f>
        <v>Aéreo</v>
      </c>
      <c r="N180" t="str">
        <f>_xlfn.XLOOKUP($B180,Entradas!$B:$B,Entradas!U:U,,0,1)</f>
        <v>Sim</v>
      </c>
      <c r="O180" t="str">
        <f>_xlfn.XLOOKUP($B180,Entradas!$B:$B,Entradas!V:V,,0,1)</f>
        <v>Realizada</v>
      </c>
      <c r="P180" t="str">
        <f>_xlfn.XLOOKUP($B180,Entradas!$B:$B,Entradas!W:W,,0,1)</f>
        <v>NÃO</v>
      </c>
      <c r="Q180" t="str">
        <f>_xlfn.XLOOKUP($B180,Entradas!$B:$B,Entradas!X:X,,0,1)</f>
        <v>Sem informação</v>
      </c>
      <c r="R180" s="36">
        <f>SUMIF(Entradas!$B:$B,'Entrada Lvl 5-4 qt'!$B180,Entradas!Y:Y)</f>
        <v>1359.32</v>
      </c>
      <c r="S180" s="36">
        <f>SUMIF(Entradas!$B:$B,'Entrada Lvl 5-4 qt'!$B180,Entradas!Z:Z)</f>
        <v>0</v>
      </c>
      <c r="T180" s="36">
        <f>SUMIF(Entradas!$B:$B,'Entrada Lvl 5-4 qt'!$B180,Entradas!AA:AA)</f>
        <v>2202.09</v>
      </c>
      <c r="U180" s="36">
        <f>SUMIF(Entradas!$B:$B,'Entrada Lvl 5-4 qt'!$B180,Entradas!AB:AB)</f>
        <v>0</v>
      </c>
      <c r="V180" s="49">
        <f>_xlfn.XLOOKUP($B180,Entradas!$B:$B,Entradas!AC:AC,,0,1)</f>
        <v>45181</v>
      </c>
      <c r="W180" s="58">
        <f t="shared" si="14"/>
        <v>4</v>
      </c>
      <c r="X180" s="28" t="s">
        <v>10</v>
      </c>
      <c r="Y180" s="32">
        <f t="shared" si="10"/>
        <v>0</v>
      </c>
      <c r="Z180" s="33">
        <f t="shared" si="11"/>
        <v>2202.09</v>
      </c>
      <c r="AA180" s="34">
        <f t="shared" si="12"/>
        <v>1359.32</v>
      </c>
      <c r="AB180" s="28" t="s">
        <v>1814</v>
      </c>
      <c r="AC180" s="28" t="s">
        <v>1820</v>
      </c>
      <c r="AD180" s="29" t="str" cm="1">
        <f t="array" ref="AD180">_xlfn.IFS(L180&lt;=Constantes!$G$2,"Muito Curta (evitável)",L180&lt;=Constantes!$H$2,"Curta Distância",L180&gt;Constantes!$H$2,"Longa Distância")</f>
        <v>Curta Distância</v>
      </c>
      <c r="AE180" s="30" t="str">
        <f t="shared" si="13"/>
        <v>NÃO</v>
      </c>
      <c r="AF180" s="30">
        <f>SUMIF(Entradas!$B:$B,'Entrada Lvl 5-4 qt'!$B180,Entradas!$AG:$AG)</f>
        <v>533.43823838582193</v>
      </c>
      <c r="AG180" s="30"/>
      <c r="BD180" s="49"/>
      <c r="BE180" s="49"/>
    </row>
    <row r="181" spans="1:57" x14ac:dyDescent="0.3">
      <c r="A181">
        <f>_xlfn.XLOOKUP(B181,Entradas!B:B,Entradas!A:A,,0,-1)</f>
        <v>2</v>
      </c>
      <c r="B181">
        <v>19124091</v>
      </c>
      <c r="C181" t="str">
        <f>_xlfn.XLOOKUP($B181,Entradas!$B:$B,Entradas!C:C,,0,1)</f>
        <v>000769/23</v>
      </c>
      <c r="D181" t="str">
        <f>_xlfn.XLOOKUP($B181,Entradas!$B:$B,Entradas!D:D,,0,1)</f>
        <v>***.959.914-**</v>
      </c>
      <c r="E181" t="str">
        <f>_xlfn.XLOOKUP($B181,Entradas!$B:$B,Entradas!E:E,,0,1)</f>
        <v>FABIO ANDERSON PEREIRA DA SILVA</v>
      </c>
      <c r="F181" t="str">
        <f>_xlfn.XLOOKUP($B181,Entradas!$B:$B,Entradas!F:F,,0,1)</f>
        <v>PROFESSOR DO MAGISTERIO SUPERIOR</v>
      </c>
      <c r="G181" t="str">
        <f>_xlfn.XLOOKUP($B181,Entradas!$B:$B,Entradas!G:G,,0,1)</f>
        <v>FUC-0001</v>
      </c>
      <c r="H181" t="str">
        <f>_xlfn.XLOOKUP($B181,Entradas!$B:$B,Entradas!H:H,,0,1)</f>
        <v>FUC-0001</v>
      </c>
      <c r="I181" s="49">
        <f>_xlfn.XLOOKUP($B181,Entradas!$B:$B,Entradas!I:I,,0,1)</f>
        <v>45217</v>
      </c>
      <c r="J181" s="49">
        <f>_xlfn.XLOOKUP($B181,Entradas!$B:$B,Entradas!J:J,,0,1)</f>
        <v>45220</v>
      </c>
      <c r="K181" t="str">
        <f>_xlfn.XLOOKUP($B181,Entradas!$B:$B,Entradas!K:K,,0,1)</f>
        <v>Participação como representante do PPGTA na reunião de meio termo da Coordenação de Aperfeiçoamento de Pessoal de Nível Superior (CAPES).</v>
      </c>
      <c r="L181">
        <f>SUMIF(Entradas!$B:$B,'Entrada Lvl 5-4 qt'!$B181,Entradas!S:S)</f>
        <v>3426.839982</v>
      </c>
      <c r="M181" t="str">
        <f>_xlfn.XLOOKUP($B181,Entradas!$B:$B,Entradas!T:T,,0,1)</f>
        <v>Aéreo</v>
      </c>
      <c r="N181" t="str">
        <f>_xlfn.XLOOKUP($B181,Entradas!$B:$B,Entradas!U:U,,0,1)</f>
        <v>Não</v>
      </c>
      <c r="O181" t="str">
        <f>_xlfn.XLOOKUP($B181,Entradas!$B:$B,Entradas!V:V,,0,1)</f>
        <v>Realizada</v>
      </c>
      <c r="P181" t="str">
        <f>_xlfn.XLOOKUP($B181,Entradas!$B:$B,Entradas!W:W,,0,1)</f>
        <v>NÃO</v>
      </c>
      <c r="Q181" t="str">
        <f>_xlfn.XLOOKUP($B181,Entradas!$B:$B,Entradas!X:X,,0,1)</f>
        <v>Sem informação</v>
      </c>
      <c r="R181" s="36">
        <f>SUMIF(Entradas!$B:$B,'Entrada Lvl 5-4 qt'!$B181,Entradas!Y:Y)</f>
        <v>1339.26</v>
      </c>
      <c r="S181" s="36">
        <f>SUMIF(Entradas!$B:$B,'Entrada Lvl 5-4 qt'!$B181,Entradas!Z:Z)</f>
        <v>0</v>
      </c>
      <c r="T181" s="36">
        <f>SUMIF(Entradas!$B:$B,'Entrada Lvl 5-4 qt'!$B181,Entradas!AA:AA)</f>
        <v>1810.2</v>
      </c>
      <c r="U181" s="36">
        <f>SUMIF(Entradas!$B:$B,'Entrada Lvl 5-4 qt'!$B181,Entradas!AB:AB)</f>
        <v>0</v>
      </c>
      <c r="V181" s="49">
        <f>_xlfn.XLOOKUP($B181,Entradas!$B:$B,Entradas!AC:AC,,0,1)</f>
        <v>45154</v>
      </c>
      <c r="W181" s="58">
        <f t="shared" si="14"/>
        <v>3</v>
      </c>
      <c r="X181" s="28" t="s">
        <v>10</v>
      </c>
      <c r="Y181" s="32">
        <f t="shared" si="10"/>
        <v>0</v>
      </c>
      <c r="Z181" s="33">
        <f t="shared" si="11"/>
        <v>1810.2</v>
      </c>
      <c r="AA181" s="34">
        <f t="shared" si="12"/>
        <v>1339.26</v>
      </c>
      <c r="AB181" s="28" t="s">
        <v>1813</v>
      </c>
      <c r="AC181" s="28" t="s">
        <v>1784</v>
      </c>
      <c r="AD181" s="29" t="str" cm="1">
        <f t="array" ref="AD181">_xlfn.IFS(L181&lt;=Constantes!$G$2,"Muito Curta (evitável)",L181&lt;=Constantes!$H$2,"Curta Distância",L181&gt;Constantes!$H$2,"Longa Distância")</f>
        <v>Curta Distância</v>
      </c>
      <c r="AE181" s="30" t="str">
        <f t="shared" si="13"/>
        <v>NÃO</v>
      </c>
      <c r="AF181" s="30">
        <f>SUMIF(Entradas!$B:$B,'Entrada Lvl 5-4 qt'!$B181,Entradas!$AG:$AG)</f>
        <v>626.66401501165365</v>
      </c>
      <c r="AG181" s="30"/>
      <c r="BD181" s="49"/>
      <c r="BE181" s="49"/>
    </row>
    <row r="182" spans="1:57" x14ac:dyDescent="0.3">
      <c r="A182">
        <f>_xlfn.XLOOKUP(B182,Entradas!B:B,Entradas!A:A,,0,-1)</f>
        <v>2</v>
      </c>
      <c r="B182">
        <v>19185075</v>
      </c>
      <c r="C182" t="str">
        <f>_xlfn.XLOOKUP($B182,Entradas!$B:$B,Entradas!C:C,,0,1)</f>
        <v>000800/23</v>
      </c>
      <c r="D182" t="str">
        <f>_xlfn.XLOOKUP($B182,Entradas!$B:$B,Entradas!D:D,,0,1)</f>
        <v>***.106.974-**</v>
      </c>
      <c r="E182" t="str">
        <f>_xlfn.XLOOKUP($B182,Entradas!$B:$B,Entradas!E:E,,0,1)</f>
        <v>TALIANA KENIA ALENCAR BEZERRA</v>
      </c>
      <c r="F182" t="str">
        <f>_xlfn.XLOOKUP($B182,Entradas!$B:$B,Entradas!F:F,,0,1)</f>
        <v>PROFESSOR DO MAGISTERIO SUPERIOR</v>
      </c>
      <c r="G182" t="str">
        <f>_xlfn.XLOOKUP($B182,Entradas!$B:$B,Entradas!G:G,,0,1)</f>
        <v>FUC-0001</v>
      </c>
      <c r="H182" t="str">
        <f>_xlfn.XLOOKUP($B182,Entradas!$B:$B,Entradas!H:H,,0,1)</f>
        <v>FUC-0001</v>
      </c>
      <c r="I182" s="49">
        <f>_xlfn.XLOOKUP($B182,Entradas!$B:$B,Entradas!I:I,,0,1)</f>
        <v>45217</v>
      </c>
      <c r="J182" s="49">
        <f>_xlfn.XLOOKUP($B182,Entradas!$B:$B,Entradas!J:J,,0,1)</f>
        <v>45220</v>
      </c>
      <c r="K182" t="str">
        <f>_xlfn.XLOOKUP($B182,Entradas!$B:$B,Entradas!K:K,,0,1)</f>
        <v>Participação da Reunião de Meio termo na Capes é exigência devido ao cargo ocupado de Coordenadora do Programa de Pós-graduação em Ciência e Tecnologia de Alimentos</v>
      </c>
      <c r="L182">
        <f>SUMIF(Entradas!$B:$B,'Entrada Lvl 5-4 qt'!$B182,Entradas!S:S)</f>
        <v>3426.839982</v>
      </c>
      <c r="M182" t="str">
        <f>_xlfn.XLOOKUP($B182,Entradas!$B:$B,Entradas!T:T,,0,1)</f>
        <v>Aéreo</v>
      </c>
      <c r="N182" t="str">
        <f>_xlfn.XLOOKUP($B182,Entradas!$B:$B,Entradas!U:U,,0,1)</f>
        <v>Sim</v>
      </c>
      <c r="O182" t="str">
        <f>_xlfn.XLOOKUP($B182,Entradas!$B:$B,Entradas!V:V,,0,1)</f>
        <v>Realizada</v>
      </c>
      <c r="P182" t="str">
        <f>_xlfn.XLOOKUP($B182,Entradas!$B:$B,Entradas!W:W,,0,1)</f>
        <v>NÃO</v>
      </c>
      <c r="Q182" t="str">
        <f>_xlfn.XLOOKUP($B182,Entradas!$B:$B,Entradas!X:X,,0,1)</f>
        <v>Sem informação</v>
      </c>
      <c r="R182" s="36">
        <f>SUMIF(Entradas!$B:$B,'Entrada Lvl 5-4 qt'!$B182,Entradas!Y:Y)</f>
        <v>1339.26</v>
      </c>
      <c r="S182" s="36">
        <f>SUMIF(Entradas!$B:$B,'Entrada Lvl 5-4 qt'!$B182,Entradas!Z:Z)</f>
        <v>0</v>
      </c>
      <c r="T182" s="36">
        <f>SUMIF(Entradas!$B:$B,'Entrada Lvl 5-4 qt'!$B182,Entradas!AA:AA)</f>
        <v>2122.1</v>
      </c>
      <c r="U182" s="36">
        <f>SUMIF(Entradas!$B:$B,'Entrada Lvl 5-4 qt'!$B182,Entradas!AB:AB)</f>
        <v>0</v>
      </c>
      <c r="V182" s="49">
        <f>_xlfn.XLOOKUP($B182,Entradas!$B:$B,Entradas!AC:AC,,0,1)</f>
        <v>45156</v>
      </c>
      <c r="W182" s="58">
        <f t="shared" si="14"/>
        <v>3</v>
      </c>
      <c r="X182" s="28" t="s">
        <v>10</v>
      </c>
      <c r="Y182" s="32">
        <f t="shared" si="10"/>
        <v>0</v>
      </c>
      <c r="Z182" s="33">
        <f t="shared" si="11"/>
        <v>2122.1</v>
      </c>
      <c r="AA182" s="34">
        <f t="shared" si="12"/>
        <v>1339.26</v>
      </c>
      <c r="AB182" s="28" t="s">
        <v>1813</v>
      </c>
      <c r="AC182" s="28" t="s">
        <v>1784</v>
      </c>
      <c r="AD182" s="29" t="str" cm="1">
        <f t="array" ref="AD182">_xlfn.IFS(L182&lt;=Constantes!$G$2,"Muito Curta (evitável)",L182&lt;=Constantes!$H$2,"Curta Distância",L182&gt;Constantes!$H$2,"Longa Distância")</f>
        <v>Curta Distância</v>
      </c>
      <c r="AE182" s="30" t="str">
        <f t="shared" si="13"/>
        <v>NÃO</v>
      </c>
      <c r="AF182" s="30">
        <f>SUMIF(Entradas!$B:$B,'Entrada Lvl 5-4 qt'!$B182,Entradas!$AG:$AG)</f>
        <v>626.66401501165365</v>
      </c>
      <c r="AG182" s="30"/>
      <c r="BD182" s="49"/>
      <c r="BE182" s="49"/>
    </row>
    <row r="183" spans="1:57" x14ac:dyDescent="0.3">
      <c r="A183">
        <f>_xlfn.XLOOKUP(B183,Entradas!B:B,Entradas!A:A,,0,-1)</f>
        <v>2</v>
      </c>
      <c r="B183">
        <v>19236125</v>
      </c>
      <c r="C183" t="str">
        <f>_xlfn.XLOOKUP($B183,Entradas!$B:$B,Entradas!C:C,,0,1)</f>
        <v>000942/23</v>
      </c>
      <c r="D183" t="str">
        <f>_xlfn.XLOOKUP($B183,Entradas!$B:$B,Entradas!D:D,,0,1)</f>
        <v>***.652.838-**</v>
      </c>
      <c r="E183" t="str">
        <f>_xlfn.XLOOKUP($B183,Entradas!$B:$B,Entradas!E:E,,0,1)</f>
        <v>SURYA AARONOVICH POMBO DE BARROS</v>
      </c>
      <c r="F183" t="str">
        <f>_xlfn.XLOOKUP($B183,Entradas!$B:$B,Entradas!F:F,,0,1)</f>
        <v>PROFESSOR DO MAGISTERIO SUPERIOR</v>
      </c>
      <c r="G183" t="str">
        <f>_xlfn.XLOOKUP($B183,Entradas!$B:$B,Entradas!G:G,,0,1)</f>
        <v>FUC-0001</v>
      </c>
      <c r="H183" t="str">
        <f>_xlfn.XLOOKUP($B183,Entradas!$B:$B,Entradas!H:H,,0,1)</f>
        <v>FUC-0001</v>
      </c>
      <c r="I183" s="49">
        <f>_xlfn.XLOOKUP($B183,Entradas!$B:$B,Entradas!I:I,,0,1)</f>
        <v>45217</v>
      </c>
      <c r="J183" s="49">
        <f>_xlfn.XLOOKUP($B183,Entradas!$B:$B,Entradas!J:J,,0,1)</f>
        <v>45220</v>
      </c>
      <c r="K183" t="str">
        <f>_xlfn.XLOOKUP($B183,Entradas!$B:$B,Entradas!K:K,,0,1)</f>
        <v>Participar do Seminário de Meio Termo dos programas de pós-graduação da área de HISTÓRIA - CAPES.</v>
      </c>
      <c r="L183">
        <f>SUMIF(Entradas!$B:$B,'Entrada Lvl 5-4 qt'!$B183,Entradas!S:S)</f>
        <v>3426.839982</v>
      </c>
      <c r="M183" t="str">
        <f>_xlfn.XLOOKUP($B183,Entradas!$B:$B,Entradas!T:T,,0,1)</f>
        <v>Aéreo</v>
      </c>
      <c r="N183" t="str">
        <f>_xlfn.XLOOKUP($B183,Entradas!$B:$B,Entradas!U:U,,0,1)</f>
        <v>Sim</v>
      </c>
      <c r="O183" t="str">
        <f>_xlfn.XLOOKUP($B183,Entradas!$B:$B,Entradas!V:V,,0,1)</f>
        <v>Realizada</v>
      </c>
      <c r="P183" t="str">
        <f>_xlfn.XLOOKUP($B183,Entradas!$B:$B,Entradas!W:W,,0,1)</f>
        <v>NÃO</v>
      </c>
      <c r="Q183" t="str">
        <f>_xlfn.XLOOKUP($B183,Entradas!$B:$B,Entradas!X:X,,0,1)</f>
        <v>Sem informação</v>
      </c>
      <c r="R183" s="36">
        <f>SUMIF(Entradas!$B:$B,'Entrada Lvl 5-4 qt'!$B183,Entradas!Y:Y)</f>
        <v>1339.26</v>
      </c>
      <c r="S183" s="36">
        <f>SUMIF(Entradas!$B:$B,'Entrada Lvl 5-4 qt'!$B183,Entradas!Z:Z)</f>
        <v>0</v>
      </c>
      <c r="T183" s="36">
        <f>SUMIF(Entradas!$B:$B,'Entrada Lvl 5-4 qt'!$B183,Entradas!AA:AA)</f>
        <v>2090.5</v>
      </c>
      <c r="U183" s="36">
        <f>SUMIF(Entradas!$B:$B,'Entrada Lvl 5-4 qt'!$B183,Entradas!AB:AB)</f>
        <v>0</v>
      </c>
      <c r="V183" s="49">
        <f>_xlfn.XLOOKUP($B183,Entradas!$B:$B,Entradas!AC:AC,,0,1)</f>
        <v>45168</v>
      </c>
      <c r="W183" s="58">
        <f t="shared" si="14"/>
        <v>3</v>
      </c>
      <c r="X183" s="28" t="s">
        <v>10</v>
      </c>
      <c r="Y183" s="32">
        <f t="shared" si="10"/>
        <v>0</v>
      </c>
      <c r="Z183" s="33">
        <f t="shared" si="11"/>
        <v>2090.5</v>
      </c>
      <c r="AA183" s="34">
        <f t="shared" si="12"/>
        <v>1339.26</v>
      </c>
      <c r="AB183" s="28" t="s">
        <v>1813</v>
      </c>
      <c r="AC183" s="28" t="s">
        <v>1784</v>
      </c>
      <c r="AD183" s="29" t="str" cm="1">
        <f t="array" ref="AD183">_xlfn.IFS(L183&lt;=Constantes!$G$2,"Muito Curta (evitável)",L183&lt;=Constantes!$H$2,"Curta Distância",L183&gt;Constantes!$H$2,"Longa Distância")</f>
        <v>Curta Distância</v>
      </c>
      <c r="AE183" s="30" t="str">
        <f t="shared" si="13"/>
        <v>NÃO</v>
      </c>
      <c r="AF183" s="30">
        <f>SUMIF(Entradas!$B:$B,'Entrada Lvl 5-4 qt'!$B183,Entradas!$AG:$AG)</f>
        <v>626.66401501165365</v>
      </c>
      <c r="AG183" s="30"/>
      <c r="BD183" s="49"/>
      <c r="BE183" s="49"/>
    </row>
    <row r="184" spans="1:57" x14ac:dyDescent="0.3">
      <c r="A184">
        <f>_xlfn.XLOOKUP(B184,Entradas!B:B,Entradas!A:A,,0,-1)</f>
        <v>2</v>
      </c>
      <c r="B184">
        <v>19288360</v>
      </c>
      <c r="C184" t="str">
        <f>_xlfn.XLOOKUP($B184,Entradas!$B:$B,Entradas!C:C,,0,1)</f>
        <v>001163/23</v>
      </c>
      <c r="D184" t="str">
        <f>_xlfn.XLOOKUP($B184,Entradas!$B:$B,Entradas!D:D,,0,1)</f>
        <v>***.106.064-**</v>
      </c>
      <c r="E184" t="str">
        <f>_xlfn.XLOOKUP($B184,Entradas!$B:$B,Entradas!E:E,,0,1)</f>
        <v>LINCOLN DAVID NERY E SILVA</v>
      </c>
      <c r="F184" t="str">
        <f>_xlfn.XLOOKUP($B184,Entradas!$B:$B,Entradas!F:F,,0,1)</f>
        <v>PROFESSOR DO MAGISTERIO SUPERIOR</v>
      </c>
      <c r="G184" t="str">
        <f>_xlfn.XLOOKUP($B184,Entradas!$B:$B,Entradas!G:G,,0,1)</f>
        <v>-1</v>
      </c>
      <c r="H184" t="str">
        <f>_xlfn.XLOOKUP($B184,Entradas!$B:$B,Entradas!H:H,,0,1)</f>
        <v>Sem informação</v>
      </c>
      <c r="I184" s="49">
        <f>_xlfn.XLOOKUP($B184,Entradas!$B:$B,Entradas!I:I,,0,1)</f>
        <v>45218</v>
      </c>
      <c r="J184" s="49">
        <f>_xlfn.XLOOKUP($B184,Entradas!$B:$B,Entradas!J:J,,0,1)</f>
        <v>45222</v>
      </c>
      <c r="K184" t="str">
        <f>_xlfn.XLOOKUP($B184,Entradas!$B:$B,Entradas!K:K,,0,1)</f>
        <v>Participação na final brasileira da Maratona de Programação da SBC, após classificação na etapa regional.</v>
      </c>
      <c r="L184">
        <f>SUMIF(Entradas!$B:$B,'Entrada Lvl 5-4 qt'!$B184,Entradas!S:S)</f>
        <v>5809.1740980000004</v>
      </c>
      <c r="M184" t="str">
        <f>_xlfn.XLOOKUP($B184,Entradas!$B:$B,Entradas!T:T,,0,1)</f>
        <v>Aéreo</v>
      </c>
      <c r="N184" t="str">
        <f>_xlfn.XLOOKUP($B184,Entradas!$B:$B,Entradas!U:U,,0,1)</f>
        <v>Sim</v>
      </c>
      <c r="O184" t="str">
        <f>_xlfn.XLOOKUP($B184,Entradas!$B:$B,Entradas!V:V,,0,1)</f>
        <v>Realizada</v>
      </c>
      <c r="P184" t="str">
        <f>_xlfn.XLOOKUP($B184,Entradas!$B:$B,Entradas!W:W,,0,1)</f>
        <v>NÃO</v>
      </c>
      <c r="Q184" t="str">
        <f>_xlfn.XLOOKUP($B184,Entradas!$B:$B,Entradas!X:X,,0,1)</f>
        <v>Sem informação</v>
      </c>
      <c r="R184" s="36">
        <f>SUMIF(Entradas!$B:$B,'Entrada Lvl 5-4 qt'!$B184,Entradas!Y:Y)</f>
        <v>0</v>
      </c>
      <c r="S184" s="36">
        <f>SUMIF(Entradas!$B:$B,'Entrada Lvl 5-4 qt'!$B184,Entradas!Z:Z)</f>
        <v>0</v>
      </c>
      <c r="T184" s="36">
        <f>SUMIF(Entradas!$B:$B,'Entrada Lvl 5-4 qt'!$B184,Entradas!AA:AA)</f>
        <v>2243.2399999999998</v>
      </c>
      <c r="U184" s="36">
        <f>SUMIF(Entradas!$B:$B,'Entrada Lvl 5-4 qt'!$B184,Entradas!AB:AB)</f>
        <v>0</v>
      </c>
      <c r="V184" s="49">
        <f>_xlfn.XLOOKUP($B184,Entradas!$B:$B,Entradas!AC:AC,,0,1)</f>
        <v>45195</v>
      </c>
      <c r="W184" s="58">
        <f t="shared" si="14"/>
        <v>4</v>
      </c>
      <c r="X184" s="28" t="s">
        <v>10</v>
      </c>
      <c r="Y184" s="32">
        <f t="shared" si="10"/>
        <v>0</v>
      </c>
      <c r="Z184" s="33">
        <f t="shared" si="11"/>
        <v>2243.2399999999998</v>
      </c>
      <c r="AA184" s="34">
        <f t="shared" si="12"/>
        <v>0</v>
      </c>
      <c r="AB184" s="28" t="s">
        <v>1814</v>
      </c>
      <c r="AC184" s="28" t="s">
        <v>1820</v>
      </c>
      <c r="AD184" s="29" t="str" cm="1">
        <f t="array" ref="AD184">_xlfn.IFS(L184&lt;=Constantes!$G$2,"Muito Curta (evitável)",L184&lt;=Constantes!$H$2,"Curta Distância",L184&gt;Constantes!$H$2,"Longa Distância")</f>
        <v>Longa Distância</v>
      </c>
      <c r="AE184" s="30" t="str">
        <f t="shared" si="13"/>
        <v>NÃO</v>
      </c>
      <c r="AF184" s="30">
        <f>SUMIF(Entradas!$B:$B,'Entrada Lvl 5-4 qt'!$B184,Entradas!$AG:$AG)</f>
        <v>1062.319916680131</v>
      </c>
      <c r="AG184" s="30"/>
      <c r="BD184" s="49"/>
      <c r="BE184" s="49"/>
    </row>
    <row r="185" spans="1:57" x14ac:dyDescent="0.3">
      <c r="A185">
        <f>_xlfn.XLOOKUP(B185,Entradas!B:B,Entradas!A:A,,0,-1)</f>
        <v>2</v>
      </c>
      <c r="B185">
        <v>19313222</v>
      </c>
      <c r="C185" t="str">
        <f>_xlfn.XLOOKUP($B185,Entradas!$B:$B,Entradas!C:C,,0,1)</f>
        <v>001166/23</v>
      </c>
      <c r="D185" t="str">
        <f>_xlfn.XLOOKUP($B185,Entradas!$B:$B,Entradas!D:D,,0,1)</f>
        <v/>
      </c>
      <c r="E185" t="str">
        <f>_xlfn.XLOOKUP($B185,Entradas!$B:$B,Entradas!E:E,,0,1)</f>
        <v>TAYLOR KLAUS CANTALICE NOBREGA</v>
      </c>
      <c r="F185" t="str">
        <f>_xlfn.XLOOKUP($B185,Entradas!$B:$B,Entradas!F:F,,0,1)</f>
        <v/>
      </c>
      <c r="G185" t="str">
        <f>_xlfn.XLOOKUP($B185,Entradas!$B:$B,Entradas!G:G,,0,1)</f>
        <v>-1</v>
      </c>
      <c r="H185" t="str">
        <f>_xlfn.XLOOKUP($B185,Entradas!$B:$B,Entradas!H:H,,0,1)</f>
        <v>Sem informação</v>
      </c>
      <c r="I185" s="49">
        <f>_xlfn.XLOOKUP($B185,Entradas!$B:$B,Entradas!I:I,,0,1)</f>
        <v>45218</v>
      </c>
      <c r="J185" s="49">
        <f>_xlfn.XLOOKUP($B185,Entradas!$B:$B,Entradas!J:J,,0,1)</f>
        <v>45222</v>
      </c>
      <c r="K185" t="str">
        <f>_xlfn.XLOOKUP($B185,Entradas!$B:$B,Entradas!K:K,,0,1)</f>
        <v>Participação do time 'Luerson e os Meros Mortais', composto por 3 alunos da graduação e um Professor como Coach na final brasileira da Maratona de Programação da SBC, após classificação na etapa regional.</v>
      </c>
      <c r="L185">
        <f>SUMIF(Entradas!$B:$B,'Entrada Lvl 5-4 qt'!$B185,Entradas!S:S)</f>
        <v>5809.1740980000004</v>
      </c>
      <c r="M185" t="str">
        <f>_xlfn.XLOOKUP($B185,Entradas!$B:$B,Entradas!T:T,,0,1)</f>
        <v>Aéreo</v>
      </c>
      <c r="N185" t="str">
        <f>_xlfn.XLOOKUP($B185,Entradas!$B:$B,Entradas!U:U,,0,1)</f>
        <v>Não</v>
      </c>
      <c r="O185" t="str">
        <f>_xlfn.XLOOKUP($B185,Entradas!$B:$B,Entradas!V:V,,0,1)</f>
        <v>Realizada</v>
      </c>
      <c r="P185" t="str">
        <f>_xlfn.XLOOKUP($B185,Entradas!$B:$B,Entradas!W:W,,0,1)</f>
        <v>NÃO</v>
      </c>
      <c r="Q185" t="str">
        <f>_xlfn.XLOOKUP($B185,Entradas!$B:$B,Entradas!X:X,,0,1)</f>
        <v>Sem informação</v>
      </c>
      <c r="R185" s="36">
        <f>SUMIF(Entradas!$B:$B,'Entrada Lvl 5-4 qt'!$B185,Entradas!Y:Y)</f>
        <v>0</v>
      </c>
      <c r="S185" s="36">
        <f>SUMIF(Entradas!$B:$B,'Entrada Lvl 5-4 qt'!$B185,Entradas!Z:Z)</f>
        <v>0</v>
      </c>
      <c r="T185" s="36">
        <f>SUMIF(Entradas!$B:$B,'Entrada Lvl 5-4 qt'!$B185,Entradas!AA:AA)</f>
        <v>4008.9399999999996</v>
      </c>
      <c r="U185" s="36">
        <f>SUMIF(Entradas!$B:$B,'Entrada Lvl 5-4 qt'!$B185,Entradas!AB:AB)</f>
        <v>0</v>
      </c>
      <c r="V185" s="49">
        <f>_xlfn.XLOOKUP($B185,Entradas!$B:$B,Entradas!AC:AC,,0,1)</f>
        <v>45191</v>
      </c>
      <c r="W185" s="58">
        <f t="shared" si="14"/>
        <v>4</v>
      </c>
      <c r="X185" s="28" t="s">
        <v>10</v>
      </c>
      <c r="Y185" s="32">
        <f t="shared" si="10"/>
        <v>0</v>
      </c>
      <c r="Z185" s="33">
        <f t="shared" si="11"/>
        <v>4008.9399999999996</v>
      </c>
      <c r="AA185" s="34">
        <f t="shared" si="12"/>
        <v>0</v>
      </c>
      <c r="AB185" s="28" t="s">
        <v>1814</v>
      </c>
      <c r="AC185" s="28" t="s">
        <v>1784</v>
      </c>
      <c r="AD185" s="29" t="str" cm="1">
        <f t="array" ref="AD185">_xlfn.IFS(L185&lt;=Constantes!$G$2,"Muito Curta (evitável)",L185&lt;=Constantes!$H$2,"Curta Distância",L185&gt;Constantes!$H$2,"Longa Distância")</f>
        <v>Longa Distância</v>
      </c>
      <c r="AE185" s="30" t="str">
        <f t="shared" si="13"/>
        <v>NÃO</v>
      </c>
      <c r="AF185" s="30">
        <f>SUMIF(Entradas!$B:$B,'Entrada Lvl 5-4 qt'!$B185,Entradas!$AG:$AG)</f>
        <v>1062.319916680131</v>
      </c>
      <c r="AG185" s="30"/>
      <c r="BD185" s="49"/>
      <c r="BE185" s="49"/>
    </row>
    <row r="186" spans="1:57" x14ac:dyDescent="0.3">
      <c r="A186">
        <f>_xlfn.XLOOKUP(B186,Entradas!B:B,Entradas!A:A,,0,-1)</f>
        <v>2</v>
      </c>
      <c r="B186">
        <v>19314122</v>
      </c>
      <c r="C186" t="str">
        <f>_xlfn.XLOOKUP($B186,Entradas!$B:$B,Entradas!C:C,,0,1)</f>
        <v>001295/23</v>
      </c>
      <c r="D186" t="str">
        <f>_xlfn.XLOOKUP($B186,Entradas!$B:$B,Entradas!D:D,,0,1)</f>
        <v>***.809.068-**</v>
      </c>
      <c r="E186" t="str">
        <f>_xlfn.XLOOKUP($B186,Entradas!$B:$B,Entradas!E:E,,0,1)</f>
        <v>ALVARO LUIZ TRAVASSOS DE AZEVEDO GONZAGA</v>
      </c>
      <c r="F186" t="str">
        <f>_xlfn.XLOOKUP($B186,Entradas!$B:$B,Entradas!F:F,,0,1)</f>
        <v/>
      </c>
      <c r="G186" t="str">
        <f>_xlfn.XLOOKUP($B186,Entradas!$B:$B,Entradas!G:G,,0,1)</f>
        <v>-1</v>
      </c>
      <c r="H186" t="str">
        <f>_xlfn.XLOOKUP($B186,Entradas!$B:$B,Entradas!H:H,,0,1)</f>
        <v>Sem informação</v>
      </c>
      <c r="I186" s="49">
        <f>_xlfn.XLOOKUP($B186,Entradas!$B:$B,Entradas!I:I,,0,1)</f>
        <v>45218</v>
      </c>
      <c r="J186" s="49">
        <f>_xlfn.XLOOKUP($B186,Entradas!$B:$B,Entradas!J:J,,0,1)</f>
        <v>45219</v>
      </c>
      <c r="K186" t="str">
        <f>_xlfn.XLOOKUP($B186,Entradas!$B:$B,Entradas!K:K,,0,1)</f>
        <v>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v>
      </c>
      <c r="L186">
        <f>SUMIF(Entradas!$B:$B,'Entrada Lvl 5-4 qt'!$B186,Entradas!S:S)</f>
        <v>4379.9484839999996</v>
      </c>
      <c r="M186" t="str">
        <f>_xlfn.XLOOKUP($B186,Entradas!$B:$B,Entradas!T:T,,0,1)</f>
        <v>Aéreo</v>
      </c>
      <c r="N186" t="str">
        <f>_xlfn.XLOOKUP($B186,Entradas!$B:$B,Entradas!U:U,,0,1)</f>
        <v>Não</v>
      </c>
      <c r="O186" t="str">
        <f>_xlfn.XLOOKUP($B186,Entradas!$B:$B,Entradas!V:V,,0,1)</f>
        <v>Realizada</v>
      </c>
      <c r="P186" t="str">
        <f>_xlfn.XLOOKUP($B186,Entradas!$B:$B,Entradas!W:W,,0,1)</f>
        <v>NÃO</v>
      </c>
      <c r="Q186" t="str">
        <f>_xlfn.XLOOKUP($B186,Entradas!$B:$B,Entradas!X:X,,0,1)</f>
        <v>Sem informação</v>
      </c>
      <c r="R186" s="36">
        <f>SUMIF(Entradas!$B:$B,'Entrada Lvl 5-4 qt'!$B186,Entradas!Y:Y)</f>
        <v>546.35</v>
      </c>
      <c r="S186" s="36">
        <f>SUMIF(Entradas!$B:$B,'Entrada Lvl 5-4 qt'!$B186,Entradas!Z:Z)</f>
        <v>0</v>
      </c>
      <c r="T186" s="36">
        <f>SUMIF(Entradas!$B:$B,'Entrada Lvl 5-4 qt'!$B186,Entradas!AA:AA)</f>
        <v>2829.34</v>
      </c>
      <c r="U186" s="36">
        <f>SUMIF(Entradas!$B:$B,'Entrada Lvl 5-4 qt'!$B186,Entradas!AB:AB)</f>
        <v>0</v>
      </c>
      <c r="V186" s="49">
        <f>_xlfn.XLOOKUP($B186,Entradas!$B:$B,Entradas!AC:AC,,0,1)</f>
        <v>45202</v>
      </c>
      <c r="W186" s="58">
        <f t="shared" si="14"/>
        <v>1</v>
      </c>
      <c r="X186" s="28" t="s">
        <v>10</v>
      </c>
      <c r="Y186" s="32">
        <f t="shared" si="10"/>
        <v>0</v>
      </c>
      <c r="Z186" s="33">
        <f t="shared" si="11"/>
        <v>2829.34</v>
      </c>
      <c r="AA186" s="34">
        <f t="shared" si="12"/>
        <v>546.35</v>
      </c>
      <c r="AB186" s="28" t="s">
        <v>1814</v>
      </c>
      <c r="AC186" s="28" t="s">
        <v>1821</v>
      </c>
      <c r="AD186" s="29" t="str" cm="1">
        <f t="array" ref="AD186">_xlfn.IFS(L186&lt;=Constantes!$G$2,"Muito Curta (evitável)",L186&lt;=Constantes!$H$2,"Curta Distância",L186&gt;Constantes!$H$2,"Longa Distância")</f>
        <v>Longa Distância</v>
      </c>
      <c r="AE186" s="30" t="str">
        <f t="shared" si="13"/>
        <v>NÃO</v>
      </c>
      <c r="AF186" s="30">
        <f>SUMIF(Entradas!$B:$B,'Entrada Lvl 5-4 qt'!$B186,Entradas!$AG:$AG)</f>
        <v>800.95835140972315</v>
      </c>
      <c r="AG186" s="30"/>
      <c r="BD186" s="49"/>
      <c r="BE186" s="49"/>
    </row>
    <row r="187" spans="1:57" x14ac:dyDescent="0.3">
      <c r="A187">
        <f>_xlfn.XLOOKUP(B187,Entradas!B:B,Entradas!A:A,,0,-1)</f>
        <v>2</v>
      </c>
      <c r="B187">
        <v>19314332</v>
      </c>
      <c r="C187" t="str">
        <f>_xlfn.XLOOKUP($B187,Entradas!$B:$B,Entradas!C:C,,0,1)</f>
        <v>001164/23</v>
      </c>
      <c r="D187" t="str">
        <f>_xlfn.XLOOKUP($B187,Entradas!$B:$B,Entradas!D:D,,0,1)</f>
        <v/>
      </c>
      <c r="E187" t="str">
        <f>_xlfn.XLOOKUP($B187,Entradas!$B:$B,Entradas!E:E,,0,1)</f>
        <v>LUERSON DE ALBUQUERQUE SILVA FILHO</v>
      </c>
      <c r="F187" t="str">
        <f>_xlfn.XLOOKUP($B187,Entradas!$B:$B,Entradas!F:F,,0,1)</f>
        <v/>
      </c>
      <c r="G187" t="str">
        <f>_xlfn.XLOOKUP($B187,Entradas!$B:$B,Entradas!G:G,,0,1)</f>
        <v>-1</v>
      </c>
      <c r="H187" t="str">
        <f>_xlfn.XLOOKUP($B187,Entradas!$B:$B,Entradas!H:H,,0,1)</f>
        <v>Sem informação</v>
      </c>
      <c r="I187" s="49">
        <f>_xlfn.XLOOKUP($B187,Entradas!$B:$B,Entradas!I:I,,0,1)</f>
        <v>45218</v>
      </c>
      <c r="J187" s="49">
        <f>_xlfn.XLOOKUP($B187,Entradas!$B:$B,Entradas!J:J,,0,1)</f>
        <v>45222</v>
      </c>
      <c r="K187" t="str">
        <f>_xlfn.XLOOKUP($B187,Entradas!$B:$B,Entradas!K:K,,0,1)</f>
        <v>Participação do time 'Luerson e os Meros Mortais', composto por 3 alunos da graduação e um Professor como Coach na final brasileira da Maratona de Programação da SBC, após classificação na etapa regional.</v>
      </c>
      <c r="L187">
        <f>SUMIF(Entradas!$B:$B,'Entrada Lvl 5-4 qt'!$B187,Entradas!S:S)</f>
        <v>5809.1740980000004</v>
      </c>
      <c r="M187" t="str">
        <f>_xlfn.XLOOKUP($B187,Entradas!$B:$B,Entradas!T:T,,0,1)</f>
        <v>Aéreo</v>
      </c>
      <c r="N187" t="str">
        <f>_xlfn.XLOOKUP($B187,Entradas!$B:$B,Entradas!U:U,,0,1)</f>
        <v>Não</v>
      </c>
      <c r="O187" t="str">
        <f>_xlfn.XLOOKUP($B187,Entradas!$B:$B,Entradas!V:V,,0,1)</f>
        <v>Realizada</v>
      </c>
      <c r="P187" t="str">
        <f>_xlfn.XLOOKUP($B187,Entradas!$B:$B,Entradas!W:W,,0,1)</f>
        <v>NÃO</v>
      </c>
      <c r="Q187" t="str">
        <f>_xlfn.XLOOKUP($B187,Entradas!$B:$B,Entradas!X:X,,0,1)</f>
        <v>Sem informação</v>
      </c>
      <c r="R187" s="36">
        <f>SUMIF(Entradas!$B:$B,'Entrada Lvl 5-4 qt'!$B187,Entradas!Y:Y)</f>
        <v>0</v>
      </c>
      <c r="S187" s="36">
        <f>SUMIF(Entradas!$B:$B,'Entrada Lvl 5-4 qt'!$B187,Entradas!Z:Z)</f>
        <v>0</v>
      </c>
      <c r="T187" s="36">
        <f>SUMIF(Entradas!$B:$B,'Entrada Lvl 5-4 qt'!$B187,Entradas!AA:AA)</f>
        <v>4008.9399999999996</v>
      </c>
      <c r="U187" s="36">
        <f>SUMIF(Entradas!$B:$B,'Entrada Lvl 5-4 qt'!$B187,Entradas!AB:AB)</f>
        <v>0</v>
      </c>
      <c r="V187" s="49">
        <f>_xlfn.XLOOKUP($B187,Entradas!$B:$B,Entradas!AC:AC,,0,1)</f>
        <v>45191</v>
      </c>
      <c r="W187" s="58">
        <f t="shared" si="14"/>
        <v>4</v>
      </c>
      <c r="X187" s="28" t="s">
        <v>10</v>
      </c>
      <c r="Y187" s="32">
        <f t="shared" si="10"/>
        <v>0</v>
      </c>
      <c r="Z187" s="33">
        <f t="shared" si="11"/>
        <v>4008.9399999999996</v>
      </c>
      <c r="AA187" s="34">
        <f t="shared" si="12"/>
        <v>0</v>
      </c>
      <c r="AB187" s="28" t="s">
        <v>1814</v>
      </c>
      <c r="AC187" s="28" t="s">
        <v>1784</v>
      </c>
      <c r="AD187" s="29" t="str" cm="1">
        <f t="array" ref="AD187">_xlfn.IFS(L187&lt;=Constantes!$G$2,"Muito Curta (evitável)",L187&lt;=Constantes!$H$2,"Curta Distância",L187&gt;Constantes!$H$2,"Longa Distância")</f>
        <v>Longa Distância</v>
      </c>
      <c r="AE187" s="30" t="str">
        <f t="shared" si="13"/>
        <v>NÃO</v>
      </c>
      <c r="AF187" s="30">
        <f>SUMIF(Entradas!$B:$B,'Entrada Lvl 5-4 qt'!$B187,Entradas!$AG:$AG)</f>
        <v>1062.319916680131</v>
      </c>
      <c r="AG187" s="30"/>
      <c r="BD187" s="49"/>
      <c r="BE187" s="49"/>
    </row>
    <row r="188" spans="1:57" x14ac:dyDescent="0.3">
      <c r="A188">
        <f>_xlfn.XLOOKUP(B188,Entradas!B:B,Entradas!A:A,,0,-1)</f>
        <v>2</v>
      </c>
      <c r="B188">
        <v>19314417</v>
      </c>
      <c r="C188" t="str">
        <f>_xlfn.XLOOKUP($B188,Entradas!$B:$B,Entradas!C:C,,0,1)</f>
        <v>001165/23</v>
      </c>
      <c r="D188" t="str">
        <f>_xlfn.XLOOKUP($B188,Entradas!$B:$B,Entradas!D:D,,0,1)</f>
        <v/>
      </c>
      <c r="E188" t="str">
        <f>_xlfn.XLOOKUP($B188,Entradas!$B:$B,Entradas!E:E,,0,1)</f>
        <v>LUIZ HENRIQUE QUEIROZ DE ALBUQUERQUE SILVA</v>
      </c>
      <c r="F188" t="str">
        <f>_xlfn.XLOOKUP($B188,Entradas!$B:$B,Entradas!F:F,,0,1)</f>
        <v/>
      </c>
      <c r="G188" t="str">
        <f>_xlfn.XLOOKUP($B188,Entradas!$B:$B,Entradas!G:G,,0,1)</f>
        <v>-1</v>
      </c>
      <c r="H188" t="str">
        <f>_xlfn.XLOOKUP($B188,Entradas!$B:$B,Entradas!H:H,,0,1)</f>
        <v>Sem informação</v>
      </c>
      <c r="I188" s="49">
        <f>_xlfn.XLOOKUP($B188,Entradas!$B:$B,Entradas!I:I,,0,1)</f>
        <v>45218</v>
      </c>
      <c r="J188" s="49">
        <f>_xlfn.XLOOKUP($B188,Entradas!$B:$B,Entradas!J:J,,0,1)</f>
        <v>45222</v>
      </c>
      <c r="K188" t="str">
        <f>_xlfn.XLOOKUP($B188,Entradas!$B:$B,Entradas!K:K,,0,1)</f>
        <v>Participação do time 'Luerson e os Meros Mortais', composto por 3 alunos da graduação e um Professor como Coach na final brasileira da Maratona de Programação da SBC, após classificação na etapa regional.</v>
      </c>
      <c r="L188">
        <f>SUMIF(Entradas!$B:$B,'Entrada Lvl 5-4 qt'!$B188,Entradas!S:S)</f>
        <v>5809.1740980000004</v>
      </c>
      <c r="M188" t="str">
        <f>_xlfn.XLOOKUP($B188,Entradas!$B:$B,Entradas!T:T,,0,1)</f>
        <v>Aéreo</v>
      </c>
      <c r="N188" t="str">
        <f>_xlfn.XLOOKUP($B188,Entradas!$B:$B,Entradas!U:U,,0,1)</f>
        <v>Sim</v>
      </c>
      <c r="O188" t="str">
        <f>_xlfn.XLOOKUP($B188,Entradas!$B:$B,Entradas!V:V,,0,1)</f>
        <v>Realizada</v>
      </c>
      <c r="P188" t="str">
        <f>_xlfn.XLOOKUP($B188,Entradas!$B:$B,Entradas!W:W,,0,1)</f>
        <v>NÃO</v>
      </c>
      <c r="Q188" t="str">
        <f>_xlfn.XLOOKUP($B188,Entradas!$B:$B,Entradas!X:X,,0,1)</f>
        <v>Sem informação</v>
      </c>
      <c r="R188" s="36">
        <f>SUMIF(Entradas!$B:$B,'Entrada Lvl 5-4 qt'!$B188,Entradas!Y:Y)</f>
        <v>0</v>
      </c>
      <c r="S188" s="36">
        <f>SUMIF(Entradas!$B:$B,'Entrada Lvl 5-4 qt'!$B188,Entradas!Z:Z)</f>
        <v>0</v>
      </c>
      <c r="T188" s="36">
        <f>SUMIF(Entradas!$B:$B,'Entrada Lvl 5-4 qt'!$B188,Entradas!AA:AA)</f>
        <v>4008.9399999999996</v>
      </c>
      <c r="U188" s="36">
        <f>SUMIF(Entradas!$B:$B,'Entrada Lvl 5-4 qt'!$B188,Entradas!AB:AB)</f>
        <v>0</v>
      </c>
      <c r="V188" s="49">
        <f>_xlfn.XLOOKUP($B188,Entradas!$B:$B,Entradas!AC:AC,,0,1)</f>
        <v>45190</v>
      </c>
      <c r="W188" s="58">
        <f t="shared" si="14"/>
        <v>4</v>
      </c>
      <c r="X188" s="28" t="s">
        <v>10</v>
      </c>
      <c r="Y188" s="32">
        <f t="shared" si="10"/>
        <v>0</v>
      </c>
      <c r="Z188" s="33">
        <f t="shared" si="11"/>
        <v>4008.9399999999996</v>
      </c>
      <c r="AA188" s="34">
        <f t="shared" si="12"/>
        <v>0</v>
      </c>
      <c r="AB188" s="28" t="s">
        <v>1814</v>
      </c>
      <c r="AC188" s="28" t="s">
        <v>1784</v>
      </c>
      <c r="AD188" s="29" t="str" cm="1">
        <f t="array" ref="AD188">_xlfn.IFS(L188&lt;=Constantes!$G$2,"Muito Curta (evitável)",L188&lt;=Constantes!$H$2,"Curta Distância",L188&gt;Constantes!$H$2,"Longa Distância")</f>
        <v>Longa Distância</v>
      </c>
      <c r="AE188" s="30" t="str">
        <f t="shared" si="13"/>
        <v>NÃO</v>
      </c>
      <c r="AF188" s="30">
        <f>SUMIF(Entradas!$B:$B,'Entrada Lvl 5-4 qt'!$B188,Entradas!$AG:$AG)</f>
        <v>1062.319916680131</v>
      </c>
      <c r="AG188" s="30"/>
      <c r="BD188" s="49"/>
      <c r="BE188" s="49"/>
    </row>
    <row r="189" spans="1:57" x14ac:dyDescent="0.3">
      <c r="A189">
        <f>_xlfn.XLOOKUP(B189,Entradas!B:B,Entradas!A:A,,0,-1)</f>
        <v>2</v>
      </c>
      <c r="B189">
        <v>19359809</v>
      </c>
      <c r="C189" t="str">
        <f>_xlfn.XLOOKUP($B189,Entradas!$B:$B,Entradas!C:C,,0,1)</f>
        <v>001332/23</v>
      </c>
      <c r="D189" t="str">
        <f>_xlfn.XLOOKUP($B189,Entradas!$B:$B,Entradas!D:D,,0,1)</f>
        <v>***.136.458-**</v>
      </c>
      <c r="E189" t="str">
        <f>_xlfn.XLOOKUP($B189,Entradas!$B:$B,Entradas!E:E,,0,1)</f>
        <v>RAFAEL FALEIROS DE PADUA</v>
      </c>
      <c r="F189" t="str">
        <f>_xlfn.XLOOKUP($B189,Entradas!$B:$B,Entradas!F:F,,0,1)</f>
        <v>PROFESSOR DO MAGISTERIO SUPERIOR</v>
      </c>
      <c r="G189" t="str">
        <f>_xlfn.XLOOKUP($B189,Entradas!$B:$B,Entradas!G:G,,0,1)</f>
        <v>-1</v>
      </c>
      <c r="H189" t="str">
        <f>_xlfn.XLOOKUP($B189,Entradas!$B:$B,Entradas!H:H,,0,1)</f>
        <v>Sem informação</v>
      </c>
      <c r="I189" s="49">
        <f>_xlfn.XLOOKUP($B189,Entradas!$B:$B,Entradas!I:I,,0,1)</f>
        <v>45218</v>
      </c>
      <c r="J189" s="49">
        <f>_xlfn.XLOOKUP($B189,Entradas!$B:$B,Entradas!J:J,,0,1)</f>
        <v>45221</v>
      </c>
      <c r="K189" t="str">
        <f>_xlfn.XLOOKUP($B189,Entradas!$B:$B,Entradas!K:K,,0,1)</f>
        <v>Para a realização de trabalho de campo visando coleta de dados para a redação do relatório de qualificação do orientando, referente a pesquisa URBANIZAÇÃO E PRODUÇÃO DO ESPAÇO CAPITALISTA: REPRODUÇÃO SOCIAL NA PERIFERIA DA CIDADE DE SANTO ANTÔNIO DE JESUS, BA.</v>
      </c>
      <c r="L189">
        <f>SUMIF(Entradas!$B:$B,'Entrada Lvl 5-4 qt'!$B189,Entradas!S:S)</f>
        <v>1482.2388261999999</v>
      </c>
      <c r="M189" t="str">
        <f>_xlfn.XLOOKUP($B189,Entradas!$B:$B,Entradas!T:T,,0,1)</f>
        <v>Aéreo</v>
      </c>
      <c r="N189" t="str">
        <f>_xlfn.XLOOKUP($B189,Entradas!$B:$B,Entradas!U:U,,0,1)</f>
        <v>Não</v>
      </c>
      <c r="O189" t="str">
        <f>_xlfn.XLOOKUP($B189,Entradas!$B:$B,Entradas!V:V,,0,1)</f>
        <v>Realizada</v>
      </c>
      <c r="P189" t="str">
        <f>_xlfn.XLOOKUP($B189,Entradas!$B:$B,Entradas!W:W,,0,1)</f>
        <v>SIM</v>
      </c>
      <c r="Q189" t="str">
        <f>_xlfn.XLOOKUP($B189,Entradas!$B:$B,Entradas!X:X,,0,1)</f>
        <v>Conforme documento em anexo, O Professor Rafael Faleiros de Padua, SIAPE 1971043, Professor do Departamento de Geociências e do Programa de Pós-Graduação em Geografia/CCEN/UFPB, está solicitando passagens para a realização de trabalho de campo na cidade de Santo Antônio de Jesus-BA entre os dias 19/10/23 e 22/10/23, portanto o pedido está com menos de 20 dias. Justifica-se a solicitação fora do prazo o acúmulo de atividades na graduação e na pós-graduação que fizeram com que professor tivesse que adiantar a programação do trabalho de campo da pesquisa para os dias discriminados acima, de modo que a viagem prejudicasse o mínimo possível outras atividades acadêmicas do semestre (aulas na pós-graduação e graduação, comissão de seleção do mestrado, orientações de alunos da graduação e pós-graduação, coordenação de projeto de extensão, coordenação de grupo de estudos).</v>
      </c>
      <c r="R189" s="36">
        <f>SUMIF(Entradas!$B:$B,'Entrada Lvl 5-4 qt'!$B189,Entradas!Y:Y)</f>
        <v>0</v>
      </c>
      <c r="S189" s="36">
        <f>SUMIF(Entradas!$B:$B,'Entrada Lvl 5-4 qt'!$B189,Entradas!Z:Z)</f>
        <v>0</v>
      </c>
      <c r="T189" s="36">
        <f>SUMIF(Entradas!$B:$B,'Entrada Lvl 5-4 qt'!$B189,Entradas!AA:AA)</f>
        <v>2503.98</v>
      </c>
      <c r="U189" s="36">
        <f>SUMIF(Entradas!$B:$B,'Entrada Lvl 5-4 qt'!$B189,Entradas!AB:AB)</f>
        <v>0</v>
      </c>
      <c r="V189" s="49">
        <f>_xlfn.XLOOKUP($B189,Entradas!$B:$B,Entradas!AC:AC,,0,1)</f>
        <v>45205</v>
      </c>
      <c r="W189" s="58">
        <f t="shared" si="14"/>
        <v>3</v>
      </c>
      <c r="X189" s="28" t="s">
        <v>10</v>
      </c>
      <c r="Y189" s="32">
        <f t="shared" si="10"/>
        <v>0</v>
      </c>
      <c r="Z189" s="33">
        <f t="shared" si="11"/>
        <v>2503.98</v>
      </c>
      <c r="AA189" s="34">
        <f t="shared" si="12"/>
        <v>0</v>
      </c>
      <c r="AB189" s="28" t="s">
        <v>1818</v>
      </c>
      <c r="AC189" s="28" t="s">
        <v>1820</v>
      </c>
      <c r="AD189" s="29" t="str" cm="1">
        <f t="array" ref="AD189">_xlfn.IFS(L189&lt;=Constantes!$G$2,"Muito Curta (evitável)",L189&lt;=Constantes!$H$2,"Curta Distância",L189&gt;Constantes!$H$2,"Longa Distância")</f>
        <v>Curta Distância</v>
      </c>
      <c r="AE189" s="30" t="str">
        <f t="shared" si="13"/>
        <v>NÃO</v>
      </c>
      <c r="AF189" s="30">
        <f>SUMIF(Entradas!$B:$B,'Entrada Lvl 5-4 qt'!$B189,Entradas!$AG:$AG)</f>
        <v>271.05605715809952</v>
      </c>
      <c r="AG189" s="30"/>
      <c r="BD189" s="49"/>
      <c r="BE189" s="49"/>
    </row>
    <row r="190" spans="1:57" x14ac:dyDescent="0.3">
      <c r="A190">
        <f>_xlfn.XLOOKUP(B190,Entradas!B:B,Entradas!A:A,,0,-1)</f>
        <v>2</v>
      </c>
      <c r="B190">
        <v>19166671</v>
      </c>
      <c r="C190" t="str">
        <f>_xlfn.XLOOKUP($B190,Entradas!$B:$B,Entradas!C:C,,0,1)</f>
        <v>000767/23</v>
      </c>
      <c r="D190" t="str">
        <f>_xlfn.XLOOKUP($B190,Entradas!$B:$B,Entradas!D:D,,0,1)</f>
        <v>***.097.458-**</v>
      </c>
      <c r="E190" t="str">
        <f>_xlfn.XLOOKUP($B190,Entradas!$B:$B,Entradas!E:E,,0,1)</f>
        <v>MIQUELI MICHETTI</v>
      </c>
      <c r="F190" t="str">
        <f>_xlfn.XLOOKUP($B190,Entradas!$B:$B,Entradas!F:F,,0,1)</f>
        <v>PROFESSOR DO MAGISTERIO SUPERIOR</v>
      </c>
      <c r="G190" t="str">
        <f>_xlfn.XLOOKUP($B190,Entradas!$B:$B,Entradas!G:G,,0,1)</f>
        <v>-1</v>
      </c>
      <c r="H190" t="str">
        <f>_xlfn.XLOOKUP($B190,Entradas!$B:$B,Entradas!H:H,,0,1)</f>
        <v>Sem informação</v>
      </c>
      <c r="I190" s="49">
        <f>_xlfn.XLOOKUP($B190,Entradas!$B:$B,Entradas!I:I,,0,1)</f>
        <v>45219</v>
      </c>
      <c r="J190" s="49">
        <f>_xlfn.XLOOKUP($B190,Entradas!$B:$B,Entradas!J:J,,0,1)</f>
        <v>45227</v>
      </c>
      <c r="K190" t="str">
        <f>_xlfn.XLOOKUP($B190,Entradas!$B:$B,Entradas!K:K,,0,1)</f>
        <v>Apresentação de trabalho em mesa-redonda no 47º Encontro Anual da Anpocs; Representação do PPGS- UFPB como coordenadora; Reunião de pesquisa do Projeto Temático FAPESP 2018/20074-2, sediado na Unicamp.</v>
      </c>
      <c r="L190">
        <f>SUMIF(Entradas!$B:$B,'Entrada Lvl 5-4 qt'!$B190,Entradas!S:S)</f>
        <v>4379.9484839999996</v>
      </c>
      <c r="M190" t="str">
        <f>_xlfn.XLOOKUP($B190,Entradas!$B:$B,Entradas!T:T,,0,1)</f>
        <v>Aéreo</v>
      </c>
      <c r="N190" t="str">
        <f>_xlfn.XLOOKUP($B190,Entradas!$B:$B,Entradas!U:U,,0,1)</f>
        <v>Não</v>
      </c>
      <c r="O190" t="str">
        <f>_xlfn.XLOOKUP($B190,Entradas!$B:$B,Entradas!V:V,,0,1)</f>
        <v>Realizada</v>
      </c>
      <c r="P190" t="str">
        <f>_xlfn.XLOOKUP($B190,Entradas!$B:$B,Entradas!W:W,,0,1)</f>
        <v>NÃO</v>
      </c>
      <c r="Q190" t="str">
        <f>_xlfn.XLOOKUP($B190,Entradas!$B:$B,Entradas!X:X,,0,1)</f>
        <v>Sem informação</v>
      </c>
      <c r="R190" s="36">
        <f>SUMIF(Entradas!$B:$B,'Entrada Lvl 5-4 qt'!$B190,Entradas!Y:Y)</f>
        <v>1329.41</v>
      </c>
      <c r="S190" s="36">
        <f>SUMIF(Entradas!$B:$B,'Entrada Lvl 5-4 qt'!$B190,Entradas!Z:Z)</f>
        <v>0</v>
      </c>
      <c r="T190" s="36">
        <f>SUMIF(Entradas!$B:$B,'Entrada Lvl 5-4 qt'!$B190,Entradas!AA:AA)</f>
        <v>1699.1399999999999</v>
      </c>
      <c r="U190" s="36">
        <f>SUMIF(Entradas!$B:$B,'Entrada Lvl 5-4 qt'!$B190,Entradas!AB:AB)</f>
        <v>0</v>
      </c>
      <c r="V190" s="49">
        <f>_xlfn.XLOOKUP($B190,Entradas!$B:$B,Entradas!AC:AC,,0,1)</f>
        <v>45148</v>
      </c>
      <c r="W190" s="58">
        <f t="shared" si="14"/>
        <v>8</v>
      </c>
      <c r="X190" s="28" t="s">
        <v>10</v>
      </c>
      <c r="Y190" s="32">
        <f t="shared" si="10"/>
        <v>0</v>
      </c>
      <c r="Z190" s="33">
        <f t="shared" si="11"/>
        <v>1699.1399999999999</v>
      </c>
      <c r="AA190" s="34">
        <f t="shared" si="12"/>
        <v>1329.41</v>
      </c>
      <c r="AB190" s="28" t="s">
        <v>1814</v>
      </c>
      <c r="AC190" s="28" t="s">
        <v>1820</v>
      </c>
      <c r="AD190" s="29" t="str" cm="1">
        <f t="array" ref="AD190">_xlfn.IFS(L190&lt;=Constantes!$G$2,"Muito Curta (evitável)",L190&lt;=Constantes!$H$2,"Curta Distância",L190&gt;Constantes!$H$2,"Longa Distância")</f>
        <v>Longa Distância</v>
      </c>
      <c r="AE190" s="30" t="str">
        <f t="shared" si="13"/>
        <v>NÃO</v>
      </c>
      <c r="AF190" s="30">
        <f>SUMIF(Entradas!$B:$B,'Entrada Lvl 5-4 qt'!$B190,Entradas!$AG:$AG)</f>
        <v>800.95835140972315</v>
      </c>
      <c r="AG190" s="30"/>
      <c r="BD190" s="49"/>
      <c r="BE190" s="49"/>
    </row>
    <row r="191" spans="1:57" x14ac:dyDescent="0.3">
      <c r="A191">
        <f>_xlfn.XLOOKUP(B191,Entradas!B:B,Entradas!A:A,,0,-1)</f>
        <v>2</v>
      </c>
      <c r="B191">
        <v>19346753</v>
      </c>
      <c r="C191" t="str">
        <f>_xlfn.XLOOKUP($B191,Entradas!$B:$B,Entradas!C:C,,0,1)</f>
        <v>001258/23</v>
      </c>
      <c r="D191" t="str">
        <f>_xlfn.XLOOKUP($B191,Entradas!$B:$B,Entradas!D:D,,0,1)</f>
        <v>***.884.159-**</v>
      </c>
      <c r="E191" t="str">
        <f>_xlfn.XLOOKUP($B191,Entradas!$B:$B,Entradas!E:E,,0,1)</f>
        <v>MARIANO CASTRO NETO</v>
      </c>
      <c r="F191" t="str">
        <f>_xlfn.XLOOKUP($B191,Entradas!$B:$B,Entradas!F:F,,0,1)</f>
        <v>PROFESSOR DO MAGISTERIO SUPERIOR</v>
      </c>
      <c r="G191" t="str">
        <f>_xlfn.XLOOKUP($B191,Entradas!$B:$B,Entradas!G:G,,0,1)</f>
        <v>-1</v>
      </c>
      <c r="H191" t="str">
        <f>_xlfn.XLOOKUP($B191,Entradas!$B:$B,Entradas!H:H,,0,1)</f>
        <v>Sem informação</v>
      </c>
      <c r="I191" s="49">
        <f>_xlfn.XLOOKUP($B191,Entradas!$B:$B,Entradas!I:I,,0,1)</f>
        <v>45219</v>
      </c>
      <c r="J191" s="49">
        <f>_xlfn.XLOOKUP($B191,Entradas!$B:$B,Entradas!J:J,,0,1)</f>
        <v>45222</v>
      </c>
      <c r="K191" t="str">
        <f>_xlfn.XLOOKUP($B191,Entradas!$B:$B,Entradas!K:K,,0,1)</f>
        <v>Participar do Fórum Nacional dos Coordenadores dos Programas de Pós-Graduação em Educação (Forpred), a se realizar nos dias 21 e 22 de outubro de 2023, na cidade de Manaus-AM.</v>
      </c>
      <c r="L191">
        <f>SUMIF(Entradas!$B:$B,'Entrada Lvl 5-4 qt'!$B191,Entradas!S:S)</f>
        <v>5634.1966119999997</v>
      </c>
      <c r="M191" t="str">
        <f>_xlfn.XLOOKUP($B191,Entradas!$B:$B,Entradas!T:T,,0,1)</f>
        <v>Aéreo</v>
      </c>
      <c r="N191" t="str">
        <f>_xlfn.XLOOKUP($B191,Entradas!$B:$B,Entradas!U:U,,0,1)</f>
        <v>Não</v>
      </c>
      <c r="O191" t="str">
        <f>_xlfn.XLOOKUP($B191,Entradas!$B:$B,Entradas!V:V,,0,1)</f>
        <v>Realizada</v>
      </c>
      <c r="P191" t="str">
        <f>_xlfn.XLOOKUP($B191,Entradas!$B:$B,Entradas!W:W,,0,1)</f>
        <v>NÃO</v>
      </c>
      <c r="Q191" t="str">
        <f>_xlfn.XLOOKUP($B191,Entradas!$B:$B,Entradas!X:X,,0,1)</f>
        <v>Sem informação</v>
      </c>
      <c r="R191" s="36">
        <f>SUMIF(Entradas!$B:$B,'Entrada Lvl 5-4 qt'!$B191,Entradas!Y:Y)</f>
        <v>1339.17</v>
      </c>
      <c r="S191" s="36">
        <f>SUMIF(Entradas!$B:$B,'Entrada Lvl 5-4 qt'!$B191,Entradas!Z:Z)</f>
        <v>0</v>
      </c>
      <c r="T191" s="36">
        <f>SUMIF(Entradas!$B:$B,'Entrada Lvl 5-4 qt'!$B191,Entradas!AA:AA)</f>
        <v>3471.8100000000004</v>
      </c>
      <c r="U191" s="36">
        <f>SUMIF(Entradas!$B:$B,'Entrada Lvl 5-4 qt'!$B191,Entradas!AB:AB)</f>
        <v>0</v>
      </c>
      <c r="V191" s="49">
        <f>_xlfn.XLOOKUP($B191,Entradas!$B:$B,Entradas!AC:AC,,0,1)</f>
        <v>45198</v>
      </c>
      <c r="W191" s="58">
        <f t="shared" si="14"/>
        <v>3</v>
      </c>
      <c r="X191" s="28" t="s">
        <v>10</v>
      </c>
      <c r="Y191" s="32">
        <f t="shared" si="10"/>
        <v>0</v>
      </c>
      <c r="Z191" s="33">
        <f t="shared" si="11"/>
        <v>3471.8100000000004</v>
      </c>
      <c r="AA191" s="34">
        <f t="shared" si="12"/>
        <v>1339.17</v>
      </c>
      <c r="AB191" s="28" t="s">
        <v>1813</v>
      </c>
      <c r="AC191" s="28" t="s">
        <v>1820</v>
      </c>
      <c r="AD191" s="29" t="str" cm="1">
        <f t="array" ref="AD191">_xlfn.IFS(L191&lt;=Constantes!$G$2,"Muito Curta (evitável)",L191&lt;=Constantes!$H$2,"Curta Distância",L191&gt;Constantes!$H$2,"Longa Distância")</f>
        <v>Longa Distância</v>
      </c>
      <c r="AE191" s="30" t="str">
        <f t="shared" si="13"/>
        <v>NÃO</v>
      </c>
      <c r="AF191" s="30">
        <f>SUMIF(Entradas!$B:$B,'Entrada Lvl 5-4 qt'!$B191,Entradas!$AG:$AG)</f>
        <v>1030.3218967873522</v>
      </c>
      <c r="AG191" s="30"/>
      <c r="BD191" s="49"/>
      <c r="BE191" s="49"/>
    </row>
    <row r="192" spans="1:57" x14ac:dyDescent="0.3">
      <c r="A192">
        <f>_xlfn.XLOOKUP(B192,Entradas!B:B,Entradas!A:A,,0,-1)</f>
        <v>2</v>
      </c>
      <c r="B192">
        <v>19236386</v>
      </c>
      <c r="C192" t="str">
        <f>_xlfn.XLOOKUP($B192,Entradas!$B:$B,Entradas!C:C,,0,1)</f>
        <v>001087/23</v>
      </c>
      <c r="D192" t="str">
        <f>_xlfn.XLOOKUP($B192,Entradas!$B:$B,Entradas!D:D,,0,1)</f>
        <v>***.744.234-**</v>
      </c>
      <c r="E192" t="str">
        <f>_xlfn.XLOOKUP($B192,Entradas!$B:$B,Entradas!E:E,,0,1)</f>
        <v>CHARLITON JOSE DOS SANTOS MACHADO</v>
      </c>
      <c r="F192" t="str">
        <f>_xlfn.XLOOKUP($B192,Entradas!$B:$B,Entradas!F:F,,0,1)</f>
        <v>PROFESSOR DO MAGISTERIO SUPERIOR</v>
      </c>
      <c r="G192" t="str">
        <f>_xlfn.XLOOKUP($B192,Entradas!$B:$B,Entradas!G:G,,0,1)</f>
        <v>-1</v>
      </c>
      <c r="H192" t="str">
        <f>_xlfn.XLOOKUP($B192,Entradas!$B:$B,Entradas!H:H,,0,1)</f>
        <v>Sem informação</v>
      </c>
      <c r="I192" s="49">
        <f>_xlfn.XLOOKUP($B192,Entradas!$B:$B,Entradas!I:I,,0,1)</f>
        <v>45220</v>
      </c>
      <c r="J192" s="49">
        <f>_xlfn.XLOOKUP($B192,Entradas!$B:$B,Entradas!J:J,,0,1)</f>
        <v>45227</v>
      </c>
      <c r="K192" t="str">
        <f>_xlfn.XLOOKUP($B192,Entradas!$B:$B,Entradas!K:K,,0,1)</f>
        <v>Participar e apresentar trabalho na 41ª Reunião Nacional da ANPEd. Trata-se do evento científico mais relevante na área da pesquisa em educação no Brasil e visa a socialização de conhecimentos multidisciplinares com estudiosos nacionais e internacionais. O citado evento será fundamental para impulsionar o desenvolvimento da pós-graduação, em particular no Norte/Nordeste. Portanto, faz-se necessário o apoio do programa na participação dos seus pesquisadores.</v>
      </c>
      <c r="L192">
        <f>SUMIF(Entradas!$B:$B,'Entrada Lvl 5-4 qt'!$B192,Entradas!S:S)</f>
        <v>5634.1966119999997</v>
      </c>
      <c r="M192" t="str">
        <f>_xlfn.XLOOKUP($B192,Entradas!$B:$B,Entradas!T:T,,0,1)</f>
        <v>Aéreo</v>
      </c>
      <c r="N192" t="str">
        <f>_xlfn.XLOOKUP($B192,Entradas!$B:$B,Entradas!U:U,,0,1)</f>
        <v>Não</v>
      </c>
      <c r="O192" t="str">
        <f>_xlfn.XLOOKUP($B192,Entradas!$B:$B,Entradas!V:V,,0,1)</f>
        <v>Realizada</v>
      </c>
      <c r="P192" t="str">
        <f>_xlfn.XLOOKUP($B192,Entradas!$B:$B,Entradas!W:W,,0,1)</f>
        <v>NÃO</v>
      </c>
      <c r="Q192" t="str">
        <f>_xlfn.XLOOKUP($B192,Entradas!$B:$B,Entradas!X:X,,0,1)</f>
        <v>Sem informação</v>
      </c>
      <c r="R192" s="36">
        <f>SUMIF(Entradas!$B:$B,'Entrada Lvl 5-4 qt'!$B192,Entradas!Y:Y)</f>
        <v>2804</v>
      </c>
      <c r="S192" s="36">
        <f>SUMIF(Entradas!$B:$B,'Entrada Lvl 5-4 qt'!$B192,Entradas!Z:Z)</f>
        <v>0</v>
      </c>
      <c r="T192" s="36">
        <f>SUMIF(Entradas!$B:$B,'Entrada Lvl 5-4 qt'!$B192,Entradas!AA:AA)</f>
        <v>3628.41</v>
      </c>
      <c r="U192" s="36">
        <f>SUMIF(Entradas!$B:$B,'Entrada Lvl 5-4 qt'!$B192,Entradas!AB:AB)</f>
        <v>0</v>
      </c>
      <c r="V192" s="49">
        <f>_xlfn.XLOOKUP($B192,Entradas!$B:$B,Entradas!AC:AC,,0,1)</f>
        <v>45194</v>
      </c>
      <c r="W192" s="58">
        <f t="shared" si="14"/>
        <v>7</v>
      </c>
      <c r="X192" s="28" t="s">
        <v>10</v>
      </c>
      <c r="Y192" s="32">
        <f t="shared" si="10"/>
        <v>0</v>
      </c>
      <c r="Z192" s="33">
        <f t="shared" si="11"/>
        <v>3628.41</v>
      </c>
      <c r="AA192" s="34">
        <f t="shared" si="12"/>
        <v>2804</v>
      </c>
      <c r="AB192" s="28" t="s">
        <v>1814</v>
      </c>
      <c r="AC192" s="28" t="s">
        <v>1820</v>
      </c>
      <c r="AD192" s="29" t="str" cm="1">
        <f t="array" ref="AD192">_xlfn.IFS(L192&lt;=Constantes!$G$2,"Muito Curta (evitável)",L192&lt;=Constantes!$H$2,"Curta Distância",L192&gt;Constantes!$H$2,"Longa Distância")</f>
        <v>Longa Distância</v>
      </c>
      <c r="AE192" s="30" t="str">
        <f t="shared" si="13"/>
        <v>NÃO</v>
      </c>
      <c r="AF192" s="30">
        <f>SUMIF(Entradas!$B:$B,'Entrada Lvl 5-4 qt'!$B192,Entradas!$AG:$AG)</f>
        <v>1030.3218967873522</v>
      </c>
      <c r="AG192" s="30"/>
      <c r="BD192" s="49"/>
      <c r="BE192" s="49"/>
    </row>
    <row r="193" spans="1:57" x14ac:dyDescent="0.3">
      <c r="A193">
        <f>_xlfn.XLOOKUP(B193,Entradas!B:B,Entradas!A:A,,0,-1)</f>
        <v>2</v>
      </c>
      <c r="B193">
        <v>19237284</v>
      </c>
      <c r="C193" t="str">
        <f>_xlfn.XLOOKUP($B193,Entradas!$B:$B,Entradas!C:C,,0,1)</f>
        <v>001188/23</v>
      </c>
      <c r="D193" t="str">
        <f>_xlfn.XLOOKUP($B193,Entradas!$B:$B,Entradas!D:D,,0,1)</f>
        <v>***.296.864-**</v>
      </c>
      <c r="E193" t="str">
        <f>_xlfn.XLOOKUP($B193,Entradas!$B:$B,Entradas!E:E,,0,1)</f>
        <v>JOSE LEONARDO ROLIM DE LIMA SEVERO</v>
      </c>
      <c r="F193" t="str">
        <f>_xlfn.XLOOKUP($B193,Entradas!$B:$B,Entradas!F:F,,0,1)</f>
        <v>PROFESSOR DO MAGISTERIO SUPERIOR</v>
      </c>
      <c r="G193" t="str">
        <f>_xlfn.XLOOKUP($B193,Entradas!$B:$B,Entradas!G:G,,0,1)</f>
        <v>FG-0001</v>
      </c>
      <c r="H193" t="str">
        <f>_xlfn.XLOOKUP($B193,Entradas!$B:$B,Entradas!H:H,,0,1)</f>
        <v>FG-0001</v>
      </c>
      <c r="I193" s="49">
        <f>_xlfn.XLOOKUP($B193,Entradas!$B:$B,Entradas!I:I,,0,1)</f>
        <v>45220</v>
      </c>
      <c r="J193" s="49">
        <f>_xlfn.XLOOKUP($B193,Entradas!$B:$B,Entradas!J:J,,0,1)</f>
        <v>45227</v>
      </c>
      <c r="K193" t="str">
        <f>_xlfn.XLOOKUP($B193,Entradas!$B:$B,Entradas!K:K,,0,1)</f>
        <v>Participação, na condição de vice-coordenador do GT 4 (Didática), da 41º Reunião Anual da ANPED, a ocorrer em Manaus-AM, dos dias 22 a 27 de outubro de 2023. A participação é estratégica para construção e fortalecimento de redes interinstitucionais que promovem articulações para fortalecer e visibilizar a agenda acadêmica do PPGE-UFPB.</v>
      </c>
      <c r="L193">
        <f>SUMIF(Entradas!$B:$B,'Entrada Lvl 5-4 qt'!$B193,Entradas!S:S)</f>
        <v>5634.1966119999997</v>
      </c>
      <c r="M193" t="str">
        <f>_xlfn.XLOOKUP($B193,Entradas!$B:$B,Entradas!T:T,,0,1)</f>
        <v>Aéreo</v>
      </c>
      <c r="N193" t="str">
        <f>_xlfn.XLOOKUP($B193,Entradas!$B:$B,Entradas!U:U,,0,1)</f>
        <v>Sim</v>
      </c>
      <c r="O193" t="str">
        <f>_xlfn.XLOOKUP($B193,Entradas!$B:$B,Entradas!V:V,,0,1)</f>
        <v>Realizada</v>
      </c>
      <c r="P193" t="str">
        <f>_xlfn.XLOOKUP($B193,Entradas!$B:$B,Entradas!W:W,,0,1)</f>
        <v>NÃO</v>
      </c>
      <c r="Q193" t="str">
        <f>_xlfn.XLOOKUP($B193,Entradas!$B:$B,Entradas!X:X,,0,1)</f>
        <v>Sem informação</v>
      </c>
      <c r="R193" s="36">
        <f>SUMIF(Entradas!$B:$B,'Entrada Lvl 5-4 qt'!$B193,Entradas!Y:Y)</f>
        <v>2804</v>
      </c>
      <c r="S193" s="36">
        <f>SUMIF(Entradas!$B:$B,'Entrada Lvl 5-4 qt'!$B193,Entradas!Z:Z)</f>
        <v>0</v>
      </c>
      <c r="T193" s="36">
        <f>SUMIF(Entradas!$B:$B,'Entrada Lvl 5-4 qt'!$B193,Entradas!AA:AA)</f>
        <v>3498.41</v>
      </c>
      <c r="U193" s="36">
        <f>SUMIF(Entradas!$B:$B,'Entrada Lvl 5-4 qt'!$B193,Entradas!AB:AB)</f>
        <v>0</v>
      </c>
      <c r="V193" s="49">
        <f>_xlfn.XLOOKUP($B193,Entradas!$B:$B,Entradas!AC:AC,,0,1)</f>
        <v>45194</v>
      </c>
      <c r="W193" s="58">
        <f t="shared" si="14"/>
        <v>7</v>
      </c>
      <c r="X193" s="28" t="s">
        <v>10</v>
      </c>
      <c r="Y193" s="32">
        <f t="shared" si="10"/>
        <v>0</v>
      </c>
      <c r="Z193" s="33">
        <f t="shared" si="11"/>
        <v>3498.41</v>
      </c>
      <c r="AA193" s="34">
        <f t="shared" si="12"/>
        <v>2804</v>
      </c>
      <c r="AB193" s="28" t="s">
        <v>1813</v>
      </c>
      <c r="AC193" s="28" t="s">
        <v>1784</v>
      </c>
      <c r="AD193" s="29" t="str" cm="1">
        <f t="array" ref="AD193">_xlfn.IFS(L193&lt;=Constantes!$G$2,"Muito Curta (evitável)",L193&lt;=Constantes!$H$2,"Curta Distância",L193&gt;Constantes!$H$2,"Longa Distância")</f>
        <v>Longa Distância</v>
      </c>
      <c r="AE193" s="30" t="str">
        <f t="shared" si="13"/>
        <v>NÃO</v>
      </c>
      <c r="AF193" s="30">
        <f>SUMIF(Entradas!$B:$B,'Entrada Lvl 5-4 qt'!$B193,Entradas!$AG:$AG)</f>
        <v>1030.3218967873522</v>
      </c>
      <c r="AG193" s="30"/>
      <c r="BD193" s="49"/>
      <c r="BE193" s="49"/>
    </row>
    <row r="194" spans="1:57" x14ac:dyDescent="0.3">
      <c r="A194">
        <f>_xlfn.XLOOKUP(B194,Entradas!B:B,Entradas!A:A,,0,-1)</f>
        <v>2</v>
      </c>
      <c r="B194">
        <v>19105898</v>
      </c>
      <c r="C194" t="str">
        <f>_xlfn.XLOOKUP($B194,Entradas!$B:$B,Entradas!C:C,,0,1)</f>
        <v>000646/23</v>
      </c>
      <c r="D194" t="str">
        <f>_xlfn.XLOOKUP($B194,Entradas!$B:$B,Entradas!D:D,,0,1)</f>
        <v>***.732.124-**</v>
      </c>
      <c r="E194" t="str">
        <f>_xlfn.XLOOKUP($B194,Entradas!$B:$B,Entradas!E:E,,0,1)</f>
        <v>JOSE LUIZ DE BRITO ALVES</v>
      </c>
      <c r="F194" t="str">
        <f>_xlfn.XLOOKUP($B194,Entradas!$B:$B,Entradas!F:F,,0,1)</f>
        <v>PROFESSOR DO MAGISTERIO SUPERIOR</v>
      </c>
      <c r="G194" t="str">
        <f>_xlfn.XLOOKUP($B194,Entradas!$B:$B,Entradas!G:G,,0,1)</f>
        <v>FUC-0001</v>
      </c>
      <c r="H194" t="str">
        <f>_xlfn.XLOOKUP($B194,Entradas!$B:$B,Entradas!H:H,,0,1)</f>
        <v>FUC-0001</v>
      </c>
      <c r="I194" s="49">
        <f>_xlfn.XLOOKUP($B194,Entradas!$B:$B,Entradas!I:I,,0,1)</f>
        <v>45221</v>
      </c>
      <c r="J194" s="49">
        <f>_xlfn.XLOOKUP($B194,Entradas!$B:$B,Entradas!J:J,,0,1)</f>
        <v>45224</v>
      </c>
      <c r="K194" t="str">
        <f>_xlfn.XLOOKUP($B194,Entradas!$B:$B,Entradas!K:K,,0,1)</f>
        <v>Participar do Seminário de Meio Termo na CAPES é de fundamental importância para que possa acompanhar o andamento do programa que coordena e traçar planejamento estratégico alinhado com o desempenho que será apresentado pela coordenação de área.</v>
      </c>
      <c r="L194">
        <f>SUMIF(Entradas!$B:$B,'Entrada Lvl 5-4 qt'!$B194,Entradas!S:S)</f>
        <v>3426.839982</v>
      </c>
      <c r="M194" t="str">
        <f>_xlfn.XLOOKUP($B194,Entradas!$B:$B,Entradas!T:T,,0,1)</f>
        <v>Aéreo</v>
      </c>
      <c r="N194" t="str">
        <f>_xlfn.XLOOKUP($B194,Entradas!$B:$B,Entradas!U:U,,0,1)</f>
        <v>Sim</v>
      </c>
      <c r="O194" t="str">
        <f>_xlfn.XLOOKUP($B194,Entradas!$B:$B,Entradas!V:V,,0,1)</f>
        <v>Realizada</v>
      </c>
      <c r="P194" t="str">
        <f>_xlfn.XLOOKUP($B194,Entradas!$B:$B,Entradas!W:W,,0,1)</f>
        <v>NÃO</v>
      </c>
      <c r="Q194" t="str">
        <f>_xlfn.XLOOKUP($B194,Entradas!$B:$B,Entradas!X:X,,0,1)</f>
        <v>Sem informação</v>
      </c>
      <c r="R194" s="36">
        <f>SUMIF(Entradas!$B:$B,'Entrada Lvl 5-4 qt'!$B194,Entradas!Y:Y)</f>
        <v>1339.26</v>
      </c>
      <c r="S194" s="36">
        <f>SUMIF(Entradas!$B:$B,'Entrada Lvl 5-4 qt'!$B194,Entradas!Z:Z)</f>
        <v>0</v>
      </c>
      <c r="T194" s="36">
        <f>SUMIF(Entradas!$B:$B,'Entrada Lvl 5-4 qt'!$B194,Entradas!AA:AA)</f>
        <v>2498</v>
      </c>
      <c r="U194" s="36">
        <f>SUMIF(Entradas!$B:$B,'Entrada Lvl 5-4 qt'!$B194,Entradas!AB:AB)</f>
        <v>0</v>
      </c>
      <c r="V194" s="49">
        <f>_xlfn.XLOOKUP($B194,Entradas!$B:$B,Entradas!AC:AC,,0,1)</f>
        <v>45155</v>
      </c>
      <c r="W194" s="58">
        <f t="shared" si="14"/>
        <v>3</v>
      </c>
      <c r="X194" s="28" t="s">
        <v>10</v>
      </c>
      <c r="Y194" s="32">
        <f t="shared" ref="Y194:Y257" si="15">IF(A194&lt;3,0,1)</f>
        <v>0</v>
      </c>
      <c r="Z194" s="33">
        <f t="shared" ref="Z194:Z257" si="16">IFERROR(SUM(T194:U194),0)</f>
        <v>2498</v>
      </c>
      <c r="AA194" s="34">
        <f t="shared" ref="AA194:AA257" si="17">IFERROR(SUM(R194:S194),0)</f>
        <v>1339.26</v>
      </c>
      <c r="AB194" s="28" t="s">
        <v>1813</v>
      </c>
      <c r="AC194" s="28" t="s">
        <v>1784</v>
      </c>
      <c r="AD194" s="29" t="str" cm="1">
        <f t="array" ref="AD194">_xlfn.IFS(L194&lt;=Constantes!$G$2,"Muito Curta (evitável)",L194&lt;=Constantes!$H$2,"Curta Distância",L194&gt;Constantes!$H$2,"Longa Distância")</f>
        <v>Curta Distância</v>
      </c>
      <c r="AE194" s="30" t="str">
        <f t="shared" ref="AE194:AE257" si="18">IF(P194="SIM",IF(Q194="Sem Informação","SIM","NÃO"),"NÃO")</f>
        <v>NÃO</v>
      </c>
      <c r="AF194" s="30">
        <f>SUMIF(Entradas!$B:$B,'Entrada Lvl 5-4 qt'!$B194,Entradas!$AG:$AG)</f>
        <v>626.66401501165365</v>
      </c>
      <c r="AG194" s="30"/>
      <c r="BD194" s="49"/>
      <c r="BE194" s="49"/>
    </row>
    <row r="195" spans="1:57" x14ac:dyDescent="0.3">
      <c r="A195">
        <f>_xlfn.XLOOKUP(B195,Entradas!B:B,Entradas!A:A,,0,-1)</f>
        <v>2</v>
      </c>
      <c r="B195">
        <v>19159155</v>
      </c>
      <c r="C195" t="str">
        <f>_xlfn.XLOOKUP($B195,Entradas!$B:$B,Entradas!C:C,,0,1)</f>
        <v>000741/23</v>
      </c>
      <c r="D195" t="str">
        <f>_xlfn.XLOOKUP($B195,Entradas!$B:$B,Entradas!D:D,,0,1)</f>
        <v/>
      </c>
      <c r="E195" t="str">
        <f>_xlfn.XLOOKUP($B195,Entradas!$B:$B,Entradas!E:E,,0,1)</f>
        <v>JUAN MOISES MAURICIO VILLANUEVA</v>
      </c>
      <c r="F195" t="str">
        <f>_xlfn.XLOOKUP($B195,Entradas!$B:$B,Entradas!F:F,,0,1)</f>
        <v>PROFESSOR DO MAGISTERIO SUPERIOR</v>
      </c>
      <c r="G195" t="str">
        <f>_xlfn.XLOOKUP($B195,Entradas!$B:$B,Entradas!G:G,,0,1)</f>
        <v>-1</v>
      </c>
      <c r="H195" t="str">
        <f>_xlfn.XLOOKUP($B195,Entradas!$B:$B,Entradas!H:H,,0,1)</f>
        <v>Sem informação</v>
      </c>
      <c r="I195" s="49">
        <f>_xlfn.XLOOKUP($B195,Entradas!$B:$B,Entradas!I:I,,0,1)</f>
        <v>45221</v>
      </c>
      <c r="J195" s="49">
        <f>_xlfn.XLOOKUP($B195,Entradas!$B:$B,Entradas!J:J,,0,1)</f>
        <v>45224</v>
      </c>
      <c r="K195" t="str">
        <f>_xlfn.XLOOKUP($B195,Entradas!$B:$B,Entradas!K:K,,0,1)</f>
        <v>Participar do Seminário de Avaliação de Meio Termo dos Programas de Pós-Graduação da área de Engenharias IV, que ocorrerá nos dias 23 e 24 de outubro de 2023, na cidade de Brasília-DF.</v>
      </c>
      <c r="L195">
        <f>SUMIF(Entradas!$B:$B,'Entrada Lvl 5-4 qt'!$B195,Entradas!S:S)</f>
        <v>3426.839982</v>
      </c>
      <c r="M195" t="str">
        <f>_xlfn.XLOOKUP($B195,Entradas!$B:$B,Entradas!T:T,,0,1)</f>
        <v>Aéreo</v>
      </c>
      <c r="N195" t="str">
        <f>_xlfn.XLOOKUP($B195,Entradas!$B:$B,Entradas!U:U,,0,1)</f>
        <v>Não</v>
      </c>
      <c r="O195" t="str">
        <f>_xlfn.XLOOKUP($B195,Entradas!$B:$B,Entradas!V:V,,0,1)</f>
        <v>Realizada</v>
      </c>
      <c r="P195" t="str">
        <f>_xlfn.XLOOKUP($B195,Entradas!$B:$B,Entradas!W:W,,0,1)</f>
        <v>NÃO</v>
      </c>
      <c r="Q195" t="str">
        <f>_xlfn.XLOOKUP($B195,Entradas!$B:$B,Entradas!X:X,,0,1)</f>
        <v>Sem informação</v>
      </c>
      <c r="R195" s="36">
        <f>SUMIF(Entradas!$B:$B,'Entrada Lvl 5-4 qt'!$B195,Entradas!Y:Y)</f>
        <v>1339.26</v>
      </c>
      <c r="S195" s="36">
        <f>SUMIF(Entradas!$B:$B,'Entrada Lvl 5-4 qt'!$B195,Entradas!Z:Z)</f>
        <v>0</v>
      </c>
      <c r="T195" s="36">
        <f>SUMIF(Entradas!$B:$B,'Entrada Lvl 5-4 qt'!$B195,Entradas!AA:AA)</f>
        <v>1268.5</v>
      </c>
      <c r="U195" s="36">
        <f>SUMIF(Entradas!$B:$B,'Entrada Lvl 5-4 qt'!$B195,Entradas!AB:AB)</f>
        <v>0</v>
      </c>
      <c r="V195" s="49">
        <f>_xlfn.XLOOKUP($B195,Entradas!$B:$B,Entradas!AC:AC,,0,1)</f>
        <v>45145</v>
      </c>
      <c r="W195" s="58">
        <f t="shared" ref="W195:W258" si="19">J195-I195</f>
        <v>3</v>
      </c>
      <c r="X195" s="28" t="s">
        <v>10</v>
      </c>
      <c r="Y195" s="32">
        <f t="shared" si="15"/>
        <v>0</v>
      </c>
      <c r="Z195" s="33">
        <f t="shared" si="16"/>
        <v>1268.5</v>
      </c>
      <c r="AA195" s="34">
        <f t="shared" si="17"/>
        <v>1339.26</v>
      </c>
      <c r="AB195" s="28" t="s">
        <v>1813</v>
      </c>
      <c r="AC195" s="28" t="s">
        <v>1784</v>
      </c>
      <c r="AD195" s="29" t="str" cm="1">
        <f t="array" ref="AD195">_xlfn.IFS(L195&lt;=Constantes!$G$2,"Muito Curta (evitável)",L195&lt;=Constantes!$H$2,"Curta Distância",L195&gt;Constantes!$H$2,"Longa Distância")</f>
        <v>Curta Distância</v>
      </c>
      <c r="AE195" s="30" t="str">
        <f t="shared" si="18"/>
        <v>NÃO</v>
      </c>
      <c r="AF195" s="30">
        <f>SUMIF(Entradas!$B:$B,'Entrada Lvl 5-4 qt'!$B195,Entradas!$AG:$AG)</f>
        <v>626.66401501165365</v>
      </c>
      <c r="AG195" s="30"/>
      <c r="BD195" s="49"/>
      <c r="BE195" s="49"/>
    </row>
    <row r="196" spans="1:57" x14ac:dyDescent="0.3">
      <c r="A196">
        <f>_xlfn.XLOOKUP(B196,Entradas!B:B,Entradas!A:A,,0,-1)</f>
        <v>2</v>
      </c>
      <c r="B196">
        <v>19224616</v>
      </c>
      <c r="C196" t="str">
        <f>_xlfn.XLOOKUP($B196,Entradas!$B:$B,Entradas!C:C,,0,1)</f>
        <v>000960/23</v>
      </c>
      <c r="D196" t="str">
        <f>_xlfn.XLOOKUP($B196,Entradas!$B:$B,Entradas!D:D,,0,1)</f>
        <v>***.919.094-**</v>
      </c>
      <c r="E196" t="str">
        <f>_xlfn.XLOOKUP($B196,Entradas!$B:$B,Entradas!E:E,,0,1)</f>
        <v>VALBER SOARES DE FRANCA</v>
      </c>
      <c r="F196" t="str">
        <f>_xlfn.XLOOKUP($B196,Entradas!$B:$B,Entradas!F:F,,0,1)</f>
        <v>AUX EM ADMINISTRACAO</v>
      </c>
      <c r="G196" t="str">
        <f>_xlfn.XLOOKUP($B196,Entradas!$B:$B,Entradas!G:G,,0,1)</f>
        <v>-1</v>
      </c>
      <c r="H196" t="str">
        <f>_xlfn.XLOOKUP($B196,Entradas!$B:$B,Entradas!H:H,,0,1)</f>
        <v>Sem informação</v>
      </c>
      <c r="I196" s="49">
        <f>_xlfn.XLOOKUP($B196,Entradas!$B:$B,Entradas!I:I,,0,1)</f>
        <v>45221</v>
      </c>
      <c r="J196" s="49">
        <f>_xlfn.XLOOKUP($B196,Entradas!$B:$B,Entradas!J:J,,0,1)</f>
        <v>45228</v>
      </c>
      <c r="K196" t="str">
        <f>_xlfn.XLOOKUP($B196,Entradas!$B:$B,Entradas!K:K,,0,1)</f>
        <v>O proposto é servidor da Coordenação de Orçamento da UFPB e participará da 4ª Semana Nacional sobre a Nova Lei de Licitações e Contratos, onde receberá conhecimentos de atualização diretamente relacionados a sua atuação, pois a coordenação é responsável por atestar a disponibilidade orçamentária e seu alinhamento com o arcabouço legal, além de acompanhar a execução dos recursos da instituição.</v>
      </c>
      <c r="L196">
        <f>SUMIF(Entradas!$B:$B,'Entrada Lvl 5-4 qt'!$B196,Entradas!S:S)</f>
        <v>5969.5297280000004</v>
      </c>
      <c r="M196" t="str">
        <f>_xlfn.XLOOKUP($B196,Entradas!$B:$B,Entradas!T:T,,0,1)</f>
        <v>Aéreo</v>
      </c>
      <c r="N196" t="str">
        <f>_xlfn.XLOOKUP($B196,Entradas!$B:$B,Entradas!U:U,,0,1)</f>
        <v>Não</v>
      </c>
      <c r="O196" t="str">
        <f>_xlfn.XLOOKUP($B196,Entradas!$B:$B,Entradas!V:V,,0,1)</f>
        <v>Realizada</v>
      </c>
      <c r="P196" t="str">
        <f>_xlfn.XLOOKUP($B196,Entradas!$B:$B,Entradas!W:W,,0,1)</f>
        <v>NÃO</v>
      </c>
      <c r="Q196" t="str">
        <f>_xlfn.XLOOKUP($B196,Entradas!$B:$B,Entradas!X:X,,0,1)</f>
        <v>Sem informação</v>
      </c>
      <c r="R196" s="36">
        <f>SUMIF(Entradas!$B:$B,'Entrada Lvl 5-4 qt'!$B196,Entradas!Y:Y)</f>
        <v>2202.1999999999998</v>
      </c>
      <c r="S196" s="36">
        <f>SUMIF(Entradas!$B:$B,'Entrada Lvl 5-4 qt'!$B196,Entradas!Z:Z)</f>
        <v>0</v>
      </c>
      <c r="T196" s="36">
        <f>SUMIF(Entradas!$B:$B,'Entrada Lvl 5-4 qt'!$B196,Entradas!AA:AA)</f>
        <v>2769.92</v>
      </c>
      <c r="U196" s="36">
        <f>SUMIF(Entradas!$B:$B,'Entrada Lvl 5-4 qt'!$B196,Entradas!AB:AB)</f>
        <v>0</v>
      </c>
      <c r="V196" s="49">
        <f>_xlfn.XLOOKUP($B196,Entradas!$B:$B,Entradas!AC:AC,,0,1)</f>
        <v>45173</v>
      </c>
      <c r="W196" s="58">
        <f t="shared" si="19"/>
        <v>7</v>
      </c>
      <c r="X196" s="28" t="s">
        <v>10</v>
      </c>
      <c r="Y196" s="32">
        <f t="shared" si="15"/>
        <v>0</v>
      </c>
      <c r="Z196" s="33">
        <f t="shared" si="16"/>
        <v>2769.92</v>
      </c>
      <c r="AA196" s="34">
        <f t="shared" si="17"/>
        <v>2202.1999999999998</v>
      </c>
      <c r="AB196" s="28" t="s">
        <v>1813</v>
      </c>
      <c r="AC196" s="28" t="s">
        <v>1784</v>
      </c>
      <c r="AD196" s="29" t="str" cm="1">
        <f t="array" ref="AD196">_xlfn.IFS(L196&lt;=Constantes!$G$2,"Muito Curta (evitável)",L196&lt;=Constantes!$H$2,"Curta Distância",L196&gt;Constantes!$H$2,"Longa Distância")</f>
        <v>Longa Distância</v>
      </c>
      <c r="AE196" s="30" t="str">
        <f t="shared" si="18"/>
        <v>NÃO</v>
      </c>
      <c r="AF196" s="30">
        <f>SUMIF(Entradas!$B:$B,'Entrada Lvl 5-4 qt'!$B196,Entradas!$AG:$AG)</f>
        <v>1091.6440472066095</v>
      </c>
      <c r="AG196" s="30"/>
      <c r="BD196" s="49"/>
      <c r="BE196" s="49"/>
    </row>
    <row r="197" spans="1:57" x14ac:dyDescent="0.3">
      <c r="A197">
        <f>_xlfn.XLOOKUP(B197,Entradas!B:B,Entradas!A:A,,0,-1)</f>
        <v>2</v>
      </c>
      <c r="B197">
        <v>19231868</v>
      </c>
      <c r="C197" t="str">
        <f>_xlfn.XLOOKUP($B197,Entradas!$B:$B,Entradas!C:C,,0,1)</f>
        <v>000927/23</v>
      </c>
      <c r="D197" t="str">
        <f>_xlfn.XLOOKUP($B197,Entradas!$B:$B,Entradas!D:D,,0,1)</f>
        <v>***.240.794-**</v>
      </c>
      <c r="E197" t="str">
        <f>_xlfn.XLOOKUP($B197,Entradas!$B:$B,Entradas!E:E,,0,1)</f>
        <v>NICOLLE SALES DA COSTA</v>
      </c>
      <c r="F197" t="str">
        <f>_xlfn.XLOOKUP($B197,Entradas!$B:$B,Entradas!F:F,,0,1)</f>
        <v>ADMINISTRADOR</v>
      </c>
      <c r="G197" t="str">
        <f>_xlfn.XLOOKUP($B197,Entradas!$B:$B,Entradas!G:G,,0,1)</f>
        <v>CD-0003</v>
      </c>
      <c r="H197" t="str">
        <f>_xlfn.XLOOKUP($B197,Entradas!$B:$B,Entradas!H:H,,0,1)</f>
        <v>Cargo Comissionado de Direção</v>
      </c>
      <c r="I197" s="49">
        <f>_xlfn.XLOOKUP($B197,Entradas!$B:$B,Entradas!I:I,,0,1)</f>
        <v>45221</v>
      </c>
      <c r="J197" s="49">
        <f>_xlfn.XLOOKUP($B197,Entradas!$B:$B,Entradas!J:J,,0,1)</f>
        <v>45228</v>
      </c>
      <c r="K197" t="str">
        <f>_xlfn.XLOOKUP($B197,Entradas!$B:$B,Entradas!K:K,,0,1)</f>
        <v>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v>
      </c>
      <c r="L197">
        <f>SUMIF(Entradas!$B:$B,'Entrada Lvl 5-4 qt'!$B197,Entradas!S:S)</f>
        <v>5969.5297280000004</v>
      </c>
      <c r="M197" t="str">
        <f>_xlfn.XLOOKUP($B197,Entradas!$B:$B,Entradas!T:T,,0,1)</f>
        <v>Aéreo</v>
      </c>
      <c r="N197" t="str">
        <f>_xlfn.XLOOKUP($B197,Entradas!$B:$B,Entradas!U:U,,0,1)</f>
        <v>Não</v>
      </c>
      <c r="O197" t="str">
        <f>_xlfn.XLOOKUP($B197,Entradas!$B:$B,Entradas!V:V,,0,1)</f>
        <v>Realizada</v>
      </c>
      <c r="P197" t="str">
        <f>_xlfn.XLOOKUP($B197,Entradas!$B:$B,Entradas!W:W,,0,1)</f>
        <v>NÃO</v>
      </c>
      <c r="Q197" t="str">
        <f>_xlfn.XLOOKUP($B197,Entradas!$B:$B,Entradas!X:X,,0,1)</f>
        <v>Sem informação</v>
      </c>
      <c r="R197" s="36">
        <f>SUMIF(Entradas!$B:$B,'Entrada Lvl 5-4 qt'!$B197,Entradas!Y:Y)</f>
        <v>2512.1799999999998</v>
      </c>
      <c r="S197" s="36">
        <f>SUMIF(Entradas!$B:$B,'Entrada Lvl 5-4 qt'!$B197,Entradas!Z:Z)</f>
        <v>0</v>
      </c>
      <c r="T197" s="36">
        <f>SUMIF(Entradas!$B:$B,'Entrada Lvl 5-4 qt'!$B197,Entradas!AA:AA)</f>
        <v>2167.7200000000003</v>
      </c>
      <c r="U197" s="36">
        <f>SUMIF(Entradas!$B:$B,'Entrada Lvl 5-4 qt'!$B197,Entradas!AB:AB)</f>
        <v>0</v>
      </c>
      <c r="V197" s="49">
        <f>_xlfn.XLOOKUP($B197,Entradas!$B:$B,Entradas!AC:AC,,0,1)</f>
        <v>45169</v>
      </c>
      <c r="W197" s="58">
        <f t="shared" si="19"/>
        <v>7</v>
      </c>
      <c r="X197" s="28" t="s">
        <v>10</v>
      </c>
      <c r="Y197" s="32">
        <f t="shared" si="15"/>
        <v>0</v>
      </c>
      <c r="Z197" s="33">
        <f t="shared" si="16"/>
        <v>2167.7200000000003</v>
      </c>
      <c r="AA197" s="34">
        <f t="shared" si="17"/>
        <v>2512.1799999999998</v>
      </c>
      <c r="AB197" s="28" t="s">
        <v>1816</v>
      </c>
      <c r="AC197" s="28" t="s">
        <v>1784</v>
      </c>
      <c r="AD197" s="29" t="str" cm="1">
        <f t="array" ref="AD197">_xlfn.IFS(L197&lt;=Constantes!$G$2,"Muito Curta (evitável)",L197&lt;=Constantes!$H$2,"Curta Distância",L197&gt;Constantes!$H$2,"Longa Distância")</f>
        <v>Longa Distância</v>
      </c>
      <c r="AE197" s="30" t="str">
        <f t="shared" si="18"/>
        <v>NÃO</v>
      </c>
      <c r="AF197" s="30">
        <f>SUMIF(Entradas!$B:$B,'Entrada Lvl 5-4 qt'!$B197,Entradas!$AG:$AG)</f>
        <v>1091.6440472066095</v>
      </c>
      <c r="AG197" s="30"/>
      <c r="BD197" s="49"/>
      <c r="BE197" s="49"/>
    </row>
    <row r="198" spans="1:57" x14ac:dyDescent="0.3">
      <c r="A198">
        <f>_xlfn.XLOOKUP(B198,Entradas!B:B,Entradas!A:A,,0,-1)</f>
        <v>2</v>
      </c>
      <c r="B198">
        <v>19232693</v>
      </c>
      <c r="C198" t="str">
        <f>_xlfn.XLOOKUP($B198,Entradas!$B:$B,Entradas!C:C,,0,1)</f>
        <v>000928/23</v>
      </c>
      <c r="D198" t="str">
        <f>_xlfn.XLOOKUP($B198,Entradas!$B:$B,Entradas!D:D,,0,1)</f>
        <v>***.107.174-**</v>
      </c>
      <c r="E198" t="str">
        <f>_xlfn.XLOOKUP($B198,Entradas!$B:$B,Entradas!E:E,,0,1)</f>
        <v>NATUCIA SANTOS DA SILVA</v>
      </c>
      <c r="F198" t="str">
        <f>_xlfn.XLOOKUP($B198,Entradas!$B:$B,Entradas!F:F,,0,1)</f>
        <v>ASSISTENTE EM ADMINISTRAçãO</v>
      </c>
      <c r="G198" t="str">
        <f>_xlfn.XLOOKUP($B198,Entradas!$B:$B,Entradas!G:G,,0,1)</f>
        <v>CD-0004</v>
      </c>
      <c r="H198" t="str">
        <f>_xlfn.XLOOKUP($B198,Entradas!$B:$B,Entradas!H:H,,0,1)</f>
        <v>Cargo Comissionado de Direção</v>
      </c>
      <c r="I198" s="49">
        <f>_xlfn.XLOOKUP($B198,Entradas!$B:$B,Entradas!I:I,,0,1)</f>
        <v>45221</v>
      </c>
      <c r="J198" s="49">
        <f>_xlfn.XLOOKUP($B198,Entradas!$B:$B,Entradas!J:J,,0,1)</f>
        <v>45228</v>
      </c>
      <c r="K198" t="str">
        <f>_xlfn.XLOOKUP($B198,Entradas!$B:$B,Entradas!K:K,,0,1)</f>
        <v>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v>
      </c>
      <c r="L198">
        <f>SUMIF(Entradas!$B:$B,'Entrada Lvl 5-4 qt'!$B198,Entradas!S:S)</f>
        <v>5969.5297280000004</v>
      </c>
      <c r="M198" t="str">
        <f>_xlfn.XLOOKUP($B198,Entradas!$B:$B,Entradas!T:T,,0,1)</f>
        <v>Aéreo</v>
      </c>
      <c r="N198" t="str">
        <f>_xlfn.XLOOKUP($B198,Entradas!$B:$B,Entradas!U:U,,0,1)</f>
        <v>Não</v>
      </c>
      <c r="O198" t="str">
        <f>_xlfn.XLOOKUP($B198,Entradas!$B:$B,Entradas!V:V,,0,1)</f>
        <v>Realizada</v>
      </c>
      <c r="P198" t="str">
        <f>_xlfn.XLOOKUP($B198,Entradas!$B:$B,Entradas!W:W,,0,1)</f>
        <v>NÃO</v>
      </c>
      <c r="Q198" t="str">
        <f>_xlfn.XLOOKUP($B198,Entradas!$B:$B,Entradas!X:X,,0,1)</f>
        <v>Sem informação</v>
      </c>
      <c r="R198" s="36">
        <f>SUMIF(Entradas!$B:$B,'Entrada Lvl 5-4 qt'!$B198,Entradas!Y:Y)</f>
        <v>2202.1999999999998</v>
      </c>
      <c r="S198" s="36">
        <f>SUMIF(Entradas!$B:$B,'Entrada Lvl 5-4 qt'!$B198,Entradas!Z:Z)</f>
        <v>0</v>
      </c>
      <c r="T198" s="36">
        <f>SUMIF(Entradas!$B:$B,'Entrada Lvl 5-4 qt'!$B198,Entradas!AA:AA)</f>
        <v>2167.7200000000003</v>
      </c>
      <c r="U198" s="36">
        <f>SUMIF(Entradas!$B:$B,'Entrada Lvl 5-4 qt'!$B198,Entradas!AB:AB)</f>
        <v>0</v>
      </c>
      <c r="V198" s="49">
        <f>_xlfn.XLOOKUP($B198,Entradas!$B:$B,Entradas!AC:AC,,0,1)</f>
        <v>45169</v>
      </c>
      <c r="W198" s="58">
        <f t="shared" si="19"/>
        <v>7</v>
      </c>
      <c r="X198" s="28" t="s">
        <v>10</v>
      </c>
      <c r="Y198" s="32">
        <f t="shared" si="15"/>
        <v>0</v>
      </c>
      <c r="Z198" s="33">
        <f t="shared" si="16"/>
        <v>2167.7200000000003</v>
      </c>
      <c r="AA198" s="34">
        <f t="shared" si="17"/>
        <v>2202.1999999999998</v>
      </c>
      <c r="AB198" s="28" t="s">
        <v>1816</v>
      </c>
      <c r="AC198" s="28" t="s">
        <v>1784</v>
      </c>
      <c r="AD198" s="29" t="str" cm="1">
        <f t="array" ref="AD198">_xlfn.IFS(L198&lt;=Constantes!$G$2,"Muito Curta (evitável)",L198&lt;=Constantes!$H$2,"Curta Distância",L198&gt;Constantes!$H$2,"Longa Distância")</f>
        <v>Longa Distância</v>
      </c>
      <c r="AE198" s="30" t="str">
        <f t="shared" si="18"/>
        <v>NÃO</v>
      </c>
      <c r="AF198" s="30">
        <f>SUMIF(Entradas!$B:$B,'Entrada Lvl 5-4 qt'!$B198,Entradas!$AG:$AG)</f>
        <v>1091.6440472066095</v>
      </c>
      <c r="AG198" s="30"/>
      <c r="BD198" s="49"/>
      <c r="BE198" s="49"/>
    </row>
    <row r="199" spans="1:57" x14ac:dyDescent="0.3">
      <c r="A199">
        <f>_xlfn.XLOOKUP(B199,Entradas!B:B,Entradas!A:A,,0,-1)</f>
        <v>2</v>
      </c>
      <c r="B199">
        <v>19292173</v>
      </c>
      <c r="C199" t="str">
        <f>_xlfn.XLOOKUP($B199,Entradas!$B:$B,Entradas!C:C,,0,1)</f>
        <v>001094/23</v>
      </c>
      <c r="D199" t="str">
        <f>_xlfn.XLOOKUP($B199,Entradas!$B:$B,Entradas!D:D,,0,1)</f>
        <v>***.671.067-**</v>
      </c>
      <c r="E199" t="str">
        <f>_xlfn.XLOOKUP($B199,Entradas!$B:$B,Entradas!E:E,,0,1)</f>
        <v>JEVUKS MATHEUS DE ARAUJO</v>
      </c>
      <c r="F199" t="str">
        <f>_xlfn.XLOOKUP($B199,Entradas!$B:$B,Entradas!F:F,,0,1)</f>
        <v>PROFESSOR DO MAGISTERIO SUPERIOR</v>
      </c>
      <c r="G199" t="str">
        <f>_xlfn.XLOOKUP($B199,Entradas!$B:$B,Entradas!G:G,,0,1)</f>
        <v>FUC-0001</v>
      </c>
      <c r="H199" t="str">
        <f>_xlfn.XLOOKUP($B199,Entradas!$B:$B,Entradas!H:H,,0,1)</f>
        <v>FUC-0001</v>
      </c>
      <c r="I199" s="49">
        <f>_xlfn.XLOOKUP($B199,Entradas!$B:$B,Entradas!I:I,,0,1)</f>
        <v>45221</v>
      </c>
      <c r="J199" s="49">
        <f>_xlfn.XLOOKUP($B199,Entradas!$B:$B,Entradas!J:J,,0,1)</f>
        <v>45224</v>
      </c>
      <c r="K199" t="str">
        <f>_xlfn.XLOOKUP($B199,Entradas!$B:$B,Entradas!K:K,,0,1)</f>
        <v>PARTICIPAÇÃO NA REUNIÃO DE MEIO TERMO DA AVALIAÇÃO QUADRIENAL PROMOVIDA PELA CAPES.</v>
      </c>
      <c r="L199">
        <f>SUMIF(Entradas!$B:$B,'Entrada Lvl 5-4 qt'!$B199,Entradas!S:S)</f>
        <v>3426.839982</v>
      </c>
      <c r="M199" t="str">
        <f>_xlfn.XLOOKUP($B199,Entradas!$B:$B,Entradas!T:T,,0,1)</f>
        <v>Aéreo</v>
      </c>
      <c r="N199" t="str">
        <f>_xlfn.XLOOKUP($B199,Entradas!$B:$B,Entradas!U:U,,0,1)</f>
        <v>Não</v>
      </c>
      <c r="O199" t="str">
        <f>_xlfn.XLOOKUP($B199,Entradas!$B:$B,Entradas!V:V,,0,1)</f>
        <v>Realizada</v>
      </c>
      <c r="P199" t="str">
        <f>_xlfn.XLOOKUP($B199,Entradas!$B:$B,Entradas!W:W,,0,1)</f>
        <v>NÃO</v>
      </c>
      <c r="Q199" t="str">
        <f>_xlfn.XLOOKUP($B199,Entradas!$B:$B,Entradas!X:X,,0,1)</f>
        <v>Sem informação</v>
      </c>
      <c r="R199" s="36">
        <f>SUMIF(Entradas!$B:$B,'Entrada Lvl 5-4 qt'!$B199,Entradas!Y:Y)</f>
        <v>1339.26</v>
      </c>
      <c r="S199" s="36">
        <f>SUMIF(Entradas!$B:$B,'Entrada Lvl 5-4 qt'!$B199,Entradas!Z:Z)</f>
        <v>0</v>
      </c>
      <c r="T199" s="36">
        <f>SUMIF(Entradas!$B:$B,'Entrada Lvl 5-4 qt'!$B199,Entradas!AA:AA)</f>
        <v>1706.1</v>
      </c>
      <c r="U199" s="36">
        <f>SUMIF(Entradas!$B:$B,'Entrada Lvl 5-4 qt'!$B199,Entradas!AB:AB)</f>
        <v>0</v>
      </c>
      <c r="V199" s="49">
        <f>_xlfn.XLOOKUP($B199,Entradas!$B:$B,Entradas!AC:AC,,0,1)</f>
        <v>45191</v>
      </c>
      <c r="W199" s="58">
        <f t="shared" si="19"/>
        <v>3</v>
      </c>
      <c r="X199" s="28" t="s">
        <v>10</v>
      </c>
      <c r="Y199" s="32">
        <f t="shared" si="15"/>
        <v>0</v>
      </c>
      <c r="Z199" s="33">
        <f t="shared" si="16"/>
        <v>1706.1</v>
      </c>
      <c r="AA199" s="34">
        <f t="shared" si="17"/>
        <v>1339.26</v>
      </c>
      <c r="AB199" s="28" t="s">
        <v>1813</v>
      </c>
      <c r="AC199" s="28" t="s">
        <v>1784</v>
      </c>
      <c r="AD199" s="29" t="str" cm="1">
        <f t="array" ref="AD199">_xlfn.IFS(L199&lt;=Constantes!$G$2,"Muito Curta (evitável)",L199&lt;=Constantes!$H$2,"Curta Distância",L199&gt;Constantes!$H$2,"Longa Distância")</f>
        <v>Curta Distância</v>
      </c>
      <c r="AE199" s="30" t="str">
        <f t="shared" si="18"/>
        <v>NÃO</v>
      </c>
      <c r="AF199" s="30">
        <f>SUMIF(Entradas!$B:$B,'Entrada Lvl 5-4 qt'!$B199,Entradas!$AG:$AG)</f>
        <v>626.66401501165365</v>
      </c>
      <c r="AG199" s="30"/>
      <c r="BD199" s="49"/>
      <c r="BE199" s="49"/>
    </row>
    <row r="200" spans="1:57" x14ac:dyDescent="0.3">
      <c r="A200">
        <f>_xlfn.XLOOKUP(B200,Entradas!B:B,Entradas!A:A,,0,-1)</f>
        <v>2</v>
      </c>
      <c r="B200">
        <v>19301303</v>
      </c>
      <c r="C200" t="str">
        <f>_xlfn.XLOOKUP($B200,Entradas!$B:$B,Entradas!C:C,,0,1)</f>
        <v>001269/23</v>
      </c>
      <c r="D200" t="str">
        <f>_xlfn.XLOOKUP($B200,Entradas!$B:$B,Entradas!D:D,,0,1)</f>
        <v>***.153.860-**</v>
      </c>
      <c r="E200" t="str">
        <f>_xlfn.XLOOKUP($B200,Entradas!$B:$B,Entradas!E:E,,0,1)</f>
        <v>ISMAEL IVAN ROCKENBACH</v>
      </c>
      <c r="F200" t="str">
        <f>_xlfn.XLOOKUP($B200,Entradas!$B:$B,Entradas!F:F,,0,1)</f>
        <v>PROFESSOR DO MAGISTERIO SUPERIOR</v>
      </c>
      <c r="G200" t="str">
        <f>_xlfn.XLOOKUP($B200,Entradas!$B:$B,Entradas!G:G,,0,1)</f>
        <v>-1</v>
      </c>
      <c r="H200" t="str">
        <f>_xlfn.XLOOKUP($B200,Entradas!$B:$B,Entradas!H:H,,0,1)</f>
        <v>Sem informação</v>
      </c>
      <c r="I200" s="49">
        <f>_xlfn.XLOOKUP($B200,Entradas!$B:$B,Entradas!I:I,,0,1)</f>
        <v>45221</v>
      </c>
      <c r="J200" s="49">
        <f>_xlfn.XLOOKUP($B200,Entradas!$B:$B,Entradas!J:J,,0,1)</f>
        <v>45227</v>
      </c>
      <c r="K200" t="str">
        <f>_xlfn.XLOOKUP($B200,Entradas!$B:$B,Entradas!K:K,,0,1)</f>
        <v>Participação nas reuniões do ForUAB a ser realizado em conjunto com 20º Congresso Brasileiro de Ensino Superior a Distância 9º Congresso Internacional de Educação Superior a Distância - ESUD|CIESUD em Campo Grande de 23 a 27/10/2023.</v>
      </c>
      <c r="L200">
        <f>SUMIF(Entradas!$B:$B,'Entrada Lvl 5-4 qt'!$B200,Entradas!S:S)</f>
        <v>5177.7978640000001</v>
      </c>
      <c r="M200" t="str">
        <f>_xlfn.XLOOKUP($B200,Entradas!$B:$B,Entradas!T:T,,0,1)</f>
        <v>Aéreo</v>
      </c>
      <c r="N200" t="str">
        <f>_xlfn.XLOOKUP($B200,Entradas!$B:$B,Entradas!U:U,,0,1)</f>
        <v>Não</v>
      </c>
      <c r="O200" t="str">
        <f>_xlfn.XLOOKUP($B200,Entradas!$B:$B,Entradas!V:V,,0,1)</f>
        <v>Realizada</v>
      </c>
      <c r="P200" t="str">
        <f>_xlfn.XLOOKUP($B200,Entradas!$B:$B,Entradas!W:W,,0,1)</f>
        <v>NÃO</v>
      </c>
      <c r="Q200" t="str">
        <f>_xlfn.XLOOKUP($B200,Entradas!$B:$B,Entradas!X:X,,0,1)</f>
        <v>Sem informação</v>
      </c>
      <c r="R200" s="36">
        <f>SUMIF(Entradas!$B:$B,'Entrada Lvl 5-4 qt'!$B200,Entradas!Y:Y)</f>
        <v>2162.08</v>
      </c>
      <c r="S200" s="36">
        <f>SUMIF(Entradas!$B:$B,'Entrada Lvl 5-4 qt'!$B200,Entradas!Z:Z)</f>
        <v>0</v>
      </c>
      <c r="T200" s="36">
        <f>SUMIF(Entradas!$B:$B,'Entrada Lvl 5-4 qt'!$B200,Entradas!AA:AA)</f>
        <v>2167.12</v>
      </c>
      <c r="U200" s="36">
        <f>SUMIF(Entradas!$B:$B,'Entrada Lvl 5-4 qt'!$B200,Entradas!AB:AB)</f>
        <v>0</v>
      </c>
      <c r="V200" s="49">
        <f>_xlfn.XLOOKUP($B200,Entradas!$B:$B,Entradas!AC:AC,,0,1)</f>
        <v>45203</v>
      </c>
      <c r="W200" s="58">
        <f t="shared" si="19"/>
        <v>6</v>
      </c>
      <c r="X200" s="28" t="s">
        <v>10</v>
      </c>
      <c r="Y200" s="32">
        <f t="shared" si="15"/>
        <v>0</v>
      </c>
      <c r="Z200" s="33">
        <f t="shared" si="16"/>
        <v>2167.12</v>
      </c>
      <c r="AA200" s="34">
        <f t="shared" si="17"/>
        <v>2162.08</v>
      </c>
      <c r="AB200" s="28" t="s">
        <v>1815</v>
      </c>
      <c r="AC200" s="28" t="s">
        <v>1820</v>
      </c>
      <c r="AD200" s="29" t="str" cm="1">
        <f t="array" ref="AD200">_xlfn.IFS(L200&lt;=Constantes!$G$2,"Muito Curta (evitável)",L200&lt;=Constantes!$H$2,"Curta Distância",L200&gt;Constantes!$H$2,"Longa Distância")</f>
        <v>Longa Distância</v>
      </c>
      <c r="AE200" s="30" t="str">
        <f t="shared" si="18"/>
        <v>NÃO</v>
      </c>
      <c r="AF200" s="30">
        <f>SUMIF(Entradas!$B:$B,'Entrada Lvl 5-4 qt'!$B200,Entradas!$AG:$AG)</f>
        <v>946.86055240877727</v>
      </c>
      <c r="AG200" s="30"/>
      <c r="BD200" s="49"/>
      <c r="BE200" s="49"/>
    </row>
    <row r="201" spans="1:57" x14ac:dyDescent="0.3">
      <c r="A201">
        <f>_xlfn.XLOOKUP(B201,Entradas!B:B,Entradas!A:A,,0,-1)</f>
        <v>2</v>
      </c>
      <c r="B201">
        <v>19316534</v>
      </c>
      <c r="C201" t="str">
        <f>_xlfn.XLOOKUP($B201,Entradas!$B:$B,Entradas!C:C,,0,1)</f>
        <v>001284/23</v>
      </c>
      <c r="D201" t="str">
        <f>_xlfn.XLOOKUP($B201,Entradas!$B:$B,Entradas!D:D,,0,1)</f>
        <v/>
      </c>
      <c r="E201" t="str">
        <f>_xlfn.XLOOKUP($B201,Entradas!$B:$B,Entradas!E:E,,0,1)</f>
        <v>RICHELIEU RAMOS DE ANDRADE COSTA</v>
      </c>
      <c r="F201" t="str">
        <f>_xlfn.XLOOKUP($B201,Entradas!$B:$B,Entradas!F:F,,0,1)</f>
        <v>ENGENHEIRO-AREA</v>
      </c>
      <c r="G201" t="str">
        <f>_xlfn.XLOOKUP($B201,Entradas!$B:$B,Entradas!G:G,,0,1)</f>
        <v>-1</v>
      </c>
      <c r="H201" t="str">
        <f>_xlfn.XLOOKUP($B201,Entradas!$B:$B,Entradas!H:H,,0,1)</f>
        <v>Sem informação</v>
      </c>
      <c r="I201" s="49">
        <f>_xlfn.XLOOKUP($B201,Entradas!$B:$B,Entradas!I:I,,0,1)</f>
        <v>45221</v>
      </c>
      <c r="J201" s="49">
        <f>_xlfn.XLOOKUP($B201,Entradas!$B:$B,Entradas!J:J,,0,1)</f>
        <v>45227</v>
      </c>
      <c r="K201" t="str">
        <f>_xlfn.XLOOKUP($B201,Entradas!$B:$B,Entradas!K:K,,0,1)</f>
        <v>Apresentação de artigo no O XXIX Simpósio Brasileiro de Sistemas Multimídia e Web (WebMedia) relacionado ao mestrado em desenvolvimento e a projeto coordenado pelo Forum Brasileiro de TV Digital, em execução na UFPB via RNP</v>
      </c>
      <c r="L201">
        <f>SUMIF(Entradas!$B:$B,'Entrada Lvl 5-4 qt'!$B201,Entradas!S:S)</f>
        <v>4159.2084379999997</v>
      </c>
      <c r="M201" t="str">
        <f>_xlfn.XLOOKUP($B201,Entradas!$B:$B,Entradas!T:T,,0,1)</f>
        <v>Aéreo</v>
      </c>
      <c r="N201" t="str">
        <f>_xlfn.XLOOKUP($B201,Entradas!$B:$B,Entradas!U:U,,0,1)</f>
        <v>Não</v>
      </c>
      <c r="O201" t="str">
        <f>_xlfn.XLOOKUP($B201,Entradas!$B:$B,Entradas!V:V,,0,1)</f>
        <v>Realizada</v>
      </c>
      <c r="P201" t="str">
        <f>_xlfn.XLOOKUP($B201,Entradas!$B:$B,Entradas!W:W,,0,1)</f>
        <v>NÃO</v>
      </c>
      <c r="Q201" t="str">
        <f>_xlfn.XLOOKUP($B201,Entradas!$B:$B,Entradas!X:X,,0,1)</f>
        <v>Sem informação</v>
      </c>
      <c r="R201" s="36">
        <f>SUMIF(Entradas!$B:$B,'Entrada Lvl 5-4 qt'!$B201,Entradas!Y:Y)</f>
        <v>0</v>
      </c>
      <c r="S201" s="36">
        <f>SUMIF(Entradas!$B:$B,'Entrada Lvl 5-4 qt'!$B201,Entradas!Z:Z)</f>
        <v>0</v>
      </c>
      <c r="T201" s="36">
        <f>SUMIF(Entradas!$B:$B,'Entrada Lvl 5-4 qt'!$B201,Entradas!AA:AA)</f>
        <v>3744.7599999999998</v>
      </c>
      <c r="U201" s="36">
        <f>SUMIF(Entradas!$B:$B,'Entrada Lvl 5-4 qt'!$B201,Entradas!AB:AB)</f>
        <v>0</v>
      </c>
      <c r="V201" s="49">
        <f>_xlfn.XLOOKUP($B201,Entradas!$B:$B,Entradas!AC:AC,,0,1)</f>
        <v>45201</v>
      </c>
      <c r="W201" s="58">
        <f t="shared" si="19"/>
        <v>6</v>
      </c>
      <c r="X201" s="28" t="s">
        <v>10</v>
      </c>
      <c r="Y201" s="32">
        <f t="shared" si="15"/>
        <v>0</v>
      </c>
      <c r="Z201" s="33">
        <f t="shared" si="16"/>
        <v>3744.7599999999998</v>
      </c>
      <c r="AA201" s="34">
        <f t="shared" si="17"/>
        <v>0</v>
      </c>
      <c r="AB201" s="28" t="s">
        <v>1814</v>
      </c>
      <c r="AC201" s="28" t="s">
        <v>1822</v>
      </c>
      <c r="AD201" s="29" t="str" cm="1">
        <f t="array" ref="AD201">_xlfn.IFS(L201&lt;=Constantes!$G$2,"Muito Curta (evitável)",L201&lt;=Constantes!$H$2,"Curta Distância",L201&gt;Constantes!$H$2,"Longa Distância")</f>
        <v>Longa Distância</v>
      </c>
      <c r="AE201" s="30" t="str">
        <f t="shared" si="18"/>
        <v>NÃO</v>
      </c>
      <c r="AF201" s="30">
        <f>SUMIF(Entradas!$B:$B,'Entrada Lvl 5-4 qt'!$B201,Entradas!$AG:$AG)</f>
        <v>760.59176171577315</v>
      </c>
      <c r="AG201" s="30"/>
      <c r="BD201" s="49"/>
      <c r="BE201" s="49"/>
    </row>
    <row r="202" spans="1:57" x14ac:dyDescent="0.3">
      <c r="A202">
        <f>_xlfn.XLOOKUP(B202,Entradas!B:B,Entradas!A:A,,0,-1)</f>
        <v>3</v>
      </c>
      <c r="B202">
        <v>19355134</v>
      </c>
      <c r="C202" t="str">
        <f>_xlfn.XLOOKUP($B202,Entradas!$B:$B,Entradas!C:C,,0,1)</f>
        <v>001297/23</v>
      </c>
      <c r="D202" t="str">
        <f>_xlfn.XLOOKUP($B202,Entradas!$B:$B,Entradas!D:D,,0,1)</f>
        <v>***.531.822-**</v>
      </c>
      <c r="E202" t="str">
        <f>_xlfn.XLOOKUP($B202,Entradas!$B:$B,Entradas!E:E,,0,1)</f>
        <v>VALERIO FIEL DA COSTA</v>
      </c>
      <c r="F202" t="str">
        <f>_xlfn.XLOOKUP($B202,Entradas!$B:$B,Entradas!F:F,,0,1)</f>
        <v>PROFESSOR DO MAGISTERIO SUPERIOR</v>
      </c>
      <c r="G202" t="str">
        <f>_xlfn.XLOOKUP($B202,Entradas!$B:$B,Entradas!G:G,,0,1)</f>
        <v>FUC-0001</v>
      </c>
      <c r="H202" t="str">
        <f>_xlfn.XLOOKUP($B202,Entradas!$B:$B,Entradas!H:H,,0,1)</f>
        <v>FUC-0001</v>
      </c>
      <c r="I202" s="49">
        <f>_xlfn.XLOOKUP($B202,Entradas!$B:$B,Entradas!I:I,,0,1)</f>
        <v>45221</v>
      </c>
      <c r="J202" s="49">
        <f>_xlfn.XLOOKUP($B202,Entradas!$B:$B,Entradas!J:J,,0,1)</f>
        <v>45228</v>
      </c>
      <c r="K202" t="str">
        <f>_xlfn.XLOOKUP($B202,Entradas!$B:$B,Entradas!K:K,,0,1)</f>
        <v>1 - A participação como coordenador do PPGM/UFPB no Seminário de Meio-Termo da CAPES (Brasília-DF) faz parte de um esforço geral da UFPB de adesão e incremento da pós graduação na nossa universidade. Nosso curso de música, nota 4, é candidato a ampliação da nota e pretendemos realizar todos os esforços para atingir tal objetivo. Assim, é muito importante participar ativamente do Seminário de Meio Termo da CAPES. 2 - A ANPPOM é a principal associação da área de música e o projeto de pesquisa do professor Valério Fiel da Costa teve 5 projetos selecionados, incluindo um projeto individual; do mesmo modo, este docente deve participar, durante o evento, na categoria de Coordenador de pós, do Fórum de coordenadores da área.</v>
      </c>
      <c r="L202">
        <f>SUMIF(Entradas!$B:$B,'Entrada Lvl 5-4 qt'!$B202,Entradas!S:S)</f>
        <v>4038.1193274999996</v>
      </c>
      <c r="M202" t="str">
        <f>_xlfn.XLOOKUP($B202,Entradas!$B:$B,Entradas!T:T,,0,1)</f>
        <v>Aéreo</v>
      </c>
      <c r="N202" t="str">
        <f>_xlfn.XLOOKUP($B202,Entradas!$B:$B,Entradas!U:U,,0,1)</f>
        <v>Sim</v>
      </c>
      <c r="O202" t="str">
        <f>_xlfn.XLOOKUP($B202,Entradas!$B:$B,Entradas!V:V,,0,1)</f>
        <v>Realizada</v>
      </c>
      <c r="P202" t="str">
        <f>_xlfn.XLOOKUP($B202,Entradas!$B:$B,Entradas!W:W,,0,1)</f>
        <v>NÃO</v>
      </c>
      <c r="Q202" t="str">
        <f>_xlfn.XLOOKUP($B202,Entradas!$B:$B,Entradas!X:X,,0,1)</f>
        <v>Sem informação</v>
      </c>
      <c r="R202" s="36">
        <f>SUMIF(Entradas!$B:$B,'Entrada Lvl 5-4 qt'!$B202,Entradas!Y:Y)</f>
        <v>2497.8000000000002</v>
      </c>
      <c r="S202" s="36">
        <f>SUMIF(Entradas!$B:$B,'Entrada Lvl 5-4 qt'!$B202,Entradas!Z:Z)</f>
        <v>0</v>
      </c>
      <c r="T202" s="36">
        <f>SUMIF(Entradas!$B:$B,'Entrada Lvl 5-4 qt'!$B202,Entradas!AA:AA)</f>
        <v>3716.2</v>
      </c>
      <c r="U202" s="36">
        <f>SUMIF(Entradas!$B:$B,'Entrada Lvl 5-4 qt'!$B202,Entradas!AB:AB)</f>
        <v>0</v>
      </c>
      <c r="V202" s="49">
        <f>_xlfn.XLOOKUP($B202,Entradas!$B:$B,Entradas!AC:AC,,0,1)</f>
        <v>45203</v>
      </c>
      <c r="W202" s="58">
        <f t="shared" si="19"/>
        <v>7</v>
      </c>
      <c r="X202" s="28" t="s">
        <v>10</v>
      </c>
      <c r="Y202" s="32">
        <f t="shared" si="15"/>
        <v>1</v>
      </c>
      <c r="Z202" s="33">
        <f t="shared" si="16"/>
        <v>3716.2</v>
      </c>
      <c r="AA202" s="34">
        <f t="shared" si="17"/>
        <v>2497.8000000000002</v>
      </c>
      <c r="AB202" s="28" t="s">
        <v>1813</v>
      </c>
      <c r="AC202" s="28" t="s">
        <v>1784</v>
      </c>
      <c r="AD202" s="29" t="str" cm="1">
        <f t="array" ref="AD202">_xlfn.IFS(L202&lt;=Constantes!$G$2,"Muito Curta (evitável)",L202&lt;=Constantes!$H$2,"Curta Distância",L202&gt;Constantes!$H$2,"Longa Distância")</f>
        <v>Longa Distância</v>
      </c>
      <c r="AE202" s="30" t="str">
        <f t="shared" si="18"/>
        <v>NÃO</v>
      </c>
      <c r="AF202" s="30">
        <f>SUMIF(Entradas!$B:$B,'Entrada Lvl 5-4 qt'!$B202,Entradas!$AG:$AG)</f>
        <v>738.44827425831886</v>
      </c>
      <c r="AG202" s="30"/>
      <c r="BD202" s="49"/>
      <c r="BE202" s="49"/>
    </row>
    <row r="203" spans="1:57" x14ac:dyDescent="0.3">
      <c r="A203">
        <f>_xlfn.XLOOKUP(B203,Entradas!B:B,Entradas!A:A,,0,-1)</f>
        <v>2</v>
      </c>
      <c r="B203">
        <v>19368089</v>
      </c>
      <c r="C203" t="str">
        <f>_xlfn.XLOOKUP($B203,Entradas!$B:$B,Entradas!C:C,,0,1)</f>
        <v>001327/23</v>
      </c>
      <c r="D203" t="str">
        <f>_xlfn.XLOOKUP($B203,Entradas!$B:$B,Entradas!D:D,,0,1)</f>
        <v>***.605.854-**</v>
      </c>
      <c r="E203" t="str">
        <f>_xlfn.XLOOKUP($B203,Entradas!$B:$B,Entradas!E:E,,0,1)</f>
        <v>ADELAIDE ALVES DIAS</v>
      </c>
      <c r="F203" t="str">
        <f>_xlfn.XLOOKUP($B203,Entradas!$B:$B,Entradas!F:F,,0,1)</f>
        <v/>
      </c>
      <c r="G203" t="str">
        <f>_xlfn.XLOOKUP($B203,Entradas!$B:$B,Entradas!G:G,,0,1)</f>
        <v>-1</v>
      </c>
      <c r="H203" t="str">
        <f>_xlfn.XLOOKUP($B203,Entradas!$B:$B,Entradas!H:H,,0,1)</f>
        <v>Sem informação</v>
      </c>
      <c r="I203" s="49">
        <f>_xlfn.XLOOKUP($B203,Entradas!$B:$B,Entradas!I:I,,0,1)</f>
        <v>45221</v>
      </c>
      <c r="J203" s="49">
        <f>_xlfn.XLOOKUP($B203,Entradas!$B:$B,Entradas!J:J,,0,1)</f>
        <v>45227</v>
      </c>
      <c r="K203" t="str">
        <f>_xlfn.XLOOKUP($B203,Entradas!$B:$B,Entradas!K:K,,0,1)</f>
        <v>Participar da 41a Reunião Anual da Associação Nacional de Pós-Graduação em Educação - ANPEd Foram incluídas cotações de três companhias aéreas com bagagem despachada; todavia, para tal foi necessário escolher um único voo, tanto na ida quanto na volta. A cotação da ECOS inclui todas as opções, para todos os voos, o que não é possível emitindo a cotação na página de cada empresa.</v>
      </c>
      <c r="L203">
        <f>SUMIF(Entradas!$B:$B,'Entrada Lvl 5-4 qt'!$B203,Entradas!S:S)</f>
        <v>5634.1966119999997</v>
      </c>
      <c r="M203" t="str">
        <f>_xlfn.XLOOKUP($B203,Entradas!$B:$B,Entradas!T:T,,0,1)</f>
        <v>Aéreo</v>
      </c>
      <c r="N203" t="str">
        <f>_xlfn.XLOOKUP($B203,Entradas!$B:$B,Entradas!U:U,,0,1)</f>
        <v>Sim</v>
      </c>
      <c r="O203" t="str">
        <f>_xlfn.XLOOKUP($B203,Entradas!$B:$B,Entradas!V:V,,0,1)</f>
        <v>Realizada</v>
      </c>
      <c r="P203" t="str">
        <f>_xlfn.XLOOKUP($B203,Entradas!$B:$B,Entradas!W:W,,0,1)</f>
        <v>SIM</v>
      </c>
      <c r="Q203" t="str">
        <f>_xlfn.XLOOKUP($B203,Entradas!$B:$B,Entradas!X:X,,0,1)</f>
        <v>A solicitação desta demanda teve que esperar a resoluçõ de demandas anteriores (teve que obedecer a lista de espera)</v>
      </c>
      <c r="R203" s="36">
        <f>SUMIF(Entradas!$B:$B,'Entrada Lvl 5-4 qt'!$B203,Entradas!Y:Y)</f>
        <v>2572.41</v>
      </c>
      <c r="S203" s="36">
        <f>SUMIF(Entradas!$B:$B,'Entrada Lvl 5-4 qt'!$B203,Entradas!Z:Z)</f>
        <v>0</v>
      </c>
      <c r="T203" s="36">
        <f>SUMIF(Entradas!$B:$B,'Entrada Lvl 5-4 qt'!$B203,Entradas!AA:AA)</f>
        <v>5237.21</v>
      </c>
      <c r="U203" s="36">
        <f>SUMIF(Entradas!$B:$B,'Entrada Lvl 5-4 qt'!$B203,Entradas!AB:AB)</f>
        <v>0</v>
      </c>
      <c r="V203" s="49">
        <f>_xlfn.XLOOKUP($B203,Entradas!$B:$B,Entradas!AC:AC,,0,1)</f>
        <v>45218</v>
      </c>
      <c r="W203" s="58">
        <f t="shared" si="19"/>
        <v>6</v>
      </c>
      <c r="X203" s="28" t="s">
        <v>10</v>
      </c>
      <c r="Y203" s="32">
        <f t="shared" si="15"/>
        <v>0</v>
      </c>
      <c r="Z203" s="33">
        <f t="shared" si="16"/>
        <v>5237.21</v>
      </c>
      <c r="AA203" s="34">
        <f t="shared" si="17"/>
        <v>2572.41</v>
      </c>
      <c r="AB203" s="28" t="s">
        <v>1815</v>
      </c>
      <c r="AC203" s="28" t="s">
        <v>1822</v>
      </c>
      <c r="AD203" s="29" t="str" cm="1">
        <f t="array" ref="AD203">_xlfn.IFS(L203&lt;=Constantes!$G$2,"Muito Curta (evitável)",L203&lt;=Constantes!$H$2,"Curta Distância",L203&gt;Constantes!$H$2,"Longa Distância")</f>
        <v>Longa Distância</v>
      </c>
      <c r="AE203" s="30" t="str">
        <f t="shared" si="18"/>
        <v>NÃO</v>
      </c>
      <c r="AF203" s="30">
        <f>SUMIF(Entradas!$B:$B,'Entrada Lvl 5-4 qt'!$B203,Entradas!$AG:$AG)</f>
        <v>1030.3218967873522</v>
      </c>
      <c r="AG203" s="30"/>
      <c r="BD203" s="49"/>
      <c r="BE203" s="49"/>
    </row>
    <row r="204" spans="1:57" x14ac:dyDescent="0.3">
      <c r="A204">
        <f>_xlfn.XLOOKUP(B204,Entradas!B:B,Entradas!A:A,,0,-1)</f>
        <v>2</v>
      </c>
      <c r="B204">
        <v>19411089</v>
      </c>
      <c r="C204" t="str">
        <f>_xlfn.XLOOKUP($B204,Entradas!$B:$B,Entradas!C:C,,0,1)</f>
        <v>001499/23</v>
      </c>
      <c r="D204" t="str">
        <f>_xlfn.XLOOKUP($B204,Entradas!$B:$B,Entradas!D:D,,0,1)</f>
        <v>***.024.696-**</v>
      </c>
      <c r="E204" t="str">
        <f>_xlfn.XLOOKUP($B204,Entradas!$B:$B,Entradas!E:E,,0,1)</f>
        <v>BRUNO FERREIRA FRASCAROLI</v>
      </c>
      <c r="F204" t="str">
        <f>_xlfn.XLOOKUP($B204,Entradas!$B:$B,Entradas!F:F,,0,1)</f>
        <v>PROFESSOR DO MAGISTERIO SUPERIOR</v>
      </c>
      <c r="G204" t="str">
        <f>_xlfn.XLOOKUP($B204,Entradas!$B:$B,Entradas!G:G,,0,1)</f>
        <v>-1</v>
      </c>
      <c r="H204" t="str">
        <f>_xlfn.XLOOKUP($B204,Entradas!$B:$B,Entradas!H:H,,0,1)</f>
        <v>Sem informação</v>
      </c>
      <c r="I204" s="49">
        <f>_xlfn.XLOOKUP($B204,Entradas!$B:$B,Entradas!I:I,,0,1)</f>
        <v>45221</v>
      </c>
      <c r="J204" s="49">
        <f>_xlfn.XLOOKUP($B204,Entradas!$B:$B,Entradas!J:J,,0,1)</f>
        <v>45224</v>
      </c>
      <c r="K204" t="str">
        <f>_xlfn.XLOOKUP($B204,Entradas!$B:$B,Entradas!K:K,,0,1)</f>
        <v>Seminário de Meio Termo dos programas de pós-graduação da área de ECONOMIA, será realizado na CAPES, Brasília-DF, nos dias 23 e 24 de outubro de 2023, das 09:00 às 18:00 horas. O proposto é coordenador do Programa de Pós Graduação em Economia do Setor Público.</v>
      </c>
      <c r="L204">
        <f>SUMIF(Entradas!$B:$B,'Entrada Lvl 5-4 qt'!$B204,Entradas!S:S)</f>
        <v>3367.6314469999998</v>
      </c>
      <c r="M204" t="str">
        <f>_xlfn.XLOOKUP($B204,Entradas!$B:$B,Entradas!T:T,,0,1)</f>
        <v>Aéreo</v>
      </c>
      <c r="N204" t="str">
        <f>_xlfn.XLOOKUP($B204,Entradas!$B:$B,Entradas!U:U,,0,1)</f>
        <v>Não</v>
      </c>
      <c r="O204" t="str">
        <f>_xlfn.XLOOKUP($B204,Entradas!$B:$B,Entradas!V:V,,0,1)</f>
        <v>Realizada</v>
      </c>
      <c r="P204" t="str">
        <f>_xlfn.XLOOKUP($B204,Entradas!$B:$B,Entradas!W:W,,0,1)</f>
        <v>SIM</v>
      </c>
      <c r="Q204" t="str">
        <f>_xlfn.XLOOKUP($B204,Entradas!$B:$B,Entradas!X:X,,0,1)</f>
        <v>O valor da passagem aumentou durante a tramitação de pedido antes de gerar a PCDP e o saldo do empenho ficou insuficiente para atender a demanda, de modo que foi necessário haver uma complementação do crédito via processo, o que gerou atraso nesta solicitação.</v>
      </c>
      <c r="R204" s="36">
        <f>SUMIF(Entradas!$B:$B,'Entrada Lvl 5-4 qt'!$B204,Entradas!Y:Y)</f>
        <v>1339.26</v>
      </c>
      <c r="S204" s="36">
        <f>SUMIF(Entradas!$B:$B,'Entrada Lvl 5-4 qt'!$B204,Entradas!Z:Z)</f>
        <v>0</v>
      </c>
      <c r="T204" s="36">
        <f>SUMIF(Entradas!$B:$B,'Entrada Lvl 5-4 qt'!$B204,Entradas!AA:AA)</f>
        <v>3891.05</v>
      </c>
      <c r="U204" s="36">
        <f>SUMIF(Entradas!$B:$B,'Entrada Lvl 5-4 qt'!$B204,Entradas!AB:AB)</f>
        <v>0</v>
      </c>
      <c r="V204" s="49">
        <f>_xlfn.XLOOKUP($B204,Entradas!$B:$B,Entradas!AC:AC,,0,1)</f>
        <v>45218</v>
      </c>
      <c r="W204" s="58">
        <f t="shared" si="19"/>
        <v>3</v>
      </c>
      <c r="X204" s="28" t="s">
        <v>10</v>
      </c>
      <c r="Y204" s="32">
        <f t="shared" si="15"/>
        <v>0</v>
      </c>
      <c r="Z204" s="33">
        <f t="shared" si="16"/>
        <v>3891.05</v>
      </c>
      <c r="AA204" s="34">
        <f t="shared" si="17"/>
        <v>1339.26</v>
      </c>
      <c r="AB204" s="28" t="s">
        <v>1813</v>
      </c>
      <c r="AC204" s="28" t="s">
        <v>1820</v>
      </c>
      <c r="AD204" s="29" t="str" cm="1">
        <f t="array" ref="AD204">_xlfn.IFS(L204&lt;=Constantes!$G$2,"Muito Curta (evitável)",L204&lt;=Constantes!$H$2,"Curta Distância",L204&gt;Constantes!$H$2,"Longa Distância")</f>
        <v>Curta Distância</v>
      </c>
      <c r="AE204" s="30" t="str">
        <f t="shared" si="18"/>
        <v>NÃO</v>
      </c>
      <c r="AF204" s="30">
        <f>SUMIF(Entradas!$B:$B,'Entrada Lvl 5-4 qt'!$B204,Entradas!$AG:$AG)</f>
        <v>615.83658844345905</v>
      </c>
      <c r="AG204" s="30"/>
      <c r="BD204" s="49"/>
      <c r="BE204" s="49"/>
    </row>
    <row r="205" spans="1:57" x14ac:dyDescent="0.3">
      <c r="A205">
        <f>_xlfn.XLOOKUP(B205,Entradas!B:B,Entradas!A:A,,0,-1)</f>
        <v>2</v>
      </c>
      <c r="B205">
        <v>19185588</v>
      </c>
      <c r="C205" t="str">
        <f>_xlfn.XLOOKUP($B205,Entradas!$B:$B,Entradas!C:C,,0,1)</f>
        <v>000807/23</v>
      </c>
      <c r="D205" t="str">
        <f>_xlfn.XLOOKUP($B205,Entradas!$B:$B,Entradas!D:D,,0,1)</f>
        <v/>
      </c>
      <c r="E205" t="str">
        <f>_xlfn.XLOOKUP($B205,Entradas!$B:$B,Entradas!E:E,,0,1)</f>
        <v>CARLOS VITAL DOS SANTOS JUNIOR</v>
      </c>
      <c r="F205" t="str">
        <f>_xlfn.XLOOKUP($B205,Entradas!$B:$B,Entradas!F:F,,0,1)</f>
        <v/>
      </c>
      <c r="G205" t="str">
        <f>_xlfn.XLOOKUP($B205,Entradas!$B:$B,Entradas!G:G,,0,1)</f>
        <v>-1</v>
      </c>
      <c r="H205" t="str">
        <f>_xlfn.XLOOKUP($B205,Entradas!$B:$B,Entradas!H:H,,0,1)</f>
        <v>Sem informação</v>
      </c>
      <c r="I205" s="49">
        <f>_xlfn.XLOOKUP($B205,Entradas!$B:$B,Entradas!I:I,,0,1)</f>
        <v>45222</v>
      </c>
      <c r="J205" s="49">
        <f>_xlfn.XLOOKUP($B205,Entradas!$B:$B,Entradas!J:J,,0,1)</f>
        <v>45226</v>
      </c>
      <c r="K205" t="str">
        <f>_xlfn.XLOOKUP($B205,Entradas!$B:$B,Entradas!K:K,,0,1)</f>
        <v>Participação no XXII Simpósio Brasileiro de Química Teórica</v>
      </c>
      <c r="L205">
        <f>SUMIF(Entradas!$B:$B,'Entrada Lvl 5-4 qt'!$B205,Entradas!S:S)</f>
        <v>3923.0015720000001</v>
      </c>
      <c r="M205" t="str">
        <f>_xlfn.XLOOKUP($B205,Entradas!$B:$B,Entradas!T:T,,0,1)</f>
        <v>Aéreo</v>
      </c>
      <c r="N205" t="str">
        <f>_xlfn.XLOOKUP($B205,Entradas!$B:$B,Entradas!U:U,,0,1)</f>
        <v>Não</v>
      </c>
      <c r="O205" t="str">
        <f>_xlfn.XLOOKUP($B205,Entradas!$B:$B,Entradas!V:V,,0,1)</f>
        <v>Realizada</v>
      </c>
      <c r="P205" t="str">
        <f>_xlfn.XLOOKUP($B205,Entradas!$B:$B,Entradas!W:W,,0,1)</f>
        <v>NÃO</v>
      </c>
      <c r="Q205" t="str">
        <f>_xlfn.XLOOKUP($B205,Entradas!$B:$B,Entradas!X:X,,0,1)</f>
        <v>Sem informação</v>
      </c>
      <c r="R205" s="36">
        <f>SUMIF(Entradas!$B:$B,'Entrada Lvl 5-4 qt'!$B205,Entradas!Y:Y)</f>
        <v>0</v>
      </c>
      <c r="S205" s="36">
        <f>SUMIF(Entradas!$B:$B,'Entrada Lvl 5-4 qt'!$B205,Entradas!Z:Z)</f>
        <v>0</v>
      </c>
      <c r="T205" s="36">
        <f>SUMIF(Entradas!$B:$B,'Entrada Lvl 5-4 qt'!$B205,Entradas!AA:AA)</f>
        <v>1416.69</v>
      </c>
      <c r="U205" s="36">
        <f>SUMIF(Entradas!$B:$B,'Entrada Lvl 5-4 qt'!$B205,Entradas!AB:AB)</f>
        <v>0</v>
      </c>
      <c r="V205" s="49">
        <f>_xlfn.XLOOKUP($B205,Entradas!$B:$B,Entradas!AC:AC,,0,1)</f>
        <v>45154</v>
      </c>
      <c r="W205" s="58">
        <f t="shared" si="19"/>
        <v>4</v>
      </c>
      <c r="X205" s="28" t="s">
        <v>10</v>
      </c>
      <c r="Y205" s="32">
        <f t="shared" si="15"/>
        <v>0</v>
      </c>
      <c r="Z205" s="33">
        <f t="shared" si="16"/>
        <v>1416.69</v>
      </c>
      <c r="AA205" s="34">
        <f t="shared" si="17"/>
        <v>0</v>
      </c>
      <c r="AB205" s="28" t="s">
        <v>1814</v>
      </c>
      <c r="AC205" s="28" t="s">
        <v>1822</v>
      </c>
      <c r="AD205" s="29" t="str" cm="1">
        <f t="array" ref="AD205">_xlfn.IFS(L205&lt;=Constantes!$G$2,"Muito Curta (evitável)",L205&lt;=Constantes!$H$2,"Curta Distância",L205&gt;Constantes!$H$2,"Longa Distância")</f>
        <v>Longa Distância</v>
      </c>
      <c r="AE205" s="30" t="str">
        <f t="shared" si="18"/>
        <v>NÃO</v>
      </c>
      <c r="AF205" s="30">
        <f>SUMIF(Entradas!$B:$B,'Entrada Lvl 5-4 qt'!$B205,Entradas!$AG:$AG)</f>
        <v>717.39676463438343</v>
      </c>
      <c r="AG205" s="30"/>
      <c r="BD205" s="49"/>
      <c r="BE205" s="49"/>
    </row>
    <row r="206" spans="1:57" x14ac:dyDescent="0.3">
      <c r="A206">
        <f>_xlfn.XLOOKUP(B206,Entradas!B:B,Entradas!A:A,,0,-1)</f>
        <v>2</v>
      </c>
      <c r="B206">
        <v>19194811</v>
      </c>
      <c r="C206" t="str">
        <f>_xlfn.XLOOKUP($B206,Entradas!$B:$B,Entradas!C:C,,0,1)</f>
        <v>000849/23</v>
      </c>
      <c r="D206" t="str">
        <f>_xlfn.XLOOKUP($B206,Entradas!$B:$B,Entradas!D:D,,0,1)</f>
        <v/>
      </c>
      <c r="E206" t="str">
        <f>_xlfn.XLOOKUP($B206,Entradas!$B:$B,Entradas!E:E,,0,1)</f>
        <v>LUIZ EDUARDO GOMES DA CRUZ</v>
      </c>
      <c r="F206" t="str">
        <f>_xlfn.XLOOKUP($B206,Entradas!$B:$B,Entradas!F:F,,0,1)</f>
        <v/>
      </c>
      <c r="G206" t="str">
        <f>_xlfn.XLOOKUP($B206,Entradas!$B:$B,Entradas!G:G,,0,1)</f>
        <v>-1</v>
      </c>
      <c r="H206" t="str">
        <f>_xlfn.XLOOKUP($B206,Entradas!$B:$B,Entradas!H:H,,0,1)</f>
        <v>Sem informação</v>
      </c>
      <c r="I206" s="49">
        <f>_xlfn.XLOOKUP($B206,Entradas!$B:$B,Entradas!I:I,,0,1)</f>
        <v>45222</v>
      </c>
      <c r="J206" s="49">
        <f>_xlfn.XLOOKUP($B206,Entradas!$B:$B,Entradas!J:J,,0,1)</f>
        <v>45226</v>
      </c>
      <c r="K206" t="str">
        <f>_xlfn.XLOOKUP($B206,Entradas!$B:$B,Entradas!K:K,,0,1)</f>
        <v>O referido discente participará do XXII Sipósio Brasileiro de Químic Teórica</v>
      </c>
      <c r="L206">
        <f>SUMIF(Entradas!$B:$B,'Entrada Lvl 5-4 qt'!$B206,Entradas!S:S)</f>
        <v>3923.0015720000001</v>
      </c>
      <c r="M206" t="str">
        <f>_xlfn.XLOOKUP($B206,Entradas!$B:$B,Entradas!T:T,,0,1)</f>
        <v>Aéreo</v>
      </c>
      <c r="N206" t="str">
        <f>_xlfn.XLOOKUP($B206,Entradas!$B:$B,Entradas!U:U,,0,1)</f>
        <v>Sim</v>
      </c>
      <c r="O206" t="str">
        <f>_xlfn.XLOOKUP($B206,Entradas!$B:$B,Entradas!V:V,,0,1)</f>
        <v>Realizada</v>
      </c>
      <c r="P206" t="str">
        <f>_xlfn.XLOOKUP($B206,Entradas!$B:$B,Entradas!W:W,,0,1)</f>
        <v>NÃO</v>
      </c>
      <c r="Q206" t="str">
        <f>_xlfn.XLOOKUP($B206,Entradas!$B:$B,Entradas!X:X,,0,1)</f>
        <v>Sem informação</v>
      </c>
      <c r="R206" s="36">
        <f>SUMIF(Entradas!$B:$B,'Entrada Lvl 5-4 qt'!$B206,Entradas!Y:Y)</f>
        <v>0</v>
      </c>
      <c r="S206" s="36">
        <f>SUMIF(Entradas!$B:$B,'Entrada Lvl 5-4 qt'!$B206,Entradas!Z:Z)</f>
        <v>0</v>
      </c>
      <c r="T206" s="36">
        <f>SUMIF(Entradas!$B:$B,'Entrada Lvl 5-4 qt'!$B206,Entradas!AA:AA)</f>
        <v>1455.0900000000001</v>
      </c>
      <c r="U206" s="36">
        <f>SUMIF(Entradas!$B:$B,'Entrada Lvl 5-4 qt'!$B206,Entradas!AB:AB)</f>
        <v>86.89</v>
      </c>
      <c r="V206" s="49">
        <f>_xlfn.XLOOKUP($B206,Entradas!$B:$B,Entradas!AC:AC,,0,1)</f>
        <v>45160</v>
      </c>
      <c r="W206" s="58">
        <f t="shared" si="19"/>
        <v>4</v>
      </c>
      <c r="X206" s="28" t="s">
        <v>10</v>
      </c>
      <c r="Y206" s="32">
        <f t="shared" si="15"/>
        <v>0</v>
      </c>
      <c r="Z206" s="33">
        <f t="shared" si="16"/>
        <v>1541.9800000000002</v>
      </c>
      <c r="AA206" s="34">
        <f t="shared" si="17"/>
        <v>0</v>
      </c>
      <c r="AB206" s="28" t="s">
        <v>1814</v>
      </c>
      <c r="AC206" s="28" t="s">
        <v>1822</v>
      </c>
      <c r="AD206" s="29" t="str" cm="1">
        <f t="array" ref="AD206">_xlfn.IFS(L206&lt;=Constantes!$G$2,"Muito Curta (evitável)",L206&lt;=Constantes!$H$2,"Curta Distância",L206&gt;Constantes!$H$2,"Longa Distância")</f>
        <v>Longa Distância</v>
      </c>
      <c r="AE206" s="30" t="str">
        <f t="shared" si="18"/>
        <v>NÃO</v>
      </c>
      <c r="AF206" s="30">
        <f>SUMIF(Entradas!$B:$B,'Entrada Lvl 5-4 qt'!$B206,Entradas!$AG:$AG)</f>
        <v>717.39676463438343</v>
      </c>
      <c r="AG206" s="30"/>
      <c r="BD206" s="49"/>
      <c r="BE206" s="49"/>
    </row>
    <row r="207" spans="1:57" x14ac:dyDescent="0.3">
      <c r="A207">
        <f>_xlfn.XLOOKUP(B207,Entradas!B:B,Entradas!A:A,,0,-1)</f>
        <v>2</v>
      </c>
      <c r="B207">
        <v>19246644</v>
      </c>
      <c r="C207" t="str">
        <f>_xlfn.XLOOKUP($B207,Entradas!$B:$B,Entradas!C:C,,0,1)</f>
        <v>001000/23</v>
      </c>
      <c r="D207" t="str">
        <f>_xlfn.XLOOKUP($B207,Entradas!$B:$B,Entradas!D:D,,0,1)</f>
        <v>***.453.194-**</v>
      </c>
      <c r="E207" t="str">
        <f>_xlfn.XLOOKUP($B207,Entradas!$B:$B,Entradas!E:E,,0,1)</f>
        <v>THAIS AUGUSTA CUNHA DE OLIVEIRA MAXIMO</v>
      </c>
      <c r="F207" t="str">
        <f>_xlfn.XLOOKUP($B207,Entradas!$B:$B,Entradas!F:F,,0,1)</f>
        <v>PROFESSOR DO MAGISTERIO SUPERIOR</v>
      </c>
      <c r="G207" t="str">
        <f>_xlfn.XLOOKUP($B207,Entradas!$B:$B,Entradas!G:G,,0,1)</f>
        <v>-1</v>
      </c>
      <c r="H207" t="str">
        <f>_xlfn.XLOOKUP($B207,Entradas!$B:$B,Entradas!H:H,,0,1)</f>
        <v>Sem informação</v>
      </c>
      <c r="I207" s="49">
        <f>_xlfn.XLOOKUP($B207,Entradas!$B:$B,Entradas!I:I,,0,1)</f>
        <v>45222</v>
      </c>
      <c r="J207" s="49">
        <f>_xlfn.XLOOKUP($B207,Entradas!$B:$B,Entradas!J:J,,0,1)</f>
        <v>45226</v>
      </c>
      <c r="K207" t="str">
        <f>_xlfn.XLOOKUP($B207,Entradas!$B:$B,Entradas!K:K,,0,1)</f>
        <v>- Participação em reunião do grupo de trabalho da ANPEPP (24/10) - Apresentação de trabalhos (mesa redonda e apresentação oral) no VII Congresso Brasileiro de Psicodinâmica e Clínica do Trabalho (Evento 25 a 27/10)</v>
      </c>
      <c r="L207">
        <f>SUMIF(Entradas!$B:$B,'Entrada Lvl 5-4 qt'!$B207,Entradas!S:S)</f>
        <v>3923.0015720000001</v>
      </c>
      <c r="M207" t="str">
        <f>_xlfn.XLOOKUP($B207,Entradas!$B:$B,Entradas!T:T,,0,1)</f>
        <v>Aéreo</v>
      </c>
      <c r="N207" t="str">
        <f>_xlfn.XLOOKUP($B207,Entradas!$B:$B,Entradas!U:U,,0,1)</f>
        <v>Não</v>
      </c>
      <c r="O207" t="str">
        <f>_xlfn.XLOOKUP($B207,Entradas!$B:$B,Entradas!V:V,,0,1)</f>
        <v>Realizada</v>
      </c>
      <c r="P207" t="str">
        <f>_xlfn.XLOOKUP($B207,Entradas!$B:$B,Entradas!W:W,,0,1)</f>
        <v>NÃO</v>
      </c>
      <c r="Q207" t="str">
        <f>_xlfn.XLOOKUP($B207,Entradas!$B:$B,Entradas!X:X,,0,1)</f>
        <v>Sem informação</v>
      </c>
      <c r="R207" s="36">
        <f>SUMIF(Entradas!$B:$B,'Entrada Lvl 5-4 qt'!$B207,Entradas!Y:Y)</f>
        <v>1299.5</v>
      </c>
      <c r="S207" s="36">
        <f>SUMIF(Entradas!$B:$B,'Entrada Lvl 5-4 qt'!$B207,Entradas!Z:Z)</f>
        <v>0</v>
      </c>
      <c r="T207" s="36">
        <f>SUMIF(Entradas!$B:$B,'Entrada Lvl 5-4 qt'!$B207,Entradas!AA:AA)</f>
        <v>2512.19</v>
      </c>
      <c r="U207" s="36">
        <f>SUMIF(Entradas!$B:$B,'Entrada Lvl 5-4 qt'!$B207,Entradas!AB:AB)</f>
        <v>0</v>
      </c>
      <c r="V207" s="49">
        <f>_xlfn.XLOOKUP($B207,Entradas!$B:$B,Entradas!AC:AC,,0,1)</f>
        <v>45175</v>
      </c>
      <c r="W207" s="58">
        <f t="shared" si="19"/>
        <v>4</v>
      </c>
      <c r="X207" s="28" t="s">
        <v>10</v>
      </c>
      <c r="Y207" s="32">
        <f t="shared" si="15"/>
        <v>0</v>
      </c>
      <c r="Z207" s="33">
        <f t="shared" si="16"/>
        <v>2512.19</v>
      </c>
      <c r="AA207" s="34">
        <f t="shared" si="17"/>
        <v>1299.5</v>
      </c>
      <c r="AB207" s="28" t="s">
        <v>1814</v>
      </c>
      <c r="AC207" s="28" t="s">
        <v>1820</v>
      </c>
      <c r="AD207" s="29" t="str" cm="1">
        <f t="array" ref="AD207">_xlfn.IFS(L207&lt;=Constantes!$G$2,"Muito Curta (evitável)",L207&lt;=Constantes!$H$2,"Curta Distância",L207&gt;Constantes!$H$2,"Longa Distância")</f>
        <v>Longa Distância</v>
      </c>
      <c r="AE207" s="30" t="str">
        <f t="shared" si="18"/>
        <v>NÃO</v>
      </c>
      <c r="AF207" s="30">
        <f>SUMIF(Entradas!$B:$B,'Entrada Lvl 5-4 qt'!$B207,Entradas!$AG:$AG)</f>
        <v>717.39676463438343</v>
      </c>
      <c r="AG207" s="30"/>
      <c r="BD207" s="49"/>
      <c r="BE207" s="49"/>
    </row>
    <row r="208" spans="1:57" x14ac:dyDescent="0.3">
      <c r="A208">
        <f>_xlfn.XLOOKUP(B208,Entradas!B:B,Entradas!A:A,,0,-1)</f>
        <v>2</v>
      </c>
      <c r="B208">
        <v>19256805</v>
      </c>
      <c r="C208" t="str">
        <f>_xlfn.XLOOKUP($B208,Entradas!$B:$B,Entradas!C:C,,0,1)</f>
        <v>001144/23</v>
      </c>
      <c r="D208" t="str">
        <f>_xlfn.XLOOKUP($B208,Entradas!$B:$B,Entradas!D:D,,0,1)</f>
        <v>***.953.714-**</v>
      </c>
      <c r="E208" t="str">
        <f>_xlfn.XLOOKUP($B208,Entradas!$B:$B,Entradas!E:E,,0,1)</f>
        <v>GERMANA COSTA ROCHA</v>
      </c>
      <c r="F208" t="str">
        <f>_xlfn.XLOOKUP($B208,Entradas!$B:$B,Entradas!F:F,,0,1)</f>
        <v>PROFESSOR DO MAGISTERIO SUPERIOR</v>
      </c>
      <c r="G208" t="str">
        <f>_xlfn.XLOOKUP($B208,Entradas!$B:$B,Entradas!G:G,,0,1)</f>
        <v>FUC-0001</v>
      </c>
      <c r="H208" t="str">
        <f>_xlfn.XLOOKUP($B208,Entradas!$B:$B,Entradas!H:H,,0,1)</f>
        <v>FUC-0001</v>
      </c>
      <c r="I208" s="49">
        <f>_xlfn.XLOOKUP($B208,Entradas!$B:$B,Entradas!I:I,,0,1)</f>
        <v>45222</v>
      </c>
      <c r="J208" s="49">
        <f>_xlfn.XLOOKUP($B208,Entradas!$B:$B,Entradas!J:J,,0,1)</f>
        <v>45228</v>
      </c>
      <c r="K208" t="str">
        <f>_xlfn.XLOOKUP($B208,Entradas!$B:$B,Entradas!K:K,,0,1)</f>
        <v>Participação como coordenadora do Curso de Pós-graduação em Arquitetura e Urbanismo do Centro de Tecnologia (PPGAU/UFPB) no Seminário de Meio de Termo, evento importante para avaliação do programa. Além disso, atendendo à convites (em anexo), realizar visitas técnicas importantes às pesquisas em desenvolvimento, e à consolidação de parcerias em outras instituições, ampliando as atividades já realizadas e possibilitando a formação de novas cooperações técnicas e científicas.</v>
      </c>
      <c r="L208">
        <f>SUMIF(Entradas!$B:$B,'Entrada Lvl 5-4 qt'!$B208,Entradas!S:S)</f>
        <v>3426.839982</v>
      </c>
      <c r="M208" t="str">
        <f>_xlfn.XLOOKUP($B208,Entradas!$B:$B,Entradas!T:T,,0,1)</f>
        <v>Aéreo</v>
      </c>
      <c r="N208" t="str">
        <f>_xlfn.XLOOKUP($B208,Entradas!$B:$B,Entradas!U:U,,0,1)</f>
        <v>Não</v>
      </c>
      <c r="O208" t="str">
        <f>_xlfn.XLOOKUP($B208,Entradas!$B:$B,Entradas!V:V,,0,1)</f>
        <v>Realizada</v>
      </c>
      <c r="P208" t="str">
        <f>_xlfn.XLOOKUP($B208,Entradas!$B:$B,Entradas!W:W,,0,1)</f>
        <v>NÃO</v>
      </c>
      <c r="Q208" t="str">
        <f>_xlfn.XLOOKUP($B208,Entradas!$B:$B,Entradas!X:X,,0,1)</f>
        <v>Sem informação</v>
      </c>
      <c r="R208" s="36">
        <f>SUMIF(Entradas!$B:$B,'Entrada Lvl 5-4 qt'!$B208,Entradas!Y:Y)</f>
        <v>2422.86</v>
      </c>
      <c r="S208" s="36">
        <f>SUMIF(Entradas!$B:$B,'Entrada Lvl 5-4 qt'!$B208,Entradas!Z:Z)</f>
        <v>0</v>
      </c>
      <c r="T208" s="36">
        <f>SUMIF(Entradas!$B:$B,'Entrada Lvl 5-4 qt'!$B208,Entradas!AA:AA)</f>
        <v>2100.1999999999998</v>
      </c>
      <c r="U208" s="36">
        <f>SUMIF(Entradas!$B:$B,'Entrada Lvl 5-4 qt'!$B208,Entradas!AB:AB)</f>
        <v>0</v>
      </c>
      <c r="V208" s="49">
        <f>_xlfn.XLOOKUP($B208,Entradas!$B:$B,Entradas!AC:AC,,0,1)</f>
        <v>45191</v>
      </c>
      <c r="W208" s="58">
        <f t="shared" si="19"/>
        <v>6</v>
      </c>
      <c r="X208" s="28" t="s">
        <v>10</v>
      </c>
      <c r="Y208" s="32">
        <f t="shared" si="15"/>
        <v>0</v>
      </c>
      <c r="Z208" s="33">
        <f t="shared" si="16"/>
        <v>2100.1999999999998</v>
      </c>
      <c r="AA208" s="34">
        <f t="shared" si="17"/>
        <v>2422.86</v>
      </c>
      <c r="AB208" s="28" t="s">
        <v>1813</v>
      </c>
      <c r="AC208" s="28" t="s">
        <v>1784</v>
      </c>
      <c r="AD208" s="29" t="str" cm="1">
        <f t="array" ref="AD208">_xlfn.IFS(L208&lt;=Constantes!$G$2,"Muito Curta (evitável)",L208&lt;=Constantes!$H$2,"Curta Distância",L208&gt;Constantes!$H$2,"Longa Distância")</f>
        <v>Curta Distância</v>
      </c>
      <c r="AE208" s="30" t="str">
        <f t="shared" si="18"/>
        <v>NÃO</v>
      </c>
      <c r="AF208" s="30">
        <f>SUMIF(Entradas!$B:$B,'Entrada Lvl 5-4 qt'!$B208,Entradas!$AG:$AG)</f>
        <v>626.66401501165365</v>
      </c>
      <c r="AG208" s="30"/>
      <c r="BD208" s="49"/>
      <c r="BE208" s="49"/>
    </row>
    <row r="209" spans="1:57" x14ac:dyDescent="0.3">
      <c r="A209">
        <f>_xlfn.XLOOKUP(B209,Entradas!B:B,Entradas!A:A,,0,-1)</f>
        <v>2</v>
      </c>
      <c r="B209">
        <v>19167013</v>
      </c>
      <c r="C209" t="str">
        <f>_xlfn.XLOOKUP($B209,Entradas!$B:$B,Entradas!C:C,,0,1)</f>
        <v>000945/23</v>
      </c>
      <c r="D209" t="str">
        <f>_xlfn.XLOOKUP($B209,Entradas!$B:$B,Entradas!D:D,,0,1)</f>
        <v>***.836.117-**</v>
      </c>
      <c r="E209" t="str">
        <f>_xlfn.XLOOKUP($B209,Entradas!$B:$B,Entradas!E:E,,0,1)</f>
        <v>PAULO CESAR ZAMBRONI DE SOUZA</v>
      </c>
      <c r="F209" t="str">
        <f>_xlfn.XLOOKUP($B209,Entradas!$B:$B,Entradas!F:F,,0,1)</f>
        <v>PROFESSOR DO MAGISTERIO SUPERIOR</v>
      </c>
      <c r="G209" t="str">
        <f>_xlfn.XLOOKUP($B209,Entradas!$B:$B,Entradas!G:G,,0,1)</f>
        <v>-1</v>
      </c>
      <c r="H209" t="str">
        <f>_xlfn.XLOOKUP($B209,Entradas!$B:$B,Entradas!H:H,,0,1)</f>
        <v>Sem informação</v>
      </c>
      <c r="I209" s="49">
        <f>_xlfn.XLOOKUP($B209,Entradas!$B:$B,Entradas!I:I,,0,1)</f>
        <v>45223</v>
      </c>
      <c r="J209" s="49">
        <f>_xlfn.XLOOKUP($B209,Entradas!$B:$B,Entradas!J:J,,0,1)</f>
        <v>45227</v>
      </c>
      <c r="K209" t="str">
        <f>_xlfn.XLOOKUP($B209,Entradas!$B:$B,Entradas!K:K,,0,1)</f>
        <v>Participar e apresentar trabalhos no VII Congresso Brasileiro de Psicodinâmica do Trabalho e I Congresso Brasileiro de Trabalho, Subjetividade e Práticas Clínicas.</v>
      </c>
      <c r="L209">
        <f>SUMIF(Entradas!$B:$B,'Entrada Lvl 5-4 qt'!$B209,Entradas!S:S)</f>
        <v>3923.0015720000001</v>
      </c>
      <c r="M209" t="str">
        <f>_xlfn.XLOOKUP($B209,Entradas!$B:$B,Entradas!T:T,,0,1)</f>
        <v>Aéreo</v>
      </c>
      <c r="N209" t="str">
        <f>_xlfn.XLOOKUP($B209,Entradas!$B:$B,Entradas!U:U,,0,1)</f>
        <v>Não</v>
      </c>
      <c r="O209" t="str">
        <f>_xlfn.XLOOKUP($B209,Entradas!$B:$B,Entradas!V:V,,0,1)</f>
        <v>Realizada</v>
      </c>
      <c r="P209" t="str">
        <f>_xlfn.XLOOKUP($B209,Entradas!$B:$B,Entradas!W:W,,0,1)</f>
        <v>NÃO</v>
      </c>
      <c r="Q209" t="str">
        <f>_xlfn.XLOOKUP($B209,Entradas!$B:$B,Entradas!X:X,,0,1)</f>
        <v>Sem informação</v>
      </c>
      <c r="R209" s="36">
        <f>SUMIF(Entradas!$B:$B,'Entrada Lvl 5-4 qt'!$B209,Entradas!Y:Y)</f>
        <v>1690.49</v>
      </c>
      <c r="S209" s="36">
        <f>SUMIF(Entradas!$B:$B,'Entrada Lvl 5-4 qt'!$B209,Entradas!Z:Z)</f>
        <v>0</v>
      </c>
      <c r="T209" s="36">
        <f>SUMIF(Entradas!$B:$B,'Entrada Lvl 5-4 qt'!$B209,Entradas!AA:AA)</f>
        <v>1932.8899999999999</v>
      </c>
      <c r="U209" s="36">
        <f>SUMIF(Entradas!$B:$B,'Entrada Lvl 5-4 qt'!$B209,Entradas!AB:AB)</f>
        <v>0</v>
      </c>
      <c r="V209" s="49">
        <f>_xlfn.XLOOKUP($B209,Entradas!$B:$B,Entradas!AC:AC,,0,1)</f>
        <v>45184</v>
      </c>
      <c r="W209" s="58">
        <f t="shared" si="19"/>
        <v>4</v>
      </c>
      <c r="X209" s="28" t="s">
        <v>10</v>
      </c>
      <c r="Y209" s="32">
        <f t="shared" si="15"/>
        <v>0</v>
      </c>
      <c r="Z209" s="33">
        <f t="shared" si="16"/>
        <v>1932.8899999999999</v>
      </c>
      <c r="AA209" s="34">
        <f t="shared" si="17"/>
        <v>1690.49</v>
      </c>
      <c r="AB209" s="28" t="s">
        <v>1814</v>
      </c>
      <c r="AC209" s="28" t="s">
        <v>1820</v>
      </c>
      <c r="AD209" s="29" t="str" cm="1">
        <f t="array" ref="AD209">_xlfn.IFS(L209&lt;=Constantes!$G$2,"Muito Curta (evitável)",L209&lt;=Constantes!$H$2,"Curta Distância",L209&gt;Constantes!$H$2,"Longa Distância")</f>
        <v>Longa Distância</v>
      </c>
      <c r="AE209" s="30" t="str">
        <f t="shared" si="18"/>
        <v>NÃO</v>
      </c>
      <c r="AF209" s="30">
        <f>SUMIF(Entradas!$B:$B,'Entrada Lvl 5-4 qt'!$B209,Entradas!$AG:$AG)</f>
        <v>717.39676463438343</v>
      </c>
      <c r="AG209" s="30"/>
      <c r="BD209" s="49"/>
      <c r="BE209" s="49"/>
    </row>
    <row r="210" spans="1:57" x14ac:dyDescent="0.3">
      <c r="A210">
        <f>_xlfn.XLOOKUP(B210,Entradas!B:B,Entradas!A:A,,0,-1)</f>
        <v>2</v>
      </c>
      <c r="B210">
        <v>19243698</v>
      </c>
      <c r="C210" t="str">
        <f>_xlfn.XLOOKUP($B210,Entradas!$B:$B,Entradas!C:C,,0,1)</f>
        <v>000969/23</v>
      </c>
      <c r="D210" t="str">
        <f>_xlfn.XLOOKUP($B210,Entradas!$B:$B,Entradas!D:D,,0,1)</f>
        <v>***.428.444-**</v>
      </c>
      <c r="E210" t="str">
        <f>_xlfn.XLOOKUP($B210,Entradas!$B:$B,Entradas!E:E,,0,1)</f>
        <v>FABIOLA DE SOUSA BRAZ AQUINO</v>
      </c>
      <c r="F210" t="str">
        <f>_xlfn.XLOOKUP($B210,Entradas!$B:$B,Entradas!F:F,,0,1)</f>
        <v>PROFESSOR DO MAGISTERIO SUPERIOR</v>
      </c>
      <c r="G210" t="str">
        <f>_xlfn.XLOOKUP($B210,Entradas!$B:$B,Entradas!G:G,,0,1)</f>
        <v>-1</v>
      </c>
      <c r="H210" t="str">
        <f>_xlfn.XLOOKUP($B210,Entradas!$B:$B,Entradas!H:H,,0,1)</f>
        <v>Sem informação</v>
      </c>
      <c r="I210" s="49">
        <f>_xlfn.XLOOKUP($B210,Entradas!$B:$B,Entradas!I:I,,0,1)</f>
        <v>45223</v>
      </c>
      <c r="J210" s="49">
        <f>_xlfn.XLOOKUP($B210,Entradas!$B:$B,Entradas!J:J,,0,1)</f>
        <v>45227</v>
      </c>
      <c r="K210" t="str">
        <f>_xlfn.XLOOKUP($B210,Entradas!$B:$B,Entradas!K:K,,0,1)</f>
        <v>Participação e exposição de trabalho (Sessão coordenada e painéis) na 53ª. Reunião Anual da Sociedade Brasileira de Psicologia (25-27/10/2023)</v>
      </c>
      <c r="L210">
        <f>SUMIF(Entradas!$B:$B,'Entrada Lvl 5-4 qt'!$B210,Entradas!S:S)</f>
        <v>3426.839982</v>
      </c>
      <c r="M210" t="str">
        <f>_xlfn.XLOOKUP($B210,Entradas!$B:$B,Entradas!T:T,,0,1)</f>
        <v>Aéreo</v>
      </c>
      <c r="N210" t="str">
        <f>_xlfn.XLOOKUP($B210,Entradas!$B:$B,Entradas!U:U,,0,1)</f>
        <v>Não</v>
      </c>
      <c r="O210" t="str">
        <f>_xlfn.XLOOKUP($B210,Entradas!$B:$B,Entradas!V:V,,0,1)</f>
        <v>Realizada</v>
      </c>
      <c r="P210" t="str">
        <f>_xlfn.XLOOKUP($B210,Entradas!$B:$B,Entradas!W:W,,0,1)</f>
        <v>NÃO</v>
      </c>
      <c r="Q210" t="str">
        <f>_xlfn.XLOOKUP($B210,Entradas!$B:$B,Entradas!X:X,,0,1)</f>
        <v>Sem informação</v>
      </c>
      <c r="R210" s="36">
        <f>SUMIF(Entradas!$B:$B,'Entrada Lvl 5-4 qt'!$B210,Entradas!Y:Y)</f>
        <v>1690.49</v>
      </c>
      <c r="S210" s="36">
        <f>SUMIF(Entradas!$B:$B,'Entrada Lvl 5-4 qt'!$B210,Entradas!Z:Z)</f>
        <v>0</v>
      </c>
      <c r="T210" s="36">
        <f>SUMIF(Entradas!$B:$B,'Entrada Lvl 5-4 qt'!$B210,Entradas!AA:AA)</f>
        <v>2526.5</v>
      </c>
      <c r="U210" s="36">
        <f>SUMIF(Entradas!$B:$B,'Entrada Lvl 5-4 qt'!$B210,Entradas!AB:AB)</f>
        <v>0</v>
      </c>
      <c r="V210" s="49">
        <f>_xlfn.XLOOKUP($B210,Entradas!$B:$B,Entradas!AC:AC,,0,1)</f>
        <v>45173</v>
      </c>
      <c r="W210" s="58">
        <f t="shared" si="19"/>
        <v>4</v>
      </c>
      <c r="X210" s="28" t="s">
        <v>10</v>
      </c>
      <c r="Y210" s="32">
        <f t="shared" si="15"/>
        <v>0</v>
      </c>
      <c r="Z210" s="33">
        <f t="shared" si="16"/>
        <v>2526.5</v>
      </c>
      <c r="AA210" s="34">
        <f t="shared" si="17"/>
        <v>1690.49</v>
      </c>
      <c r="AB210" s="28" t="s">
        <v>1814</v>
      </c>
      <c r="AC210" s="28" t="s">
        <v>1820</v>
      </c>
      <c r="AD210" s="29" t="str" cm="1">
        <f t="array" ref="AD210">_xlfn.IFS(L210&lt;=Constantes!$G$2,"Muito Curta (evitável)",L210&lt;=Constantes!$H$2,"Curta Distância",L210&gt;Constantes!$H$2,"Longa Distância")</f>
        <v>Curta Distância</v>
      </c>
      <c r="AE210" s="30" t="str">
        <f t="shared" si="18"/>
        <v>NÃO</v>
      </c>
      <c r="AF210" s="30">
        <f>SUMIF(Entradas!$B:$B,'Entrada Lvl 5-4 qt'!$B210,Entradas!$AG:$AG)</f>
        <v>626.66401501165365</v>
      </c>
      <c r="AG210" s="30"/>
      <c r="BD210" s="49"/>
      <c r="BE210" s="49"/>
    </row>
    <row r="211" spans="1:57" x14ac:dyDescent="0.3">
      <c r="A211">
        <f>_xlfn.XLOOKUP(B211,Entradas!B:B,Entradas!A:A,,0,-1)</f>
        <v>2</v>
      </c>
      <c r="B211">
        <v>19285853</v>
      </c>
      <c r="C211" t="str">
        <f>_xlfn.XLOOKUP($B211,Entradas!$B:$B,Entradas!C:C,,0,1)</f>
        <v>001076/23</v>
      </c>
      <c r="D211" t="str">
        <f>_xlfn.XLOOKUP($B211,Entradas!$B:$B,Entradas!D:D,,0,1)</f>
        <v>***.061.844-**</v>
      </c>
      <c r="E211" t="str">
        <f>_xlfn.XLOOKUP($B211,Entradas!$B:$B,Entradas!E:E,,0,1)</f>
        <v>HENRY IURE DE PAIVA SILVA</v>
      </c>
      <c r="F211" t="str">
        <f>_xlfn.XLOOKUP($B211,Entradas!$B:$B,Entradas!F:F,,0,1)</f>
        <v>PROFESSOR DO MAGISTERIO SUPERIOR</v>
      </c>
      <c r="G211" t="str">
        <f>_xlfn.XLOOKUP($B211,Entradas!$B:$B,Entradas!G:G,,0,1)</f>
        <v>-1</v>
      </c>
      <c r="H211" t="str">
        <f>_xlfn.XLOOKUP($B211,Entradas!$B:$B,Entradas!H:H,,0,1)</f>
        <v>Sem informação</v>
      </c>
      <c r="I211" s="49">
        <f>_xlfn.XLOOKUP($B211,Entradas!$B:$B,Entradas!I:I,,0,1)</f>
        <v>45223</v>
      </c>
      <c r="J211" s="49">
        <f>_xlfn.XLOOKUP($B211,Entradas!$B:$B,Entradas!J:J,,0,1)</f>
        <v>45227</v>
      </c>
      <c r="K211" t="str">
        <f>_xlfn.XLOOKUP($B211,Entradas!$B:$B,Entradas!K:K,,0,1)</f>
        <v>Participação no 47º Encontro Anual da Associação Nacional de Pós-Graduação e Pesquisa em Ciências Sociais (ANPOCS), entre os dias 25 e 27 de outubro de 2023, a ser realizado na Universidade Estadual de Campinas (UNICAMP), no Campus I, localizado na cidade de Campinas-SP. Além de participar da programação geral do evento, apresentarei trabalho em que figuro como coautor intitulado 'Data Diplomacy e Redes de Cooperação Científica e Tecnológica' aprovado no 'GT47. Política Internacional e Redes de Cooperação Científica e Tecnológica' (vide carta de aceite em anexo), compartilhando resultados parciais de projeto da UFPB e UFPE em parceria com o United Nations Institute for Training and Research - UNITAR-NY, no qual atuo a partir da coordenação do Grupo de Estudos em Segurança Energética - Gesene (vide datadiplomacyproject.com).</v>
      </c>
      <c r="L211">
        <f>SUMIF(Entradas!$B:$B,'Entrada Lvl 5-4 qt'!$B211,Entradas!S:S)</f>
        <v>4387.7299999999996</v>
      </c>
      <c r="M211" t="str">
        <f>_xlfn.XLOOKUP($B211,Entradas!$B:$B,Entradas!T:T,,0,1)</f>
        <v>Aéreo</v>
      </c>
      <c r="N211" t="str">
        <f>_xlfn.XLOOKUP($B211,Entradas!$B:$B,Entradas!U:U,,0,1)</f>
        <v>Não</v>
      </c>
      <c r="O211" t="str">
        <f>_xlfn.XLOOKUP($B211,Entradas!$B:$B,Entradas!V:V,,0,1)</f>
        <v>Realizada</v>
      </c>
      <c r="P211" t="str">
        <f>_xlfn.XLOOKUP($B211,Entradas!$B:$B,Entradas!W:W,,0,1)</f>
        <v>NÃO</v>
      </c>
      <c r="Q211" t="str">
        <f>_xlfn.XLOOKUP($B211,Entradas!$B:$B,Entradas!X:X,,0,1)</f>
        <v>Sem informação</v>
      </c>
      <c r="R211" s="36">
        <f>SUMIF(Entradas!$B:$B,'Entrada Lvl 5-4 qt'!$B211,Entradas!Y:Y)</f>
        <v>1329.41</v>
      </c>
      <c r="S211" s="36">
        <f>SUMIF(Entradas!$B:$B,'Entrada Lvl 5-4 qt'!$B211,Entradas!Z:Z)</f>
        <v>0</v>
      </c>
      <c r="T211" s="36">
        <f>SUMIF(Entradas!$B:$B,'Entrada Lvl 5-4 qt'!$B211,Entradas!AA:AA)</f>
        <v>2046.04</v>
      </c>
      <c r="U211" s="36">
        <f>SUMIF(Entradas!$B:$B,'Entrada Lvl 5-4 qt'!$B211,Entradas!AB:AB)</f>
        <v>0</v>
      </c>
      <c r="V211" s="49">
        <f>_xlfn.XLOOKUP($B211,Entradas!$B:$B,Entradas!AC:AC,,0,1)</f>
        <v>45183</v>
      </c>
      <c r="W211" s="58">
        <f t="shared" si="19"/>
        <v>4</v>
      </c>
      <c r="X211" s="28" t="s">
        <v>10</v>
      </c>
      <c r="Y211" s="32">
        <f t="shared" si="15"/>
        <v>0</v>
      </c>
      <c r="Z211" s="33">
        <f t="shared" si="16"/>
        <v>2046.04</v>
      </c>
      <c r="AA211" s="34">
        <f t="shared" si="17"/>
        <v>1329.41</v>
      </c>
      <c r="AB211" s="28" t="s">
        <v>1814</v>
      </c>
      <c r="AC211" s="28" t="s">
        <v>1820</v>
      </c>
      <c r="AD211" s="29" t="str" cm="1">
        <f t="array" ref="AD211">_xlfn.IFS(L211&lt;=Constantes!$G$2,"Muito Curta (evitável)",L211&lt;=Constantes!$H$2,"Curta Distância",L211&gt;Constantes!$H$2,"Longa Distância")</f>
        <v>Longa Distância</v>
      </c>
      <c r="AE211" s="30" t="str">
        <f t="shared" si="18"/>
        <v>NÃO</v>
      </c>
      <c r="AF211" s="30">
        <f>SUMIF(Entradas!$B:$B,'Entrada Lvl 5-4 qt'!$B211,Entradas!$AG:$AG)</f>
        <v>802.381352216604</v>
      </c>
      <c r="AG211" s="30"/>
      <c r="BD211" s="49"/>
      <c r="BE211" s="49"/>
    </row>
    <row r="212" spans="1:57" x14ac:dyDescent="0.3">
      <c r="A212">
        <f>_xlfn.XLOOKUP(B212,Entradas!B:B,Entradas!A:A,,0,-1)</f>
        <v>2</v>
      </c>
      <c r="B212">
        <v>19354127</v>
      </c>
      <c r="C212" t="str">
        <f>_xlfn.XLOOKUP($B212,Entradas!$B:$B,Entradas!C:C,,0,1)</f>
        <v>001287/23</v>
      </c>
      <c r="D212" t="str">
        <f>_xlfn.XLOOKUP($B212,Entradas!$B:$B,Entradas!D:D,,0,1)</f>
        <v>***.506.604-**</v>
      </c>
      <c r="E212" t="str">
        <f>_xlfn.XLOOKUP($B212,Entradas!$B:$B,Entradas!E:E,,0,1)</f>
        <v>GEORGE EMMANUEL CAVALCANTI DE MIRANDA</v>
      </c>
      <c r="F212" t="str">
        <f>_xlfn.XLOOKUP($B212,Entradas!$B:$B,Entradas!F:F,,0,1)</f>
        <v>PROFESSOR DO MAGISTERIO SUPERIOR</v>
      </c>
      <c r="G212" t="str">
        <f>_xlfn.XLOOKUP($B212,Entradas!$B:$B,Entradas!G:G,,0,1)</f>
        <v>FUC-0001</v>
      </c>
      <c r="H212" t="str">
        <f>_xlfn.XLOOKUP($B212,Entradas!$B:$B,Entradas!H:H,,0,1)</f>
        <v>FUC-0001</v>
      </c>
      <c r="I212" s="49">
        <f>_xlfn.XLOOKUP($B212,Entradas!$B:$B,Entradas!I:I,,0,1)</f>
        <v>45223</v>
      </c>
      <c r="J212" s="49">
        <f>_xlfn.XLOOKUP($B212,Entradas!$B:$B,Entradas!J:J,,0,1)</f>
        <v>45226</v>
      </c>
      <c r="K212" t="str">
        <f>_xlfn.XLOOKUP($B212,Entradas!$B:$B,Entradas!K:K,,0,1)</f>
        <v>Participação no Seminário de Meio Termo da Área de Ciências Ambientais, que acontecerá nos dias 25 e 26 de outubro de 2023, das 09h00 às 18h00, em Brasília/DF, na Capes (Setor Bancário Norte, Quadra 2, Bloco L, Lote 06, Edifício CAPES)</v>
      </c>
      <c r="L212">
        <f>SUMIF(Entradas!$B:$B,'Entrada Lvl 5-4 qt'!$B212,Entradas!S:S)</f>
        <v>3426.839982</v>
      </c>
      <c r="M212" t="str">
        <f>_xlfn.XLOOKUP($B212,Entradas!$B:$B,Entradas!T:T,,0,1)</f>
        <v>Aéreo</v>
      </c>
      <c r="N212" t="str">
        <f>_xlfn.XLOOKUP($B212,Entradas!$B:$B,Entradas!U:U,,0,1)</f>
        <v>Sim</v>
      </c>
      <c r="O212" t="str">
        <f>_xlfn.XLOOKUP($B212,Entradas!$B:$B,Entradas!V:V,,0,1)</f>
        <v>Realizada</v>
      </c>
      <c r="P212" t="str">
        <f>_xlfn.XLOOKUP($B212,Entradas!$B:$B,Entradas!W:W,,0,1)</f>
        <v>NÃO</v>
      </c>
      <c r="Q212" t="str">
        <f>_xlfn.XLOOKUP($B212,Entradas!$B:$B,Entradas!X:X,,0,1)</f>
        <v>Sem informação</v>
      </c>
      <c r="R212" s="36">
        <f>SUMIF(Entradas!$B:$B,'Entrada Lvl 5-4 qt'!$B212,Entradas!Y:Y)</f>
        <v>1309.3499999999999</v>
      </c>
      <c r="S212" s="36">
        <f>SUMIF(Entradas!$B:$B,'Entrada Lvl 5-4 qt'!$B212,Entradas!Z:Z)</f>
        <v>0</v>
      </c>
      <c r="T212" s="36">
        <f>SUMIF(Entradas!$B:$B,'Entrada Lvl 5-4 qt'!$B212,Entradas!AA:AA)</f>
        <v>2483.1000000000004</v>
      </c>
      <c r="U212" s="36">
        <f>SUMIF(Entradas!$B:$B,'Entrada Lvl 5-4 qt'!$B212,Entradas!AB:AB)</f>
        <v>0</v>
      </c>
      <c r="V212" s="49">
        <f>_xlfn.XLOOKUP($B212,Entradas!$B:$B,Entradas!AC:AC,,0,1)</f>
        <v>45205</v>
      </c>
      <c r="W212" s="58">
        <f t="shared" si="19"/>
        <v>3</v>
      </c>
      <c r="X212" s="28" t="s">
        <v>10</v>
      </c>
      <c r="Y212" s="32">
        <f t="shared" si="15"/>
        <v>0</v>
      </c>
      <c r="Z212" s="33">
        <f t="shared" si="16"/>
        <v>2483.1000000000004</v>
      </c>
      <c r="AA212" s="34">
        <f t="shared" si="17"/>
        <v>1309.3499999999999</v>
      </c>
      <c r="AB212" s="28" t="s">
        <v>1813</v>
      </c>
      <c r="AC212" s="28" t="s">
        <v>1784</v>
      </c>
      <c r="AD212" s="29" t="str" cm="1">
        <f t="array" ref="AD212">_xlfn.IFS(L212&lt;=Constantes!$G$2,"Muito Curta (evitável)",L212&lt;=Constantes!$H$2,"Curta Distância",L212&gt;Constantes!$H$2,"Longa Distância")</f>
        <v>Curta Distância</v>
      </c>
      <c r="AE212" s="30" t="str">
        <f t="shared" si="18"/>
        <v>NÃO</v>
      </c>
      <c r="AF212" s="30">
        <f>SUMIF(Entradas!$B:$B,'Entrada Lvl 5-4 qt'!$B212,Entradas!$AG:$AG)</f>
        <v>626.66401501165365</v>
      </c>
      <c r="AG212" s="30"/>
      <c r="BD212" s="49"/>
      <c r="BE212" s="49"/>
    </row>
    <row r="213" spans="1:57" x14ac:dyDescent="0.3">
      <c r="A213">
        <f>_xlfn.XLOOKUP(B213,Entradas!B:B,Entradas!A:A,,0,-1)</f>
        <v>2</v>
      </c>
      <c r="B213">
        <v>19377573</v>
      </c>
      <c r="C213" t="str">
        <f>_xlfn.XLOOKUP($B213,Entradas!$B:$B,Entradas!C:C,,0,1)</f>
        <v>001374/23</v>
      </c>
      <c r="D213" t="str">
        <f>_xlfn.XLOOKUP($B213,Entradas!$B:$B,Entradas!D:D,,0,1)</f>
        <v/>
      </c>
      <c r="E213" t="str">
        <f>_xlfn.XLOOKUP($B213,Entradas!$B:$B,Entradas!E:E,,0,1)</f>
        <v>CAMILA GABRIEL LIMA CARNEIRO</v>
      </c>
      <c r="F213" t="str">
        <f>_xlfn.XLOOKUP($B213,Entradas!$B:$B,Entradas!F:F,,0,1)</f>
        <v/>
      </c>
      <c r="G213" t="str">
        <f>_xlfn.XLOOKUP($B213,Entradas!$B:$B,Entradas!G:G,,0,1)</f>
        <v>-1</v>
      </c>
      <c r="H213" t="str">
        <f>_xlfn.XLOOKUP($B213,Entradas!$B:$B,Entradas!H:H,,0,1)</f>
        <v>Sem informação</v>
      </c>
      <c r="I213" s="49">
        <f>_xlfn.XLOOKUP($B213,Entradas!$B:$B,Entradas!I:I,,0,1)</f>
        <v>45223</v>
      </c>
      <c r="J213" s="49">
        <f>_xlfn.XLOOKUP($B213,Entradas!$B:$B,Entradas!J:J,,0,1)</f>
        <v>45227</v>
      </c>
      <c r="K213" t="str">
        <f>_xlfn.XLOOKUP($B213,Entradas!$B:$B,Entradas!K:K,,0,1)</f>
        <v>PROPOSTO IRÁ APRESENTAR PROJETO DE PESQUISA BASEADO NOS ESTUDOS PARA EXTENSÃO DO CURSO DE PSICOLOGIA NA UFPB.</v>
      </c>
      <c r="L213">
        <f>SUMIF(Entradas!$B:$B,'Entrada Lvl 5-4 qt'!$B213,Entradas!S:S)</f>
        <v>3426.839982</v>
      </c>
      <c r="M213" t="str">
        <f>_xlfn.XLOOKUP($B213,Entradas!$B:$B,Entradas!T:T,,0,1)</f>
        <v>Aéreo</v>
      </c>
      <c r="N213" t="str">
        <f>_xlfn.XLOOKUP($B213,Entradas!$B:$B,Entradas!U:U,,0,1)</f>
        <v>Não</v>
      </c>
      <c r="O213" t="str">
        <f>_xlfn.XLOOKUP($B213,Entradas!$B:$B,Entradas!V:V,,0,1)</f>
        <v>Realizada</v>
      </c>
      <c r="P213" t="str">
        <f>_xlfn.XLOOKUP($B213,Entradas!$B:$B,Entradas!W:W,,0,1)</f>
        <v>NÃO</v>
      </c>
      <c r="Q213" t="str">
        <f>_xlfn.XLOOKUP($B213,Entradas!$B:$B,Entradas!X:X,,0,1)</f>
        <v>Sem informação</v>
      </c>
      <c r="R213" s="36">
        <f>SUMIF(Entradas!$B:$B,'Entrada Lvl 5-4 qt'!$B213,Entradas!Y:Y)</f>
        <v>0</v>
      </c>
      <c r="S213" s="36">
        <f>SUMIF(Entradas!$B:$B,'Entrada Lvl 5-4 qt'!$B213,Entradas!Z:Z)</f>
        <v>0</v>
      </c>
      <c r="T213" s="36">
        <f>SUMIF(Entradas!$B:$B,'Entrada Lvl 5-4 qt'!$B213,Entradas!AA:AA)</f>
        <v>2334</v>
      </c>
      <c r="U213" s="36">
        <f>SUMIF(Entradas!$B:$B,'Entrada Lvl 5-4 qt'!$B213,Entradas!AB:AB)</f>
        <v>0</v>
      </c>
      <c r="V213" s="49">
        <f>_xlfn.XLOOKUP($B213,Entradas!$B:$B,Entradas!AC:AC,,0,1)</f>
        <v>45205</v>
      </c>
      <c r="W213" s="58">
        <f t="shared" si="19"/>
        <v>4</v>
      </c>
      <c r="X213" s="28" t="s">
        <v>10</v>
      </c>
      <c r="Y213" s="32">
        <f t="shared" si="15"/>
        <v>0</v>
      </c>
      <c r="Z213" s="33">
        <f t="shared" si="16"/>
        <v>2334</v>
      </c>
      <c r="AA213" s="34">
        <f t="shared" si="17"/>
        <v>0</v>
      </c>
      <c r="AB213" s="28" t="s">
        <v>1814</v>
      </c>
      <c r="AC213" s="28" t="s">
        <v>1822</v>
      </c>
      <c r="AD213" s="29" t="str" cm="1">
        <f t="array" ref="AD213">_xlfn.IFS(L213&lt;=Constantes!$G$2,"Muito Curta (evitável)",L213&lt;=Constantes!$H$2,"Curta Distância",L213&gt;Constantes!$H$2,"Longa Distância")</f>
        <v>Curta Distância</v>
      </c>
      <c r="AE213" s="30" t="str">
        <f t="shared" si="18"/>
        <v>NÃO</v>
      </c>
      <c r="AF213" s="30">
        <f>SUMIF(Entradas!$B:$B,'Entrada Lvl 5-4 qt'!$B213,Entradas!$AG:$AG)</f>
        <v>626.66401501165365</v>
      </c>
      <c r="AG213" s="30"/>
      <c r="BD213" s="49"/>
      <c r="BE213" s="49"/>
    </row>
    <row r="214" spans="1:57" x14ac:dyDescent="0.3">
      <c r="A214">
        <f>_xlfn.XLOOKUP(B214,Entradas!B:B,Entradas!A:A,,0,-1)</f>
        <v>2</v>
      </c>
      <c r="B214">
        <v>19067802</v>
      </c>
      <c r="C214" t="str">
        <f>_xlfn.XLOOKUP($B214,Entradas!$B:$B,Entradas!C:C,,0,1)</f>
        <v>000531/23</v>
      </c>
      <c r="D214" t="str">
        <f>_xlfn.XLOOKUP($B214,Entradas!$B:$B,Entradas!D:D,,0,1)</f>
        <v>***.374.464-**</v>
      </c>
      <c r="E214" t="str">
        <f>_xlfn.XLOOKUP($B214,Entradas!$B:$B,Entradas!E:E,,0,1)</f>
        <v>YURI WANDERLEY CAVALCANTI</v>
      </c>
      <c r="F214" t="str">
        <f>_xlfn.XLOOKUP($B214,Entradas!$B:$B,Entradas!F:F,,0,1)</f>
        <v>PROFESSOR DO MAGISTERIO SUPERIOR</v>
      </c>
      <c r="G214" t="str">
        <f>_xlfn.XLOOKUP($B214,Entradas!$B:$B,Entradas!G:G,,0,1)</f>
        <v>FUC-0001</v>
      </c>
      <c r="H214" t="str">
        <f>_xlfn.XLOOKUP($B214,Entradas!$B:$B,Entradas!H:H,,0,1)</f>
        <v>FUC-0001</v>
      </c>
      <c r="I214" s="49">
        <f>_xlfn.XLOOKUP($B214,Entradas!$B:$B,Entradas!I:I,,0,1)</f>
        <v>45224</v>
      </c>
      <c r="J214" s="49">
        <f>_xlfn.XLOOKUP($B214,Entradas!$B:$B,Entradas!J:J,,0,1)</f>
        <v>45227</v>
      </c>
      <c r="K214" t="str">
        <f>_xlfn.XLOOKUP($B214,Entradas!$B:$B,Entradas!K:K,,0,1)</f>
        <v>Participar de seminário de meio termo da área de Odontologia da CAPES</v>
      </c>
      <c r="L214">
        <f>SUMIF(Entradas!$B:$B,'Entrada Lvl 5-4 qt'!$B214,Entradas!S:S)</f>
        <v>3426.839982</v>
      </c>
      <c r="M214" t="str">
        <f>_xlfn.XLOOKUP($B214,Entradas!$B:$B,Entradas!T:T,,0,1)</f>
        <v>Aéreo</v>
      </c>
      <c r="N214" t="str">
        <f>_xlfn.XLOOKUP($B214,Entradas!$B:$B,Entradas!U:U,,0,1)</f>
        <v>Não</v>
      </c>
      <c r="O214" t="str">
        <f>_xlfn.XLOOKUP($B214,Entradas!$B:$B,Entradas!V:V,,0,1)</f>
        <v>Realizada</v>
      </c>
      <c r="P214" t="str">
        <f>_xlfn.XLOOKUP($B214,Entradas!$B:$B,Entradas!W:W,,0,1)</f>
        <v>NÃO</v>
      </c>
      <c r="Q214" t="str">
        <f>_xlfn.XLOOKUP($B214,Entradas!$B:$B,Entradas!X:X,,0,1)</f>
        <v>Sem informação</v>
      </c>
      <c r="R214" s="36">
        <f>SUMIF(Entradas!$B:$B,'Entrada Lvl 5-4 qt'!$B214,Entradas!Y:Y)</f>
        <v>1339.26</v>
      </c>
      <c r="S214" s="36">
        <f>SUMIF(Entradas!$B:$B,'Entrada Lvl 5-4 qt'!$B214,Entradas!Z:Z)</f>
        <v>0</v>
      </c>
      <c r="T214" s="36">
        <f>SUMIF(Entradas!$B:$B,'Entrada Lvl 5-4 qt'!$B214,Entradas!AA:AA)</f>
        <v>1537.96</v>
      </c>
      <c r="U214" s="36">
        <f>SUMIF(Entradas!$B:$B,'Entrada Lvl 5-4 qt'!$B214,Entradas!AB:AB)</f>
        <v>0</v>
      </c>
      <c r="V214" s="49">
        <f>_xlfn.XLOOKUP($B214,Entradas!$B:$B,Entradas!AC:AC,,0,1)</f>
        <v>45114</v>
      </c>
      <c r="W214" s="58">
        <f t="shared" si="19"/>
        <v>3</v>
      </c>
      <c r="X214" s="28" t="s">
        <v>10</v>
      </c>
      <c r="Y214" s="32">
        <f t="shared" si="15"/>
        <v>0</v>
      </c>
      <c r="Z214" s="33">
        <f t="shared" si="16"/>
        <v>1537.96</v>
      </c>
      <c r="AA214" s="34">
        <f t="shared" si="17"/>
        <v>1339.26</v>
      </c>
      <c r="AB214" s="28" t="s">
        <v>1813</v>
      </c>
      <c r="AC214" s="28" t="s">
        <v>1784</v>
      </c>
      <c r="AD214" s="29" t="str" cm="1">
        <f t="array" ref="AD214">_xlfn.IFS(L214&lt;=Constantes!$G$2,"Muito Curta (evitável)",L214&lt;=Constantes!$H$2,"Curta Distância",L214&gt;Constantes!$H$2,"Longa Distância")</f>
        <v>Curta Distância</v>
      </c>
      <c r="AE214" s="30" t="str">
        <f t="shared" si="18"/>
        <v>NÃO</v>
      </c>
      <c r="AF214" s="30">
        <f>SUMIF(Entradas!$B:$B,'Entrada Lvl 5-4 qt'!$B214,Entradas!$AG:$AG)</f>
        <v>626.66401501165365</v>
      </c>
      <c r="AG214" s="30"/>
      <c r="BD214" s="49"/>
      <c r="BE214" s="49"/>
    </row>
    <row r="215" spans="1:57" x14ac:dyDescent="0.3">
      <c r="A215">
        <f>_xlfn.XLOOKUP(B215,Entradas!B:B,Entradas!A:A,,0,-1)</f>
        <v>2</v>
      </c>
      <c r="B215">
        <v>19300853</v>
      </c>
      <c r="C215" t="str">
        <f>_xlfn.XLOOKUP($B215,Entradas!$B:$B,Entradas!C:C,,0,1)</f>
        <v>001113/23</v>
      </c>
      <c r="D215" t="str">
        <f>_xlfn.XLOOKUP($B215,Entradas!$B:$B,Entradas!D:D,,0,1)</f>
        <v>***.663.536-**</v>
      </c>
      <c r="E215" t="str">
        <f>_xlfn.XLOOKUP($B215,Entradas!$B:$B,Entradas!E:E,,0,1)</f>
        <v>FLAVIA AFFONSO MAYER</v>
      </c>
      <c r="F215" t="str">
        <f>_xlfn.XLOOKUP($B215,Entradas!$B:$B,Entradas!F:F,,0,1)</f>
        <v>PROFESSOR DO MAGISTERIO SUPERIOR</v>
      </c>
      <c r="G215" t="str">
        <f>_xlfn.XLOOKUP($B215,Entradas!$B:$B,Entradas!G:G,,0,1)</f>
        <v>FUC-0001</v>
      </c>
      <c r="H215" t="str">
        <f>_xlfn.XLOOKUP($B215,Entradas!$B:$B,Entradas!H:H,,0,1)</f>
        <v>FUC-0001</v>
      </c>
      <c r="I215" s="49">
        <f>_xlfn.XLOOKUP($B215,Entradas!$B:$B,Entradas!I:I,,0,1)</f>
        <v>45224</v>
      </c>
      <c r="J215" s="49">
        <f>_xlfn.XLOOKUP($B215,Entradas!$B:$B,Entradas!J:J,,0,1)</f>
        <v>45227</v>
      </c>
      <c r="K215" t="str">
        <f>_xlfn.XLOOKUP($B215,Entradas!$B:$B,Entradas!K:K,,0,1)</f>
        <v>Participação no Seminário de Meio Termo dos programas de pós-graduação da área de Comunicação e Informação. O Seminário consiste em uma reunião dos coordenadores de área com coordenadores ou representantes dos programas de pós-graduação em funcionamento para fins de discutir e planejar, em conjunto, as metas e diretrizes da área para fins de avaliação. Sendo um convite direcionado ao coordenador de Programa em funcionamento.</v>
      </c>
      <c r="L215">
        <f>SUMIF(Entradas!$B:$B,'Entrada Lvl 5-4 qt'!$B215,Entradas!S:S)</f>
        <v>3426.839982</v>
      </c>
      <c r="M215" t="str">
        <f>_xlfn.XLOOKUP($B215,Entradas!$B:$B,Entradas!T:T,,0,1)</f>
        <v>Aéreo</v>
      </c>
      <c r="N215" t="str">
        <f>_xlfn.XLOOKUP($B215,Entradas!$B:$B,Entradas!U:U,,0,1)</f>
        <v>Não</v>
      </c>
      <c r="O215" t="str">
        <f>_xlfn.XLOOKUP($B215,Entradas!$B:$B,Entradas!V:V,,0,1)</f>
        <v>Realizada</v>
      </c>
      <c r="P215" t="str">
        <f>_xlfn.XLOOKUP($B215,Entradas!$B:$B,Entradas!W:W,,0,1)</f>
        <v>NÃO</v>
      </c>
      <c r="Q215" t="str">
        <f>_xlfn.XLOOKUP($B215,Entradas!$B:$B,Entradas!X:X,,0,1)</f>
        <v>Sem informação</v>
      </c>
      <c r="R215" s="36">
        <f>SUMIF(Entradas!$B:$B,'Entrada Lvl 5-4 qt'!$B215,Entradas!Y:Y)</f>
        <v>1339.26</v>
      </c>
      <c r="S215" s="36">
        <f>SUMIF(Entradas!$B:$B,'Entrada Lvl 5-4 qt'!$B215,Entradas!Z:Z)</f>
        <v>0</v>
      </c>
      <c r="T215" s="36">
        <f>SUMIF(Entradas!$B:$B,'Entrada Lvl 5-4 qt'!$B215,Entradas!AA:AA)</f>
        <v>2396.3999999999996</v>
      </c>
      <c r="U215" s="36">
        <f>SUMIF(Entradas!$B:$B,'Entrada Lvl 5-4 qt'!$B215,Entradas!AB:AB)</f>
        <v>0</v>
      </c>
      <c r="V215" s="49">
        <f>_xlfn.XLOOKUP($B215,Entradas!$B:$B,Entradas!AC:AC,,0,1)</f>
        <v>45195</v>
      </c>
      <c r="W215" s="58">
        <f t="shared" si="19"/>
        <v>3</v>
      </c>
      <c r="X215" s="28" t="s">
        <v>10</v>
      </c>
      <c r="Y215" s="32">
        <f t="shared" si="15"/>
        <v>0</v>
      </c>
      <c r="Z215" s="33">
        <f t="shared" si="16"/>
        <v>2396.3999999999996</v>
      </c>
      <c r="AA215" s="34">
        <f t="shared" si="17"/>
        <v>1339.26</v>
      </c>
      <c r="AB215" s="28" t="s">
        <v>1813</v>
      </c>
      <c r="AC215" s="28" t="s">
        <v>1784</v>
      </c>
      <c r="AD215" s="29" t="str" cm="1">
        <f t="array" ref="AD215">_xlfn.IFS(L215&lt;=Constantes!$G$2,"Muito Curta (evitável)",L215&lt;=Constantes!$H$2,"Curta Distância",L215&gt;Constantes!$H$2,"Longa Distância")</f>
        <v>Curta Distância</v>
      </c>
      <c r="AE215" s="30" t="str">
        <f t="shared" si="18"/>
        <v>NÃO</v>
      </c>
      <c r="AF215" s="30">
        <f>SUMIF(Entradas!$B:$B,'Entrada Lvl 5-4 qt'!$B215,Entradas!$AG:$AG)</f>
        <v>626.66401501165365</v>
      </c>
      <c r="AG215" s="30"/>
      <c r="BD215" s="49"/>
      <c r="BE215" s="49"/>
    </row>
    <row r="216" spans="1:57" x14ac:dyDescent="0.3">
      <c r="A216">
        <f>_xlfn.XLOOKUP(B216,Entradas!B:B,Entradas!A:A,,0,-1)</f>
        <v>2</v>
      </c>
      <c r="B216">
        <v>19214722</v>
      </c>
      <c r="C216" t="str">
        <f>_xlfn.XLOOKUP($B216,Entradas!$B:$B,Entradas!C:C,,0,1)</f>
        <v>000994/23</v>
      </c>
      <c r="D216" t="str">
        <f>_xlfn.XLOOKUP($B216,Entradas!$B:$B,Entradas!D:D,,0,1)</f>
        <v>***.773.040-**</v>
      </c>
      <c r="E216" t="str">
        <f>_xlfn.XLOOKUP($B216,Entradas!$B:$B,Entradas!E:E,,0,1)</f>
        <v>FABIANA DE CARVALHO FIM</v>
      </c>
      <c r="F216" t="str">
        <f>_xlfn.XLOOKUP($B216,Entradas!$B:$B,Entradas!F:F,,0,1)</f>
        <v>PROFESSOR DO MAGISTERIO SUPERIOR</v>
      </c>
      <c r="G216" t="str">
        <f>_xlfn.XLOOKUP($B216,Entradas!$B:$B,Entradas!G:G,,0,1)</f>
        <v>-1</v>
      </c>
      <c r="H216" t="str">
        <f>_xlfn.XLOOKUP($B216,Entradas!$B:$B,Entradas!H:H,,0,1)</f>
        <v>Sem informação</v>
      </c>
      <c r="I216" s="49">
        <f>_xlfn.XLOOKUP($B216,Entradas!$B:$B,Entradas!I:I,,0,1)</f>
        <v>45225</v>
      </c>
      <c r="J216" s="49">
        <f>_xlfn.XLOOKUP($B216,Entradas!$B:$B,Entradas!J:J,,0,1)</f>
        <v>45233</v>
      </c>
      <c r="K216" t="str">
        <f>_xlfn.XLOOKUP($B216,Entradas!$B:$B,Entradas!K:K,,0,1)</f>
        <v>Serão realizadas duas missões: a primeira será para uma visita técnica a um laboratório na Universidade Federal do Rio Grande do Sul, em Porto Alegre, pois a Professora solicitante foi contemplada com um projeto CNPq cujo objeto de estudo também está sendo desenvolvido na referida universidade e irá estabelecer um convênio de trabalho. A segunda missão será a participação e apresentação de dois trabalhos envolvendo alunos do PPCEM e da graduação em Eng. de Materiais em congresso nacional na Cidade de Joinville, em Santa Catariana.</v>
      </c>
      <c r="L216">
        <f>SUMIF(Entradas!$B:$B,'Entrada Lvl 5-4 qt'!$B216,Entradas!S:S)</f>
        <v>5750.3778670000002</v>
      </c>
      <c r="M216" t="str">
        <f>_xlfn.XLOOKUP($B216,Entradas!$B:$B,Entradas!T:T,,0,1)</f>
        <v>Aéreo</v>
      </c>
      <c r="N216" t="str">
        <f>_xlfn.XLOOKUP($B216,Entradas!$B:$B,Entradas!U:U,,0,1)</f>
        <v>Não</v>
      </c>
      <c r="O216" t="str">
        <f>_xlfn.XLOOKUP($B216,Entradas!$B:$B,Entradas!V:V,,0,1)</f>
        <v>Realizada</v>
      </c>
      <c r="P216" t="str">
        <f>_xlfn.XLOOKUP($B216,Entradas!$B:$B,Entradas!W:W,,0,1)</f>
        <v>NÃO</v>
      </c>
      <c r="Q216" t="str">
        <f>_xlfn.XLOOKUP($B216,Entradas!$B:$B,Entradas!X:X,,0,1)</f>
        <v>Sem informação</v>
      </c>
      <c r="R216" s="36">
        <f>SUMIF(Entradas!$B:$B,'Entrada Lvl 5-4 qt'!$B216,Entradas!Y:Y)</f>
        <v>2513.31</v>
      </c>
      <c r="S216" s="36">
        <f>SUMIF(Entradas!$B:$B,'Entrada Lvl 5-4 qt'!$B216,Entradas!Z:Z)</f>
        <v>0</v>
      </c>
      <c r="T216" s="36">
        <f>SUMIF(Entradas!$B:$B,'Entrada Lvl 5-4 qt'!$B216,Entradas!AA:AA)</f>
        <v>3367.99</v>
      </c>
      <c r="U216" s="36">
        <f>SUMIF(Entradas!$B:$B,'Entrada Lvl 5-4 qt'!$B216,Entradas!AB:AB)</f>
        <v>0</v>
      </c>
      <c r="V216" s="49">
        <f>_xlfn.XLOOKUP($B216,Entradas!$B:$B,Entradas!AC:AC,,0,1)</f>
        <v>45181</v>
      </c>
      <c r="W216" s="58">
        <f t="shared" si="19"/>
        <v>8</v>
      </c>
      <c r="X216" s="28" t="s">
        <v>10</v>
      </c>
      <c r="Y216" s="32">
        <f t="shared" si="15"/>
        <v>0</v>
      </c>
      <c r="Z216" s="33">
        <f t="shared" si="16"/>
        <v>3367.99</v>
      </c>
      <c r="AA216" s="34">
        <f t="shared" si="17"/>
        <v>2513.31</v>
      </c>
      <c r="AB216" s="28" t="s">
        <v>1814</v>
      </c>
      <c r="AC216" s="28" t="s">
        <v>1820</v>
      </c>
      <c r="AD216" s="29" t="str" cm="1">
        <f t="array" ref="AD216">_xlfn.IFS(L216&lt;=Constantes!$G$2,"Muito Curta (evitável)",L216&lt;=Constantes!$H$2,"Curta Distância",L216&gt;Constantes!$H$2,"Longa Distância")</f>
        <v>Longa Distância</v>
      </c>
      <c r="AE216" s="30" t="str">
        <f t="shared" si="18"/>
        <v>NÃO</v>
      </c>
      <c r="AF216" s="30">
        <f>SUMIF(Entradas!$B:$B,'Entrada Lvl 5-4 qt'!$B216,Entradas!$AG:$AG)</f>
        <v>1051.5678878782176</v>
      </c>
      <c r="AG216" s="30"/>
      <c r="BD216" s="49"/>
      <c r="BE216" s="49"/>
    </row>
    <row r="217" spans="1:57" x14ac:dyDescent="0.3">
      <c r="A217">
        <f>_xlfn.XLOOKUP(B217,Entradas!B:B,Entradas!A:A,,0,-1)</f>
        <v>2</v>
      </c>
      <c r="B217">
        <v>19275566</v>
      </c>
      <c r="C217" t="str">
        <f>_xlfn.XLOOKUP($B217,Entradas!$B:$B,Entradas!C:C,,0,1)</f>
        <v>001131/23</v>
      </c>
      <c r="D217" t="str">
        <f>_xlfn.XLOOKUP($B217,Entradas!$B:$B,Entradas!D:D,,0,1)</f>
        <v>***.350.864-**</v>
      </c>
      <c r="E217" t="str">
        <f>_xlfn.XLOOKUP($B217,Entradas!$B:$B,Entradas!E:E,,0,1)</f>
        <v>WASLON TERLLIZZIE ARAUJO LOPES</v>
      </c>
      <c r="F217" t="str">
        <f>_xlfn.XLOOKUP($B217,Entradas!$B:$B,Entradas!F:F,,0,1)</f>
        <v>PROFESSOR DO MAGISTERIO SUPERIOR</v>
      </c>
      <c r="G217" t="str">
        <f>_xlfn.XLOOKUP($B217,Entradas!$B:$B,Entradas!G:G,,0,1)</f>
        <v>-1</v>
      </c>
      <c r="H217" t="str">
        <f>_xlfn.XLOOKUP($B217,Entradas!$B:$B,Entradas!H:H,,0,1)</f>
        <v>Sem informação</v>
      </c>
      <c r="I217" s="49">
        <f>_xlfn.XLOOKUP($B217,Entradas!$B:$B,Entradas!I:I,,0,1)</f>
        <v>45225</v>
      </c>
      <c r="J217" s="49">
        <f>_xlfn.XLOOKUP($B217,Entradas!$B:$B,Entradas!J:J,,0,1)</f>
        <v>45228</v>
      </c>
      <c r="K217" t="str">
        <f>_xlfn.XLOOKUP($B217,Entradas!$B:$B,Entradas!K:K,,0,1)</f>
        <v>Apresentação de 3 artigos na XIII Conferência Nacional em Comunicações, Redes e Segurança da Informação (Encom 2023), a ser realizado de 27 a 29 de outubro de 2023 em Belém, PA.</v>
      </c>
      <c r="L217">
        <f>SUMIF(Entradas!$B:$B,'Entrada Lvl 5-4 qt'!$B217,Entradas!S:S)</f>
        <v>3357.0964260000001</v>
      </c>
      <c r="M217" t="str">
        <f>_xlfn.XLOOKUP($B217,Entradas!$B:$B,Entradas!T:T,,0,1)</f>
        <v>Aéreo</v>
      </c>
      <c r="N217" t="str">
        <f>_xlfn.XLOOKUP($B217,Entradas!$B:$B,Entradas!U:U,,0,1)</f>
        <v>Não</v>
      </c>
      <c r="O217" t="str">
        <f>_xlfn.XLOOKUP($B217,Entradas!$B:$B,Entradas!V:V,,0,1)</f>
        <v>Realizada</v>
      </c>
      <c r="P217" t="str">
        <f>_xlfn.XLOOKUP($B217,Entradas!$B:$B,Entradas!W:W,,0,1)</f>
        <v>NÃO</v>
      </c>
      <c r="Q217" t="str">
        <f>_xlfn.XLOOKUP($B217,Entradas!$B:$B,Entradas!X:X,,0,1)</f>
        <v>Sem informação</v>
      </c>
      <c r="R217" s="36">
        <f>SUMIF(Entradas!$B:$B,'Entrada Lvl 5-4 qt'!$B217,Entradas!Y:Y)</f>
        <v>1228.75</v>
      </c>
      <c r="S217" s="36">
        <f>SUMIF(Entradas!$B:$B,'Entrada Lvl 5-4 qt'!$B217,Entradas!Z:Z)</f>
        <v>0</v>
      </c>
      <c r="T217" s="36">
        <f>SUMIF(Entradas!$B:$B,'Entrada Lvl 5-4 qt'!$B217,Entradas!AA:AA)</f>
        <v>1459.03</v>
      </c>
      <c r="U217" s="36">
        <f>SUMIF(Entradas!$B:$B,'Entrada Lvl 5-4 qt'!$B217,Entradas!AB:AB)</f>
        <v>0</v>
      </c>
      <c r="V217" s="49">
        <f>_xlfn.XLOOKUP($B217,Entradas!$B:$B,Entradas!AC:AC,,0,1)</f>
        <v>45190</v>
      </c>
      <c r="W217" s="58">
        <f t="shared" si="19"/>
        <v>3</v>
      </c>
      <c r="X217" s="28" t="s">
        <v>10</v>
      </c>
      <c r="Y217" s="32">
        <f t="shared" si="15"/>
        <v>0</v>
      </c>
      <c r="Z217" s="33">
        <f t="shared" si="16"/>
        <v>1459.03</v>
      </c>
      <c r="AA217" s="34">
        <f t="shared" si="17"/>
        <v>1228.75</v>
      </c>
      <c r="AB217" s="28" t="s">
        <v>1814</v>
      </c>
      <c r="AC217" s="28" t="s">
        <v>1820</v>
      </c>
      <c r="AD217" s="29" t="str" cm="1">
        <f t="array" ref="AD217">_xlfn.IFS(L217&lt;=Constantes!$G$2,"Muito Curta (evitável)",L217&lt;=Constantes!$H$2,"Curta Distância",L217&gt;Constantes!$H$2,"Longa Distância")</f>
        <v>Curta Distância</v>
      </c>
      <c r="AE217" s="30" t="str">
        <f t="shared" si="18"/>
        <v>NÃO</v>
      </c>
      <c r="AF217" s="30">
        <f>SUMIF(Entradas!$B:$B,'Entrada Lvl 5-4 qt'!$B217,Entradas!$AG:$AG)</f>
        <v>613.91005595499462</v>
      </c>
      <c r="AG217" s="30"/>
      <c r="BD217" s="49"/>
      <c r="BE217" s="49"/>
    </row>
    <row r="218" spans="1:57" x14ac:dyDescent="0.3">
      <c r="A218">
        <f>_xlfn.XLOOKUP(B218,Entradas!B:B,Entradas!A:A,,0,-1)</f>
        <v>2</v>
      </c>
      <c r="B218">
        <v>19299833</v>
      </c>
      <c r="C218" t="str">
        <f>_xlfn.XLOOKUP($B218,Entradas!$B:$B,Entradas!C:C,,0,1)</f>
        <v>001213/23</v>
      </c>
      <c r="D218" t="str">
        <f>_xlfn.XLOOKUP($B218,Entradas!$B:$B,Entradas!D:D,,0,1)</f>
        <v>***.955.884-**</v>
      </c>
      <c r="E218" t="str">
        <f>_xlfn.XLOOKUP($B218,Entradas!$B:$B,Entradas!E:E,,0,1)</f>
        <v>IGUATEMI EDUARDO DA FONSECA</v>
      </c>
      <c r="F218" t="str">
        <f>_xlfn.XLOOKUP($B218,Entradas!$B:$B,Entradas!F:F,,0,1)</f>
        <v>PROFESSOR DO MAGISTERIO SUPERIOR</v>
      </c>
      <c r="G218" t="str">
        <f>_xlfn.XLOOKUP($B218,Entradas!$B:$B,Entradas!G:G,,0,1)</f>
        <v>-1</v>
      </c>
      <c r="H218" t="str">
        <f>_xlfn.XLOOKUP($B218,Entradas!$B:$B,Entradas!H:H,,0,1)</f>
        <v>Sem informação</v>
      </c>
      <c r="I218" s="49">
        <f>_xlfn.XLOOKUP($B218,Entradas!$B:$B,Entradas!I:I,,0,1)</f>
        <v>45225</v>
      </c>
      <c r="J218" s="49">
        <f>_xlfn.XLOOKUP($B218,Entradas!$B:$B,Entradas!J:J,,0,1)</f>
        <v>45228</v>
      </c>
      <c r="K218" t="str">
        <f>_xlfn.XLOOKUP($B218,Entradas!$B:$B,Entradas!K:K,,0,1)</f>
        <v>Apresentação de trabalho na XIII Conferência Nacional em Comunicações, Redes e Segurança da Informação - ENCOM 2023.</v>
      </c>
      <c r="L218">
        <f>SUMIF(Entradas!$B:$B,'Entrada Lvl 5-4 qt'!$B218,Entradas!S:S)</f>
        <v>3262.9122579999998</v>
      </c>
      <c r="M218" t="str">
        <f>_xlfn.XLOOKUP($B218,Entradas!$B:$B,Entradas!T:T,,0,1)</f>
        <v>Aéreo</v>
      </c>
      <c r="N218" t="str">
        <f>_xlfn.XLOOKUP($B218,Entradas!$B:$B,Entradas!U:U,,0,1)</f>
        <v>Sim</v>
      </c>
      <c r="O218" t="str">
        <f>_xlfn.XLOOKUP($B218,Entradas!$B:$B,Entradas!V:V,,0,1)</f>
        <v>Realizada</v>
      </c>
      <c r="P218" t="str">
        <f>_xlfn.XLOOKUP($B218,Entradas!$B:$B,Entradas!W:W,,0,1)</f>
        <v>NÃO</v>
      </c>
      <c r="Q218" t="str">
        <f>_xlfn.XLOOKUP($B218,Entradas!$B:$B,Entradas!X:X,,0,1)</f>
        <v>Sem informação</v>
      </c>
      <c r="R218" s="36">
        <f>SUMIF(Entradas!$B:$B,'Entrada Lvl 5-4 qt'!$B218,Entradas!Y:Y)</f>
        <v>1228.75</v>
      </c>
      <c r="S218" s="36">
        <f>SUMIF(Entradas!$B:$B,'Entrada Lvl 5-4 qt'!$B218,Entradas!Z:Z)</f>
        <v>0</v>
      </c>
      <c r="T218" s="36">
        <f>SUMIF(Entradas!$B:$B,'Entrada Lvl 5-4 qt'!$B218,Entradas!AA:AA)</f>
        <v>3758.9799999999996</v>
      </c>
      <c r="U218" s="36">
        <f>SUMIF(Entradas!$B:$B,'Entrada Lvl 5-4 qt'!$B218,Entradas!AB:AB)</f>
        <v>0</v>
      </c>
      <c r="V218" s="49">
        <f>_xlfn.XLOOKUP($B218,Entradas!$B:$B,Entradas!AC:AC,,0,1)</f>
        <v>45197</v>
      </c>
      <c r="W218" s="58">
        <f t="shared" si="19"/>
        <v>3</v>
      </c>
      <c r="X218" s="28" t="s">
        <v>10</v>
      </c>
      <c r="Y218" s="32">
        <f t="shared" si="15"/>
        <v>0</v>
      </c>
      <c r="Z218" s="33">
        <f t="shared" si="16"/>
        <v>3758.9799999999996</v>
      </c>
      <c r="AA218" s="34">
        <f t="shared" si="17"/>
        <v>1228.75</v>
      </c>
      <c r="AB218" s="28" t="s">
        <v>1814</v>
      </c>
      <c r="AC218" s="28" t="s">
        <v>1820</v>
      </c>
      <c r="AD218" s="29" t="str" cm="1">
        <f t="array" ref="AD218">_xlfn.IFS(L218&lt;=Constantes!$G$2,"Muito Curta (evitável)",L218&lt;=Constantes!$H$2,"Curta Distância",L218&gt;Constantes!$H$2,"Longa Distância")</f>
        <v>Curta Distância</v>
      </c>
      <c r="AE218" s="30" t="str">
        <f t="shared" si="18"/>
        <v>NÃO</v>
      </c>
      <c r="AF218" s="30">
        <f>SUMIF(Entradas!$B:$B,'Entrada Lvl 5-4 qt'!$B218,Entradas!$AG:$AG)</f>
        <v>596.68665796167329</v>
      </c>
      <c r="AG218" s="30"/>
      <c r="BD218" s="49"/>
      <c r="BE218" s="49"/>
    </row>
    <row r="219" spans="1:57" x14ac:dyDescent="0.3">
      <c r="A219">
        <f>_xlfn.XLOOKUP(B219,Entradas!B:B,Entradas!A:A,,0,-1)</f>
        <v>2</v>
      </c>
      <c r="B219">
        <v>19300170</v>
      </c>
      <c r="C219" t="str">
        <f>_xlfn.XLOOKUP($B219,Entradas!$B:$B,Entradas!C:C,,0,1)</f>
        <v>001110/23</v>
      </c>
      <c r="D219" t="str">
        <f>_xlfn.XLOOKUP($B219,Entradas!$B:$B,Entradas!D:D,,0,1)</f>
        <v>***.616.214-**</v>
      </c>
      <c r="E219" t="str">
        <f>_xlfn.XLOOKUP($B219,Entradas!$B:$B,Entradas!E:E,,0,1)</f>
        <v>FABRICIO BRAGA SOARES DE CARVALHO</v>
      </c>
      <c r="F219" t="str">
        <f>_xlfn.XLOOKUP($B219,Entradas!$B:$B,Entradas!F:F,,0,1)</f>
        <v>PROFESSOR DO MAGISTERIO SUPERIOR</v>
      </c>
      <c r="G219" t="str">
        <f>_xlfn.XLOOKUP($B219,Entradas!$B:$B,Entradas!G:G,,0,1)</f>
        <v>-1</v>
      </c>
      <c r="H219" t="str">
        <f>_xlfn.XLOOKUP($B219,Entradas!$B:$B,Entradas!H:H,,0,1)</f>
        <v>Sem informação</v>
      </c>
      <c r="I219" s="49">
        <f>_xlfn.XLOOKUP($B219,Entradas!$B:$B,Entradas!I:I,,0,1)</f>
        <v>45225</v>
      </c>
      <c r="J219" s="49">
        <f>_xlfn.XLOOKUP($B219,Entradas!$B:$B,Entradas!J:J,,0,1)</f>
        <v>45228</v>
      </c>
      <c r="K219" t="str">
        <f>_xlfn.XLOOKUP($B219,Entradas!$B:$B,Entradas!K:K,,0,1)</f>
        <v>Apresentação de artigos científicos aprovados na XIII Conferência Nacional em Comunicações, Redes e Segurança da Informação - ENCOM 2023, que ocorrerá no período de 27 a 29 de outubro/2023, em Belém-PA.</v>
      </c>
      <c r="L219">
        <f>SUMIF(Entradas!$B:$B,'Entrada Lvl 5-4 qt'!$B219,Entradas!S:S)</f>
        <v>3357.0964260000001</v>
      </c>
      <c r="M219" t="str">
        <f>_xlfn.XLOOKUP($B219,Entradas!$B:$B,Entradas!T:T,,0,1)</f>
        <v>Aéreo</v>
      </c>
      <c r="N219" t="str">
        <f>_xlfn.XLOOKUP($B219,Entradas!$B:$B,Entradas!U:U,,0,1)</f>
        <v>Não</v>
      </c>
      <c r="O219" t="str">
        <f>_xlfn.XLOOKUP($B219,Entradas!$B:$B,Entradas!V:V,,0,1)</f>
        <v>Realizada</v>
      </c>
      <c r="P219" t="str">
        <f>_xlfn.XLOOKUP($B219,Entradas!$B:$B,Entradas!W:W,,0,1)</f>
        <v>NÃO</v>
      </c>
      <c r="Q219" t="str">
        <f>_xlfn.XLOOKUP($B219,Entradas!$B:$B,Entradas!X:X,,0,1)</f>
        <v>Sem informação</v>
      </c>
      <c r="R219" s="36">
        <f>SUMIF(Entradas!$B:$B,'Entrada Lvl 5-4 qt'!$B219,Entradas!Y:Y)</f>
        <v>1228.75</v>
      </c>
      <c r="S219" s="36">
        <f>SUMIF(Entradas!$B:$B,'Entrada Lvl 5-4 qt'!$B219,Entradas!Z:Z)</f>
        <v>0</v>
      </c>
      <c r="T219" s="36">
        <f>SUMIF(Entradas!$B:$B,'Entrada Lvl 5-4 qt'!$B219,Entradas!AA:AA)</f>
        <v>1334.83</v>
      </c>
      <c r="U219" s="36">
        <f>SUMIF(Entradas!$B:$B,'Entrada Lvl 5-4 qt'!$B219,Entradas!AB:AB)</f>
        <v>0</v>
      </c>
      <c r="V219" s="49">
        <f>_xlfn.XLOOKUP($B219,Entradas!$B:$B,Entradas!AC:AC,,0,1)</f>
        <v>45187</v>
      </c>
      <c r="W219" s="58">
        <f t="shared" si="19"/>
        <v>3</v>
      </c>
      <c r="X219" s="28" t="s">
        <v>10</v>
      </c>
      <c r="Y219" s="32">
        <f t="shared" si="15"/>
        <v>0</v>
      </c>
      <c r="Z219" s="33">
        <f t="shared" si="16"/>
        <v>1334.83</v>
      </c>
      <c r="AA219" s="34">
        <f t="shared" si="17"/>
        <v>1228.75</v>
      </c>
      <c r="AB219" s="28" t="s">
        <v>1814</v>
      </c>
      <c r="AC219" s="28" t="s">
        <v>1820</v>
      </c>
      <c r="AD219" s="29" t="str" cm="1">
        <f t="array" ref="AD219">_xlfn.IFS(L219&lt;=Constantes!$G$2,"Muito Curta (evitável)",L219&lt;=Constantes!$H$2,"Curta Distância",L219&gt;Constantes!$H$2,"Longa Distância")</f>
        <v>Curta Distância</v>
      </c>
      <c r="AE219" s="30" t="str">
        <f t="shared" si="18"/>
        <v>NÃO</v>
      </c>
      <c r="AF219" s="30">
        <f>SUMIF(Entradas!$B:$B,'Entrada Lvl 5-4 qt'!$B219,Entradas!$AG:$AG)</f>
        <v>613.91005595499462</v>
      </c>
      <c r="AG219" s="30"/>
      <c r="BD219" s="49"/>
      <c r="BE219" s="49"/>
    </row>
    <row r="220" spans="1:57" x14ac:dyDescent="0.3">
      <c r="A220">
        <f>_xlfn.XLOOKUP(B220,Entradas!B:B,Entradas!A:A,,0,-1)</f>
        <v>2</v>
      </c>
      <c r="B220">
        <v>19382512</v>
      </c>
      <c r="C220" t="str">
        <f>_xlfn.XLOOKUP($B220,Entradas!$B:$B,Entradas!C:C,,0,1)</f>
        <v>001389/23</v>
      </c>
      <c r="D220" t="str">
        <f>_xlfn.XLOOKUP($B220,Entradas!$B:$B,Entradas!D:D,,0,1)</f>
        <v>***.351.814-**</v>
      </c>
      <c r="E220" t="str">
        <f>_xlfn.XLOOKUP($B220,Entradas!$B:$B,Entradas!E:E,,0,1)</f>
        <v>VANESSA DE AZEVEDO SOARES</v>
      </c>
      <c r="F220" t="str">
        <f>_xlfn.XLOOKUP($B220,Entradas!$B:$B,Entradas!F:F,,0,1)</f>
        <v/>
      </c>
      <c r="G220" t="str">
        <f>_xlfn.XLOOKUP($B220,Entradas!$B:$B,Entradas!G:G,,0,1)</f>
        <v>-1</v>
      </c>
      <c r="H220" t="str">
        <f>_xlfn.XLOOKUP($B220,Entradas!$B:$B,Entradas!H:H,,0,1)</f>
        <v>Sem informação</v>
      </c>
      <c r="I220" s="49">
        <f>_xlfn.XLOOKUP($B220,Entradas!$B:$B,Entradas!I:I,,0,1)</f>
        <v>45227</v>
      </c>
      <c r="J220" s="49">
        <f>_xlfn.XLOOKUP($B220,Entradas!$B:$B,Entradas!J:J,,0,1)</f>
        <v>45236</v>
      </c>
      <c r="K220" t="str">
        <f>_xlfn.XLOOKUP($B220,Entradas!$B:$B,Entradas!K:K,,0,1)</f>
        <v>Proposto irár participar no 73º Congresso Nacional de Botânica - CNBOT na função de apresentador de trabalhos acadêmicos do seu curso na UFPB</v>
      </c>
      <c r="L220">
        <f>SUMIF(Entradas!$B:$B,'Entrada Lvl 5-4 qt'!$B220,Entradas!S:S)</f>
        <v>3262.9122579999998</v>
      </c>
      <c r="M220" t="str">
        <f>_xlfn.XLOOKUP($B220,Entradas!$B:$B,Entradas!T:T,,0,1)</f>
        <v>Aéreo</v>
      </c>
      <c r="N220" t="str">
        <f>_xlfn.XLOOKUP($B220,Entradas!$B:$B,Entradas!U:U,,0,1)</f>
        <v>Sim</v>
      </c>
      <c r="O220" t="str">
        <f>_xlfn.XLOOKUP($B220,Entradas!$B:$B,Entradas!V:V,,0,1)</f>
        <v>Realizada</v>
      </c>
      <c r="P220" t="str">
        <f>_xlfn.XLOOKUP($B220,Entradas!$B:$B,Entradas!W:W,,0,1)</f>
        <v>NÃO</v>
      </c>
      <c r="Q220" t="str">
        <f>_xlfn.XLOOKUP($B220,Entradas!$B:$B,Entradas!X:X,,0,1)</f>
        <v>Sem informação</v>
      </c>
      <c r="R220" s="36">
        <f>SUMIF(Entradas!$B:$B,'Entrada Lvl 5-4 qt'!$B220,Entradas!Y:Y)</f>
        <v>0</v>
      </c>
      <c r="S220" s="36">
        <f>SUMIF(Entradas!$B:$B,'Entrada Lvl 5-4 qt'!$B220,Entradas!Z:Z)</f>
        <v>0</v>
      </c>
      <c r="T220" s="36">
        <f>SUMIF(Entradas!$B:$B,'Entrada Lvl 5-4 qt'!$B220,Entradas!AA:AA)</f>
        <v>3078.98</v>
      </c>
      <c r="U220" s="36">
        <f>SUMIF(Entradas!$B:$B,'Entrada Lvl 5-4 qt'!$B220,Entradas!AB:AB)</f>
        <v>0</v>
      </c>
      <c r="V220" s="49">
        <f>_xlfn.XLOOKUP($B220,Entradas!$B:$B,Entradas!AC:AC,,0,1)</f>
        <v>45209</v>
      </c>
      <c r="W220" s="58">
        <f t="shared" si="19"/>
        <v>9</v>
      </c>
      <c r="X220" s="28" t="s">
        <v>10</v>
      </c>
      <c r="Y220" s="32">
        <f t="shared" si="15"/>
        <v>0</v>
      </c>
      <c r="Z220" s="33">
        <f t="shared" si="16"/>
        <v>3078.98</v>
      </c>
      <c r="AA220" s="34">
        <f t="shared" si="17"/>
        <v>0</v>
      </c>
      <c r="AB220" s="28" t="s">
        <v>1814</v>
      </c>
      <c r="AC220" s="28" t="s">
        <v>1822</v>
      </c>
      <c r="AD220" s="29" t="str" cm="1">
        <f t="array" ref="AD220">_xlfn.IFS(L220&lt;=Constantes!$G$2,"Muito Curta (evitável)",L220&lt;=Constantes!$H$2,"Curta Distância",L220&gt;Constantes!$H$2,"Longa Distância")</f>
        <v>Curta Distância</v>
      </c>
      <c r="AE220" s="30" t="str">
        <f t="shared" si="18"/>
        <v>NÃO</v>
      </c>
      <c r="AF220" s="30">
        <f>SUMIF(Entradas!$B:$B,'Entrada Lvl 5-4 qt'!$B220,Entradas!$AG:$AG)</f>
        <v>596.68665796167329</v>
      </c>
      <c r="AG220" s="30"/>
      <c r="BD220" s="49"/>
      <c r="BE220" s="49"/>
    </row>
    <row r="221" spans="1:57" x14ac:dyDescent="0.3">
      <c r="A221">
        <f>_xlfn.XLOOKUP(B221,Entradas!B:B,Entradas!A:A,,0,-1)</f>
        <v>2</v>
      </c>
      <c r="B221">
        <v>19382645</v>
      </c>
      <c r="C221" t="str">
        <f>_xlfn.XLOOKUP($B221,Entradas!$B:$B,Entradas!C:C,,0,1)</f>
        <v>001388/23</v>
      </c>
      <c r="D221" t="str">
        <f>_xlfn.XLOOKUP($B221,Entradas!$B:$B,Entradas!D:D,,0,1)</f>
        <v/>
      </c>
      <c r="E221" t="str">
        <f>_xlfn.XLOOKUP($B221,Entradas!$B:$B,Entradas!E:E,,0,1)</f>
        <v>PRISCILA SOARES DA SILVA</v>
      </c>
      <c r="F221" t="str">
        <f>_xlfn.XLOOKUP($B221,Entradas!$B:$B,Entradas!F:F,,0,1)</f>
        <v/>
      </c>
      <c r="G221" t="str">
        <f>_xlfn.XLOOKUP($B221,Entradas!$B:$B,Entradas!G:G,,0,1)</f>
        <v>-1</v>
      </c>
      <c r="H221" t="str">
        <f>_xlfn.XLOOKUP($B221,Entradas!$B:$B,Entradas!H:H,,0,1)</f>
        <v>Sem informação</v>
      </c>
      <c r="I221" s="49">
        <f>_xlfn.XLOOKUP($B221,Entradas!$B:$B,Entradas!I:I,,0,1)</f>
        <v>45227</v>
      </c>
      <c r="J221" s="49">
        <f>_xlfn.XLOOKUP($B221,Entradas!$B:$B,Entradas!J:J,,0,1)</f>
        <v>45236</v>
      </c>
      <c r="K221" t="str">
        <f>_xlfn.XLOOKUP($B221,Entradas!$B:$B,Entradas!K:K,,0,1)</f>
        <v>Proposto irár participar no 73º Congresso Nacional de Botânica - CNBOT na função de apresentador de trabalhos acadêmicos do seu curso na UFPB.</v>
      </c>
      <c r="L221">
        <f>SUMIF(Entradas!$B:$B,'Entrada Lvl 5-4 qt'!$B221,Entradas!S:S)</f>
        <v>3262.9122579999998</v>
      </c>
      <c r="M221" t="str">
        <f>_xlfn.XLOOKUP($B221,Entradas!$B:$B,Entradas!T:T,,0,1)</f>
        <v>Aéreo</v>
      </c>
      <c r="N221" t="str">
        <f>_xlfn.XLOOKUP($B221,Entradas!$B:$B,Entradas!U:U,,0,1)</f>
        <v>Não</v>
      </c>
      <c r="O221" t="str">
        <f>_xlfn.XLOOKUP($B221,Entradas!$B:$B,Entradas!V:V,,0,1)</f>
        <v>Realizada</v>
      </c>
      <c r="P221" t="str">
        <f>_xlfn.XLOOKUP($B221,Entradas!$B:$B,Entradas!W:W,,0,1)</f>
        <v>NÃO</v>
      </c>
      <c r="Q221" t="str">
        <f>_xlfn.XLOOKUP($B221,Entradas!$B:$B,Entradas!X:X,,0,1)</f>
        <v>Sem informação</v>
      </c>
      <c r="R221" s="36">
        <f>SUMIF(Entradas!$B:$B,'Entrada Lvl 5-4 qt'!$B221,Entradas!Y:Y)</f>
        <v>0</v>
      </c>
      <c r="S221" s="36">
        <f>SUMIF(Entradas!$B:$B,'Entrada Lvl 5-4 qt'!$B221,Entradas!Z:Z)</f>
        <v>0</v>
      </c>
      <c r="T221" s="36">
        <f>SUMIF(Entradas!$B:$B,'Entrada Lvl 5-4 qt'!$B221,Entradas!AA:AA)</f>
        <v>3078.98</v>
      </c>
      <c r="U221" s="36">
        <f>SUMIF(Entradas!$B:$B,'Entrada Lvl 5-4 qt'!$B221,Entradas!AB:AB)</f>
        <v>0</v>
      </c>
      <c r="V221" s="49">
        <f>_xlfn.XLOOKUP($B221,Entradas!$B:$B,Entradas!AC:AC,,0,1)</f>
        <v>45209</v>
      </c>
      <c r="W221" s="58">
        <f t="shared" si="19"/>
        <v>9</v>
      </c>
      <c r="X221" s="28" t="s">
        <v>10</v>
      </c>
      <c r="Y221" s="32">
        <f t="shared" si="15"/>
        <v>0</v>
      </c>
      <c r="Z221" s="33">
        <f t="shared" si="16"/>
        <v>3078.98</v>
      </c>
      <c r="AA221" s="34">
        <f t="shared" si="17"/>
        <v>0</v>
      </c>
      <c r="AB221" s="28" t="s">
        <v>1814</v>
      </c>
      <c r="AC221" s="28" t="s">
        <v>1822</v>
      </c>
      <c r="AD221" s="29" t="str" cm="1">
        <f t="array" ref="AD221">_xlfn.IFS(L221&lt;=Constantes!$G$2,"Muito Curta (evitável)",L221&lt;=Constantes!$H$2,"Curta Distância",L221&gt;Constantes!$H$2,"Longa Distância")</f>
        <v>Curta Distância</v>
      </c>
      <c r="AE221" s="30" t="str">
        <f t="shared" si="18"/>
        <v>NÃO</v>
      </c>
      <c r="AF221" s="30">
        <f>SUMIF(Entradas!$B:$B,'Entrada Lvl 5-4 qt'!$B221,Entradas!$AG:$AG)</f>
        <v>596.68665796167329</v>
      </c>
      <c r="AG221" s="30"/>
      <c r="BD221" s="49"/>
      <c r="BE221" s="49"/>
    </row>
    <row r="222" spans="1:57" x14ac:dyDescent="0.3">
      <c r="A222">
        <f>_xlfn.XLOOKUP(B222,Entradas!B:B,Entradas!A:A,,0,-1)</f>
        <v>2</v>
      </c>
      <c r="B222">
        <v>19382694</v>
      </c>
      <c r="C222" t="str">
        <f>_xlfn.XLOOKUP($B222,Entradas!$B:$B,Entradas!C:C,,0,1)</f>
        <v>001390/23</v>
      </c>
      <c r="D222" t="str">
        <f>_xlfn.XLOOKUP($B222,Entradas!$B:$B,Entradas!D:D,,0,1)</f>
        <v>***.995.694-**</v>
      </c>
      <c r="E222" t="str">
        <f>_xlfn.XLOOKUP($B222,Entradas!$B:$B,Entradas!E:E,,0,1)</f>
        <v>ESTEPHANNI FERNANDA OLIVEIRA DANTAS</v>
      </c>
      <c r="F222" t="str">
        <f>_xlfn.XLOOKUP($B222,Entradas!$B:$B,Entradas!F:F,,0,1)</f>
        <v/>
      </c>
      <c r="G222" t="str">
        <f>_xlfn.XLOOKUP($B222,Entradas!$B:$B,Entradas!G:G,,0,1)</f>
        <v>-1</v>
      </c>
      <c r="H222" t="str">
        <f>_xlfn.XLOOKUP($B222,Entradas!$B:$B,Entradas!H:H,,0,1)</f>
        <v>Sem informação</v>
      </c>
      <c r="I222" s="49">
        <f>_xlfn.XLOOKUP($B222,Entradas!$B:$B,Entradas!I:I,,0,1)</f>
        <v>45227</v>
      </c>
      <c r="J222" s="49">
        <f>_xlfn.XLOOKUP($B222,Entradas!$B:$B,Entradas!J:J,,0,1)</f>
        <v>45236</v>
      </c>
      <c r="K222" t="str">
        <f>_xlfn.XLOOKUP($B222,Entradas!$B:$B,Entradas!K:K,,0,1)</f>
        <v>Proposto irár participar no 73º Congresso Nacional de Botânica - CNBOT na função de apresentador de trabalhos acadêmicos do seu curso na UFPB.</v>
      </c>
      <c r="L222">
        <f>SUMIF(Entradas!$B:$B,'Entrada Lvl 5-4 qt'!$B222,Entradas!S:S)</f>
        <v>3262.9122579999998</v>
      </c>
      <c r="M222" t="str">
        <f>_xlfn.XLOOKUP($B222,Entradas!$B:$B,Entradas!T:T,,0,1)</f>
        <v>Aéreo</v>
      </c>
      <c r="N222" t="str">
        <f>_xlfn.XLOOKUP($B222,Entradas!$B:$B,Entradas!U:U,,0,1)</f>
        <v>Sim</v>
      </c>
      <c r="O222" t="str">
        <f>_xlfn.XLOOKUP($B222,Entradas!$B:$B,Entradas!V:V,,0,1)</f>
        <v>Realizada</v>
      </c>
      <c r="P222" t="str">
        <f>_xlfn.XLOOKUP($B222,Entradas!$B:$B,Entradas!W:W,,0,1)</f>
        <v>NÃO</v>
      </c>
      <c r="Q222" t="str">
        <f>_xlfn.XLOOKUP($B222,Entradas!$B:$B,Entradas!X:X,,0,1)</f>
        <v>Sem informação</v>
      </c>
      <c r="R222" s="36">
        <f>SUMIF(Entradas!$B:$B,'Entrada Lvl 5-4 qt'!$B222,Entradas!Y:Y)</f>
        <v>0</v>
      </c>
      <c r="S222" s="36">
        <f>SUMIF(Entradas!$B:$B,'Entrada Lvl 5-4 qt'!$B222,Entradas!Z:Z)</f>
        <v>0</v>
      </c>
      <c r="T222" s="36">
        <f>SUMIF(Entradas!$B:$B,'Entrada Lvl 5-4 qt'!$B222,Entradas!AA:AA)</f>
        <v>3078.98</v>
      </c>
      <c r="U222" s="36">
        <f>SUMIF(Entradas!$B:$B,'Entrada Lvl 5-4 qt'!$B222,Entradas!AB:AB)</f>
        <v>0</v>
      </c>
      <c r="V222" s="49">
        <f>_xlfn.XLOOKUP($B222,Entradas!$B:$B,Entradas!AC:AC,,0,1)</f>
        <v>45209</v>
      </c>
      <c r="W222" s="58">
        <f t="shared" si="19"/>
        <v>9</v>
      </c>
      <c r="X222" s="28" t="s">
        <v>10</v>
      </c>
      <c r="Y222" s="32">
        <f t="shared" si="15"/>
        <v>0</v>
      </c>
      <c r="Z222" s="33">
        <f t="shared" si="16"/>
        <v>3078.98</v>
      </c>
      <c r="AA222" s="34">
        <f t="shared" si="17"/>
        <v>0</v>
      </c>
      <c r="AB222" s="28" t="s">
        <v>1814</v>
      </c>
      <c r="AC222" s="28" t="s">
        <v>1822</v>
      </c>
      <c r="AD222" s="29" t="str" cm="1">
        <f t="array" ref="AD222">_xlfn.IFS(L222&lt;=Constantes!$G$2,"Muito Curta (evitável)",L222&lt;=Constantes!$H$2,"Curta Distância",L222&gt;Constantes!$H$2,"Longa Distância")</f>
        <v>Curta Distância</v>
      </c>
      <c r="AE222" s="30" t="str">
        <f t="shared" si="18"/>
        <v>NÃO</v>
      </c>
      <c r="AF222" s="30">
        <f>SUMIF(Entradas!$B:$B,'Entrada Lvl 5-4 qt'!$B222,Entradas!$AG:$AG)</f>
        <v>596.68665796167329</v>
      </c>
      <c r="AG222" s="30"/>
      <c r="BD222" s="49"/>
      <c r="BE222" s="49"/>
    </row>
    <row r="223" spans="1:57" x14ac:dyDescent="0.3">
      <c r="A223">
        <f>_xlfn.XLOOKUP(B223,Entradas!B:B,Entradas!A:A,,0,-1)</f>
        <v>2</v>
      </c>
      <c r="B223">
        <v>19052928</v>
      </c>
      <c r="C223" t="str">
        <f>_xlfn.XLOOKUP($B223,Entradas!$B:$B,Entradas!C:C,,0,1)</f>
        <v>000567/23</v>
      </c>
      <c r="D223" t="str">
        <f>_xlfn.XLOOKUP($B223,Entradas!$B:$B,Entradas!D:D,,0,1)</f>
        <v>***.219.784-**</v>
      </c>
      <c r="E223" t="str">
        <f>_xlfn.XLOOKUP($B223,Entradas!$B:$B,Entradas!E:E,,0,1)</f>
        <v>WENNER GLAUCIO LOPES LUCENA</v>
      </c>
      <c r="F223" t="str">
        <f>_xlfn.XLOOKUP($B223,Entradas!$B:$B,Entradas!F:F,,0,1)</f>
        <v>PROFESSOR DO MAGISTERIO SUPERIOR</v>
      </c>
      <c r="G223" t="str">
        <f>_xlfn.XLOOKUP($B223,Entradas!$B:$B,Entradas!G:G,,0,1)</f>
        <v>FUC-0001</v>
      </c>
      <c r="H223" t="str">
        <f>_xlfn.XLOOKUP($B223,Entradas!$B:$B,Entradas!H:H,,0,1)</f>
        <v>FUC-0001</v>
      </c>
      <c r="I223" s="49">
        <f>_xlfn.XLOOKUP($B223,Entradas!$B:$B,Entradas!I:I,,0,1)</f>
        <v>45228</v>
      </c>
      <c r="J223" s="49">
        <f>_xlfn.XLOOKUP($B223,Entradas!$B:$B,Entradas!J:J,,0,1)</f>
        <v>45231</v>
      </c>
      <c r="K223" t="str">
        <f>_xlfn.XLOOKUP($B223,Entradas!$B:$B,Entradas!K:K,,0,1)</f>
        <v>Participação da reunião de coordenadores de programas de pós-graduação da área de Administração Pública e de Empresas, Ciências Contábeis e Turismo (área 27). O Seminário consiste em reunião dos coordenadores de área para fins de discutir e planejar, em conjunto, as metas e diretrizes da área para fins de avaliação. Além disso, esta será uma oportunidade para compartilhamento de experiências e análise do desempenho dos programas nos dois primeiros anos do quadriênio.</v>
      </c>
      <c r="L223">
        <f>SUMIF(Entradas!$B:$B,'Entrada Lvl 5-4 qt'!$B223,Entradas!S:S)</f>
        <v>3426.839982</v>
      </c>
      <c r="M223" t="str">
        <f>_xlfn.XLOOKUP($B223,Entradas!$B:$B,Entradas!T:T,,0,1)</f>
        <v>Aéreo</v>
      </c>
      <c r="N223" t="str">
        <f>_xlfn.XLOOKUP($B223,Entradas!$B:$B,Entradas!U:U,,0,1)</f>
        <v>Sim</v>
      </c>
      <c r="O223" t="str">
        <f>_xlfn.XLOOKUP($B223,Entradas!$B:$B,Entradas!V:V,,0,1)</f>
        <v>Realizada</v>
      </c>
      <c r="P223" t="str">
        <f>_xlfn.XLOOKUP($B223,Entradas!$B:$B,Entradas!W:W,,0,1)</f>
        <v>NÃO</v>
      </c>
      <c r="Q223" t="str">
        <f>_xlfn.XLOOKUP($B223,Entradas!$B:$B,Entradas!X:X,,0,1)</f>
        <v>Sem informação</v>
      </c>
      <c r="R223" s="36">
        <f>SUMIF(Entradas!$B:$B,'Entrada Lvl 5-4 qt'!$B223,Entradas!Y:Y)</f>
        <v>1339.26</v>
      </c>
      <c r="S223" s="36">
        <f>SUMIF(Entradas!$B:$B,'Entrada Lvl 5-4 qt'!$B223,Entradas!Z:Z)</f>
        <v>0</v>
      </c>
      <c r="T223" s="36">
        <f>SUMIF(Entradas!$B:$B,'Entrada Lvl 5-4 qt'!$B223,Entradas!AA:AA)</f>
        <v>1941.6599999999999</v>
      </c>
      <c r="U223" s="36">
        <f>SUMIF(Entradas!$B:$B,'Entrada Lvl 5-4 qt'!$B223,Entradas!AB:AB)</f>
        <v>0</v>
      </c>
      <c r="V223" s="49">
        <f>_xlfn.XLOOKUP($B223,Entradas!$B:$B,Entradas!AC:AC,,0,1)</f>
        <v>45118</v>
      </c>
      <c r="W223" s="58">
        <f t="shared" si="19"/>
        <v>3</v>
      </c>
      <c r="X223" s="28" t="s">
        <v>10</v>
      </c>
      <c r="Y223" s="32">
        <f t="shared" si="15"/>
        <v>0</v>
      </c>
      <c r="Z223" s="33">
        <f t="shared" si="16"/>
        <v>1941.6599999999999</v>
      </c>
      <c r="AA223" s="34">
        <f t="shared" si="17"/>
        <v>1339.26</v>
      </c>
      <c r="AB223" s="28" t="s">
        <v>1815</v>
      </c>
      <c r="AC223" s="28" t="s">
        <v>1784</v>
      </c>
      <c r="AD223" s="29" t="str" cm="1">
        <f t="array" ref="AD223">_xlfn.IFS(L223&lt;=Constantes!$G$2,"Muito Curta (evitável)",L223&lt;=Constantes!$H$2,"Curta Distância",L223&gt;Constantes!$H$2,"Longa Distância")</f>
        <v>Curta Distância</v>
      </c>
      <c r="AE223" s="30" t="str">
        <f t="shared" si="18"/>
        <v>NÃO</v>
      </c>
      <c r="AF223" s="30">
        <f>SUMIF(Entradas!$B:$B,'Entrada Lvl 5-4 qt'!$B223,Entradas!$AG:$AG)</f>
        <v>626.66401501165365</v>
      </c>
      <c r="AG223" s="30"/>
      <c r="BD223" s="49"/>
      <c r="BE223" s="49"/>
    </row>
    <row r="224" spans="1:57" x14ac:dyDescent="0.3">
      <c r="A224">
        <f>_xlfn.XLOOKUP(B224,Entradas!B:B,Entradas!A:A,,0,-1)</f>
        <v>2</v>
      </c>
      <c r="B224">
        <v>19147264</v>
      </c>
      <c r="C224" t="str">
        <f>_xlfn.XLOOKUP($B224,Entradas!$B:$B,Entradas!C:C,,0,1)</f>
        <v>000732/23</v>
      </c>
      <c r="D224" t="str">
        <f>_xlfn.XLOOKUP($B224,Entradas!$B:$B,Entradas!D:D,,0,1)</f>
        <v>***.293.200-**</v>
      </c>
      <c r="E224" t="str">
        <f>_xlfn.XLOOKUP($B224,Entradas!$B:$B,Entradas!E:E,,0,1)</f>
        <v>CRISTIANO BONNEAU</v>
      </c>
      <c r="F224" t="str">
        <f>_xlfn.XLOOKUP($B224,Entradas!$B:$B,Entradas!F:F,,0,1)</f>
        <v>PROFESSOR DO MAGISTERIO SUPERIOR</v>
      </c>
      <c r="G224" t="str">
        <f>_xlfn.XLOOKUP($B224,Entradas!$B:$B,Entradas!G:G,,0,1)</f>
        <v>FUC-0001</v>
      </c>
      <c r="H224" t="str">
        <f>_xlfn.XLOOKUP($B224,Entradas!$B:$B,Entradas!H:H,,0,1)</f>
        <v>FUC-0001</v>
      </c>
      <c r="I224" s="49">
        <f>_xlfn.XLOOKUP($B224,Entradas!$B:$B,Entradas!I:I,,0,1)</f>
        <v>45228</v>
      </c>
      <c r="J224" s="49">
        <f>_xlfn.XLOOKUP($B224,Entradas!$B:$B,Entradas!J:J,,0,1)</f>
        <v>45231</v>
      </c>
      <c r="K224" t="str">
        <f>_xlfn.XLOOKUP($B224,Entradas!$B:$B,Entradas!K:K,,0,1)</f>
        <v>Participar como representante do PPGF do Seminário de Meio Termo da CAPES na área de Filosofia.</v>
      </c>
      <c r="L224">
        <f>SUMIF(Entradas!$B:$B,'Entrada Lvl 5-4 qt'!$B224,Entradas!S:S)</f>
        <v>3426.839982</v>
      </c>
      <c r="M224" t="str">
        <f>_xlfn.XLOOKUP($B224,Entradas!$B:$B,Entradas!T:T,,0,1)</f>
        <v>Aéreo</v>
      </c>
      <c r="N224" t="str">
        <f>_xlfn.XLOOKUP($B224,Entradas!$B:$B,Entradas!U:U,,0,1)</f>
        <v>Não</v>
      </c>
      <c r="O224" t="str">
        <f>_xlfn.XLOOKUP($B224,Entradas!$B:$B,Entradas!V:V,,0,1)</f>
        <v>Realizada</v>
      </c>
      <c r="P224" t="str">
        <f>_xlfn.XLOOKUP($B224,Entradas!$B:$B,Entradas!W:W,,0,1)</f>
        <v>NÃO</v>
      </c>
      <c r="Q224" t="str">
        <f>_xlfn.XLOOKUP($B224,Entradas!$B:$B,Entradas!X:X,,0,1)</f>
        <v>Sem informação</v>
      </c>
      <c r="R224" s="36">
        <f>SUMIF(Entradas!$B:$B,'Entrada Lvl 5-4 qt'!$B224,Entradas!Y:Y)</f>
        <v>1273.32</v>
      </c>
      <c r="S224" s="36">
        <f>SUMIF(Entradas!$B:$B,'Entrada Lvl 5-4 qt'!$B224,Entradas!Z:Z)</f>
        <v>0</v>
      </c>
      <c r="T224" s="36">
        <f>SUMIF(Entradas!$B:$B,'Entrada Lvl 5-4 qt'!$B224,Entradas!AA:AA)</f>
        <v>1856</v>
      </c>
      <c r="U224" s="36">
        <f>SUMIF(Entradas!$B:$B,'Entrada Lvl 5-4 qt'!$B224,Entradas!AB:AB)</f>
        <v>0</v>
      </c>
      <c r="V224" s="49">
        <f>_xlfn.XLOOKUP($B224,Entradas!$B:$B,Entradas!AC:AC,,0,1)</f>
        <v>45141</v>
      </c>
      <c r="W224" s="58">
        <f t="shared" si="19"/>
        <v>3</v>
      </c>
      <c r="X224" s="28" t="s">
        <v>10</v>
      </c>
      <c r="Y224" s="32">
        <f t="shared" si="15"/>
        <v>0</v>
      </c>
      <c r="Z224" s="33">
        <f t="shared" si="16"/>
        <v>1856</v>
      </c>
      <c r="AA224" s="34">
        <f t="shared" si="17"/>
        <v>1273.32</v>
      </c>
      <c r="AB224" s="28" t="s">
        <v>1813</v>
      </c>
      <c r="AC224" s="28" t="s">
        <v>1784</v>
      </c>
      <c r="AD224" s="29" t="str" cm="1">
        <f t="array" ref="AD224">_xlfn.IFS(L224&lt;=Constantes!$G$2,"Muito Curta (evitável)",L224&lt;=Constantes!$H$2,"Curta Distância",L224&gt;Constantes!$H$2,"Longa Distância")</f>
        <v>Curta Distância</v>
      </c>
      <c r="AE224" s="30" t="str">
        <f t="shared" si="18"/>
        <v>NÃO</v>
      </c>
      <c r="AF224" s="30">
        <f>SUMIF(Entradas!$B:$B,'Entrada Lvl 5-4 qt'!$B224,Entradas!$AG:$AG)</f>
        <v>626.66401501165365</v>
      </c>
      <c r="AG224" s="30"/>
      <c r="BD224" s="49"/>
      <c r="BE224" s="49"/>
    </row>
    <row r="225" spans="1:57" x14ac:dyDescent="0.3">
      <c r="A225">
        <f>_xlfn.XLOOKUP(B225,Entradas!B:B,Entradas!A:A,,0,-1)</f>
        <v>2</v>
      </c>
      <c r="B225">
        <v>19260865</v>
      </c>
      <c r="C225" t="str">
        <f>_xlfn.XLOOKUP($B225,Entradas!$B:$B,Entradas!C:C,,0,1)</f>
        <v>001107/23</v>
      </c>
      <c r="D225" t="str">
        <f>_xlfn.XLOOKUP($B225,Entradas!$B:$B,Entradas!D:D,,0,1)</f>
        <v>***.066.024-**</v>
      </c>
      <c r="E225" t="str">
        <f>_xlfn.XLOOKUP($B225,Entradas!$B:$B,Entradas!E:E,,0,1)</f>
        <v>JOSE JORGE LIMA DIAS JUNIOR</v>
      </c>
      <c r="F225" t="str">
        <f>_xlfn.XLOOKUP($B225,Entradas!$B:$B,Entradas!F:F,,0,1)</f>
        <v>PROFESSOR DO MAGISTERIO SUPERIOR</v>
      </c>
      <c r="G225" t="str">
        <f>_xlfn.XLOOKUP($B225,Entradas!$B:$B,Entradas!G:G,,0,1)</f>
        <v>-1</v>
      </c>
      <c r="H225" t="str">
        <f>_xlfn.XLOOKUP($B225,Entradas!$B:$B,Entradas!H:H,,0,1)</f>
        <v>Sem informação</v>
      </c>
      <c r="I225" s="49">
        <f>_xlfn.XLOOKUP($B225,Entradas!$B:$B,Entradas!I:I,,0,1)</f>
        <v>45228</v>
      </c>
      <c r="J225" s="49">
        <f>_xlfn.XLOOKUP($B225,Entradas!$B:$B,Entradas!J:J,,0,1)</f>
        <v>45230</v>
      </c>
      <c r="K225" t="str">
        <f>_xlfn.XLOOKUP($B225,Entradas!$B:$B,Entradas!K:K,,0,1)</f>
        <v>O professor irá representar o Programa de Pós-Graduação em Administração no Seminário de Meio Termo realizado pela CAPES. O Seminário consiste em uma reunião dos coordenadores de área com coordenadores(as) ou representantes dos programas de pós-graduação stricto sensu em funcionamento para fins de discutir e planejar, em conjunto, as metas e diretrizes da área para fins de avaliação. Além disso, esta será uma oportunidade para compartilhamento de experiências e análise do desempenho dos programas nos dois primeiros anos do quadriênio.</v>
      </c>
      <c r="L225">
        <f>SUMIF(Entradas!$B:$B,'Entrada Lvl 5-4 qt'!$B225,Entradas!S:S)</f>
        <v>3426.839982</v>
      </c>
      <c r="M225" t="str">
        <f>_xlfn.XLOOKUP($B225,Entradas!$B:$B,Entradas!T:T,,0,1)</f>
        <v>Aéreo</v>
      </c>
      <c r="N225" t="str">
        <f>_xlfn.XLOOKUP($B225,Entradas!$B:$B,Entradas!U:U,,0,1)</f>
        <v>Não</v>
      </c>
      <c r="O225" t="str">
        <f>_xlfn.XLOOKUP($B225,Entradas!$B:$B,Entradas!V:V,,0,1)</f>
        <v>Realizada</v>
      </c>
      <c r="P225" t="str">
        <f>_xlfn.XLOOKUP($B225,Entradas!$B:$B,Entradas!W:W,,0,1)</f>
        <v>NÃO</v>
      </c>
      <c r="Q225" t="str">
        <f>_xlfn.XLOOKUP($B225,Entradas!$B:$B,Entradas!X:X,,0,1)</f>
        <v>Sem informação</v>
      </c>
      <c r="R225" s="36">
        <f>SUMIF(Entradas!$B:$B,'Entrada Lvl 5-4 qt'!$B225,Entradas!Y:Y)</f>
        <v>988.03</v>
      </c>
      <c r="S225" s="36">
        <f>SUMIF(Entradas!$B:$B,'Entrada Lvl 5-4 qt'!$B225,Entradas!Z:Z)</f>
        <v>0</v>
      </c>
      <c r="T225" s="36">
        <f>SUMIF(Entradas!$B:$B,'Entrada Lvl 5-4 qt'!$B225,Entradas!AA:AA)</f>
        <v>2121.6</v>
      </c>
      <c r="U225" s="36">
        <f>SUMIF(Entradas!$B:$B,'Entrada Lvl 5-4 qt'!$B225,Entradas!AB:AB)</f>
        <v>0</v>
      </c>
      <c r="V225" s="49">
        <f>_xlfn.XLOOKUP($B225,Entradas!$B:$B,Entradas!AC:AC,,0,1)</f>
        <v>45187</v>
      </c>
      <c r="W225" s="58">
        <f t="shared" si="19"/>
        <v>2</v>
      </c>
      <c r="X225" s="28" t="s">
        <v>10</v>
      </c>
      <c r="Y225" s="32">
        <f t="shared" si="15"/>
        <v>0</v>
      </c>
      <c r="Z225" s="33">
        <f t="shared" si="16"/>
        <v>2121.6</v>
      </c>
      <c r="AA225" s="34">
        <f t="shared" si="17"/>
        <v>988.03</v>
      </c>
      <c r="AB225" s="28" t="s">
        <v>1813</v>
      </c>
      <c r="AC225" s="28" t="s">
        <v>1784</v>
      </c>
      <c r="AD225" s="29" t="str" cm="1">
        <f t="array" ref="AD225">_xlfn.IFS(L225&lt;=Constantes!$G$2,"Muito Curta (evitável)",L225&lt;=Constantes!$H$2,"Curta Distância",L225&gt;Constantes!$H$2,"Longa Distância")</f>
        <v>Curta Distância</v>
      </c>
      <c r="AE225" s="30" t="str">
        <f t="shared" si="18"/>
        <v>NÃO</v>
      </c>
      <c r="AF225" s="30">
        <f>SUMIF(Entradas!$B:$B,'Entrada Lvl 5-4 qt'!$B225,Entradas!$AG:$AG)</f>
        <v>626.66401501165365</v>
      </c>
      <c r="AG225" s="30"/>
      <c r="BD225" s="49"/>
      <c r="BE225" s="49"/>
    </row>
    <row r="226" spans="1:57" x14ac:dyDescent="0.3">
      <c r="A226">
        <f>_xlfn.XLOOKUP(B226,Entradas!B:B,Entradas!A:A,,0,-1)</f>
        <v>2</v>
      </c>
      <c r="B226">
        <v>19265849</v>
      </c>
      <c r="C226" t="str">
        <f>_xlfn.XLOOKUP($B226,Entradas!$B:$B,Entradas!C:C,,0,1)</f>
        <v>001067/23</v>
      </c>
      <c r="D226" t="str">
        <f>_xlfn.XLOOKUP($B226,Entradas!$B:$B,Entradas!D:D,,0,1)</f>
        <v>***.932.194-**</v>
      </c>
      <c r="E226" t="str">
        <f>_xlfn.XLOOKUP($B226,Entradas!$B:$B,Entradas!E:E,,0,1)</f>
        <v>ANA CAROLINA KRUTA DE ARAUJO BISPO</v>
      </c>
      <c r="F226" t="str">
        <f>_xlfn.XLOOKUP($B226,Entradas!$B:$B,Entradas!F:F,,0,1)</f>
        <v>PROFESSOR DO MAGISTERIO SUPERIOR</v>
      </c>
      <c r="G226" t="str">
        <f>_xlfn.XLOOKUP($B226,Entradas!$B:$B,Entradas!G:G,,0,1)</f>
        <v>-1</v>
      </c>
      <c r="H226" t="str">
        <f>_xlfn.XLOOKUP($B226,Entradas!$B:$B,Entradas!H:H,,0,1)</f>
        <v>Sem informação</v>
      </c>
      <c r="I226" s="49">
        <f>_xlfn.XLOOKUP($B226,Entradas!$B:$B,Entradas!I:I,,0,1)</f>
        <v>45228</v>
      </c>
      <c r="J226" s="49">
        <f>_xlfn.XLOOKUP($B226,Entradas!$B:$B,Entradas!J:J,,0,1)</f>
        <v>45230</v>
      </c>
      <c r="K226" t="str">
        <f>_xlfn.XLOOKUP($B226,Entradas!$B:$B,Entradas!K:K,,0,1)</f>
        <v>A docente atua como vice-coordenadora do Programa de Pós-Graduação em Gestão Pública e Cooperação Internacional (PGPCI) e atuará como representante do Programa na reunião de meio termo da área de Administração Pública e de Empresas, Ciências Contábeis e Turismo, nos dias 30 e 31/10/2023.</v>
      </c>
      <c r="L226">
        <f>SUMIF(Entradas!$B:$B,'Entrada Lvl 5-4 qt'!$B226,Entradas!S:S)</f>
        <v>3426.839982</v>
      </c>
      <c r="M226" t="str">
        <f>_xlfn.XLOOKUP($B226,Entradas!$B:$B,Entradas!T:T,,0,1)</f>
        <v>Aéreo</v>
      </c>
      <c r="N226" t="str">
        <f>_xlfn.XLOOKUP($B226,Entradas!$B:$B,Entradas!U:U,,0,1)</f>
        <v>Não</v>
      </c>
      <c r="O226" t="str">
        <f>_xlfn.XLOOKUP($B226,Entradas!$B:$B,Entradas!V:V,,0,1)</f>
        <v>Realizada</v>
      </c>
      <c r="P226" t="str">
        <f>_xlfn.XLOOKUP($B226,Entradas!$B:$B,Entradas!W:W,,0,1)</f>
        <v>NÃO</v>
      </c>
      <c r="Q226" t="str">
        <f>_xlfn.XLOOKUP($B226,Entradas!$B:$B,Entradas!X:X,,0,1)</f>
        <v>Sem informação</v>
      </c>
      <c r="R226" s="36">
        <f>SUMIF(Entradas!$B:$B,'Entrada Lvl 5-4 qt'!$B226,Entradas!Y:Y)</f>
        <v>988.03</v>
      </c>
      <c r="S226" s="36">
        <f>SUMIF(Entradas!$B:$B,'Entrada Lvl 5-4 qt'!$B226,Entradas!Z:Z)</f>
        <v>0</v>
      </c>
      <c r="T226" s="36">
        <f>SUMIF(Entradas!$B:$B,'Entrada Lvl 5-4 qt'!$B226,Entradas!AA:AA)</f>
        <v>1597.1</v>
      </c>
      <c r="U226" s="36">
        <f>SUMIF(Entradas!$B:$B,'Entrada Lvl 5-4 qt'!$B226,Entradas!AB:AB)</f>
        <v>0</v>
      </c>
      <c r="V226" s="49">
        <f>_xlfn.XLOOKUP($B226,Entradas!$B:$B,Entradas!AC:AC,,0,1)</f>
        <v>45182</v>
      </c>
      <c r="W226" s="58">
        <f t="shared" si="19"/>
        <v>2</v>
      </c>
      <c r="X226" s="28" t="s">
        <v>10</v>
      </c>
      <c r="Y226" s="32">
        <f t="shared" si="15"/>
        <v>0</v>
      </c>
      <c r="Z226" s="33">
        <f t="shared" si="16"/>
        <v>1597.1</v>
      </c>
      <c r="AA226" s="34">
        <f t="shared" si="17"/>
        <v>988.03</v>
      </c>
      <c r="AB226" s="28" t="s">
        <v>1813</v>
      </c>
      <c r="AC226" s="28" t="s">
        <v>1784</v>
      </c>
      <c r="AD226" s="29" t="str" cm="1">
        <f t="array" ref="AD226">_xlfn.IFS(L226&lt;=Constantes!$G$2,"Muito Curta (evitável)",L226&lt;=Constantes!$H$2,"Curta Distância",L226&gt;Constantes!$H$2,"Longa Distância")</f>
        <v>Curta Distância</v>
      </c>
      <c r="AE226" s="30" t="str">
        <f t="shared" si="18"/>
        <v>NÃO</v>
      </c>
      <c r="AF226" s="30">
        <f>SUMIF(Entradas!$B:$B,'Entrada Lvl 5-4 qt'!$B226,Entradas!$AG:$AG)</f>
        <v>626.66401501165365</v>
      </c>
      <c r="AG226" s="30"/>
      <c r="BD226" s="49"/>
      <c r="BE226" s="49"/>
    </row>
    <row r="227" spans="1:57" x14ac:dyDescent="0.3">
      <c r="A227">
        <f>_xlfn.XLOOKUP(B227,Entradas!B:B,Entradas!A:A,,0,-1)</f>
        <v>2</v>
      </c>
      <c r="B227">
        <v>19290976</v>
      </c>
      <c r="C227" t="str">
        <f>_xlfn.XLOOKUP($B227,Entradas!$B:$B,Entradas!C:C,,0,1)</f>
        <v>001091/23</v>
      </c>
      <c r="D227" t="str">
        <f>_xlfn.XLOOKUP($B227,Entradas!$B:$B,Entradas!D:D,,0,1)</f>
        <v>***.023.839-**</v>
      </c>
      <c r="E227" t="str">
        <f>_xlfn.XLOOKUP($B227,Entradas!$B:$B,Entradas!E:E,,0,1)</f>
        <v>SOLANGE MARIA LEDER</v>
      </c>
      <c r="F227" t="str">
        <f>_xlfn.XLOOKUP($B227,Entradas!$B:$B,Entradas!F:F,,0,1)</f>
        <v>PROFESSOR DO MAGISTERIO SUPERIOR</v>
      </c>
      <c r="G227" t="str">
        <f>_xlfn.XLOOKUP($B227,Entradas!$B:$B,Entradas!G:G,,0,1)</f>
        <v>-1</v>
      </c>
      <c r="H227" t="str">
        <f>_xlfn.XLOOKUP($B227,Entradas!$B:$B,Entradas!H:H,,0,1)</f>
        <v>Sem informação</v>
      </c>
      <c r="I227" s="49">
        <f>_xlfn.XLOOKUP($B227,Entradas!$B:$B,Entradas!I:I,,0,1)</f>
        <v>45228</v>
      </c>
      <c r="J227" s="49">
        <f>_xlfn.XLOOKUP($B227,Entradas!$B:$B,Entradas!J:J,,0,1)</f>
        <v>45232</v>
      </c>
      <c r="K227" t="str">
        <f>_xlfn.XLOOKUP($B227,Entradas!$B:$B,Entradas!K:K,,0,1)</f>
        <v>A interessada é docente permanente no Programa de Pós-Graduação em Arquitetura e Urbanismo, do Centro de Tecnologia da UFPB, tendo aprovado 9 artigos (3 sem correções, 6 com correções que estão em curso). Os artigos aprovados serão apresentados no evento e publicados nos respectivos anais.</v>
      </c>
      <c r="L227">
        <f>SUMIF(Entradas!$B:$B,'Entrada Lvl 5-4 qt'!$B227,Entradas!S:S)</f>
        <v>4379.9484839999996</v>
      </c>
      <c r="M227" t="str">
        <f>_xlfn.XLOOKUP($B227,Entradas!$B:$B,Entradas!T:T,,0,1)</f>
        <v>Aéreo</v>
      </c>
      <c r="N227" t="str">
        <f>_xlfn.XLOOKUP($B227,Entradas!$B:$B,Entradas!U:U,,0,1)</f>
        <v>Não</v>
      </c>
      <c r="O227" t="str">
        <f>_xlfn.XLOOKUP($B227,Entradas!$B:$B,Entradas!V:V,,0,1)</f>
        <v>Realizada</v>
      </c>
      <c r="P227" t="str">
        <f>_xlfn.XLOOKUP($B227,Entradas!$B:$B,Entradas!W:W,,0,1)</f>
        <v>NÃO</v>
      </c>
      <c r="Q227" t="str">
        <f>_xlfn.XLOOKUP($B227,Entradas!$B:$B,Entradas!X:X,,0,1)</f>
        <v>Sem informação</v>
      </c>
      <c r="R227" s="36">
        <f>SUMIF(Entradas!$B:$B,'Entrada Lvl 5-4 qt'!$B227,Entradas!Y:Y)</f>
        <v>1720.4</v>
      </c>
      <c r="S227" s="36">
        <f>SUMIF(Entradas!$B:$B,'Entrada Lvl 5-4 qt'!$B227,Entradas!Z:Z)</f>
        <v>0</v>
      </c>
      <c r="T227" s="36">
        <f>SUMIF(Entradas!$B:$B,'Entrada Lvl 5-4 qt'!$B227,Entradas!AA:AA)</f>
        <v>2142.34</v>
      </c>
      <c r="U227" s="36">
        <f>SUMIF(Entradas!$B:$B,'Entrada Lvl 5-4 qt'!$B227,Entradas!AB:AB)</f>
        <v>0</v>
      </c>
      <c r="V227" s="49">
        <f>_xlfn.XLOOKUP($B227,Entradas!$B:$B,Entradas!AC:AC,,0,1)</f>
        <v>45184</v>
      </c>
      <c r="W227" s="58">
        <f t="shared" si="19"/>
        <v>4</v>
      </c>
      <c r="X227" s="28" t="s">
        <v>10</v>
      </c>
      <c r="Y227" s="32">
        <f t="shared" si="15"/>
        <v>0</v>
      </c>
      <c r="Z227" s="33">
        <f t="shared" si="16"/>
        <v>2142.34</v>
      </c>
      <c r="AA227" s="34">
        <f t="shared" si="17"/>
        <v>1720.4</v>
      </c>
      <c r="AB227" s="28" t="s">
        <v>1814</v>
      </c>
      <c r="AC227" s="28" t="s">
        <v>1820</v>
      </c>
      <c r="AD227" s="29" t="str" cm="1">
        <f t="array" ref="AD227">_xlfn.IFS(L227&lt;=Constantes!$G$2,"Muito Curta (evitável)",L227&lt;=Constantes!$H$2,"Curta Distância",L227&gt;Constantes!$H$2,"Longa Distância")</f>
        <v>Longa Distância</v>
      </c>
      <c r="AE227" s="30" t="str">
        <f t="shared" si="18"/>
        <v>NÃO</v>
      </c>
      <c r="AF227" s="30">
        <f>SUMIF(Entradas!$B:$B,'Entrada Lvl 5-4 qt'!$B227,Entradas!$AG:$AG)</f>
        <v>800.95835140972315</v>
      </c>
      <c r="AG227" s="30"/>
      <c r="BD227" s="49"/>
      <c r="BE227" s="49"/>
    </row>
    <row r="228" spans="1:57" x14ac:dyDescent="0.3">
      <c r="A228">
        <f>_xlfn.XLOOKUP(B228,Entradas!B:B,Entradas!A:A,,0,-1)</f>
        <v>2</v>
      </c>
      <c r="B228">
        <v>19293715</v>
      </c>
      <c r="C228" t="str">
        <f>_xlfn.XLOOKUP($B228,Entradas!$B:$B,Entradas!C:C,,0,1)</f>
        <v>001097/23</v>
      </c>
      <c r="D228" t="str">
        <f>_xlfn.XLOOKUP($B228,Entradas!$B:$B,Entradas!D:D,,0,1)</f>
        <v>***.344.524-**</v>
      </c>
      <c r="E228" t="str">
        <f>_xlfn.XLOOKUP($B228,Entradas!$B:$B,Entradas!E:E,,0,1)</f>
        <v>RENATE MARIA RAMOS WELLEN</v>
      </c>
      <c r="F228" t="str">
        <f>_xlfn.XLOOKUP($B228,Entradas!$B:$B,Entradas!F:F,,0,1)</f>
        <v>PROFESSOR DO MAGISTERIO SUPERIOR</v>
      </c>
      <c r="G228" t="str">
        <f>_xlfn.XLOOKUP($B228,Entradas!$B:$B,Entradas!G:G,,0,1)</f>
        <v>CD-0004</v>
      </c>
      <c r="H228" t="str">
        <f>_xlfn.XLOOKUP($B228,Entradas!$B:$B,Entradas!H:H,,0,1)</f>
        <v>Cargo Comissionado de Direção</v>
      </c>
      <c r="I228" s="49">
        <f>_xlfn.XLOOKUP($B228,Entradas!$B:$B,Entradas!I:I,,0,1)</f>
        <v>45228</v>
      </c>
      <c r="J228" s="49">
        <f>_xlfn.XLOOKUP($B228,Entradas!$B:$B,Entradas!J:J,,0,1)</f>
        <v>45232</v>
      </c>
      <c r="K228" t="str">
        <f>_xlfn.XLOOKUP($B228,Entradas!$B:$B,Entradas!K:K,,0,1)</f>
        <v>A pesquisadora/docente irá participar/apresentar trabalhos no 17º CBPol, como também participará de reuniões técnicas visando discussão de metodologias e resultados de projetos aprovados em execução na UFPB, como também formação de novas parcerias. Indubitavelmente trará novos conhecimentos para docentes e discentes da UFPB. (https://cbpol.com.br/)</v>
      </c>
      <c r="L228">
        <f>SUMIF(Entradas!$B:$B,'Entrada Lvl 5-4 qt'!$B228,Entradas!S:S)</f>
        <v>5159.6698159999996</v>
      </c>
      <c r="M228" t="str">
        <f>_xlfn.XLOOKUP($B228,Entradas!$B:$B,Entradas!T:T,,0,1)</f>
        <v>Aéreo</v>
      </c>
      <c r="N228" t="str">
        <f>_xlfn.XLOOKUP($B228,Entradas!$B:$B,Entradas!U:U,,0,1)</f>
        <v>Sim</v>
      </c>
      <c r="O228" t="str">
        <f>_xlfn.XLOOKUP($B228,Entradas!$B:$B,Entradas!V:V,,0,1)</f>
        <v>Realizada</v>
      </c>
      <c r="P228" t="str">
        <f>_xlfn.XLOOKUP($B228,Entradas!$B:$B,Entradas!W:W,,0,1)</f>
        <v>NÃO</v>
      </c>
      <c r="Q228" t="str">
        <f>_xlfn.XLOOKUP($B228,Entradas!$B:$B,Entradas!X:X,,0,1)</f>
        <v>Sem informação</v>
      </c>
      <c r="R228" s="36">
        <f>SUMIF(Entradas!$B:$B,'Entrada Lvl 5-4 qt'!$B228,Entradas!Y:Y)</f>
        <v>1359.32</v>
      </c>
      <c r="S228" s="36">
        <f>SUMIF(Entradas!$B:$B,'Entrada Lvl 5-4 qt'!$B228,Entradas!Z:Z)</f>
        <v>0</v>
      </c>
      <c r="T228" s="36">
        <f>SUMIF(Entradas!$B:$B,'Entrada Lvl 5-4 qt'!$B228,Entradas!AA:AA)</f>
        <v>4084.25</v>
      </c>
      <c r="U228" s="36">
        <f>SUMIF(Entradas!$B:$B,'Entrada Lvl 5-4 qt'!$B228,Entradas!AB:AB)</f>
        <v>0</v>
      </c>
      <c r="V228" s="49">
        <f>_xlfn.XLOOKUP($B228,Entradas!$B:$B,Entradas!AC:AC,,0,1)</f>
        <v>45187</v>
      </c>
      <c r="W228" s="58">
        <f t="shared" si="19"/>
        <v>4</v>
      </c>
      <c r="X228" s="28" t="s">
        <v>10</v>
      </c>
      <c r="Y228" s="32">
        <f t="shared" si="15"/>
        <v>0</v>
      </c>
      <c r="Z228" s="33">
        <f t="shared" si="16"/>
        <v>4084.25</v>
      </c>
      <c r="AA228" s="34">
        <f t="shared" si="17"/>
        <v>1359.32</v>
      </c>
      <c r="AB228" s="28" t="s">
        <v>1814</v>
      </c>
      <c r="AC228" s="28" t="s">
        <v>1820</v>
      </c>
      <c r="AD228" s="29" t="str" cm="1">
        <f t="array" ref="AD228">_xlfn.IFS(L228&lt;=Constantes!$G$2,"Muito Curta (evitável)",L228&lt;=Constantes!$H$2,"Curta Distância",L228&gt;Constantes!$H$2,"Longa Distância")</f>
        <v>Longa Distância</v>
      </c>
      <c r="AE228" s="30" t="str">
        <f t="shared" si="18"/>
        <v>NÃO</v>
      </c>
      <c r="AF228" s="30">
        <f>SUMIF(Entradas!$B:$B,'Entrada Lvl 5-4 qt'!$B228,Entradas!$AG:$AG)</f>
        <v>943.54548797516622</v>
      </c>
      <c r="AG228" s="30"/>
      <c r="BD228" s="49"/>
      <c r="BE228" s="49"/>
    </row>
    <row r="229" spans="1:57" x14ac:dyDescent="0.3">
      <c r="A229">
        <f>_xlfn.XLOOKUP(B229,Entradas!B:B,Entradas!A:A,,0,-1)</f>
        <v>2</v>
      </c>
      <c r="B229">
        <v>19304242</v>
      </c>
      <c r="C229" t="str">
        <f>_xlfn.XLOOKUP($B229,Entradas!$B:$B,Entradas!C:C,,0,1)</f>
        <v>001124/23</v>
      </c>
      <c r="D229" t="str">
        <f>_xlfn.XLOOKUP($B229,Entradas!$B:$B,Entradas!D:D,,0,1)</f>
        <v>***.878.431-**</v>
      </c>
      <c r="E229" t="str">
        <f>_xlfn.XLOOKUP($B229,Entradas!$B:$B,Entradas!E:E,,0,1)</f>
        <v>CAROLINA COELHO ARAGON</v>
      </c>
      <c r="F229" t="str">
        <f>_xlfn.XLOOKUP($B229,Entradas!$B:$B,Entradas!F:F,,0,1)</f>
        <v>PROFESSOR DO MAGISTERIO SUPERIOR</v>
      </c>
      <c r="G229" t="str">
        <f>_xlfn.XLOOKUP($B229,Entradas!$B:$B,Entradas!G:G,,0,1)</f>
        <v>-1</v>
      </c>
      <c r="H229" t="str">
        <f>_xlfn.XLOOKUP($B229,Entradas!$B:$B,Entradas!H:H,,0,1)</f>
        <v>Sem informação</v>
      </c>
      <c r="I229" s="49">
        <f>_xlfn.XLOOKUP($B229,Entradas!$B:$B,Entradas!I:I,,0,1)</f>
        <v>45228</v>
      </c>
      <c r="J229" s="49">
        <f>_xlfn.XLOOKUP($B229,Entradas!$B:$B,Entradas!J:J,,0,1)</f>
        <v>45242</v>
      </c>
      <c r="K229" t="str">
        <f>_xlfn.XLOOKUP($B229,Entradas!$B:$B,Entradas!K:K,,0,1)</f>
        <v>realização do trabalho na Terra Indígena (TI) Rio Branco, estado de Rondônia. Este trabalho está vinculado ao projeto de pesquisa aprovado pelo Departamento de Língua Portuguesa e Linguístico da UFPB intitulado 'Educação, Linguística, História e Comunidades Indígenas'. Refere-se ao trabalho interdisciplinar desenvolvido em parceria com professoras da Universidade Federal de Rondônia e da Universidade Federal de Santa Catarina voltado à pesquisa e à formação de professores indígenas.</v>
      </c>
      <c r="L229">
        <f>SUMIF(Entradas!$B:$B,'Entrada Lvl 5-4 qt'!$B229,Entradas!S:S)</f>
        <v>5965.5834000000004</v>
      </c>
      <c r="M229" t="str">
        <f>_xlfn.XLOOKUP($B229,Entradas!$B:$B,Entradas!T:T,,0,1)</f>
        <v>Aéreo</v>
      </c>
      <c r="N229" t="str">
        <f>_xlfn.XLOOKUP($B229,Entradas!$B:$B,Entradas!U:U,,0,1)</f>
        <v>Não</v>
      </c>
      <c r="O229" t="str">
        <f>_xlfn.XLOOKUP($B229,Entradas!$B:$B,Entradas!V:V,,0,1)</f>
        <v>Realizada</v>
      </c>
      <c r="P229" t="str">
        <f>_xlfn.XLOOKUP($B229,Entradas!$B:$B,Entradas!W:W,,0,1)</f>
        <v>NÃO</v>
      </c>
      <c r="Q229" t="str">
        <f>_xlfn.XLOOKUP($B229,Entradas!$B:$B,Entradas!X:X,,0,1)</f>
        <v>Sem informação</v>
      </c>
      <c r="R229" s="36">
        <f>SUMIF(Entradas!$B:$B,'Entrada Lvl 5-4 qt'!$B229,Entradas!Y:Y)</f>
        <v>0</v>
      </c>
      <c r="S229" s="36">
        <f>SUMIF(Entradas!$B:$B,'Entrada Lvl 5-4 qt'!$B229,Entradas!Z:Z)</f>
        <v>0</v>
      </c>
      <c r="T229" s="36">
        <f>SUMIF(Entradas!$B:$B,'Entrada Lvl 5-4 qt'!$B229,Entradas!AA:AA)</f>
        <v>2319.9899999999998</v>
      </c>
      <c r="U229" s="36">
        <f>SUMIF(Entradas!$B:$B,'Entrada Lvl 5-4 qt'!$B229,Entradas!AB:AB)</f>
        <v>0</v>
      </c>
      <c r="V229" s="49">
        <f>_xlfn.XLOOKUP($B229,Entradas!$B:$B,Entradas!AC:AC,,0,1)</f>
        <v>45202</v>
      </c>
      <c r="W229" s="58">
        <f t="shared" si="19"/>
        <v>14</v>
      </c>
      <c r="X229" s="28" t="s">
        <v>10</v>
      </c>
      <c r="Y229" s="32">
        <f t="shared" si="15"/>
        <v>0</v>
      </c>
      <c r="Z229" s="33">
        <f t="shared" si="16"/>
        <v>2319.9899999999998</v>
      </c>
      <c r="AA229" s="34">
        <f t="shared" si="17"/>
        <v>0</v>
      </c>
      <c r="AB229" s="28" t="s">
        <v>1814</v>
      </c>
      <c r="AC229" s="28" t="s">
        <v>1820</v>
      </c>
      <c r="AD229" s="29" t="str" cm="1">
        <f t="array" ref="AD229">_xlfn.IFS(L229&lt;=Constantes!$G$2,"Muito Curta (evitável)",L229&lt;=Constantes!$H$2,"Curta Distância",L229&gt;Constantes!$H$2,"Longa Distância")</f>
        <v>Longa Distância</v>
      </c>
      <c r="AE229" s="30" t="str">
        <f t="shared" si="18"/>
        <v>NÃO</v>
      </c>
      <c r="AF229" s="30">
        <f>SUMIF(Entradas!$B:$B,'Entrada Lvl 5-4 qt'!$B229,Entradas!$AG:$AG)</f>
        <v>1090.9223847531473</v>
      </c>
      <c r="AG229" s="30"/>
      <c r="BD229" s="49"/>
      <c r="BE229" s="49"/>
    </row>
    <row r="230" spans="1:57" x14ac:dyDescent="0.3">
      <c r="A230">
        <f>_xlfn.XLOOKUP(B230,Entradas!B:B,Entradas!A:A,,0,-1)</f>
        <v>2</v>
      </c>
      <c r="B230">
        <v>19358601</v>
      </c>
      <c r="C230" t="str">
        <f>_xlfn.XLOOKUP($B230,Entradas!$B:$B,Entradas!C:C,,0,1)</f>
        <v>001324/23</v>
      </c>
      <c r="D230" t="str">
        <f>_xlfn.XLOOKUP($B230,Entradas!$B:$B,Entradas!D:D,,0,1)</f>
        <v>***.031.021-**</v>
      </c>
      <c r="E230" t="str">
        <f>_xlfn.XLOOKUP($B230,Entradas!$B:$B,Entradas!E:E,,0,1)</f>
        <v>WAGNER JUNQUEIRA DE ARAUJO</v>
      </c>
      <c r="F230" t="str">
        <f>_xlfn.XLOOKUP($B230,Entradas!$B:$B,Entradas!F:F,,0,1)</f>
        <v>PROFESSOR DO MAGISTERIO SUPERIOR</v>
      </c>
      <c r="G230" t="str">
        <f>_xlfn.XLOOKUP($B230,Entradas!$B:$B,Entradas!G:G,,0,1)</f>
        <v>FUC-0001</v>
      </c>
      <c r="H230" t="str">
        <f>_xlfn.XLOOKUP($B230,Entradas!$B:$B,Entradas!H:H,,0,1)</f>
        <v>FUC-0001</v>
      </c>
      <c r="I230" s="49">
        <f>_xlfn.XLOOKUP($B230,Entradas!$B:$B,Entradas!I:I,,0,1)</f>
        <v>45228</v>
      </c>
      <c r="J230" s="49">
        <f>_xlfn.XLOOKUP($B230,Entradas!$B:$B,Entradas!J:J,,0,1)</f>
        <v>45231</v>
      </c>
      <c r="K230" t="str">
        <f>_xlfn.XLOOKUP($B230,Entradas!$B:$B,Entradas!K:K,,0,1)</f>
        <v>Participação no Seminário promovido pela CAPES de Meio Termo da CAPES da área de Administração Pública e de Empresas, Ciências Contábeis e Turismo.</v>
      </c>
      <c r="L230">
        <f>SUMIF(Entradas!$B:$B,'Entrada Lvl 5-4 qt'!$B230,Entradas!S:S)</f>
        <v>3426.839982</v>
      </c>
      <c r="M230" t="str">
        <f>_xlfn.XLOOKUP($B230,Entradas!$B:$B,Entradas!T:T,,0,1)</f>
        <v>Aéreo</v>
      </c>
      <c r="N230" t="str">
        <f>_xlfn.XLOOKUP($B230,Entradas!$B:$B,Entradas!U:U,,0,1)</f>
        <v>Não</v>
      </c>
      <c r="O230" t="str">
        <f>_xlfn.XLOOKUP($B230,Entradas!$B:$B,Entradas!V:V,,0,1)</f>
        <v>Realizada</v>
      </c>
      <c r="P230" t="str">
        <f>_xlfn.XLOOKUP($B230,Entradas!$B:$B,Entradas!W:W,,0,1)</f>
        <v>SIM</v>
      </c>
      <c r="Q230" t="str">
        <f>_xlfn.XLOOKUP($B230,Entradas!$B:$B,Entradas!X:X,,0,1)</f>
        <v>mudança de empenho por insuficiência de saldo.</v>
      </c>
      <c r="R230" s="36">
        <f>SUMIF(Entradas!$B:$B,'Entrada Lvl 5-4 qt'!$B230,Entradas!Y:Y)</f>
        <v>1339.26</v>
      </c>
      <c r="S230" s="36">
        <f>SUMIF(Entradas!$B:$B,'Entrada Lvl 5-4 qt'!$B230,Entradas!Z:Z)</f>
        <v>0</v>
      </c>
      <c r="T230" s="36">
        <f>SUMIF(Entradas!$B:$B,'Entrada Lvl 5-4 qt'!$B230,Entradas!AA:AA)</f>
        <v>2829.7</v>
      </c>
      <c r="U230" s="36">
        <f>SUMIF(Entradas!$B:$B,'Entrada Lvl 5-4 qt'!$B230,Entradas!AB:AB)</f>
        <v>0</v>
      </c>
      <c r="V230" s="49">
        <f>_xlfn.XLOOKUP($B230,Entradas!$B:$B,Entradas!AC:AC,,0,1)</f>
        <v>45210</v>
      </c>
      <c r="W230" s="58">
        <f t="shared" si="19"/>
        <v>3</v>
      </c>
      <c r="X230" s="28" t="s">
        <v>10</v>
      </c>
      <c r="Y230" s="32">
        <f t="shared" si="15"/>
        <v>0</v>
      </c>
      <c r="Z230" s="33">
        <f t="shared" si="16"/>
        <v>2829.7</v>
      </c>
      <c r="AA230" s="34">
        <f t="shared" si="17"/>
        <v>1339.26</v>
      </c>
      <c r="AB230" s="28" t="s">
        <v>1813</v>
      </c>
      <c r="AC230" s="28" t="s">
        <v>1784</v>
      </c>
      <c r="AD230" s="29" t="str" cm="1">
        <f t="array" ref="AD230">_xlfn.IFS(L230&lt;=Constantes!$G$2,"Muito Curta (evitável)",L230&lt;=Constantes!$H$2,"Curta Distância",L230&gt;Constantes!$H$2,"Longa Distância")</f>
        <v>Curta Distância</v>
      </c>
      <c r="AE230" s="30" t="str">
        <f t="shared" si="18"/>
        <v>NÃO</v>
      </c>
      <c r="AF230" s="30">
        <f>SUMIF(Entradas!$B:$B,'Entrada Lvl 5-4 qt'!$B230,Entradas!$AG:$AG)</f>
        <v>626.66401501165365</v>
      </c>
      <c r="AG230" s="30"/>
      <c r="BD230" s="49"/>
      <c r="BE230" s="49"/>
    </row>
    <row r="231" spans="1:57" x14ac:dyDescent="0.3">
      <c r="A231">
        <f>_xlfn.XLOOKUP(B231,Entradas!B:B,Entradas!A:A,,0,-1)</f>
        <v>2</v>
      </c>
      <c r="B231">
        <v>19364058</v>
      </c>
      <c r="C231" t="str">
        <f>_xlfn.XLOOKUP($B231,Entradas!$B:$B,Entradas!C:C,,0,1)</f>
        <v>001315/23</v>
      </c>
      <c r="D231" t="str">
        <f>_xlfn.XLOOKUP($B231,Entradas!$B:$B,Entradas!D:D,,0,1)</f>
        <v>***.668.764-**</v>
      </c>
      <c r="E231" t="str">
        <f>_xlfn.XLOOKUP($B231,Entradas!$B:$B,Entradas!E:E,,0,1)</f>
        <v>LUIZ MEDEIROS DE ARAUJO LIMA FILHO</v>
      </c>
      <c r="F231" t="str">
        <f>_xlfn.XLOOKUP($B231,Entradas!$B:$B,Entradas!F:F,,0,1)</f>
        <v>PROFESSOR DO MAGISTERIO SUPERIOR</v>
      </c>
      <c r="G231" t="str">
        <f>_xlfn.XLOOKUP($B231,Entradas!$B:$B,Entradas!G:G,,0,1)</f>
        <v>CD-0003</v>
      </c>
      <c r="H231" t="str">
        <f>_xlfn.XLOOKUP($B231,Entradas!$B:$B,Entradas!H:H,,0,1)</f>
        <v>Cargo Comissionado de Direção</v>
      </c>
      <c r="I231" s="49">
        <f>_xlfn.XLOOKUP($B231,Entradas!$B:$B,Entradas!I:I,,0,1)</f>
        <v>45228</v>
      </c>
      <c r="J231" s="49">
        <f>_xlfn.XLOOKUP($B231,Entradas!$B:$B,Entradas!J:J,,0,1)</f>
        <v>45232</v>
      </c>
      <c r="K231" t="str">
        <f>_xlfn.XLOOKUP($B231,Entradas!$B:$B,Entradas!K:K,,0,1)</f>
        <v>Participação na Reunião Nacional de Pró-Reitores de Pesquisa e Pós-Graduação. Discussões e ações estratégicas para os Programas de Pós-Graduação.</v>
      </c>
      <c r="L231">
        <f>SUMIF(Entradas!$B:$B,'Entrada Lvl 5-4 qt'!$B231,Entradas!S:S)</f>
        <v>5083.2952619999996</v>
      </c>
      <c r="M231" t="str">
        <f>_xlfn.XLOOKUP($B231,Entradas!$B:$B,Entradas!T:T,,0,1)</f>
        <v>Aéreo</v>
      </c>
      <c r="N231" t="str">
        <f>_xlfn.XLOOKUP($B231,Entradas!$B:$B,Entradas!U:U,,0,1)</f>
        <v>Sim</v>
      </c>
      <c r="O231" t="str">
        <f>_xlfn.XLOOKUP($B231,Entradas!$B:$B,Entradas!V:V,,0,1)</f>
        <v>Realizada</v>
      </c>
      <c r="P231" t="str">
        <f>_xlfn.XLOOKUP($B231,Entradas!$B:$B,Entradas!W:W,,0,1)</f>
        <v>NÃO</v>
      </c>
      <c r="Q231" t="str">
        <f>_xlfn.XLOOKUP($B231,Entradas!$B:$B,Entradas!X:X,,0,1)</f>
        <v>Sem informação</v>
      </c>
      <c r="R231" s="36">
        <f>SUMIF(Entradas!$B:$B,'Entrada Lvl 5-4 qt'!$B231,Entradas!Y:Y)</f>
        <v>1750.64</v>
      </c>
      <c r="S231" s="36">
        <f>SUMIF(Entradas!$B:$B,'Entrada Lvl 5-4 qt'!$B231,Entradas!Z:Z)</f>
        <v>0</v>
      </c>
      <c r="T231" s="36">
        <f>SUMIF(Entradas!$B:$B,'Entrada Lvl 5-4 qt'!$B231,Entradas!AA:AA)</f>
        <v>2218.58</v>
      </c>
      <c r="U231" s="36">
        <f>SUMIF(Entradas!$B:$B,'Entrada Lvl 5-4 qt'!$B231,Entradas!AB:AB)</f>
        <v>0</v>
      </c>
      <c r="V231" s="49">
        <f>_xlfn.XLOOKUP($B231,Entradas!$B:$B,Entradas!AC:AC,,0,1)</f>
        <v>45204</v>
      </c>
      <c r="W231" s="58">
        <f t="shared" si="19"/>
        <v>4</v>
      </c>
      <c r="X231" s="28" t="s">
        <v>10</v>
      </c>
      <c r="Y231" s="32">
        <f t="shared" si="15"/>
        <v>0</v>
      </c>
      <c r="Z231" s="33">
        <f t="shared" si="16"/>
        <v>2218.58</v>
      </c>
      <c r="AA231" s="34">
        <f t="shared" si="17"/>
        <v>1750.64</v>
      </c>
      <c r="AB231" s="28" t="s">
        <v>1815</v>
      </c>
      <c r="AC231" s="28" t="s">
        <v>1784</v>
      </c>
      <c r="AD231" s="29" t="str" cm="1">
        <f t="array" ref="AD231">_xlfn.IFS(L231&lt;=Constantes!$G$2,"Muito Curta (evitável)",L231&lt;=Constantes!$H$2,"Curta Distância",L231&gt;Constantes!$H$2,"Longa Distância")</f>
        <v>Longa Distância</v>
      </c>
      <c r="AE231" s="30" t="str">
        <f t="shared" si="18"/>
        <v>NÃO</v>
      </c>
      <c r="AF231" s="30">
        <f>SUMIF(Entradas!$B:$B,'Entrada Lvl 5-4 qt'!$B231,Entradas!$AG:$AG)</f>
        <v>929.57892259546873</v>
      </c>
      <c r="AG231" s="30"/>
      <c r="BD231" s="49"/>
      <c r="BE231" s="49"/>
    </row>
    <row r="232" spans="1:57" x14ac:dyDescent="0.3">
      <c r="A232">
        <f>_xlfn.XLOOKUP(B232,Entradas!B:B,Entradas!A:A,,0,-1)</f>
        <v>2</v>
      </c>
      <c r="B232">
        <v>19385995</v>
      </c>
      <c r="C232" t="str">
        <f>_xlfn.XLOOKUP($B232,Entradas!$B:$B,Entradas!C:C,,0,1)</f>
        <v>001447/23</v>
      </c>
      <c r="D232" t="str">
        <f>_xlfn.XLOOKUP($B232,Entradas!$B:$B,Entradas!D:D,,0,1)</f>
        <v>***.115.774-**</v>
      </c>
      <c r="E232" t="str">
        <f>_xlfn.XLOOKUP($B232,Entradas!$B:$B,Entradas!E:E,,0,1)</f>
        <v>SILVANA CARNEIRO MACIEL</v>
      </c>
      <c r="F232" t="str">
        <f>_xlfn.XLOOKUP($B232,Entradas!$B:$B,Entradas!F:F,,0,1)</f>
        <v>PROFESSOR DO MAGISTERIO SUPERIOR</v>
      </c>
      <c r="G232" t="str">
        <f>_xlfn.XLOOKUP($B232,Entradas!$B:$B,Entradas!G:G,,0,1)</f>
        <v>CD-0002</v>
      </c>
      <c r="H232" t="str">
        <f>_xlfn.XLOOKUP($B232,Entradas!$B:$B,Entradas!H:H,,0,1)</f>
        <v>Cargo Comissionado de Direção</v>
      </c>
      <c r="I232" s="49">
        <f>_xlfn.XLOOKUP($B232,Entradas!$B:$B,Entradas!I:I,,0,1)</f>
        <v>45228</v>
      </c>
      <c r="J232" s="49">
        <f>_xlfn.XLOOKUP($B232,Entradas!$B:$B,Entradas!J:J,,0,1)</f>
        <v>45230</v>
      </c>
      <c r="K232" t="str">
        <f>_xlfn.XLOOKUP($B232,Entradas!$B:$B,Entradas!K:K,,0,1)</f>
        <v>36º FOR GRAD - O 36º Fórum de Pró-Reitorias de Graduação (FORGRAD) ocorrerá no ano de 2023 no Instituto Federal de Brasília (IFB), em Brasília. O Fórum trata a respeita todas Políticas de Educação Superior voltadas para os cursos de graduação nas Instituições de Educação Superior (IES). Neste ano, o FORGRAD tem como tema a Política de Avaliação e Regulação da Educação Superior, que será discutida pelas Pró-Reitorias de Graduação.</v>
      </c>
      <c r="L232">
        <f>SUMIF(Entradas!$B:$B,'Entrada Lvl 5-4 qt'!$B232,Entradas!S:S)</f>
        <v>3426.839982</v>
      </c>
      <c r="M232" t="str">
        <f>_xlfn.XLOOKUP($B232,Entradas!$B:$B,Entradas!T:T,,0,1)</f>
        <v>Aéreo</v>
      </c>
      <c r="N232" t="str">
        <f>_xlfn.XLOOKUP($B232,Entradas!$B:$B,Entradas!U:U,,0,1)</f>
        <v>Sim</v>
      </c>
      <c r="O232" t="str">
        <f>_xlfn.XLOOKUP($B232,Entradas!$B:$B,Entradas!V:V,,0,1)</f>
        <v>Realizada</v>
      </c>
      <c r="P232" t="str">
        <f>_xlfn.XLOOKUP($B232,Entradas!$B:$B,Entradas!W:W,,0,1)</f>
        <v>SIM</v>
      </c>
      <c r="Q232" t="str">
        <f>_xlfn.XLOOKUP($B232,Entradas!$B:$B,Entradas!X:X,,0,1)</f>
        <v>Não se trata de viagem urgente.</v>
      </c>
      <c r="R232" s="36">
        <f>SUMIF(Entradas!$B:$B,'Entrada Lvl 5-4 qt'!$B232,Entradas!Y:Y)</f>
        <v>1118.9000000000001</v>
      </c>
      <c r="S232" s="36">
        <f>SUMIF(Entradas!$B:$B,'Entrada Lvl 5-4 qt'!$B232,Entradas!Z:Z)</f>
        <v>0</v>
      </c>
      <c r="T232" s="36">
        <f>SUMIF(Entradas!$B:$B,'Entrada Lvl 5-4 qt'!$B232,Entradas!AA:AA)</f>
        <v>2106.4</v>
      </c>
      <c r="U232" s="36">
        <f>SUMIF(Entradas!$B:$B,'Entrada Lvl 5-4 qt'!$B232,Entradas!AB:AB)</f>
        <v>1388.99</v>
      </c>
      <c r="V232" s="49">
        <f>_xlfn.XLOOKUP($B232,Entradas!$B:$B,Entradas!AC:AC,,0,1)</f>
        <v>45217</v>
      </c>
      <c r="W232" s="58">
        <f t="shared" si="19"/>
        <v>2</v>
      </c>
      <c r="X232" s="28" t="s">
        <v>10</v>
      </c>
      <c r="Y232" s="32">
        <f t="shared" si="15"/>
        <v>0</v>
      </c>
      <c r="Z232" s="33">
        <f t="shared" si="16"/>
        <v>3495.3900000000003</v>
      </c>
      <c r="AA232" s="34">
        <f t="shared" si="17"/>
        <v>1118.9000000000001</v>
      </c>
      <c r="AB232" s="28" t="s">
        <v>1813</v>
      </c>
      <c r="AC232" s="28" t="s">
        <v>1784</v>
      </c>
      <c r="AD232" s="29" t="str" cm="1">
        <f t="array" ref="AD232">_xlfn.IFS(L232&lt;=Constantes!$G$2,"Muito Curta (evitável)",L232&lt;=Constantes!$H$2,"Curta Distância",L232&gt;Constantes!$H$2,"Longa Distância")</f>
        <v>Curta Distância</v>
      </c>
      <c r="AE232" s="30" t="str">
        <f t="shared" si="18"/>
        <v>NÃO</v>
      </c>
      <c r="AF232" s="30">
        <f>SUMIF(Entradas!$B:$B,'Entrada Lvl 5-4 qt'!$B232,Entradas!$AG:$AG)</f>
        <v>626.66401501165365</v>
      </c>
      <c r="AG232" s="30"/>
      <c r="BD232" s="49"/>
      <c r="BE232" s="49"/>
    </row>
    <row r="233" spans="1:57" x14ac:dyDescent="0.3">
      <c r="A233">
        <f>_xlfn.XLOOKUP(B233,Entradas!B:B,Entradas!A:A,,0,-1)</f>
        <v>2</v>
      </c>
      <c r="B233">
        <v>19396375</v>
      </c>
      <c r="C233" t="str">
        <f>_xlfn.XLOOKUP($B233,Entradas!$B:$B,Entradas!C:C,,0,1)</f>
        <v>001448/23</v>
      </c>
      <c r="D233" t="str">
        <f>_xlfn.XLOOKUP($B233,Entradas!$B:$B,Entradas!D:D,,0,1)</f>
        <v>***.705.344-**</v>
      </c>
      <c r="E233" t="str">
        <f>_xlfn.XLOOKUP($B233,Entradas!$B:$B,Entradas!E:E,,0,1)</f>
        <v>JAILSON RIBEIRO DE OLIVEIRA</v>
      </c>
      <c r="F233" t="str">
        <f>_xlfn.XLOOKUP($B233,Entradas!$B:$B,Entradas!F:F,,0,1)</f>
        <v>PROFESSOR DO MAGISTERIO SUPERIOR</v>
      </c>
      <c r="G233" t="str">
        <f>_xlfn.XLOOKUP($B233,Entradas!$B:$B,Entradas!G:G,,0,1)</f>
        <v>CD-0004</v>
      </c>
      <c r="H233" t="str">
        <f>_xlfn.XLOOKUP($B233,Entradas!$B:$B,Entradas!H:H,,0,1)</f>
        <v>Cargo Comissionado de Direção</v>
      </c>
      <c r="I233" s="49">
        <f>_xlfn.XLOOKUP($B233,Entradas!$B:$B,Entradas!I:I,,0,1)</f>
        <v>45228</v>
      </c>
      <c r="J233" s="49">
        <f>_xlfn.XLOOKUP($B233,Entradas!$B:$B,Entradas!J:J,,0,1)</f>
        <v>45230</v>
      </c>
      <c r="K233" t="str">
        <f>_xlfn.XLOOKUP($B233,Entradas!$B:$B,Entradas!K:K,,0,1)</f>
        <v>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v>
      </c>
      <c r="L233">
        <f>SUMIF(Entradas!$B:$B,'Entrada Lvl 5-4 qt'!$B233,Entradas!S:S)</f>
        <v>3426.839982</v>
      </c>
      <c r="M233" t="str">
        <f>_xlfn.XLOOKUP($B233,Entradas!$B:$B,Entradas!T:T,,0,1)</f>
        <v>Aéreo</v>
      </c>
      <c r="N233" t="str">
        <f>_xlfn.XLOOKUP($B233,Entradas!$B:$B,Entradas!U:U,,0,1)</f>
        <v>Sim</v>
      </c>
      <c r="O233" t="str">
        <f>_xlfn.XLOOKUP($B233,Entradas!$B:$B,Entradas!V:V,,0,1)</f>
        <v>Realizada</v>
      </c>
      <c r="P233" t="str">
        <f>_xlfn.XLOOKUP($B233,Entradas!$B:$B,Entradas!W:W,,0,1)</f>
        <v>SIM</v>
      </c>
      <c r="Q233" t="str">
        <f>_xlfn.XLOOKUP($B233,Entradas!$B:$B,Entradas!X:X,,0,1)</f>
        <v>Não há urgência na viagem</v>
      </c>
      <c r="R233" s="36">
        <f>SUMIF(Entradas!$B:$B,'Entrada Lvl 5-4 qt'!$B233,Entradas!Y:Y)</f>
        <v>988.03</v>
      </c>
      <c r="S233" s="36">
        <f>SUMIF(Entradas!$B:$B,'Entrada Lvl 5-4 qt'!$B233,Entradas!Z:Z)</f>
        <v>0</v>
      </c>
      <c r="T233" s="36">
        <f>SUMIF(Entradas!$B:$B,'Entrada Lvl 5-4 qt'!$B233,Entradas!AA:AA)</f>
        <v>2106.4</v>
      </c>
      <c r="U233" s="36">
        <f>SUMIF(Entradas!$B:$B,'Entrada Lvl 5-4 qt'!$B233,Entradas!AB:AB)</f>
        <v>0</v>
      </c>
      <c r="V233" s="49">
        <f>_xlfn.XLOOKUP($B233,Entradas!$B:$B,Entradas!AC:AC,,0,1)</f>
        <v>45217</v>
      </c>
      <c r="W233" s="58">
        <f t="shared" si="19"/>
        <v>2</v>
      </c>
      <c r="X233" s="28" t="s">
        <v>10</v>
      </c>
      <c r="Y233" s="32">
        <f t="shared" si="15"/>
        <v>0</v>
      </c>
      <c r="Z233" s="33">
        <f t="shared" si="16"/>
        <v>2106.4</v>
      </c>
      <c r="AA233" s="34">
        <f t="shared" si="17"/>
        <v>988.03</v>
      </c>
      <c r="AB233" s="28" t="s">
        <v>1813</v>
      </c>
      <c r="AC233" s="28" t="s">
        <v>1784</v>
      </c>
      <c r="AD233" s="29" t="str" cm="1">
        <f t="array" ref="AD233">_xlfn.IFS(L233&lt;=Constantes!$G$2,"Muito Curta (evitável)",L233&lt;=Constantes!$H$2,"Curta Distância",L233&gt;Constantes!$H$2,"Longa Distância")</f>
        <v>Curta Distância</v>
      </c>
      <c r="AE233" s="30" t="str">
        <f t="shared" si="18"/>
        <v>NÃO</v>
      </c>
      <c r="AF233" s="30">
        <f>SUMIF(Entradas!$B:$B,'Entrada Lvl 5-4 qt'!$B233,Entradas!$AG:$AG)</f>
        <v>626.66401501165365</v>
      </c>
      <c r="AG233" s="30"/>
      <c r="BD233" s="49"/>
      <c r="BE233" s="49"/>
    </row>
    <row r="234" spans="1:57" x14ac:dyDescent="0.3">
      <c r="A234">
        <f>_xlfn.XLOOKUP(B234,Entradas!B:B,Entradas!A:A,,0,-1)</f>
        <v>2</v>
      </c>
      <c r="B234">
        <v>19399734</v>
      </c>
      <c r="C234" t="str">
        <f>_xlfn.XLOOKUP($B234,Entradas!$B:$B,Entradas!C:C,,0,1)</f>
        <v>001449/23</v>
      </c>
      <c r="D234" t="str">
        <f>_xlfn.XLOOKUP($B234,Entradas!$B:$B,Entradas!D:D,,0,1)</f>
        <v/>
      </c>
      <c r="E234" t="str">
        <f>_xlfn.XLOOKUP($B234,Entradas!$B:$B,Entradas!E:E,,0,1)</f>
        <v>ADRIANO DUARTE TAVARES</v>
      </c>
      <c r="F234" t="str">
        <f>_xlfn.XLOOKUP($B234,Entradas!$B:$B,Entradas!F:F,,0,1)</f>
        <v>PROFESSOR DO MAGISTERIO SUPERIOR</v>
      </c>
      <c r="G234" t="str">
        <f>_xlfn.XLOOKUP($B234,Entradas!$B:$B,Entradas!G:G,,0,1)</f>
        <v>CD-0004</v>
      </c>
      <c r="H234" t="str">
        <f>_xlfn.XLOOKUP($B234,Entradas!$B:$B,Entradas!H:H,,0,1)</f>
        <v>Cargo Comissionado de Direção</v>
      </c>
      <c r="I234" s="49">
        <f>_xlfn.XLOOKUP($B234,Entradas!$B:$B,Entradas!I:I,,0,1)</f>
        <v>45228</v>
      </c>
      <c r="J234" s="49">
        <f>_xlfn.XLOOKUP($B234,Entradas!$B:$B,Entradas!J:J,,0,1)</f>
        <v>45231</v>
      </c>
      <c r="K234" t="str">
        <f>_xlfn.XLOOKUP($B234,Entradas!$B:$B,Entradas!K:K,,0,1)</f>
        <v>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v>
      </c>
      <c r="L234">
        <f>SUMIF(Entradas!$B:$B,'Entrada Lvl 5-4 qt'!$B234,Entradas!S:S)</f>
        <v>3426.839982</v>
      </c>
      <c r="M234" t="str">
        <f>_xlfn.XLOOKUP($B234,Entradas!$B:$B,Entradas!T:T,,0,1)</f>
        <v>Aéreo</v>
      </c>
      <c r="N234" t="str">
        <f>_xlfn.XLOOKUP($B234,Entradas!$B:$B,Entradas!U:U,,0,1)</f>
        <v>Não</v>
      </c>
      <c r="O234" t="str">
        <f>_xlfn.XLOOKUP($B234,Entradas!$B:$B,Entradas!V:V,,0,1)</f>
        <v>Realizada</v>
      </c>
      <c r="P234" t="str">
        <f>_xlfn.XLOOKUP($B234,Entradas!$B:$B,Entradas!W:W,,0,1)</f>
        <v>SIM</v>
      </c>
      <c r="Q234" t="str">
        <f>_xlfn.XLOOKUP($B234,Entradas!$B:$B,Entradas!X:X,,0,1)</f>
        <v>Não há urgência na viagem.</v>
      </c>
      <c r="R234" s="36">
        <f>SUMIF(Entradas!$B:$B,'Entrada Lvl 5-4 qt'!$B234,Entradas!Y:Y)</f>
        <v>1339.26</v>
      </c>
      <c r="S234" s="36">
        <f>SUMIF(Entradas!$B:$B,'Entrada Lvl 5-4 qt'!$B234,Entradas!Z:Z)</f>
        <v>0</v>
      </c>
      <c r="T234" s="36">
        <f>SUMIF(Entradas!$B:$B,'Entrada Lvl 5-4 qt'!$B234,Entradas!AA:AA)</f>
        <v>2017.4</v>
      </c>
      <c r="U234" s="36">
        <f>SUMIF(Entradas!$B:$B,'Entrada Lvl 5-4 qt'!$B234,Entradas!AB:AB)</f>
        <v>0</v>
      </c>
      <c r="V234" s="49">
        <f>_xlfn.XLOOKUP($B234,Entradas!$B:$B,Entradas!AC:AC,,0,1)</f>
        <v>45217</v>
      </c>
      <c r="W234" s="58">
        <f t="shared" si="19"/>
        <v>3</v>
      </c>
      <c r="X234" s="28" t="s">
        <v>10</v>
      </c>
      <c r="Y234" s="32">
        <f t="shared" si="15"/>
        <v>0</v>
      </c>
      <c r="Z234" s="33">
        <f t="shared" si="16"/>
        <v>2017.4</v>
      </c>
      <c r="AA234" s="34">
        <f t="shared" si="17"/>
        <v>1339.26</v>
      </c>
      <c r="AB234" s="28" t="s">
        <v>1813</v>
      </c>
      <c r="AC234" s="28" t="s">
        <v>1784</v>
      </c>
      <c r="AD234" s="29" t="str" cm="1">
        <f t="array" ref="AD234">_xlfn.IFS(L234&lt;=Constantes!$G$2,"Muito Curta (evitável)",L234&lt;=Constantes!$H$2,"Curta Distância",L234&gt;Constantes!$H$2,"Longa Distância")</f>
        <v>Curta Distância</v>
      </c>
      <c r="AE234" s="30" t="str">
        <f t="shared" si="18"/>
        <v>NÃO</v>
      </c>
      <c r="AF234" s="30">
        <f>SUMIF(Entradas!$B:$B,'Entrada Lvl 5-4 qt'!$B234,Entradas!$AG:$AG)</f>
        <v>626.66401501165365</v>
      </c>
      <c r="AG234" s="30"/>
      <c r="BD234" s="49"/>
      <c r="BE234" s="49"/>
    </row>
    <row r="235" spans="1:57" x14ac:dyDescent="0.3">
      <c r="A235">
        <f>_xlfn.XLOOKUP(B235,Entradas!B:B,Entradas!A:A,,0,-1)</f>
        <v>2</v>
      </c>
      <c r="B235">
        <v>19317291</v>
      </c>
      <c r="C235" t="str">
        <f>_xlfn.XLOOKUP($B235,Entradas!$B:$B,Entradas!C:C,,0,1)</f>
        <v>001179/23</v>
      </c>
      <c r="D235" t="str">
        <f>_xlfn.XLOOKUP($B235,Entradas!$B:$B,Entradas!D:D,,0,1)</f>
        <v>***.050.813-**</v>
      </c>
      <c r="E235" t="str">
        <f>_xlfn.XLOOKUP($B235,Entradas!$B:$B,Entradas!E:E,,0,1)</f>
        <v>ANTONIA LUCIA DE SOUZA</v>
      </c>
      <c r="F235" t="str">
        <f>_xlfn.XLOOKUP($B235,Entradas!$B:$B,Entradas!F:F,,0,1)</f>
        <v>PROFESSOR DO MAGISTERIO SUPERIOR</v>
      </c>
      <c r="G235" t="str">
        <f>_xlfn.XLOOKUP($B235,Entradas!$B:$B,Entradas!G:G,,0,1)</f>
        <v>FUC-0001</v>
      </c>
      <c r="H235" t="str">
        <f>_xlfn.XLOOKUP($B235,Entradas!$B:$B,Entradas!H:H,,0,1)</f>
        <v>FUC-0001</v>
      </c>
      <c r="I235" s="49">
        <f>_xlfn.XLOOKUP($B235,Entradas!$B:$B,Entradas!I:I,,0,1)</f>
        <v>45229</v>
      </c>
      <c r="J235" s="49">
        <f>_xlfn.XLOOKUP($B235,Entradas!$B:$B,Entradas!J:J,,0,1)</f>
        <v>45231</v>
      </c>
      <c r="K235" t="str">
        <f>_xlfn.XLOOKUP($B235,Entradas!$B:$B,Entradas!K:K,,0,1)</f>
        <v>Participação como Coordenadora do Programa de Pós-Graduação em Química da Universidade Federal da Paraíba no Seminário do Meio Termo da CAPES em Brasília</v>
      </c>
      <c r="L235">
        <f>SUMIF(Entradas!$B:$B,'Entrada Lvl 5-4 qt'!$B235,Entradas!S:S)</f>
        <v>3426.839982</v>
      </c>
      <c r="M235" t="str">
        <f>_xlfn.XLOOKUP($B235,Entradas!$B:$B,Entradas!T:T,,0,1)</f>
        <v>Aéreo</v>
      </c>
      <c r="N235" t="str">
        <f>_xlfn.XLOOKUP($B235,Entradas!$B:$B,Entradas!U:U,,0,1)</f>
        <v>Não</v>
      </c>
      <c r="O235" t="str">
        <f>_xlfn.XLOOKUP($B235,Entradas!$B:$B,Entradas!V:V,,0,1)</f>
        <v>Realizada</v>
      </c>
      <c r="P235" t="str">
        <f>_xlfn.XLOOKUP($B235,Entradas!$B:$B,Entradas!W:W,,0,1)</f>
        <v>NÃO</v>
      </c>
      <c r="Q235" t="str">
        <f>_xlfn.XLOOKUP($B235,Entradas!$B:$B,Entradas!X:X,,0,1)</f>
        <v>Sem informação</v>
      </c>
      <c r="R235" s="36">
        <f>SUMIF(Entradas!$B:$B,'Entrada Lvl 5-4 qt'!$B235,Entradas!Y:Y)</f>
        <v>958.12</v>
      </c>
      <c r="S235" s="36">
        <f>SUMIF(Entradas!$B:$B,'Entrada Lvl 5-4 qt'!$B235,Entradas!Z:Z)</f>
        <v>0</v>
      </c>
      <c r="T235" s="36">
        <f>SUMIF(Entradas!$B:$B,'Entrada Lvl 5-4 qt'!$B235,Entradas!AA:AA)</f>
        <v>2795.4</v>
      </c>
      <c r="U235" s="36">
        <f>SUMIF(Entradas!$B:$B,'Entrada Lvl 5-4 qt'!$B235,Entradas!AB:AB)</f>
        <v>45.09</v>
      </c>
      <c r="V235" s="49">
        <f>_xlfn.XLOOKUP($B235,Entradas!$B:$B,Entradas!AC:AC,,0,1)</f>
        <v>45191</v>
      </c>
      <c r="W235" s="58">
        <f t="shared" si="19"/>
        <v>2</v>
      </c>
      <c r="X235" s="28" t="s">
        <v>10</v>
      </c>
      <c r="Y235" s="32">
        <f t="shared" si="15"/>
        <v>0</v>
      </c>
      <c r="Z235" s="33">
        <f t="shared" si="16"/>
        <v>2840.4900000000002</v>
      </c>
      <c r="AA235" s="34">
        <f t="shared" si="17"/>
        <v>958.12</v>
      </c>
      <c r="AB235" s="28" t="s">
        <v>1813</v>
      </c>
      <c r="AC235" s="28" t="s">
        <v>1784</v>
      </c>
      <c r="AD235" s="29" t="str" cm="1">
        <f t="array" ref="AD235">_xlfn.IFS(L235&lt;=Constantes!$G$2,"Muito Curta (evitável)",L235&lt;=Constantes!$H$2,"Curta Distância",L235&gt;Constantes!$H$2,"Longa Distância")</f>
        <v>Curta Distância</v>
      </c>
      <c r="AE235" s="30" t="str">
        <f t="shared" si="18"/>
        <v>NÃO</v>
      </c>
      <c r="AF235" s="30">
        <f>SUMIF(Entradas!$B:$B,'Entrada Lvl 5-4 qt'!$B235,Entradas!$AG:$AG)</f>
        <v>626.66401501165365</v>
      </c>
      <c r="AG235" s="30"/>
      <c r="BD235" s="49"/>
      <c r="BE235" s="49"/>
    </row>
    <row r="236" spans="1:57" x14ac:dyDescent="0.3">
      <c r="A236">
        <f>_xlfn.XLOOKUP(B236,Entradas!B:B,Entradas!A:A,,0,-1)</f>
        <v>2</v>
      </c>
      <c r="B236">
        <v>19345403</v>
      </c>
      <c r="C236" t="str">
        <f>_xlfn.XLOOKUP($B236,Entradas!$B:$B,Entradas!C:C,,0,1)</f>
        <v>001401/23</v>
      </c>
      <c r="D236" t="str">
        <f>_xlfn.XLOOKUP($B236,Entradas!$B:$B,Entradas!D:D,,0,1)</f>
        <v/>
      </c>
      <c r="E236" t="str">
        <f>_xlfn.XLOOKUP($B236,Entradas!$B:$B,Entradas!E:E,,0,1)</f>
        <v>ISABEL DA SILVA MORAIS</v>
      </c>
      <c r="F236" t="str">
        <f>_xlfn.XLOOKUP($B236,Entradas!$B:$B,Entradas!F:F,,0,1)</f>
        <v/>
      </c>
      <c r="G236" t="str">
        <f>_xlfn.XLOOKUP($B236,Entradas!$B:$B,Entradas!G:G,,0,1)</f>
        <v>-1</v>
      </c>
      <c r="H236" t="str">
        <f>_xlfn.XLOOKUP($B236,Entradas!$B:$B,Entradas!H:H,,0,1)</f>
        <v>Sem informação</v>
      </c>
      <c r="I236" s="49">
        <f>_xlfn.XLOOKUP($B236,Entradas!$B:$B,Entradas!I:I,,0,1)</f>
        <v>45229</v>
      </c>
      <c r="J236" s="49">
        <f>_xlfn.XLOOKUP($B236,Entradas!$B:$B,Entradas!J:J,,0,1)</f>
        <v>45276</v>
      </c>
      <c r="K236" t="str">
        <f>_xlfn.XLOOKUP($B236,Entradas!$B:$B,Entradas!K:K,,0,1)</f>
        <v>O objetivo da missão é o intercâmbio de alunos do CAVN para a realização de estágio curricular por meio da Escola Profissional Agrícola Fernando Barros Leal em Portugal.</v>
      </c>
      <c r="L236">
        <f>SUMIF(Entradas!$B:$B,'Entrada Lvl 5-4 qt'!$B236,Entradas!S:S)</f>
        <v>11523.22853</v>
      </c>
      <c r="M236" t="str">
        <f>_xlfn.XLOOKUP($B236,Entradas!$B:$B,Entradas!T:T,,0,1)</f>
        <v>Aéreo</v>
      </c>
      <c r="N236" t="str">
        <f>_xlfn.XLOOKUP($B236,Entradas!$B:$B,Entradas!U:U,,0,1)</f>
        <v>Não</v>
      </c>
      <c r="O236" t="str">
        <f>_xlfn.XLOOKUP($B236,Entradas!$B:$B,Entradas!V:V,,0,1)</f>
        <v>Realizada</v>
      </c>
      <c r="P236" t="str">
        <f>_xlfn.XLOOKUP($B236,Entradas!$B:$B,Entradas!W:W,,0,1)</f>
        <v>SIM</v>
      </c>
      <c r="Q236" t="str">
        <f>_xlfn.XLOOKUP($B236,Entradas!$B:$B,Entradas!X:X,,0,1)</f>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v>
      </c>
      <c r="R236" s="36">
        <f>SUMIF(Entradas!$B:$B,'Entrada Lvl 5-4 qt'!$B236,Entradas!Y:Y)</f>
        <v>0</v>
      </c>
      <c r="S236" s="36">
        <f>SUMIF(Entradas!$B:$B,'Entrada Lvl 5-4 qt'!$B236,Entradas!Z:Z)</f>
        <v>1791.96</v>
      </c>
      <c r="T236" s="36">
        <f>SUMIF(Entradas!$B:$B,'Entrada Lvl 5-4 qt'!$B236,Entradas!AA:AA)</f>
        <v>9215.41</v>
      </c>
      <c r="U236" s="36">
        <f>SUMIF(Entradas!$B:$B,'Entrada Lvl 5-4 qt'!$B236,Entradas!AB:AB)</f>
        <v>0</v>
      </c>
      <c r="V236" s="49">
        <f>_xlfn.XLOOKUP($B236,Entradas!$B:$B,Entradas!AC:AC,,0,1)</f>
        <v>45219</v>
      </c>
      <c r="W236" s="58">
        <f t="shared" si="19"/>
        <v>47</v>
      </c>
      <c r="X236" s="28" t="s">
        <v>10</v>
      </c>
      <c r="Y236" s="32">
        <f t="shared" si="15"/>
        <v>0</v>
      </c>
      <c r="Z236" s="33">
        <f t="shared" si="16"/>
        <v>9215.41</v>
      </c>
      <c r="AA236" s="34">
        <f t="shared" si="17"/>
        <v>1791.96</v>
      </c>
      <c r="AB236" s="28" t="s">
        <v>1819</v>
      </c>
      <c r="AC236" s="28" t="s">
        <v>1822</v>
      </c>
      <c r="AD236" s="29" t="str" cm="1">
        <f t="array" ref="AD236">_xlfn.IFS(L236&lt;=Constantes!$G$2,"Muito Curta (evitável)",L236&lt;=Constantes!$H$2,"Curta Distância",L236&gt;Constantes!$H$2,"Longa Distância")</f>
        <v>Longa Distância</v>
      </c>
      <c r="AE236" s="30" t="str">
        <f t="shared" si="18"/>
        <v>NÃO</v>
      </c>
      <c r="AF236" s="30">
        <f>SUMIF(Entradas!$B:$B,'Entrada Lvl 5-4 qt'!$B236,Entradas!$AG:$AG)</f>
        <v>2305.893447372197</v>
      </c>
      <c r="AG236" s="30"/>
      <c r="BD236" s="49"/>
      <c r="BE236" s="49"/>
    </row>
    <row r="237" spans="1:57" x14ac:dyDescent="0.3">
      <c r="A237">
        <f>_xlfn.XLOOKUP(B237,Entradas!B:B,Entradas!A:A,,0,-1)</f>
        <v>2</v>
      </c>
      <c r="B237">
        <v>19386044</v>
      </c>
      <c r="C237" t="str">
        <f>_xlfn.XLOOKUP($B237,Entradas!$B:$B,Entradas!C:C,,0,1)</f>
        <v>001403/23</v>
      </c>
      <c r="D237" t="str">
        <f>_xlfn.XLOOKUP($B237,Entradas!$B:$B,Entradas!D:D,,0,1)</f>
        <v/>
      </c>
      <c r="E237" t="str">
        <f>_xlfn.XLOOKUP($B237,Entradas!$B:$B,Entradas!E:E,,0,1)</f>
        <v>MATIAS DA SILVA BRITO</v>
      </c>
      <c r="F237" t="str">
        <f>_xlfn.XLOOKUP($B237,Entradas!$B:$B,Entradas!F:F,,0,1)</f>
        <v/>
      </c>
      <c r="G237" t="str">
        <f>_xlfn.XLOOKUP($B237,Entradas!$B:$B,Entradas!G:G,,0,1)</f>
        <v>-1</v>
      </c>
      <c r="H237" t="str">
        <f>_xlfn.XLOOKUP($B237,Entradas!$B:$B,Entradas!H:H,,0,1)</f>
        <v>Sem informação</v>
      </c>
      <c r="I237" s="49">
        <f>_xlfn.XLOOKUP($B237,Entradas!$B:$B,Entradas!I:I,,0,1)</f>
        <v>45229</v>
      </c>
      <c r="J237" s="49">
        <f>_xlfn.XLOOKUP($B237,Entradas!$B:$B,Entradas!J:J,,0,1)</f>
        <v>45276</v>
      </c>
      <c r="K237" t="str">
        <f>_xlfn.XLOOKUP($B237,Entradas!$B:$B,Entradas!K:K,,0,1)</f>
        <v>O objetivo da missão é o intercâmbio de alunos do CAVN para a realização de estágio curricular por meio da Escola Profissional Agrícola Fernando Barros Leal em Portugal.</v>
      </c>
      <c r="L237">
        <f>SUMIF(Entradas!$B:$B,'Entrada Lvl 5-4 qt'!$B237,Entradas!S:S)</f>
        <v>11523.22853</v>
      </c>
      <c r="M237" t="str">
        <f>_xlfn.XLOOKUP($B237,Entradas!$B:$B,Entradas!T:T,,0,1)</f>
        <v>Aéreo</v>
      </c>
      <c r="N237" t="str">
        <f>_xlfn.XLOOKUP($B237,Entradas!$B:$B,Entradas!U:U,,0,1)</f>
        <v>Não</v>
      </c>
      <c r="O237" t="str">
        <f>_xlfn.XLOOKUP($B237,Entradas!$B:$B,Entradas!V:V,,0,1)</f>
        <v>Realizada</v>
      </c>
      <c r="P237" t="str">
        <f>_xlfn.XLOOKUP($B237,Entradas!$B:$B,Entradas!W:W,,0,1)</f>
        <v>SIM</v>
      </c>
      <c r="Q237" t="str">
        <f>_xlfn.XLOOKUP($B237,Entradas!$B:$B,Entradas!X:X,,0,1)</f>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v>
      </c>
      <c r="R237" s="36">
        <f>SUMIF(Entradas!$B:$B,'Entrada Lvl 5-4 qt'!$B237,Entradas!Y:Y)</f>
        <v>0</v>
      </c>
      <c r="S237" s="36">
        <f>SUMIF(Entradas!$B:$B,'Entrada Lvl 5-4 qt'!$B237,Entradas!Z:Z)</f>
        <v>1791.96</v>
      </c>
      <c r="T237" s="36">
        <f>SUMIF(Entradas!$B:$B,'Entrada Lvl 5-4 qt'!$B237,Entradas!AA:AA)</f>
        <v>9215.41</v>
      </c>
      <c r="U237" s="36">
        <f>SUMIF(Entradas!$B:$B,'Entrada Lvl 5-4 qt'!$B237,Entradas!AB:AB)</f>
        <v>0</v>
      </c>
      <c r="V237" s="49">
        <f>_xlfn.XLOOKUP($B237,Entradas!$B:$B,Entradas!AC:AC,,0,1)</f>
        <v>45219</v>
      </c>
      <c r="W237" s="58">
        <f t="shared" si="19"/>
        <v>47</v>
      </c>
      <c r="X237" s="28" t="s">
        <v>10</v>
      </c>
      <c r="Y237" s="32">
        <f t="shared" si="15"/>
        <v>0</v>
      </c>
      <c r="Z237" s="33">
        <f t="shared" si="16"/>
        <v>9215.41</v>
      </c>
      <c r="AA237" s="34">
        <f t="shared" si="17"/>
        <v>1791.96</v>
      </c>
      <c r="AB237" s="28" t="s">
        <v>1819</v>
      </c>
      <c r="AC237" s="28" t="s">
        <v>1822</v>
      </c>
      <c r="AD237" s="29" t="str" cm="1">
        <f t="array" ref="AD237">_xlfn.IFS(L237&lt;=Constantes!$G$2,"Muito Curta (evitável)",L237&lt;=Constantes!$H$2,"Curta Distância",L237&gt;Constantes!$H$2,"Longa Distância")</f>
        <v>Longa Distância</v>
      </c>
      <c r="AE237" s="30" t="str">
        <f t="shared" si="18"/>
        <v>NÃO</v>
      </c>
      <c r="AF237" s="30">
        <f>SUMIF(Entradas!$B:$B,'Entrada Lvl 5-4 qt'!$B237,Entradas!$AG:$AG)</f>
        <v>2305.893447372197</v>
      </c>
      <c r="AG237" s="30"/>
      <c r="BD237" s="49"/>
      <c r="BE237" s="49"/>
    </row>
    <row r="238" spans="1:57" x14ac:dyDescent="0.3">
      <c r="A238">
        <f>_xlfn.XLOOKUP(B238,Entradas!B:B,Entradas!A:A,,0,-1)</f>
        <v>2</v>
      </c>
      <c r="B238">
        <v>19386587</v>
      </c>
      <c r="C238" t="str">
        <f>_xlfn.XLOOKUP($B238,Entradas!$B:$B,Entradas!C:C,,0,1)</f>
        <v>001402/23</v>
      </c>
      <c r="D238" t="str">
        <f>_xlfn.XLOOKUP($B238,Entradas!$B:$B,Entradas!D:D,,0,1)</f>
        <v/>
      </c>
      <c r="E238" t="str">
        <f>_xlfn.XLOOKUP($B238,Entradas!$B:$B,Entradas!E:E,,0,1)</f>
        <v>NATALIA OLIVEIRA DA CRUZ</v>
      </c>
      <c r="F238" t="str">
        <f>_xlfn.XLOOKUP($B238,Entradas!$B:$B,Entradas!F:F,,0,1)</f>
        <v/>
      </c>
      <c r="G238" t="str">
        <f>_xlfn.XLOOKUP($B238,Entradas!$B:$B,Entradas!G:G,,0,1)</f>
        <v>-1</v>
      </c>
      <c r="H238" t="str">
        <f>_xlfn.XLOOKUP($B238,Entradas!$B:$B,Entradas!H:H,,0,1)</f>
        <v>Sem informação</v>
      </c>
      <c r="I238" s="49">
        <f>_xlfn.XLOOKUP($B238,Entradas!$B:$B,Entradas!I:I,,0,1)</f>
        <v>45229</v>
      </c>
      <c r="J238" s="49">
        <f>_xlfn.XLOOKUP($B238,Entradas!$B:$B,Entradas!J:J,,0,1)</f>
        <v>45276</v>
      </c>
      <c r="K238" t="str">
        <f>_xlfn.XLOOKUP($B238,Entradas!$B:$B,Entradas!K:K,,0,1)</f>
        <v>O objetivo da missão é o intercâmbio de alunos do CAVN para a realização de estágio curricular por meio da Escola Profissional Agrícola Fernando Barros Leal em Portugal.</v>
      </c>
      <c r="L238">
        <f>SUMIF(Entradas!$B:$B,'Entrada Lvl 5-4 qt'!$B238,Entradas!S:S)</f>
        <v>11523.22853</v>
      </c>
      <c r="M238" t="str">
        <f>_xlfn.XLOOKUP($B238,Entradas!$B:$B,Entradas!T:T,,0,1)</f>
        <v>Aéreo</v>
      </c>
      <c r="N238" t="str">
        <f>_xlfn.XLOOKUP($B238,Entradas!$B:$B,Entradas!U:U,,0,1)</f>
        <v>Não</v>
      </c>
      <c r="O238" t="str">
        <f>_xlfn.XLOOKUP($B238,Entradas!$B:$B,Entradas!V:V,,0,1)</f>
        <v>Realizada</v>
      </c>
      <c r="P238" t="str">
        <f>_xlfn.XLOOKUP($B238,Entradas!$B:$B,Entradas!W:W,,0,1)</f>
        <v>SIM</v>
      </c>
      <c r="Q238" t="str">
        <f>_xlfn.XLOOKUP($B238,Entradas!$B:$B,Entradas!X:X,,0,1)</f>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v>
      </c>
      <c r="R238" s="36">
        <f>SUMIF(Entradas!$B:$B,'Entrada Lvl 5-4 qt'!$B238,Entradas!Y:Y)</f>
        <v>0</v>
      </c>
      <c r="S238" s="36">
        <f>SUMIF(Entradas!$B:$B,'Entrada Lvl 5-4 qt'!$B238,Entradas!Z:Z)</f>
        <v>1791.96</v>
      </c>
      <c r="T238" s="36">
        <f>SUMIF(Entradas!$B:$B,'Entrada Lvl 5-4 qt'!$B238,Entradas!AA:AA)</f>
        <v>9215.36</v>
      </c>
      <c r="U238" s="36">
        <f>SUMIF(Entradas!$B:$B,'Entrada Lvl 5-4 qt'!$B238,Entradas!AB:AB)</f>
        <v>0</v>
      </c>
      <c r="V238" s="49">
        <f>_xlfn.XLOOKUP($B238,Entradas!$B:$B,Entradas!AC:AC,,0,1)</f>
        <v>45219</v>
      </c>
      <c r="W238" s="58">
        <f t="shared" si="19"/>
        <v>47</v>
      </c>
      <c r="X238" s="28" t="s">
        <v>10</v>
      </c>
      <c r="Y238" s="32">
        <f t="shared" si="15"/>
        <v>0</v>
      </c>
      <c r="Z238" s="33">
        <f t="shared" si="16"/>
        <v>9215.36</v>
      </c>
      <c r="AA238" s="34">
        <f t="shared" si="17"/>
        <v>1791.96</v>
      </c>
      <c r="AB238" s="28" t="s">
        <v>1819</v>
      </c>
      <c r="AC238" s="28" t="s">
        <v>1822</v>
      </c>
      <c r="AD238" s="29" t="str" cm="1">
        <f t="array" ref="AD238">_xlfn.IFS(L238&lt;=Constantes!$G$2,"Muito Curta (evitável)",L238&lt;=Constantes!$H$2,"Curta Distância",L238&gt;Constantes!$H$2,"Longa Distância")</f>
        <v>Longa Distância</v>
      </c>
      <c r="AE238" s="30" t="str">
        <f t="shared" si="18"/>
        <v>NÃO</v>
      </c>
      <c r="AF238" s="30">
        <f>SUMIF(Entradas!$B:$B,'Entrada Lvl 5-4 qt'!$B238,Entradas!$AG:$AG)</f>
        <v>2305.893447372197</v>
      </c>
      <c r="AG238" s="30"/>
      <c r="BD238" s="49"/>
      <c r="BE238" s="49"/>
    </row>
    <row r="239" spans="1:57" x14ac:dyDescent="0.3">
      <c r="A239">
        <f>_xlfn.XLOOKUP(B239,Entradas!B:B,Entradas!A:A,,0,-1)</f>
        <v>2</v>
      </c>
      <c r="B239">
        <v>19386794</v>
      </c>
      <c r="C239" t="str">
        <f>_xlfn.XLOOKUP($B239,Entradas!$B:$B,Entradas!C:C,,0,1)</f>
        <v>001400/23</v>
      </c>
      <c r="D239" t="str">
        <f>_xlfn.XLOOKUP($B239,Entradas!$B:$B,Entradas!D:D,,0,1)</f>
        <v/>
      </c>
      <c r="E239" t="str">
        <f>_xlfn.XLOOKUP($B239,Entradas!$B:$B,Entradas!E:E,,0,1)</f>
        <v>UAN ARAUJO FEITOSA</v>
      </c>
      <c r="F239" t="str">
        <f>_xlfn.XLOOKUP($B239,Entradas!$B:$B,Entradas!F:F,,0,1)</f>
        <v/>
      </c>
      <c r="G239" t="str">
        <f>_xlfn.XLOOKUP($B239,Entradas!$B:$B,Entradas!G:G,,0,1)</f>
        <v>-1</v>
      </c>
      <c r="H239" t="str">
        <f>_xlfn.XLOOKUP($B239,Entradas!$B:$B,Entradas!H:H,,0,1)</f>
        <v>Sem informação</v>
      </c>
      <c r="I239" s="49">
        <f>_xlfn.XLOOKUP($B239,Entradas!$B:$B,Entradas!I:I,,0,1)</f>
        <v>45229</v>
      </c>
      <c r="J239" s="49">
        <f>_xlfn.XLOOKUP($B239,Entradas!$B:$B,Entradas!J:J,,0,1)</f>
        <v>45276</v>
      </c>
      <c r="K239" t="str">
        <f>_xlfn.XLOOKUP($B239,Entradas!$B:$B,Entradas!K:K,,0,1)</f>
        <v>O objetivo da missão é o intercâmbio de alunos do CAVN para a realização de estágio curricular por meio da Escola Profissional Agrícola Fernando Barros Leal em Portugal.</v>
      </c>
      <c r="L239">
        <f>SUMIF(Entradas!$B:$B,'Entrada Lvl 5-4 qt'!$B239,Entradas!S:S)</f>
        <v>11523.22853</v>
      </c>
      <c r="M239" t="str">
        <f>_xlfn.XLOOKUP($B239,Entradas!$B:$B,Entradas!T:T,,0,1)</f>
        <v>Aéreo</v>
      </c>
      <c r="N239" t="str">
        <f>_xlfn.XLOOKUP($B239,Entradas!$B:$B,Entradas!U:U,,0,1)</f>
        <v>Sim</v>
      </c>
      <c r="O239" t="str">
        <f>_xlfn.XLOOKUP($B239,Entradas!$B:$B,Entradas!V:V,,0,1)</f>
        <v>Realizada</v>
      </c>
      <c r="P239" t="str">
        <f>_xlfn.XLOOKUP($B239,Entradas!$B:$B,Entradas!W:W,,0,1)</f>
        <v>SIM</v>
      </c>
      <c r="Q239" t="str">
        <f>_xlfn.XLOOKUP($B239,Entradas!$B:$B,Entradas!X:X,,0,1)</f>
        <v>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v>
      </c>
      <c r="R239" s="36">
        <f>SUMIF(Entradas!$B:$B,'Entrada Lvl 5-4 qt'!$B239,Entradas!Y:Y)</f>
        <v>0</v>
      </c>
      <c r="S239" s="36">
        <f>SUMIF(Entradas!$B:$B,'Entrada Lvl 5-4 qt'!$B239,Entradas!Z:Z)</f>
        <v>1791.96</v>
      </c>
      <c r="T239" s="36">
        <f>SUMIF(Entradas!$B:$B,'Entrada Lvl 5-4 qt'!$B239,Entradas!AA:AA)</f>
        <v>9215.41</v>
      </c>
      <c r="U239" s="36">
        <f>SUMIF(Entradas!$B:$B,'Entrada Lvl 5-4 qt'!$B239,Entradas!AB:AB)</f>
        <v>0</v>
      </c>
      <c r="V239" s="49">
        <f>_xlfn.XLOOKUP($B239,Entradas!$B:$B,Entradas!AC:AC,,0,1)</f>
        <v>45219</v>
      </c>
      <c r="W239" s="58">
        <f t="shared" si="19"/>
        <v>47</v>
      </c>
      <c r="X239" s="28" t="s">
        <v>10</v>
      </c>
      <c r="Y239" s="32">
        <f t="shared" si="15"/>
        <v>0</v>
      </c>
      <c r="Z239" s="33">
        <f t="shared" si="16"/>
        <v>9215.41</v>
      </c>
      <c r="AA239" s="34">
        <f t="shared" si="17"/>
        <v>1791.96</v>
      </c>
      <c r="AB239" s="28" t="s">
        <v>1819</v>
      </c>
      <c r="AC239" s="28" t="s">
        <v>1822</v>
      </c>
      <c r="AD239" s="29" t="str" cm="1">
        <f t="array" ref="AD239">_xlfn.IFS(L239&lt;=Constantes!$G$2,"Muito Curta (evitável)",L239&lt;=Constantes!$H$2,"Curta Distância",L239&gt;Constantes!$H$2,"Longa Distância")</f>
        <v>Longa Distância</v>
      </c>
      <c r="AE239" s="30" t="str">
        <f t="shared" si="18"/>
        <v>NÃO</v>
      </c>
      <c r="AF239" s="30">
        <f>SUMIF(Entradas!$B:$B,'Entrada Lvl 5-4 qt'!$B239,Entradas!$AG:$AG)</f>
        <v>2305.893447372197</v>
      </c>
      <c r="AG239" s="30"/>
      <c r="BD239" s="49"/>
      <c r="BE239" s="49"/>
    </row>
    <row r="240" spans="1:57" x14ac:dyDescent="0.3">
      <c r="A240">
        <f>_xlfn.XLOOKUP(B240,Entradas!B:B,Entradas!A:A,,0,-1)</f>
        <v>2</v>
      </c>
      <c r="B240">
        <v>19261081</v>
      </c>
      <c r="C240" t="str">
        <f>_xlfn.XLOOKUP($B240,Entradas!$B:$B,Entradas!C:C,,0,1)</f>
        <v>001030/23</v>
      </c>
      <c r="D240" t="str">
        <f>_xlfn.XLOOKUP($B240,Entradas!$B:$B,Entradas!D:D,,0,1)</f>
        <v>***.231.197-**</v>
      </c>
      <c r="E240" t="str">
        <f>_xlfn.XLOOKUP($B240,Entradas!$B:$B,Entradas!E:E,,0,1)</f>
        <v>NELSON GOMES DE SANT ANA E SILVA JUNIOR</v>
      </c>
      <c r="F240" t="str">
        <f>_xlfn.XLOOKUP($B240,Entradas!$B:$B,Entradas!F:F,,0,1)</f>
        <v>PROFESSOR DO MAGISTERIO SUPERIOR</v>
      </c>
      <c r="G240" t="str">
        <f>_xlfn.XLOOKUP($B240,Entradas!$B:$B,Entradas!G:G,,0,1)</f>
        <v>-1</v>
      </c>
      <c r="H240" t="str">
        <f>_xlfn.XLOOKUP($B240,Entradas!$B:$B,Entradas!H:H,,0,1)</f>
        <v>Sem informação</v>
      </c>
      <c r="I240" s="49">
        <f>_xlfn.XLOOKUP($B240,Entradas!$B:$B,Entradas!I:I,,0,1)</f>
        <v>45230</v>
      </c>
      <c r="J240" s="49">
        <f>_xlfn.XLOOKUP($B240,Entradas!$B:$B,Entradas!J:J,,0,1)</f>
        <v>45236</v>
      </c>
      <c r="K240" t="str">
        <f>_xlfn.XLOOKUP($B240,Entradas!$B:$B,Entradas!K:K,,0,1)</f>
        <v>Participação no XXII Encontro Nacional da Associação Brasileira de Psicologia Social (ABRAPSO), associação a qual sou associado, para apresentação de comunicação oral  intitulado 'Psicologia, Sistema de Justiça Criminal e Direitos Humanos: Diálogos pela Democracia'. O trabalho a ser apresentado está vinculado a linha de pesquisa a qual sou vinculado no Programa de Pós-graduação em Direitos Humanos, Cidadania e Políticas Públicas, assim como ao projeto de pesquisa em andamento sobre Tráfico de Drogas e Homicídios de Mulheres na Paraíba, aprovado pela FAPESQ/PB, pelo Departamento de Ciências Jurídicas e junto ao Programa de Bolsas de Iniciação Científica (PIBIC?UFPB )</v>
      </c>
      <c r="L240">
        <f>SUMIF(Entradas!$B:$B,'Entrada Lvl 5-4 qt'!$B240,Entradas!S:S)</f>
        <v>3923.0015720000001</v>
      </c>
      <c r="M240" t="str">
        <f>_xlfn.XLOOKUP($B240,Entradas!$B:$B,Entradas!T:T,,0,1)</f>
        <v>Aéreo</v>
      </c>
      <c r="N240" t="str">
        <f>_xlfn.XLOOKUP($B240,Entradas!$B:$B,Entradas!U:U,,0,1)</f>
        <v>Sim</v>
      </c>
      <c r="O240" t="str">
        <f>_xlfn.XLOOKUP($B240,Entradas!$B:$B,Entradas!V:V,,0,1)</f>
        <v>Realizada</v>
      </c>
      <c r="P240" t="str">
        <f>_xlfn.XLOOKUP($B240,Entradas!$B:$B,Entradas!W:W,,0,1)</f>
        <v>NÃO</v>
      </c>
      <c r="Q240" t="str">
        <f>_xlfn.XLOOKUP($B240,Entradas!$B:$B,Entradas!X:X,,0,1)</f>
        <v>Sem informação</v>
      </c>
      <c r="R240" s="36">
        <f>SUMIF(Entradas!$B:$B,'Entrada Lvl 5-4 qt'!$B240,Entradas!Y:Y)</f>
        <v>2452.77</v>
      </c>
      <c r="S240" s="36">
        <f>SUMIF(Entradas!$B:$B,'Entrada Lvl 5-4 qt'!$B240,Entradas!Z:Z)</f>
        <v>0</v>
      </c>
      <c r="T240" s="36">
        <f>SUMIF(Entradas!$B:$B,'Entrada Lvl 5-4 qt'!$B240,Entradas!AA:AA)</f>
        <v>2224.29</v>
      </c>
      <c r="U240" s="36">
        <f>SUMIF(Entradas!$B:$B,'Entrada Lvl 5-4 qt'!$B240,Entradas!AB:AB)</f>
        <v>0</v>
      </c>
      <c r="V240" s="49">
        <f>_xlfn.XLOOKUP($B240,Entradas!$B:$B,Entradas!AC:AC,,0,1)</f>
        <v>45180</v>
      </c>
      <c r="W240" s="58">
        <f t="shared" si="19"/>
        <v>6</v>
      </c>
      <c r="X240" s="28" t="s">
        <v>10</v>
      </c>
      <c r="Y240" s="32">
        <f t="shared" si="15"/>
        <v>0</v>
      </c>
      <c r="Z240" s="33">
        <f t="shared" si="16"/>
        <v>2224.29</v>
      </c>
      <c r="AA240" s="34">
        <f t="shared" si="17"/>
        <v>2452.77</v>
      </c>
      <c r="AB240" s="28" t="s">
        <v>1814</v>
      </c>
      <c r="AC240" s="28" t="s">
        <v>1820</v>
      </c>
      <c r="AD240" s="29" t="str" cm="1">
        <f t="array" ref="AD240">_xlfn.IFS(L240&lt;=Constantes!$G$2,"Muito Curta (evitável)",L240&lt;=Constantes!$H$2,"Curta Distância",L240&gt;Constantes!$H$2,"Longa Distância")</f>
        <v>Longa Distância</v>
      </c>
      <c r="AE240" s="30" t="str">
        <f t="shared" si="18"/>
        <v>NÃO</v>
      </c>
      <c r="AF240" s="30">
        <f>SUMIF(Entradas!$B:$B,'Entrada Lvl 5-4 qt'!$B240,Entradas!$AG:$AG)</f>
        <v>717.39676463438343</v>
      </c>
      <c r="AG240" s="30"/>
      <c r="BD240" s="49"/>
      <c r="BE240" s="49"/>
    </row>
    <row r="241" spans="1:57" x14ac:dyDescent="0.3">
      <c r="A241">
        <f>_xlfn.XLOOKUP(B241,Entradas!B:B,Entradas!A:A,,0,-1)</f>
        <v>2</v>
      </c>
      <c r="B241">
        <v>19275186</v>
      </c>
      <c r="C241" t="str">
        <f>_xlfn.XLOOKUP($B241,Entradas!$B:$B,Entradas!C:C,,0,1)</f>
        <v>001037/23</v>
      </c>
      <c r="D241" t="str">
        <f>_xlfn.XLOOKUP($B241,Entradas!$B:$B,Entradas!D:D,,0,1)</f>
        <v>***.938.087-**</v>
      </c>
      <c r="E241" t="str">
        <f>_xlfn.XLOOKUP($B241,Entradas!$B:$B,Entradas!E:E,,0,1)</f>
        <v>RENATA MONTEIRO GARCIA</v>
      </c>
      <c r="F241" t="str">
        <f>_xlfn.XLOOKUP($B241,Entradas!$B:$B,Entradas!F:F,,0,1)</f>
        <v>PROFESSOR DO MAGISTERIO SUPERIOR</v>
      </c>
      <c r="G241" t="str">
        <f>_xlfn.XLOOKUP($B241,Entradas!$B:$B,Entradas!G:G,,0,1)</f>
        <v>-1</v>
      </c>
      <c r="H241" t="str">
        <f>_xlfn.XLOOKUP($B241,Entradas!$B:$B,Entradas!H:H,,0,1)</f>
        <v>Sem informação</v>
      </c>
      <c r="I241" s="49">
        <f>_xlfn.XLOOKUP($B241,Entradas!$B:$B,Entradas!I:I,,0,1)</f>
        <v>45230</v>
      </c>
      <c r="J241" s="49">
        <f>_xlfn.XLOOKUP($B241,Entradas!$B:$B,Entradas!J:J,,0,1)</f>
        <v>45236</v>
      </c>
      <c r="K241" t="str">
        <f>_xlfn.XLOOKUP($B241,Entradas!$B:$B,Entradas!K:K,,0,1)</f>
        <v>Apresentação de trabalho acadêmico oriundo de projeto de pesquisa, desenvolvido no âmbito da UFPB, no 22º Encontro Nacional da Associação Brasileira de Psicologia Social (ENABRAPSO). O referido trabalho configura-se como comunicação oral em Grupo de Discussão e intitula-se como 'Mulheres no Tribunal: análises dos pedidos de prisão domiciliar na Justiça Paraibana'. A temática proposta inclui debates no campo das políticas públicas e dos direitos humanos e, mais especificamente, aos temas da Linha de Pesquisa a que pertence esta solicitante.</v>
      </c>
      <c r="L241">
        <f>SUMIF(Entradas!$B:$B,'Entrada Lvl 5-4 qt'!$B241,Entradas!S:S)</f>
        <v>3923.0015720000001</v>
      </c>
      <c r="M241" t="str">
        <f>_xlfn.XLOOKUP($B241,Entradas!$B:$B,Entradas!T:T,,0,1)</f>
        <v>Aéreo</v>
      </c>
      <c r="N241" t="str">
        <f>_xlfn.XLOOKUP($B241,Entradas!$B:$B,Entradas!U:U,,0,1)</f>
        <v>Sim</v>
      </c>
      <c r="O241" t="str">
        <f>_xlfn.XLOOKUP($B241,Entradas!$B:$B,Entradas!V:V,,0,1)</f>
        <v>Realizada</v>
      </c>
      <c r="P241" t="str">
        <f>_xlfn.XLOOKUP($B241,Entradas!$B:$B,Entradas!W:W,,0,1)</f>
        <v>NÃO</v>
      </c>
      <c r="Q241" t="str">
        <f>_xlfn.XLOOKUP($B241,Entradas!$B:$B,Entradas!X:X,,0,1)</f>
        <v>Sem informação</v>
      </c>
      <c r="R241" s="36">
        <f>SUMIF(Entradas!$B:$B,'Entrada Lvl 5-4 qt'!$B241,Entradas!Y:Y)</f>
        <v>95</v>
      </c>
      <c r="S241" s="36">
        <f>SUMIF(Entradas!$B:$B,'Entrada Lvl 5-4 qt'!$B241,Entradas!Z:Z)</f>
        <v>0</v>
      </c>
      <c r="T241" s="36">
        <f>SUMIF(Entradas!$B:$B,'Entrada Lvl 5-4 qt'!$B241,Entradas!AA:AA)</f>
        <v>2611.69</v>
      </c>
      <c r="U241" s="36">
        <f>SUMIF(Entradas!$B:$B,'Entrada Lvl 5-4 qt'!$B241,Entradas!AB:AB)</f>
        <v>0</v>
      </c>
      <c r="V241" s="49">
        <f>_xlfn.XLOOKUP($B241,Entradas!$B:$B,Entradas!AC:AC,,0,1)</f>
        <v>45182</v>
      </c>
      <c r="W241" s="58">
        <f t="shared" si="19"/>
        <v>6</v>
      </c>
      <c r="X241" s="28" t="s">
        <v>10</v>
      </c>
      <c r="Y241" s="32">
        <f t="shared" si="15"/>
        <v>0</v>
      </c>
      <c r="Z241" s="33">
        <f t="shared" si="16"/>
        <v>2611.69</v>
      </c>
      <c r="AA241" s="34">
        <f t="shared" si="17"/>
        <v>95</v>
      </c>
      <c r="AB241" s="28" t="s">
        <v>1814</v>
      </c>
      <c r="AC241" s="28" t="s">
        <v>1820</v>
      </c>
      <c r="AD241" s="29" t="str" cm="1">
        <f t="array" ref="AD241">_xlfn.IFS(L241&lt;=Constantes!$G$2,"Muito Curta (evitável)",L241&lt;=Constantes!$H$2,"Curta Distância",L241&gt;Constantes!$H$2,"Longa Distância")</f>
        <v>Longa Distância</v>
      </c>
      <c r="AE241" s="30" t="str">
        <f t="shared" si="18"/>
        <v>NÃO</v>
      </c>
      <c r="AF241" s="30">
        <f>SUMIF(Entradas!$B:$B,'Entrada Lvl 5-4 qt'!$B241,Entradas!$AG:$AG)</f>
        <v>717.39676463438343</v>
      </c>
      <c r="AG241" s="30"/>
      <c r="BD241" s="49"/>
      <c r="BE241" s="49"/>
    </row>
    <row r="242" spans="1:57" x14ac:dyDescent="0.3">
      <c r="A242">
        <f>_xlfn.XLOOKUP(B242,Entradas!B:B,Entradas!A:A,,0,-1)</f>
        <v>2</v>
      </c>
      <c r="B242">
        <v>19371558</v>
      </c>
      <c r="C242" t="str">
        <f>_xlfn.XLOOKUP($B242,Entradas!$B:$B,Entradas!C:C,,0,1)</f>
        <v>001337/23</v>
      </c>
      <c r="D242" t="str">
        <f>_xlfn.XLOOKUP($B242,Entradas!$B:$B,Entradas!D:D,,0,1)</f>
        <v/>
      </c>
      <c r="E242" t="str">
        <f>_xlfn.XLOOKUP($B242,Entradas!$B:$B,Entradas!E:E,,0,1)</f>
        <v>SAVIO DOUGLAS FERREIRA SANTANA</v>
      </c>
      <c r="F242" t="str">
        <f>_xlfn.XLOOKUP($B242,Entradas!$B:$B,Entradas!F:F,,0,1)</f>
        <v/>
      </c>
      <c r="G242" t="str">
        <f>_xlfn.XLOOKUP($B242,Entradas!$B:$B,Entradas!G:G,,0,1)</f>
        <v>-1</v>
      </c>
      <c r="H242" t="str">
        <f>_xlfn.XLOOKUP($B242,Entradas!$B:$B,Entradas!H:H,,0,1)</f>
        <v>Sem informação</v>
      </c>
      <c r="I242" s="49">
        <f>_xlfn.XLOOKUP($B242,Entradas!$B:$B,Entradas!I:I,,0,1)</f>
        <v>45230</v>
      </c>
      <c r="J242" s="49">
        <f>_xlfn.XLOOKUP($B242,Entradas!$B:$B,Entradas!J:J,,0,1)</f>
        <v>45235</v>
      </c>
      <c r="K242" t="str">
        <f>_xlfn.XLOOKUP($B242,Entradas!$B:$B,Entradas!K:K,,0,1)</f>
        <v>PROPOSTO IRÁ PARTICIPAR DE EVENTO NACIONAL NA CONDIÇÃO DE APRESENTADOR DE TRABALHO ACADÊMICO PARA FINS DA GRADUAÇÃO NA UFPB.</v>
      </c>
      <c r="L242">
        <f>SUMIF(Entradas!$B:$B,'Entrada Lvl 5-4 qt'!$B242,Entradas!S:S)</f>
        <v>1482.2388261999999</v>
      </c>
      <c r="M242" t="str">
        <f>_xlfn.XLOOKUP($B242,Entradas!$B:$B,Entradas!T:T,,0,1)</f>
        <v>Aéreo</v>
      </c>
      <c r="N242" t="str">
        <f>_xlfn.XLOOKUP($B242,Entradas!$B:$B,Entradas!U:U,,0,1)</f>
        <v>Sim</v>
      </c>
      <c r="O242" t="str">
        <f>_xlfn.XLOOKUP($B242,Entradas!$B:$B,Entradas!V:V,,0,1)</f>
        <v>Realizada</v>
      </c>
      <c r="P242" t="str">
        <f>_xlfn.XLOOKUP($B242,Entradas!$B:$B,Entradas!W:W,,0,1)</f>
        <v>NÃO</v>
      </c>
      <c r="Q242" t="str">
        <f>_xlfn.XLOOKUP($B242,Entradas!$B:$B,Entradas!X:X,,0,1)</f>
        <v>Sem informação</v>
      </c>
      <c r="R242" s="36">
        <f>SUMIF(Entradas!$B:$B,'Entrada Lvl 5-4 qt'!$B242,Entradas!Y:Y)</f>
        <v>0</v>
      </c>
      <c r="S242" s="36">
        <f>SUMIF(Entradas!$B:$B,'Entrada Lvl 5-4 qt'!$B242,Entradas!Z:Z)</f>
        <v>0</v>
      </c>
      <c r="T242" s="36">
        <f>SUMIF(Entradas!$B:$B,'Entrada Lvl 5-4 qt'!$B242,Entradas!AA:AA)</f>
        <v>1541.18</v>
      </c>
      <c r="U242" s="36">
        <f>SUMIF(Entradas!$B:$B,'Entrada Lvl 5-4 qt'!$B242,Entradas!AB:AB)</f>
        <v>0</v>
      </c>
      <c r="V242" s="49">
        <f>_xlfn.XLOOKUP($B242,Entradas!$B:$B,Entradas!AC:AC,,0,1)</f>
        <v>45204</v>
      </c>
      <c r="W242" s="58">
        <f t="shared" si="19"/>
        <v>5</v>
      </c>
      <c r="X242" s="28" t="s">
        <v>10</v>
      </c>
      <c r="Y242" s="32">
        <f t="shared" si="15"/>
        <v>0</v>
      </c>
      <c r="Z242" s="33">
        <f t="shared" si="16"/>
        <v>1541.18</v>
      </c>
      <c r="AA242" s="34">
        <f t="shared" si="17"/>
        <v>0</v>
      </c>
      <c r="AB242" s="28" t="s">
        <v>1814</v>
      </c>
      <c r="AC242" s="28" t="s">
        <v>1822</v>
      </c>
      <c r="AD242" s="29" t="str" cm="1">
        <f t="array" ref="AD242">_xlfn.IFS(L242&lt;=Constantes!$G$2,"Muito Curta (evitável)",L242&lt;=Constantes!$H$2,"Curta Distância",L242&gt;Constantes!$H$2,"Longa Distância")</f>
        <v>Curta Distância</v>
      </c>
      <c r="AE242" s="30" t="str">
        <f t="shared" si="18"/>
        <v>NÃO</v>
      </c>
      <c r="AF242" s="30">
        <f>SUMIF(Entradas!$B:$B,'Entrada Lvl 5-4 qt'!$B242,Entradas!$AG:$AG)</f>
        <v>271.05605715809952</v>
      </c>
      <c r="AG242" s="30"/>
      <c r="BD242" s="49"/>
      <c r="BE242" s="49"/>
    </row>
    <row r="243" spans="1:57" x14ac:dyDescent="0.3">
      <c r="A243">
        <f>_xlfn.XLOOKUP(B243,Entradas!B:B,Entradas!A:A,,0,-1)</f>
        <v>2</v>
      </c>
      <c r="B243">
        <v>19371687</v>
      </c>
      <c r="C243" t="str">
        <f>_xlfn.XLOOKUP($B243,Entradas!$B:$B,Entradas!C:C,,0,1)</f>
        <v>001339/23</v>
      </c>
      <c r="D243" t="str">
        <f>_xlfn.XLOOKUP($B243,Entradas!$B:$B,Entradas!D:D,,0,1)</f>
        <v/>
      </c>
      <c r="E243" t="str">
        <f>_xlfn.XLOOKUP($B243,Entradas!$B:$B,Entradas!E:E,,0,1)</f>
        <v>RAQUEL HELENE RAMOS DE MELO</v>
      </c>
      <c r="F243" t="str">
        <f>_xlfn.XLOOKUP($B243,Entradas!$B:$B,Entradas!F:F,,0,1)</f>
        <v/>
      </c>
      <c r="G243" t="str">
        <f>_xlfn.XLOOKUP($B243,Entradas!$B:$B,Entradas!G:G,,0,1)</f>
        <v>-1</v>
      </c>
      <c r="H243" t="str">
        <f>_xlfn.XLOOKUP($B243,Entradas!$B:$B,Entradas!H:H,,0,1)</f>
        <v>Sem informação</v>
      </c>
      <c r="I243" s="49">
        <f>_xlfn.XLOOKUP($B243,Entradas!$B:$B,Entradas!I:I,,0,1)</f>
        <v>45230</v>
      </c>
      <c r="J243" s="49">
        <f>_xlfn.XLOOKUP($B243,Entradas!$B:$B,Entradas!J:J,,0,1)</f>
        <v>45235</v>
      </c>
      <c r="K243" t="str">
        <f>_xlfn.XLOOKUP($B243,Entradas!$B:$B,Entradas!K:K,,0,1)</f>
        <v>PROPOSTO IRÁ PARTICIPAR DE EVENTO NACIONAL NA CONDIÇÃO DE APRESENTADOR DE TRABALHO ACADÊMICO PARA FINS DA GRADUAÇÃO NA UFPB.</v>
      </c>
      <c r="L243">
        <f>SUMIF(Entradas!$B:$B,'Entrada Lvl 5-4 qt'!$B243,Entradas!S:S)</f>
        <v>1482.2388261999999</v>
      </c>
      <c r="M243" t="str">
        <f>_xlfn.XLOOKUP($B243,Entradas!$B:$B,Entradas!T:T,,0,1)</f>
        <v>Aéreo</v>
      </c>
      <c r="N243" t="str">
        <f>_xlfn.XLOOKUP($B243,Entradas!$B:$B,Entradas!U:U,,0,1)</f>
        <v>Sim</v>
      </c>
      <c r="O243" t="str">
        <f>_xlfn.XLOOKUP($B243,Entradas!$B:$B,Entradas!V:V,,0,1)</f>
        <v>Realizada</v>
      </c>
      <c r="P243" t="str">
        <f>_xlfn.XLOOKUP($B243,Entradas!$B:$B,Entradas!W:W,,0,1)</f>
        <v>NÃO</v>
      </c>
      <c r="Q243" t="str">
        <f>_xlfn.XLOOKUP($B243,Entradas!$B:$B,Entradas!X:X,,0,1)</f>
        <v>Sem informação</v>
      </c>
      <c r="R243" s="36">
        <f>SUMIF(Entradas!$B:$B,'Entrada Lvl 5-4 qt'!$B243,Entradas!Y:Y)</f>
        <v>0</v>
      </c>
      <c r="S243" s="36">
        <f>SUMIF(Entradas!$B:$B,'Entrada Lvl 5-4 qt'!$B243,Entradas!Z:Z)</f>
        <v>0</v>
      </c>
      <c r="T243" s="36">
        <f>SUMIF(Entradas!$B:$B,'Entrada Lvl 5-4 qt'!$B243,Entradas!AA:AA)</f>
        <v>1541.18</v>
      </c>
      <c r="U243" s="36">
        <f>SUMIF(Entradas!$B:$B,'Entrada Lvl 5-4 qt'!$B243,Entradas!AB:AB)</f>
        <v>0</v>
      </c>
      <c r="V243" s="49">
        <f>_xlfn.XLOOKUP($B243,Entradas!$B:$B,Entradas!AC:AC,,0,1)</f>
        <v>45204</v>
      </c>
      <c r="W243" s="58">
        <f t="shared" si="19"/>
        <v>5</v>
      </c>
      <c r="X243" s="28" t="s">
        <v>10</v>
      </c>
      <c r="Y243" s="32">
        <f t="shared" si="15"/>
        <v>0</v>
      </c>
      <c r="Z243" s="33">
        <f t="shared" si="16"/>
        <v>1541.18</v>
      </c>
      <c r="AA243" s="34">
        <f t="shared" si="17"/>
        <v>0</v>
      </c>
      <c r="AB243" s="28" t="s">
        <v>1814</v>
      </c>
      <c r="AC243" s="28" t="s">
        <v>1822</v>
      </c>
      <c r="AD243" s="29" t="str" cm="1">
        <f t="array" ref="AD243">_xlfn.IFS(L243&lt;=Constantes!$G$2,"Muito Curta (evitável)",L243&lt;=Constantes!$H$2,"Curta Distância",L243&gt;Constantes!$H$2,"Longa Distância")</f>
        <v>Curta Distância</v>
      </c>
      <c r="AE243" s="30" t="str">
        <f t="shared" si="18"/>
        <v>NÃO</v>
      </c>
      <c r="AF243" s="30">
        <f>SUMIF(Entradas!$B:$B,'Entrada Lvl 5-4 qt'!$B243,Entradas!$AG:$AG)</f>
        <v>271.05605715809952</v>
      </c>
      <c r="AG243" s="30"/>
      <c r="BD243" s="49"/>
      <c r="BE243" s="49"/>
    </row>
    <row r="244" spans="1:57" x14ac:dyDescent="0.3">
      <c r="A244">
        <f>_xlfn.XLOOKUP(B244,Entradas!B:B,Entradas!A:A,,0,-1)</f>
        <v>2</v>
      </c>
      <c r="B244">
        <v>19316173</v>
      </c>
      <c r="C244" t="str">
        <f>_xlfn.XLOOKUP($B244,Entradas!$B:$B,Entradas!C:C,,0,1)</f>
        <v>001211/23</v>
      </c>
      <c r="D244" t="str">
        <f>_xlfn.XLOOKUP($B244,Entradas!$B:$B,Entradas!D:D,,0,1)</f>
        <v>***.953.478-**</v>
      </c>
      <c r="E244" t="str">
        <f>_xlfn.XLOOKUP($B244,Entradas!$B:$B,Entradas!E:E,,0,1)</f>
        <v>MARILDA APARECIDA DE MENEZES</v>
      </c>
      <c r="F244" t="str">
        <f>_xlfn.XLOOKUP($B244,Entradas!$B:$B,Entradas!F:F,,0,1)</f>
        <v/>
      </c>
      <c r="G244" t="str">
        <f>_xlfn.XLOOKUP($B244,Entradas!$B:$B,Entradas!G:G,,0,1)</f>
        <v>-1</v>
      </c>
      <c r="H244" t="str">
        <f>_xlfn.XLOOKUP($B244,Entradas!$B:$B,Entradas!H:H,,0,1)</f>
        <v>Sem informação</v>
      </c>
      <c r="I244" s="49">
        <f>_xlfn.XLOOKUP($B244,Entradas!$B:$B,Entradas!I:I,,0,1)</f>
        <v>45234</v>
      </c>
      <c r="J244" s="49">
        <f>_xlfn.XLOOKUP($B244,Entradas!$B:$B,Entradas!J:J,,0,1)</f>
        <v>45242</v>
      </c>
      <c r="K244" t="str">
        <f>_xlfn.XLOOKUP($B244,Entradas!$B:$B,Entradas!K:K,,0,1)</f>
        <v>Curso de História Oral: metodologia, memórias, narrativas na V Semana Acadêmica, a ser realizada no período de 06 a 10/11/2023, no CCHLA/UFPB.</v>
      </c>
      <c r="L244">
        <f>SUMIF(Entradas!$B:$B,'Entrada Lvl 5-4 qt'!$B244,Entradas!S:S)</f>
        <v>4379.9484839999996</v>
      </c>
      <c r="M244" t="str">
        <f>_xlfn.XLOOKUP($B244,Entradas!$B:$B,Entradas!T:T,,0,1)</f>
        <v>Aéreo</v>
      </c>
      <c r="N244" t="str">
        <f>_xlfn.XLOOKUP($B244,Entradas!$B:$B,Entradas!U:U,,0,1)</f>
        <v>Sim</v>
      </c>
      <c r="O244" t="str">
        <f>_xlfn.XLOOKUP($B244,Entradas!$B:$B,Entradas!V:V,,0,1)</f>
        <v>Realizada</v>
      </c>
      <c r="P244" t="str">
        <f>_xlfn.XLOOKUP($B244,Entradas!$B:$B,Entradas!W:W,,0,1)</f>
        <v>SIM</v>
      </c>
      <c r="Q244" t="str">
        <f>_xlfn.XLOOKUP($B244,Entradas!$B:$B,Entradas!X:X,,0,1)</f>
        <v>mudança de empenho de diárias por insuficiência de saldo</v>
      </c>
      <c r="R244" s="36">
        <f>SUMIF(Entradas!$B:$B,'Entrada Lvl 5-4 qt'!$B244,Entradas!Y:Y)</f>
        <v>1629.59</v>
      </c>
      <c r="S244" s="36">
        <f>SUMIF(Entradas!$B:$B,'Entrada Lvl 5-4 qt'!$B244,Entradas!Z:Z)</f>
        <v>0</v>
      </c>
      <c r="T244" s="36">
        <f>SUMIF(Entradas!$B:$B,'Entrada Lvl 5-4 qt'!$B244,Entradas!AA:AA)</f>
        <v>2101.2399999999998</v>
      </c>
      <c r="U244" s="36">
        <f>SUMIF(Entradas!$B:$B,'Entrada Lvl 5-4 qt'!$B244,Entradas!AB:AB)</f>
        <v>0</v>
      </c>
      <c r="V244" s="49">
        <f>_xlfn.XLOOKUP($B244,Entradas!$B:$B,Entradas!AC:AC,,0,1)</f>
        <v>45209</v>
      </c>
      <c r="W244" s="58">
        <f t="shared" si="19"/>
        <v>8</v>
      </c>
      <c r="X244" s="28" t="s">
        <v>10</v>
      </c>
      <c r="Y244" s="32">
        <f t="shared" si="15"/>
        <v>0</v>
      </c>
      <c r="Z244" s="33">
        <f t="shared" si="16"/>
        <v>2101.2399999999998</v>
      </c>
      <c r="AA244" s="34">
        <f t="shared" si="17"/>
        <v>1629.59</v>
      </c>
      <c r="AB244" s="28" t="s">
        <v>1814</v>
      </c>
      <c r="AC244" s="28" t="s">
        <v>1821</v>
      </c>
      <c r="AD244" s="29" t="str" cm="1">
        <f t="array" ref="AD244">_xlfn.IFS(L244&lt;=Constantes!$G$2,"Muito Curta (evitável)",L244&lt;=Constantes!$H$2,"Curta Distância",L244&gt;Constantes!$H$2,"Longa Distância")</f>
        <v>Longa Distância</v>
      </c>
      <c r="AE244" s="30" t="str">
        <f t="shared" si="18"/>
        <v>NÃO</v>
      </c>
      <c r="AF244" s="30">
        <f>SUMIF(Entradas!$B:$B,'Entrada Lvl 5-4 qt'!$B244,Entradas!$AG:$AG)</f>
        <v>800.95835140972315</v>
      </c>
      <c r="AG244" s="30"/>
      <c r="BD244" s="49"/>
      <c r="BE244" s="49"/>
    </row>
    <row r="245" spans="1:57" x14ac:dyDescent="0.3">
      <c r="A245">
        <f>_xlfn.XLOOKUP(B245,Entradas!B:B,Entradas!A:A,,0,-1)</f>
        <v>2</v>
      </c>
      <c r="B245">
        <v>19370084</v>
      </c>
      <c r="C245" t="str">
        <f>_xlfn.XLOOKUP($B245,Entradas!$B:$B,Entradas!C:C,,0,1)</f>
        <v>001331/23</v>
      </c>
      <c r="D245" t="str">
        <f>_xlfn.XLOOKUP($B245,Entradas!$B:$B,Entradas!D:D,,0,1)</f>
        <v>***.664.834-**</v>
      </c>
      <c r="E245" t="str">
        <f>_xlfn.XLOOKUP($B245,Entradas!$B:$B,Entradas!E:E,,0,1)</f>
        <v>GEZAILDO SANTOS SILVA</v>
      </c>
      <c r="F245" t="str">
        <f>_xlfn.XLOOKUP($B245,Entradas!$B:$B,Entradas!F:F,,0,1)</f>
        <v/>
      </c>
      <c r="G245" t="str">
        <f>_xlfn.XLOOKUP($B245,Entradas!$B:$B,Entradas!G:G,,0,1)</f>
        <v>-1</v>
      </c>
      <c r="H245" t="str">
        <f>_xlfn.XLOOKUP($B245,Entradas!$B:$B,Entradas!H:H,,0,1)</f>
        <v>Sem informação</v>
      </c>
      <c r="I245" s="49">
        <f>_xlfn.XLOOKUP($B245,Entradas!$B:$B,Entradas!I:I,,0,1)</f>
        <v>45234</v>
      </c>
      <c r="J245" s="49">
        <f>_xlfn.XLOOKUP($B245,Entradas!$B:$B,Entradas!J:J,,0,1)</f>
        <v>45255</v>
      </c>
      <c r="K245" t="str">
        <f>_xlfn.XLOOKUP($B245,Entradas!$B:$B,Entradas!K:K,,0,1)</f>
        <v>O aluno de Doutorado está vinculado a um projeto interinstitucional aprovado pelo CNPq, onde deverá executar ensaios laboratoriais junto a UNICAMP/ITAL, localizados em Campinas, São Paulo, Brasil. Destaca-se que o projeto aprovado tem como proponente a UFPB (proponente).</v>
      </c>
      <c r="L245">
        <f>SUMIF(Entradas!$B:$B,'Entrada Lvl 5-4 qt'!$B245,Entradas!S:S)</f>
        <v>4387.7299999999996</v>
      </c>
      <c r="M245" t="str">
        <f>_xlfn.XLOOKUP($B245,Entradas!$B:$B,Entradas!T:T,,0,1)</f>
        <v>Aéreo</v>
      </c>
      <c r="N245" t="str">
        <f>_xlfn.XLOOKUP($B245,Entradas!$B:$B,Entradas!U:U,,0,1)</f>
        <v>Não</v>
      </c>
      <c r="O245" t="str">
        <f>_xlfn.XLOOKUP($B245,Entradas!$B:$B,Entradas!V:V,,0,1)</f>
        <v>Realizada</v>
      </c>
      <c r="P245" t="str">
        <f>_xlfn.XLOOKUP($B245,Entradas!$B:$B,Entradas!W:W,,0,1)</f>
        <v>NÃO</v>
      </c>
      <c r="Q245" t="str">
        <f>_xlfn.XLOOKUP($B245,Entradas!$B:$B,Entradas!X:X,,0,1)</f>
        <v>Sem informação</v>
      </c>
      <c r="R245" s="36">
        <f>SUMIF(Entradas!$B:$B,'Entrada Lvl 5-4 qt'!$B245,Entradas!Y:Y)</f>
        <v>0</v>
      </c>
      <c r="S245" s="36">
        <f>SUMIF(Entradas!$B:$B,'Entrada Lvl 5-4 qt'!$B245,Entradas!Z:Z)</f>
        <v>0</v>
      </c>
      <c r="T245" s="36">
        <f>SUMIF(Entradas!$B:$B,'Entrada Lvl 5-4 qt'!$B245,Entradas!AA:AA)</f>
        <v>2389.14</v>
      </c>
      <c r="U245" s="36">
        <f>SUMIF(Entradas!$B:$B,'Entrada Lvl 5-4 qt'!$B245,Entradas!AB:AB)</f>
        <v>0</v>
      </c>
      <c r="V245" s="49">
        <f>_xlfn.XLOOKUP($B245,Entradas!$B:$B,Entradas!AC:AC,,0,1)</f>
        <v>45204</v>
      </c>
      <c r="W245" s="58">
        <f t="shared" si="19"/>
        <v>21</v>
      </c>
      <c r="X245" s="28" t="s">
        <v>10</v>
      </c>
      <c r="Y245" s="32">
        <f t="shared" si="15"/>
        <v>0</v>
      </c>
      <c r="Z245" s="33">
        <f t="shared" si="16"/>
        <v>2389.14</v>
      </c>
      <c r="AA245" s="34">
        <f t="shared" si="17"/>
        <v>0</v>
      </c>
      <c r="AB245" s="28" t="s">
        <v>1818</v>
      </c>
      <c r="AC245" s="28" t="s">
        <v>1822</v>
      </c>
      <c r="AD245" s="29" t="str" cm="1">
        <f t="array" ref="AD245">_xlfn.IFS(L245&lt;=Constantes!$G$2,"Muito Curta (evitável)",L245&lt;=Constantes!$H$2,"Curta Distância",L245&gt;Constantes!$H$2,"Longa Distância")</f>
        <v>Longa Distância</v>
      </c>
      <c r="AE245" s="30" t="str">
        <f t="shared" si="18"/>
        <v>NÃO</v>
      </c>
      <c r="AF245" s="30">
        <f>SUMIF(Entradas!$B:$B,'Entrada Lvl 5-4 qt'!$B245,Entradas!$AG:$AG)</f>
        <v>802.381352216604</v>
      </c>
      <c r="AG245" s="30"/>
      <c r="BD245" s="49"/>
      <c r="BE245" s="49"/>
    </row>
    <row r="246" spans="1:57" x14ac:dyDescent="0.3">
      <c r="A246">
        <f>_xlfn.XLOOKUP(B246,Entradas!B:B,Entradas!A:A,,0,-1)</f>
        <v>2</v>
      </c>
      <c r="B246">
        <v>18835196</v>
      </c>
      <c r="C246" t="str">
        <f>_xlfn.XLOOKUP($B246,Entradas!$B:$B,Entradas!C:C,,0,1)</f>
        <v>000240/23</v>
      </c>
      <c r="D246" t="str">
        <f>_xlfn.XLOOKUP($B246,Entradas!$B:$B,Entradas!D:D,,0,1)</f>
        <v>***.868.157-**</v>
      </c>
      <c r="E246" t="str">
        <f>_xlfn.XLOOKUP($B246,Entradas!$B:$B,Entradas!E:E,,0,1)</f>
        <v>THIAGO SANTOS DA SILVA</v>
      </c>
      <c r="F246" t="str">
        <f>_xlfn.XLOOKUP($B246,Entradas!$B:$B,Entradas!F:F,,0,1)</f>
        <v/>
      </c>
      <c r="G246" t="str">
        <f>_xlfn.XLOOKUP($B246,Entradas!$B:$B,Entradas!G:G,,0,1)</f>
        <v>-1</v>
      </c>
      <c r="H246" t="str">
        <f>_xlfn.XLOOKUP($B246,Entradas!$B:$B,Entradas!H:H,,0,1)</f>
        <v>Sem informação</v>
      </c>
      <c r="I246" s="49">
        <f>_xlfn.XLOOKUP($B246,Entradas!$B:$B,Entradas!I:I,,0,1)</f>
        <v>45235</v>
      </c>
      <c r="J246" s="49">
        <f>_xlfn.XLOOKUP($B246,Entradas!$B:$B,Entradas!J:J,,0,1)</f>
        <v>45241</v>
      </c>
      <c r="K246" t="str">
        <f>_xlfn.XLOOKUP($B246,Entradas!$B:$B,Entradas!K:K,,0,1)</f>
        <v>Ensaiar e reger a Orquestra Sinfônica da Universidade Federal da Paraíba - OSUFPB - para concerto alusivo aos 10 anos de sua existência.</v>
      </c>
      <c r="L246">
        <f>SUMIF(Entradas!$B:$B,'Entrada Lvl 5-4 qt'!$B246,Entradas!S:S)</f>
        <v>3923.0015720000001</v>
      </c>
      <c r="M246" t="str">
        <f>_xlfn.XLOOKUP($B246,Entradas!$B:$B,Entradas!T:T,,0,1)</f>
        <v>Aéreo</v>
      </c>
      <c r="N246" t="str">
        <f>_xlfn.XLOOKUP($B246,Entradas!$B:$B,Entradas!U:U,,0,1)</f>
        <v>Sim</v>
      </c>
      <c r="O246" t="str">
        <f>_xlfn.XLOOKUP($B246,Entradas!$B:$B,Entradas!V:V,,0,1)</f>
        <v>Realizada</v>
      </c>
      <c r="P246" t="str">
        <f>_xlfn.XLOOKUP($B246,Entradas!$B:$B,Entradas!W:W,,0,1)</f>
        <v>NÃO</v>
      </c>
      <c r="Q246" t="str">
        <f>_xlfn.XLOOKUP($B246,Entradas!$B:$B,Entradas!X:X,,0,1)</f>
        <v>Sem informação</v>
      </c>
      <c r="R246" s="36">
        <f>SUMIF(Entradas!$B:$B,'Entrada Lvl 5-4 qt'!$B246,Entradas!Y:Y)</f>
        <v>2311.63</v>
      </c>
      <c r="S246" s="36">
        <f>SUMIF(Entradas!$B:$B,'Entrada Lvl 5-4 qt'!$B246,Entradas!Z:Z)</f>
        <v>0</v>
      </c>
      <c r="T246" s="36">
        <f>SUMIF(Entradas!$B:$B,'Entrada Lvl 5-4 qt'!$B246,Entradas!AA:AA)</f>
        <v>1537.7800000000002</v>
      </c>
      <c r="U246" s="36">
        <f>SUMIF(Entradas!$B:$B,'Entrada Lvl 5-4 qt'!$B246,Entradas!AB:AB)</f>
        <v>0</v>
      </c>
      <c r="V246" s="49">
        <f>_xlfn.XLOOKUP($B246,Entradas!$B:$B,Entradas!AC:AC,,0,1)</f>
        <v>45125</v>
      </c>
      <c r="W246" s="58">
        <f t="shared" si="19"/>
        <v>6</v>
      </c>
      <c r="X246" s="28" t="s">
        <v>10</v>
      </c>
      <c r="Y246" s="32">
        <f t="shared" si="15"/>
        <v>0</v>
      </c>
      <c r="Z246" s="33">
        <f t="shared" si="16"/>
        <v>1537.7800000000002</v>
      </c>
      <c r="AA246" s="34">
        <f t="shared" si="17"/>
        <v>2311.63</v>
      </c>
      <c r="AB246" s="28" t="s">
        <v>1813</v>
      </c>
      <c r="AC246" s="28" t="s">
        <v>1821</v>
      </c>
      <c r="AD246" s="29" t="str" cm="1">
        <f t="array" ref="AD246">_xlfn.IFS(L246&lt;=Constantes!$G$2,"Muito Curta (evitável)",L246&lt;=Constantes!$H$2,"Curta Distância",L246&gt;Constantes!$H$2,"Longa Distância")</f>
        <v>Longa Distância</v>
      </c>
      <c r="AE246" s="30" t="str">
        <f t="shared" si="18"/>
        <v>NÃO</v>
      </c>
      <c r="AF246" s="30">
        <f>SUMIF(Entradas!$B:$B,'Entrada Lvl 5-4 qt'!$B246,Entradas!$AG:$AG)</f>
        <v>717.39676463438343</v>
      </c>
      <c r="AG246" s="30"/>
      <c r="BD246" s="49"/>
      <c r="BE246" s="49"/>
    </row>
    <row r="247" spans="1:57" x14ac:dyDescent="0.3">
      <c r="A247">
        <f>_xlfn.XLOOKUP(B247,Entradas!B:B,Entradas!A:A,,0,-1)</f>
        <v>2</v>
      </c>
      <c r="B247">
        <v>19268869</v>
      </c>
      <c r="C247" t="str">
        <f>_xlfn.XLOOKUP($B247,Entradas!$B:$B,Entradas!C:C,,0,1)</f>
        <v>001057/23</v>
      </c>
      <c r="D247" t="str">
        <f>_xlfn.XLOOKUP($B247,Entradas!$B:$B,Entradas!D:D,,0,1)</f>
        <v>***.441.444-**</v>
      </c>
      <c r="E247" t="str">
        <f>_xlfn.XLOOKUP($B247,Entradas!$B:$B,Entradas!E:E,,0,1)</f>
        <v>EDVALDO CARVALHO ALVES</v>
      </c>
      <c r="F247" t="str">
        <f>_xlfn.XLOOKUP($B247,Entradas!$B:$B,Entradas!F:F,,0,1)</f>
        <v>PROFESSOR DO MAGISTERIO SUPERIOR</v>
      </c>
      <c r="G247" t="str">
        <f>_xlfn.XLOOKUP($B247,Entradas!$B:$B,Entradas!G:G,,0,1)</f>
        <v>FUC-0001</v>
      </c>
      <c r="H247" t="str">
        <f>_xlfn.XLOOKUP($B247,Entradas!$B:$B,Entradas!H:H,,0,1)</f>
        <v>FUC-0001</v>
      </c>
      <c r="I247" s="49">
        <f>_xlfn.XLOOKUP($B247,Entradas!$B:$B,Entradas!I:I,,0,1)</f>
        <v>45235</v>
      </c>
      <c r="J247" s="49">
        <f>_xlfn.XLOOKUP($B247,Entradas!$B:$B,Entradas!J:J,,0,1)</f>
        <v>45241</v>
      </c>
      <c r="K247" t="str">
        <f>_xlfn.XLOOKUP($B247,Entradas!$B:$B,Entradas!K:K,,0,1)</f>
        <v>PARTICIPAR COMO COORDENADOR DE PPG DA REUNIÃO ANUAL DOS COORDENADORES DE ÁREA DA CIÊNCIA DA INFORMACÃO E APRESENTAR TRABALHO NO XXIII ENCONTRO NACIONAL DE PESQUISA EM CIÊNCIA DA INFORMAÇÃO (ENANCIB).</v>
      </c>
      <c r="L247">
        <f>SUMIF(Entradas!$B:$B,'Entrada Lvl 5-4 qt'!$B247,Entradas!S:S)</f>
        <v>791.19715919999999</v>
      </c>
      <c r="M247" t="str">
        <f>_xlfn.XLOOKUP($B247,Entradas!$B:$B,Entradas!T:T,,0,1)</f>
        <v>Aéreo</v>
      </c>
      <c r="N247" t="str">
        <f>_xlfn.XLOOKUP($B247,Entradas!$B:$B,Entradas!U:U,,0,1)</f>
        <v>Não</v>
      </c>
      <c r="O247" t="str">
        <f>_xlfn.XLOOKUP($B247,Entradas!$B:$B,Entradas!V:V,,0,1)</f>
        <v>Realizada</v>
      </c>
      <c r="P247" t="str">
        <f>_xlfn.XLOOKUP($B247,Entradas!$B:$B,Entradas!W:W,,0,1)</f>
        <v>NÃO</v>
      </c>
      <c r="Q247" t="str">
        <f>_xlfn.XLOOKUP($B247,Entradas!$B:$B,Entradas!X:X,,0,1)</f>
        <v>Sem informação</v>
      </c>
      <c r="R247" s="36">
        <f>SUMIF(Entradas!$B:$B,'Entrada Lvl 5-4 qt'!$B247,Entradas!Y:Y)</f>
        <v>2162.08</v>
      </c>
      <c r="S247" s="36">
        <f>SUMIF(Entradas!$B:$B,'Entrada Lvl 5-4 qt'!$B247,Entradas!Z:Z)</f>
        <v>0</v>
      </c>
      <c r="T247" s="36">
        <f>SUMIF(Entradas!$B:$B,'Entrada Lvl 5-4 qt'!$B247,Entradas!AA:AA)</f>
        <v>1292.6100000000001</v>
      </c>
      <c r="U247" s="36">
        <f>SUMIF(Entradas!$B:$B,'Entrada Lvl 5-4 qt'!$B247,Entradas!AB:AB)</f>
        <v>0</v>
      </c>
      <c r="V247" s="49">
        <f>_xlfn.XLOOKUP($B247,Entradas!$B:$B,Entradas!AC:AC,,0,1)</f>
        <v>45187</v>
      </c>
      <c r="W247" s="58">
        <f t="shared" si="19"/>
        <v>6</v>
      </c>
      <c r="X247" s="28" t="s">
        <v>10</v>
      </c>
      <c r="Y247" s="32">
        <f t="shared" si="15"/>
        <v>0</v>
      </c>
      <c r="Z247" s="33">
        <f t="shared" si="16"/>
        <v>1292.6100000000001</v>
      </c>
      <c r="AA247" s="34">
        <f t="shared" si="17"/>
        <v>2162.08</v>
      </c>
      <c r="AB247" s="28" t="s">
        <v>1814</v>
      </c>
      <c r="AC247" s="28" t="s">
        <v>1820</v>
      </c>
      <c r="AD247" s="29" t="str" cm="1">
        <f t="array" ref="AD247">_xlfn.IFS(L247&lt;=Constantes!$G$2,"Muito Curta (evitável)",L247&lt;=Constantes!$H$2,"Curta Distância",L247&gt;Constantes!$H$2,"Longa Distância")</f>
        <v>Curta Distância</v>
      </c>
      <c r="AE247" s="30" t="str">
        <f t="shared" si="18"/>
        <v>NÃO</v>
      </c>
      <c r="AF247" s="30">
        <f>SUMIF(Entradas!$B:$B,'Entrada Lvl 5-4 qt'!$B247,Entradas!$AG:$AG)</f>
        <v>215.66197814172082</v>
      </c>
      <c r="AG247" s="30"/>
      <c r="BD247" s="49"/>
      <c r="BE247" s="49"/>
    </row>
    <row r="248" spans="1:57" x14ac:dyDescent="0.3">
      <c r="A248">
        <f>_xlfn.XLOOKUP(B248,Entradas!B:B,Entradas!A:A,,0,-1)</f>
        <v>2</v>
      </c>
      <c r="B248">
        <v>19356197</v>
      </c>
      <c r="C248" t="str">
        <f>_xlfn.XLOOKUP($B248,Entradas!$B:$B,Entradas!C:C,,0,1)</f>
        <v>001291/23</v>
      </c>
      <c r="D248" t="str">
        <f>_xlfn.XLOOKUP($B248,Entradas!$B:$B,Entradas!D:D,,0,1)</f>
        <v>***.408.206-**</v>
      </c>
      <c r="E248" t="str">
        <f>_xlfn.XLOOKUP($B248,Entradas!$B:$B,Entradas!E:E,,0,1)</f>
        <v>CARLOS FREDERICO DE BRITO D ANDREA</v>
      </c>
      <c r="F248" t="str">
        <f>_xlfn.XLOOKUP($B248,Entradas!$B:$B,Entradas!F:F,,0,1)</f>
        <v>PROFESSOR DO MAGISTERIO SUPERIOR</v>
      </c>
      <c r="G248" t="str">
        <f>_xlfn.XLOOKUP($B248,Entradas!$B:$B,Entradas!G:G,,0,1)</f>
        <v>-1</v>
      </c>
      <c r="H248" t="str">
        <f>_xlfn.XLOOKUP($B248,Entradas!$B:$B,Entradas!H:H,,0,1)</f>
        <v>Sem informação</v>
      </c>
      <c r="I248" s="49">
        <f>_xlfn.XLOOKUP($B248,Entradas!$B:$B,Entradas!I:I,,0,1)</f>
        <v>45235</v>
      </c>
      <c r="J248" s="49">
        <f>_xlfn.XLOOKUP($B248,Entradas!$B:$B,Entradas!J:J,,0,1)</f>
        <v>45237</v>
      </c>
      <c r="K248" t="str">
        <f>_xlfn.XLOOKUP($B248,Entradas!$B:$B,Entradas!K:K,,0,1)</f>
        <v>Participação no Seminário 'Perspectivas, ciclo de diálogos temáticos II'. Realizado pelo Programa de Pós-Graduação em Comunicação da Universidade Federal da Paraíba.</v>
      </c>
      <c r="L248">
        <f>SUMIF(Entradas!$B:$B,'Entrada Lvl 5-4 qt'!$B248,Entradas!S:S)</f>
        <v>3429.6730739999998</v>
      </c>
      <c r="M248" t="str">
        <f>_xlfn.XLOOKUP($B248,Entradas!$B:$B,Entradas!T:T,,0,1)</f>
        <v>Aéreo</v>
      </c>
      <c r="N248" t="str">
        <f>_xlfn.XLOOKUP($B248,Entradas!$B:$B,Entradas!U:U,,0,1)</f>
        <v>Não</v>
      </c>
      <c r="O248" t="str">
        <f>_xlfn.XLOOKUP($B248,Entradas!$B:$B,Entradas!V:V,,0,1)</f>
        <v>Realizada</v>
      </c>
      <c r="P248" t="str">
        <f>_xlfn.XLOOKUP($B248,Entradas!$B:$B,Entradas!W:W,,0,1)</f>
        <v>NÃO</v>
      </c>
      <c r="Q248" t="str">
        <f>_xlfn.XLOOKUP($B248,Entradas!$B:$B,Entradas!X:X,,0,1)</f>
        <v>Sem informação</v>
      </c>
      <c r="R248" s="36">
        <f>SUMIF(Entradas!$B:$B,'Entrada Lvl 5-4 qt'!$B248,Entradas!Y:Y)</f>
        <v>887.73</v>
      </c>
      <c r="S248" s="36">
        <f>SUMIF(Entradas!$B:$B,'Entrada Lvl 5-4 qt'!$B248,Entradas!Z:Z)</f>
        <v>0</v>
      </c>
      <c r="T248" s="36">
        <f>SUMIF(Entradas!$B:$B,'Entrada Lvl 5-4 qt'!$B248,Entradas!AA:AA)</f>
        <v>1875.29</v>
      </c>
      <c r="U248" s="36">
        <f>SUMIF(Entradas!$B:$B,'Entrada Lvl 5-4 qt'!$B248,Entradas!AB:AB)</f>
        <v>0</v>
      </c>
      <c r="V248" s="49">
        <f>_xlfn.XLOOKUP($B248,Entradas!$B:$B,Entradas!AC:AC,,0,1)</f>
        <v>45201</v>
      </c>
      <c r="W248" s="58">
        <f t="shared" si="19"/>
        <v>2</v>
      </c>
      <c r="X248" s="28" t="s">
        <v>10</v>
      </c>
      <c r="Y248" s="32">
        <f t="shared" si="15"/>
        <v>0</v>
      </c>
      <c r="Z248" s="33">
        <f t="shared" si="16"/>
        <v>1875.29</v>
      </c>
      <c r="AA248" s="34">
        <f t="shared" si="17"/>
        <v>887.73</v>
      </c>
      <c r="AB248" s="28" t="s">
        <v>1814</v>
      </c>
      <c r="AC248" s="28" t="s">
        <v>1820</v>
      </c>
      <c r="AD248" s="29" t="str" cm="1">
        <f t="array" ref="AD248">_xlfn.IFS(L248&lt;=Constantes!$G$2,"Muito Curta (evitável)",L248&lt;=Constantes!$H$2,"Curta Distância",L248&gt;Constantes!$H$2,"Longa Distância")</f>
        <v>Curta Distância</v>
      </c>
      <c r="AE248" s="30" t="str">
        <f t="shared" si="18"/>
        <v>NÃO</v>
      </c>
      <c r="AF248" s="30">
        <f>SUMIF(Entradas!$B:$B,'Entrada Lvl 5-4 qt'!$B248,Entradas!$AG:$AG)</f>
        <v>627.18210071654289</v>
      </c>
      <c r="AG248" s="30"/>
      <c r="BD248" s="49"/>
      <c r="BE248" s="49"/>
    </row>
    <row r="249" spans="1:57" x14ac:dyDescent="0.3">
      <c r="A249">
        <f>_xlfn.XLOOKUP(B249,Entradas!B:B,Entradas!A:A,,0,-1)</f>
        <v>2</v>
      </c>
      <c r="B249">
        <v>19368812</v>
      </c>
      <c r="C249" t="str">
        <f>_xlfn.XLOOKUP($B249,Entradas!$B:$B,Entradas!C:C,,0,1)</f>
        <v>001462/23</v>
      </c>
      <c r="D249" t="str">
        <f>_xlfn.XLOOKUP($B249,Entradas!$B:$B,Entradas!D:D,,0,1)</f>
        <v/>
      </c>
      <c r="E249" t="str">
        <f>_xlfn.XLOOKUP($B249,Entradas!$B:$B,Entradas!E:E,,0,1)</f>
        <v>VICTOR DA ROCHA SILVA JUNIOR</v>
      </c>
      <c r="F249" t="str">
        <f>_xlfn.XLOOKUP($B249,Entradas!$B:$B,Entradas!F:F,,0,1)</f>
        <v/>
      </c>
      <c r="G249" t="str">
        <f>_xlfn.XLOOKUP($B249,Entradas!$B:$B,Entradas!G:G,,0,1)</f>
        <v>-1</v>
      </c>
      <c r="H249" t="str">
        <f>_xlfn.XLOOKUP($B249,Entradas!$B:$B,Entradas!H:H,,0,1)</f>
        <v>Sem informação</v>
      </c>
      <c r="I249" s="49">
        <f>_xlfn.XLOOKUP($B249,Entradas!$B:$B,Entradas!I:I,,0,1)</f>
        <v>45235</v>
      </c>
      <c r="J249" s="49">
        <f>_xlfn.XLOOKUP($B249,Entradas!$B:$B,Entradas!J:J,,0,1)</f>
        <v>45241</v>
      </c>
      <c r="K249" t="str">
        <f>_xlfn.XLOOKUP($B249,Entradas!$B:$B,Entradas!K:K,,0,1)</f>
        <v>Realizar pesquisa na linha de estudos História e Regionalidades, do PPGH-UFPB, na tentativa de analisar como se dá a participação de Dom Luís Gonzaga Fernandes, na Teologia da Libertação, em suas produções teóricas e também, em sua experiência pioneira das Comunidades Eclesiais de Base, no Espírito Santo (ES).</v>
      </c>
      <c r="L249">
        <f>SUMIF(Entradas!$B:$B,'Entrada Lvl 5-4 qt'!$B249,Entradas!S:S)</f>
        <v>3136.7788519999999</v>
      </c>
      <c r="M249" t="str">
        <f>_xlfn.XLOOKUP($B249,Entradas!$B:$B,Entradas!T:T,,0,1)</f>
        <v>Aéreo</v>
      </c>
      <c r="N249" t="str">
        <f>_xlfn.XLOOKUP($B249,Entradas!$B:$B,Entradas!U:U,,0,1)</f>
        <v>Não</v>
      </c>
      <c r="O249" t="str">
        <f>_xlfn.XLOOKUP($B249,Entradas!$B:$B,Entradas!V:V,,0,1)</f>
        <v>Realizada</v>
      </c>
      <c r="P249" t="str">
        <f>_xlfn.XLOOKUP($B249,Entradas!$B:$B,Entradas!W:W,,0,1)</f>
        <v>NÃO</v>
      </c>
      <c r="Q249" t="str">
        <f>_xlfn.XLOOKUP($B249,Entradas!$B:$B,Entradas!X:X,,0,1)</f>
        <v>Sem informação</v>
      </c>
      <c r="R249" s="36">
        <f>SUMIF(Entradas!$B:$B,'Entrada Lvl 5-4 qt'!$B249,Entradas!Y:Y)</f>
        <v>0</v>
      </c>
      <c r="S249" s="36">
        <f>SUMIF(Entradas!$B:$B,'Entrada Lvl 5-4 qt'!$B249,Entradas!Z:Z)</f>
        <v>0</v>
      </c>
      <c r="T249" s="36">
        <f>SUMIF(Entradas!$B:$B,'Entrada Lvl 5-4 qt'!$B249,Entradas!AA:AA)</f>
        <v>2995.54</v>
      </c>
      <c r="U249" s="36">
        <f>SUMIF(Entradas!$B:$B,'Entrada Lvl 5-4 qt'!$B249,Entradas!AB:AB)</f>
        <v>0</v>
      </c>
      <c r="V249" s="49">
        <f>_xlfn.XLOOKUP($B249,Entradas!$B:$B,Entradas!AC:AC,,0,1)</f>
        <v>45216</v>
      </c>
      <c r="W249" s="58">
        <f t="shared" si="19"/>
        <v>6</v>
      </c>
      <c r="X249" s="28" t="s">
        <v>10</v>
      </c>
      <c r="Y249" s="32">
        <f t="shared" si="15"/>
        <v>0</v>
      </c>
      <c r="Z249" s="33">
        <f t="shared" si="16"/>
        <v>2995.54</v>
      </c>
      <c r="AA249" s="34">
        <f t="shared" si="17"/>
        <v>0</v>
      </c>
      <c r="AB249" s="28" t="s">
        <v>1818</v>
      </c>
      <c r="AC249" s="28" t="s">
        <v>1822</v>
      </c>
      <c r="AD249" s="29" t="str" cm="1">
        <f t="array" ref="AD249">_xlfn.IFS(L249&lt;=Constantes!$G$2,"Muito Curta (evitável)",L249&lt;=Constantes!$H$2,"Curta Distância",L249&gt;Constantes!$H$2,"Longa Distância")</f>
        <v>Curta Distância</v>
      </c>
      <c r="AE249" s="30" t="str">
        <f t="shared" si="18"/>
        <v>NÃO</v>
      </c>
      <c r="AF249" s="30">
        <f>SUMIF(Entradas!$B:$B,'Entrada Lvl 5-4 qt'!$B249,Entradas!$AG:$AG)</f>
        <v>573.62072344292073</v>
      </c>
      <c r="AG249" s="30"/>
      <c r="BD249" s="49"/>
      <c r="BE249" s="49"/>
    </row>
    <row r="250" spans="1:57" x14ac:dyDescent="0.3">
      <c r="A250">
        <f>_xlfn.XLOOKUP(B250,Entradas!B:B,Entradas!A:A,,0,-1)</f>
        <v>2</v>
      </c>
      <c r="B250">
        <v>19374748</v>
      </c>
      <c r="C250" t="str">
        <f>_xlfn.XLOOKUP($B250,Entradas!$B:$B,Entradas!C:C,,0,1)</f>
        <v>001427/23</v>
      </c>
      <c r="D250" t="str">
        <f>_xlfn.XLOOKUP($B250,Entradas!$B:$B,Entradas!D:D,,0,1)</f>
        <v>***.293.200-**</v>
      </c>
      <c r="E250" t="str">
        <f>_xlfn.XLOOKUP($B250,Entradas!$B:$B,Entradas!E:E,,0,1)</f>
        <v>CRISTIANO BONNEAU</v>
      </c>
      <c r="F250" t="str">
        <f>_xlfn.XLOOKUP($B250,Entradas!$B:$B,Entradas!F:F,,0,1)</f>
        <v>PROFESSOR DO MAGISTERIO SUPERIOR</v>
      </c>
      <c r="G250" t="str">
        <f>_xlfn.XLOOKUP($B250,Entradas!$B:$B,Entradas!G:G,,0,1)</f>
        <v>FUC-0001</v>
      </c>
      <c r="H250" t="str">
        <f>_xlfn.XLOOKUP($B250,Entradas!$B:$B,Entradas!H:H,,0,1)</f>
        <v>FUC-0001</v>
      </c>
      <c r="I250" s="49">
        <f>_xlfn.XLOOKUP($B250,Entradas!$B:$B,Entradas!I:I,,0,1)</f>
        <v>45235</v>
      </c>
      <c r="J250" s="49">
        <f>_xlfn.XLOOKUP($B250,Entradas!$B:$B,Entradas!J:J,,0,1)</f>
        <v>45239</v>
      </c>
      <c r="K250" t="str">
        <f>_xlfn.XLOOKUP($B250,Entradas!$B:$B,Entradas!K:K,,0,1)</f>
        <v>Atividade de integração institucional, incentivo à pesquisa e apresentação de trabalho no XXVI Simpósio de Filosofia Moderna e Contemporânea da UNIOESTE</v>
      </c>
      <c r="L250">
        <f>SUMIF(Entradas!$B:$B,'Entrada Lvl 5-4 qt'!$B250,Entradas!S:S)</f>
        <v>5834.0911219999998</v>
      </c>
      <c r="M250" t="str">
        <f>_xlfn.XLOOKUP($B250,Entradas!$B:$B,Entradas!T:T,,0,1)</f>
        <v>Aéreo</v>
      </c>
      <c r="N250" t="str">
        <f>_xlfn.XLOOKUP($B250,Entradas!$B:$B,Entradas!U:U,,0,1)</f>
        <v>Não</v>
      </c>
      <c r="O250" t="str">
        <f>_xlfn.XLOOKUP($B250,Entradas!$B:$B,Entradas!V:V,,0,1)</f>
        <v>Realizada</v>
      </c>
      <c r="P250" t="str">
        <f>_xlfn.XLOOKUP($B250,Entradas!$B:$B,Entradas!W:W,,0,1)</f>
        <v>NÃO</v>
      </c>
      <c r="Q250" t="str">
        <f>_xlfn.XLOOKUP($B250,Entradas!$B:$B,Entradas!X:X,,0,1)</f>
        <v>Sem informação</v>
      </c>
      <c r="R250" s="36">
        <f>SUMIF(Entradas!$B:$B,'Entrada Lvl 5-4 qt'!$B250,Entradas!Y:Y)</f>
        <v>1212.69</v>
      </c>
      <c r="S250" s="36">
        <f>SUMIF(Entradas!$B:$B,'Entrada Lvl 5-4 qt'!$B250,Entradas!Z:Z)</f>
        <v>0</v>
      </c>
      <c r="T250" s="36">
        <f>SUMIF(Entradas!$B:$B,'Entrada Lvl 5-4 qt'!$B250,Entradas!AA:AA)</f>
        <v>1839.94</v>
      </c>
      <c r="U250" s="36">
        <f>SUMIF(Entradas!$B:$B,'Entrada Lvl 5-4 qt'!$B250,Entradas!AB:AB)</f>
        <v>0</v>
      </c>
      <c r="V250" s="49">
        <f>_xlfn.XLOOKUP($B250,Entradas!$B:$B,Entradas!AC:AC,,0,1)</f>
        <v>45210</v>
      </c>
      <c r="W250" s="58">
        <f t="shared" si="19"/>
        <v>4</v>
      </c>
      <c r="X250" s="28" t="s">
        <v>10</v>
      </c>
      <c r="Y250" s="32">
        <f t="shared" si="15"/>
        <v>0</v>
      </c>
      <c r="Z250" s="33">
        <f t="shared" si="16"/>
        <v>1839.94</v>
      </c>
      <c r="AA250" s="34">
        <f t="shared" si="17"/>
        <v>1212.69</v>
      </c>
      <c r="AB250" s="28" t="s">
        <v>1814</v>
      </c>
      <c r="AC250" s="28" t="s">
        <v>1784</v>
      </c>
      <c r="AD250" s="29" t="str" cm="1">
        <f t="array" ref="AD250">_xlfn.IFS(L250&lt;=Constantes!$G$2,"Muito Curta (evitável)",L250&lt;=Constantes!$H$2,"Curta Distância",L250&gt;Constantes!$H$2,"Longa Distância")</f>
        <v>Longa Distância</v>
      </c>
      <c r="AE250" s="30" t="str">
        <f t="shared" si="18"/>
        <v>NÃO</v>
      </c>
      <c r="AF250" s="30">
        <f>SUMIF(Entradas!$B:$B,'Entrada Lvl 5-4 qt'!$B250,Entradas!$AG:$AG)</f>
        <v>1066.8764767716439</v>
      </c>
      <c r="AG250" s="30"/>
      <c r="BD250" s="49"/>
      <c r="BE250" s="49"/>
    </row>
    <row r="251" spans="1:57" x14ac:dyDescent="0.3">
      <c r="A251">
        <f>_xlfn.XLOOKUP(B251,Entradas!B:B,Entradas!A:A,,0,-1)</f>
        <v>2</v>
      </c>
      <c r="B251">
        <v>19374874</v>
      </c>
      <c r="C251" t="str">
        <f>_xlfn.XLOOKUP($B251,Entradas!$B:$B,Entradas!C:C,,0,1)</f>
        <v>001417/23</v>
      </c>
      <c r="D251" t="str">
        <f>_xlfn.XLOOKUP($B251,Entradas!$B:$B,Entradas!D:D,,0,1)</f>
        <v>***.438.036-**</v>
      </c>
      <c r="E251" t="str">
        <f>_xlfn.XLOOKUP($B251,Entradas!$B:$B,Entradas!E:E,,0,1)</f>
        <v>ANDERSON DARC FERREIRA</v>
      </c>
      <c r="F251" t="str">
        <f>_xlfn.XLOOKUP($B251,Entradas!$B:$B,Entradas!F:F,,0,1)</f>
        <v>PROFESSOR DO MAGISTERIO SUPERIOR</v>
      </c>
      <c r="G251" t="str">
        <f>_xlfn.XLOOKUP($B251,Entradas!$B:$B,Entradas!G:G,,0,1)</f>
        <v>-1</v>
      </c>
      <c r="H251" t="str">
        <f>_xlfn.XLOOKUP($B251,Entradas!$B:$B,Entradas!H:H,,0,1)</f>
        <v>Sem informação</v>
      </c>
      <c r="I251" s="49">
        <f>_xlfn.XLOOKUP($B251,Entradas!$B:$B,Entradas!I:I,,0,1)</f>
        <v>45235</v>
      </c>
      <c r="J251" s="49">
        <f>_xlfn.XLOOKUP($B251,Entradas!$B:$B,Entradas!J:J,,0,1)</f>
        <v>45239</v>
      </c>
      <c r="K251" t="str">
        <f>_xlfn.XLOOKUP($B251,Entradas!$B:$B,Entradas!K:K,,0,1)</f>
        <v>Atividade de integração institucional, incentivo à pesquisa e apresentação de trabalho no XXVI Simpósio de Filosofia Moderna e Contemporânea da UNIOESTE.</v>
      </c>
      <c r="L251">
        <f>SUMIF(Entradas!$B:$B,'Entrada Lvl 5-4 qt'!$B251,Entradas!S:S)</f>
        <v>5834.0911219999998</v>
      </c>
      <c r="M251" t="str">
        <f>_xlfn.XLOOKUP($B251,Entradas!$B:$B,Entradas!T:T,,0,1)</f>
        <v>Aéreo</v>
      </c>
      <c r="N251" t="str">
        <f>_xlfn.XLOOKUP($B251,Entradas!$B:$B,Entradas!U:U,,0,1)</f>
        <v>Não</v>
      </c>
      <c r="O251" t="str">
        <f>_xlfn.XLOOKUP($B251,Entradas!$B:$B,Entradas!V:V,,0,1)</f>
        <v>Realizada</v>
      </c>
      <c r="P251" t="str">
        <f>_xlfn.XLOOKUP($B251,Entradas!$B:$B,Entradas!W:W,,0,1)</f>
        <v>NÃO</v>
      </c>
      <c r="Q251" t="str">
        <f>_xlfn.XLOOKUP($B251,Entradas!$B:$B,Entradas!X:X,,0,1)</f>
        <v>Sem informação</v>
      </c>
      <c r="R251" s="36">
        <f>SUMIF(Entradas!$B:$B,'Entrada Lvl 5-4 qt'!$B251,Entradas!Y:Y)</f>
        <v>1329.41</v>
      </c>
      <c r="S251" s="36">
        <f>SUMIF(Entradas!$B:$B,'Entrada Lvl 5-4 qt'!$B251,Entradas!Z:Z)</f>
        <v>0</v>
      </c>
      <c r="T251" s="36">
        <f>SUMIF(Entradas!$B:$B,'Entrada Lvl 5-4 qt'!$B251,Entradas!AA:AA)</f>
        <v>1839.94</v>
      </c>
      <c r="U251" s="36">
        <f>SUMIF(Entradas!$B:$B,'Entrada Lvl 5-4 qt'!$B251,Entradas!AB:AB)</f>
        <v>0</v>
      </c>
      <c r="V251" s="49">
        <f>_xlfn.XLOOKUP($B251,Entradas!$B:$B,Entradas!AC:AC,,0,1)</f>
        <v>45210</v>
      </c>
      <c r="W251" s="58">
        <f t="shared" si="19"/>
        <v>4</v>
      </c>
      <c r="X251" s="28" t="s">
        <v>10</v>
      </c>
      <c r="Y251" s="32">
        <f t="shared" si="15"/>
        <v>0</v>
      </c>
      <c r="Z251" s="33">
        <f t="shared" si="16"/>
        <v>1839.94</v>
      </c>
      <c r="AA251" s="34">
        <f t="shared" si="17"/>
        <v>1329.41</v>
      </c>
      <c r="AB251" s="28" t="s">
        <v>1814</v>
      </c>
      <c r="AC251" s="28" t="s">
        <v>1784</v>
      </c>
      <c r="AD251" s="29" t="str" cm="1">
        <f t="array" ref="AD251">_xlfn.IFS(L251&lt;=Constantes!$G$2,"Muito Curta (evitável)",L251&lt;=Constantes!$H$2,"Curta Distância",L251&gt;Constantes!$H$2,"Longa Distância")</f>
        <v>Longa Distância</v>
      </c>
      <c r="AE251" s="30" t="str">
        <f t="shared" si="18"/>
        <v>NÃO</v>
      </c>
      <c r="AF251" s="30">
        <f>SUMIF(Entradas!$B:$B,'Entrada Lvl 5-4 qt'!$B251,Entradas!$AG:$AG)</f>
        <v>1066.8764767716439</v>
      </c>
      <c r="AG251" s="30"/>
      <c r="BD251" s="49"/>
      <c r="BE251" s="49"/>
    </row>
    <row r="252" spans="1:57" x14ac:dyDescent="0.3">
      <c r="A252">
        <f>_xlfn.XLOOKUP(B252,Entradas!B:B,Entradas!A:A,,0,-1)</f>
        <v>2</v>
      </c>
      <c r="B252">
        <v>19445226</v>
      </c>
      <c r="C252" t="str">
        <f>_xlfn.XLOOKUP($B252,Entradas!$B:$B,Entradas!C:C,,0,1)</f>
        <v>001630/23</v>
      </c>
      <c r="D252" t="str">
        <f>_xlfn.XLOOKUP($B252,Entradas!$B:$B,Entradas!D:D,,0,1)</f>
        <v>***.328.654-**</v>
      </c>
      <c r="E252" t="str">
        <f>_xlfn.XLOOKUP($B252,Entradas!$B:$B,Entradas!E:E,,0,1)</f>
        <v>JOAO WANDEMBERG GONCALVES MACIEL</v>
      </c>
      <c r="F252" t="str">
        <f>_xlfn.XLOOKUP($B252,Entradas!$B:$B,Entradas!F:F,,0,1)</f>
        <v>PROFESSOR DO MAGISTERIO SUPERIOR</v>
      </c>
      <c r="G252" t="str">
        <f>_xlfn.XLOOKUP($B252,Entradas!$B:$B,Entradas!G:G,,0,1)</f>
        <v>-1</v>
      </c>
      <c r="H252" t="str">
        <f>_xlfn.XLOOKUP($B252,Entradas!$B:$B,Entradas!H:H,,0,1)</f>
        <v>Sem informação</v>
      </c>
      <c r="I252" s="49">
        <f>_xlfn.XLOOKUP($B252,Entradas!$B:$B,Entradas!I:I,,0,1)</f>
        <v>45235</v>
      </c>
      <c r="J252" s="49">
        <f>_xlfn.XLOOKUP($B252,Entradas!$B:$B,Entradas!J:J,,0,1)</f>
        <v>45239</v>
      </c>
      <c r="K252" t="str">
        <f>_xlfn.XLOOKUP($B252,Entradas!$B:$B,Entradas!K:K,,0,1)</f>
        <v>Apresentação de trabalho científico em conjunto com o orientando DAVID ANTHONNY RIBEIRO GOMES DA SILVA conforme carta de aceite em anexo.</v>
      </c>
      <c r="L252">
        <f>SUMIF(Entradas!$B:$B,'Entrada Lvl 5-4 qt'!$B252,Entradas!S:S)</f>
        <v>1255.2527250000001</v>
      </c>
      <c r="M252" t="str">
        <f>_xlfn.XLOOKUP($B252,Entradas!$B:$B,Entradas!T:T,,0,1)</f>
        <v>Aéreo</v>
      </c>
      <c r="N252" t="str">
        <f>_xlfn.XLOOKUP($B252,Entradas!$B:$B,Entradas!U:U,,0,1)</f>
        <v>Não</v>
      </c>
      <c r="O252" t="str">
        <f>_xlfn.XLOOKUP($B252,Entradas!$B:$B,Entradas!V:V,,0,1)</f>
        <v>Realizada</v>
      </c>
      <c r="P252" t="str">
        <f>_xlfn.XLOOKUP($B252,Entradas!$B:$B,Entradas!W:W,,0,1)</f>
        <v>SIM</v>
      </c>
      <c r="Q252" t="str">
        <f>_xlfn.XLOOKUP($B252,Entradas!$B:$B,Entradas!X:X,,0,1)</f>
        <v>Os documentos foram enviados com menos de 20 dias do evento porque estávamos aguardando autorização da CAPES para o uso de recursos do PROFLETRAS com o pagamento de diárias, autorização que só foi dada por aquele órgão no dia 17/10/2023.</v>
      </c>
      <c r="R252" s="36">
        <f>SUMIF(Entradas!$B:$B,'Entrada Lvl 5-4 qt'!$B252,Entradas!Y:Y)</f>
        <v>1477.63</v>
      </c>
      <c r="S252" s="36">
        <f>SUMIF(Entradas!$B:$B,'Entrada Lvl 5-4 qt'!$B252,Entradas!Z:Z)</f>
        <v>0</v>
      </c>
      <c r="T252" s="36">
        <f>SUMIF(Entradas!$B:$B,'Entrada Lvl 5-4 qt'!$B252,Entradas!AA:AA)</f>
        <v>1899.57</v>
      </c>
      <c r="U252" s="36">
        <f>SUMIF(Entradas!$B:$B,'Entrada Lvl 5-4 qt'!$B252,Entradas!AB:AB)</f>
        <v>0</v>
      </c>
      <c r="V252" s="49">
        <f>_xlfn.XLOOKUP($B252,Entradas!$B:$B,Entradas!AC:AC,,0,1)</f>
        <v>45231</v>
      </c>
      <c r="W252" s="58">
        <f t="shared" si="19"/>
        <v>4</v>
      </c>
      <c r="X252" s="28" t="s">
        <v>10</v>
      </c>
      <c r="Y252" s="32">
        <f t="shared" si="15"/>
        <v>0</v>
      </c>
      <c r="Z252" s="33">
        <f t="shared" si="16"/>
        <v>1899.57</v>
      </c>
      <c r="AA252" s="34">
        <f t="shared" si="17"/>
        <v>1477.63</v>
      </c>
      <c r="AB252" s="28" t="s">
        <v>1814</v>
      </c>
      <c r="AC252" s="28" t="s">
        <v>1820</v>
      </c>
      <c r="AD252" s="29" t="str" cm="1">
        <f t="array" ref="AD252">_xlfn.IFS(L252&lt;=Constantes!$G$2,"Muito Curta (evitável)",L252&lt;=Constantes!$H$2,"Curta Distância",L252&gt;Constantes!$H$2,"Longa Distância")</f>
        <v>Curta Distância</v>
      </c>
      <c r="AE252" s="30" t="str">
        <f t="shared" si="18"/>
        <v>NÃO</v>
      </c>
      <c r="AF252" s="30">
        <f>SUMIF(Entradas!$B:$B,'Entrada Lvl 5-4 qt'!$B252,Entradas!$AG:$AG)</f>
        <v>229.54725538241348</v>
      </c>
      <c r="AG252" s="30"/>
      <c r="BD252" s="49"/>
      <c r="BE252" s="49"/>
    </row>
    <row r="253" spans="1:57" x14ac:dyDescent="0.3">
      <c r="A253">
        <f>_xlfn.XLOOKUP(B253,Entradas!B:B,Entradas!A:A,,0,-1)</f>
        <v>2</v>
      </c>
      <c r="B253">
        <v>19280831</v>
      </c>
      <c r="C253" t="str">
        <f>_xlfn.XLOOKUP($B253,Entradas!$B:$B,Entradas!C:C,,0,1)</f>
        <v>001054/23</v>
      </c>
      <c r="D253" t="str">
        <f>_xlfn.XLOOKUP($B253,Entradas!$B:$B,Entradas!D:D,,0,1)</f>
        <v>***.031.021-**</v>
      </c>
      <c r="E253" t="str">
        <f>_xlfn.XLOOKUP($B253,Entradas!$B:$B,Entradas!E:E,,0,1)</f>
        <v>WAGNER JUNQUEIRA DE ARAUJO</v>
      </c>
      <c r="F253" t="str">
        <f>_xlfn.XLOOKUP($B253,Entradas!$B:$B,Entradas!F:F,,0,1)</f>
        <v>PROFESSOR DO MAGISTERIO SUPERIOR</v>
      </c>
      <c r="G253" t="str">
        <f>_xlfn.XLOOKUP($B253,Entradas!$B:$B,Entradas!G:G,,0,1)</f>
        <v>FUC-0001</v>
      </c>
      <c r="H253" t="str">
        <f>_xlfn.XLOOKUP($B253,Entradas!$B:$B,Entradas!H:H,,0,1)</f>
        <v>FUC-0001</v>
      </c>
      <c r="I253" s="49">
        <f>_xlfn.XLOOKUP($B253,Entradas!$B:$B,Entradas!I:I,,0,1)</f>
        <v>45236</v>
      </c>
      <c r="J253" s="49">
        <f>_xlfn.XLOOKUP($B253,Entradas!$B:$B,Entradas!J:J,,0,1)</f>
        <v>45240</v>
      </c>
      <c r="K253" t="str">
        <f>_xlfn.XLOOKUP($B253,Entradas!$B:$B,Entradas!K:K,,0,1)</f>
        <v>Participar com apresentação de trabalhos no XXIII ENANCIB, Encontro Nacional de Pesquisa em Ciência da Informação, que será realizado no período de 06/11/23 a 11/11/23 na cidade de Aracajú-SE</v>
      </c>
      <c r="L253">
        <f>SUMIF(Entradas!$B:$B,'Entrada Lvl 5-4 qt'!$B253,Entradas!S:S)</f>
        <v>791.19715919999999</v>
      </c>
      <c r="M253" t="str">
        <f>_xlfn.XLOOKUP($B253,Entradas!$B:$B,Entradas!T:T,,0,1)</f>
        <v>Aéreo</v>
      </c>
      <c r="N253" t="str">
        <f>_xlfn.XLOOKUP($B253,Entradas!$B:$B,Entradas!U:U,,0,1)</f>
        <v>Sim</v>
      </c>
      <c r="O253" t="str">
        <f>_xlfn.XLOOKUP($B253,Entradas!$B:$B,Entradas!V:V,,0,1)</f>
        <v>Realizada</v>
      </c>
      <c r="P253" t="str">
        <f>_xlfn.XLOOKUP($B253,Entradas!$B:$B,Entradas!W:W,,0,1)</f>
        <v>NÃO</v>
      </c>
      <c r="Q253" t="str">
        <f>_xlfn.XLOOKUP($B253,Entradas!$B:$B,Entradas!X:X,,0,1)</f>
        <v>Sem informação</v>
      </c>
      <c r="R253" s="36">
        <f>SUMIF(Entradas!$B:$B,'Entrada Lvl 5-4 qt'!$B253,Entradas!Y:Y)</f>
        <v>1480.04</v>
      </c>
      <c r="S253" s="36">
        <f>SUMIF(Entradas!$B:$B,'Entrada Lvl 5-4 qt'!$B253,Entradas!Z:Z)</f>
        <v>0</v>
      </c>
      <c r="T253" s="36">
        <f>SUMIF(Entradas!$B:$B,'Entrada Lvl 5-4 qt'!$B253,Entradas!AA:AA)</f>
        <v>1481.01</v>
      </c>
      <c r="U253" s="36">
        <f>SUMIF(Entradas!$B:$B,'Entrada Lvl 5-4 qt'!$B253,Entradas!AB:AB)</f>
        <v>0</v>
      </c>
      <c r="V253" s="49">
        <f>_xlfn.XLOOKUP($B253,Entradas!$B:$B,Entradas!AC:AC,,0,1)</f>
        <v>45191</v>
      </c>
      <c r="W253" s="58">
        <f t="shared" si="19"/>
        <v>4</v>
      </c>
      <c r="X253" s="28" t="s">
        <v>10</v>
      </c>
      <c r="Y253" s="32">
        <f t="shared" si="15"/>
        <v>0</v>
      </c>
      <c r="Z253" s="33">
        <f t="shared" si="16"/>
        <v>1481.01</v>
      </c>
      <c r="AA253" s="34">
        <f t="shared" si="17"/>
        <v>1480.04</v>
      </c>
      <c r="AB253" s="28" t="s">
        <v>1814</v>
      </c>
      <c r="AC253" s="28" t="s">
        <v>1820</v>
      </c>
      <c r="AD253" s="29" t="str" cm="1">
        <f t="array" ref="AD253">_xlfn.IFS(L253&lt;=Constantes!$G$2,"Muito Curta (evitável)",L253&lt;=Constantes!$H$2,"Curta Distância",L253&gt;Constantes!$H$2,"Longa Distância")</f>
        <v>Curta Distância</v>
      </c>
      <c r="AE253" s="30" t="str">
        <f t="shared" si="18"/>
        <v>NÃO</v>
      </c>
      <c r="AF253" s="30">
        <f>SUMIF(Entradas!$B:$B,'Entrada Lvl 5-4 qt'!$B253,Entradas!$AG:$AG)</f>
        <v>215.66197814172082</v>
      </c>
      <c r="AG253" s="30"/>
      <c r="BD253" s="49"/>
      <c r="BE253" s="49"/>
    </row>
    <row r="254" spans="1:57" x14ac:dyDescent="0.3">
      <c r="A254">
        <f>_xlfn.XLOOKUP(B254,Entradas!B:B,Entradas!A:A,,0,-1)</f>
        <v>2</v>
      </c>
      <c r="B254">
        <v>19287629</v>
      </c>
      <c r="C254" t="str">
        <f>_xlfn.XLOOKUP($B254,Entradas!$B:$B,Entradas!C:C,,0,1)</f>
        <v>001090/23</v>
      </c>
      <c r="D254" t="str">
        <f>_xlfn.XLOOKUP($B254,Entradas!$B:$B,Entradas!D:D,,0,1)</f>
        <v>***.908.194-**</v>
      </c>
      <c r="E254" t="str">
        <f>_xlfn.XLOOKUP($B254,Entradas!$B:$B,Entradas!E:E,,0,1)</f>
        <v>MARCIA MARIA DE MEDEIROS TRAVASSOS SAEGER</v>
      </c>
      <c r="F254" t="str">
        <f>_xlfn.XLOOKUP($B254,Entradas!$B:$B,Entradas!F:F,,0,1)</f>
        <v>PROFESSOR DO MAGISTERIO SUPERIOR</v>
      </c>
      <c r="G254" t="str">
        <f>_xlfn.XLOOKUP($B254,Entradas!$B:$B,Entradas!G:G,,0,1)</f>
        <v>-1</v>
      </c>
      <c r="H254" t="str">
        <f>_xlfn.XLOOKUP($B254,Entradas!$B:$B,Entradas!H:H,,0,1)</f>
        <v>Sem informação</v>
      </c>
      <c r="I254" s="49">
        <f>_xlfn.XLOOKUP($B254,Entradas!$B:$B,Entradas!I:I,,0,1)</f>
        <v>45236</v>
      </c>
      <c r="J254" s="49">
        <f>_xlfn.XLOOKUP($B254,Entradas!$B:$B,Entradas!J:J,,0,1)</f>
        <v>45240</v>
      </c>
      <c r="K254" t="str">
        <f>_xlfn.XLOOKUP($B254,Entradas!$B:$B,Entradas!K:K,,0,1)</f>
        <v>Participar na qualidade de vice-coordenador e com apresentação de trabalho do XXIII Encontro Nacional de Pesquisa em Ciência da Informação (ENANCIB), na cidade de Aracajú-SE, no período de 06/11/23 a 10/11/23</v>
      </c>
      <c r="L254">
        <f>SUMIF(Entradas!$B:$B,'Entrada Lvl 5-4 qt'!$B254,Entradas!S:S)</f>
        <v>791.19715919999999</v>
      </c>
      <c r="M254" t="str">
        <f>_xlfn.XLOOKUP($B254,Entradas!$B:$B,Entradas!T:T,,0,1)</f>
        <v>Aéreo</v>
      </c>
      <c r="N254" t="str">
        <f>_xlfn.XLOOKUP($B254,Entradas!$B:$B,Entradas!U:U,,0,1)</f>
        <v>Não</v>
      </c>
      <c r="O254" t="str">
        <f>_xlfn.XLOOKUP($B254,Entradas!$B:$B,Entradas!V:V,,0,1)</f>
        <v>Realizada</v>
      </c>
      <c r="P254" t="str">
        <f>_xlfn.XLOOKUP($B254,Entradas!$B:$B,Entradas!W:W,,0,1)</f>
        <v>NÃO</v>
      </c>
      <c r="Q254" t="str">
        <f>_xlfn.XLOOKUP($B254,Entradas!$B:$B,Entradas!X:X,,0,1)</f>
        <v>Sem informação</v>
      </c>
      <c r="R254" s="36">
        <f>SUMIF(Entradas!$B:$B,'Entrada Lvl 5-4 qt'!$B254,Entradas!Y:Y)</f>
        <v>1363.14</v>
      </c>
      <c r="S254" s="36">
        <f>SUMIF(Entradas!$B:$B,'Entrada Lvl 5-4 qt'!$B254,Entradas!Z:Z)</f>
        <v>0</v>
      </c>
      <c r="T254" s="36">
        <f>SUMIF(Entradas!$B:$B,'Entrada Lvl 5-4 qt'!$B254,Entradas!AA:AA)</f>
        <v>1481.01</v>
      </c>
      <c r="U254" s="36">
        <f>SUMIF(Entradas!$B:$B,'Entrada Lvl 5-4 qt'!$B254,Entradas!AB:AB)</f>
        <v>0</v>
      </c>
      <c r="V254" s="49">
        <f>_xlfn.XLOOKUP($B254,Entradas!$B:$B,Entradas!AC:AC,,0,1)</f>
        <v>45191</v>
      </c>
      <c r="W254" s="58">
        <f t="shared" si="19"/>
        <v>4</v>
      </c>
      <c r="X254" s="28" t="s">
        <v>10</v>
      </c>
      <c r="Y254" s="32">
        <f t="shared" si="15"/>
        <v>0</v>
      </c>
      <c r="Z254" s="33">
        <f t="shared" si="16"/>
        <v>1481.01</v>
      </c>
      <c r="AA254" s="34">
        <f t="shared" si="17"/>
        <v>1363.14</v>
      </c>
      <c r="AB254" s="28" t="s">
        <v>1814</v>
      </c>
      <c r="AC254" s="28" t="s">
        <v>1820</v>
      </c>
      <c r="AD254" s="29" t="str" cm="1">
        <f t="array" ref="AD254">_xlfn.IFS(L254&lt;=Constantes!$G$2,"Muito Curta (evitável)",L254&lt;=Constantes!$H$2,"Curta Distância",L254&gt;Constantes!$H$2,"Longa Distância")</f>
        <v>Curta Distância</v>
      </c>
      <c r="AE254" s="30" t="str">
        <f t="shared" si="18"/>
        <v>NÃO</v>
      </c>
      <c r="AF254" s="30">
        <f>SUMIF(Entradas!$B:$B,'Entrada Lvl 5-4 qt'!$B254,Entradas!$AG:$AG)</f>
        <v>215.66197814172082</v>
      </c>
      <c r="AG254" s="30"/>
      <c r="BD254" s="49"/>
      <c r="BE254" s="49"/>
    </row>
    <row r="255" spans="1:57" x14ac:dyDescent="0.3">
      <c r="A255">
        <f>_xlfn.XLOOKUP(B255,Entradas!B:B,Entradas!A:A,,0,-1)</f>
        <v>2</v>
      </c>
      <c r="B255">
        <v>19290952</v>
      </c>
      <c r="C255" t="str">
        <f>_xlfn.XLOOKUP($B255,Entradas!$B:$B,Entradas!C:C,,0,1)</f>
        <v>001101/23</v>
      </c>
      <c r="D255" t="str">
        <f>_xlfn.XLOOKUP($B255,Entradas!$B:$B,Entradas!D:D,,0,1)</f>
        <v>***.391.628-**</v>
      </c>
      <c r="E255" t="str">
        <f>_xlfn.XLOOKUP($B255,Entradas!$B:$B,Entradas!E:E,,0,1)</f>
        <v>JULIO AFONSO SA DE PINHO NETO</v>
      </c>
      <c r="F255" t="str">
        <f>_xlfn.XLOOKUP($B255,Entradas!$B:$B,Entradas!F:F,,0,1)</f>
        <v>PROFESSOR DO MAGISTERIO SUPERIOR</v>
      </c>
      <c r="G255" t="str">
        <f>_xlfn.XLOOKUP($B255,Entradas!$B:$B,Entradas!G:G,,0,1)</f>
        <v>-1</v>
      </c>
      <c r="H255" t="str">
        <f>_xlfn.XLOOKUP($B255,Entradas!$B:$B,Entradas!H:H,,0,1)</f>
        <v>Sem informação</v>
      </c>
      <c r="I255" s="49">
        <f>_xlfn.XLOOKUP($B255,Entradas!$B:$B,Entradas!I:I,,0,1)</f>
        <v>45236</v>
      </c>
      <c r="J255" s="49">
        <f>_xlfn.XLOOKUP($B255,Entradas!$B:$B,Entradas!J:J,,0,1)</f>
        <v>45240</v>
      </c>
      <c r="K255" t="str">
        <f>_xlfn.XLOOKUP($B255,Entradas!$B:$B,Entradas!K:K,,0,1)</f>
        <v>Participar com apresentação de trabalho do XXIII Encontro Nacional de Pesquisa em Ciência da Informação (ENANCIB) na cidade de Aracajú-SE, no período de 06/11/23 a 10/11/23.</v>
      </c>
      <c r="L255">
        <f>SUMIF(Entradas!$B:$B,'Entrada Lvl 5-4 qt'!$B255,Entradas!S:S)</f>
        <v>791.19715919999999</v>
      </c>
      <c r="M255" t="str">
        <f>_xlfn.XLOOKUP($B255,Entradas!$B:$B,Entradas!T:T,,0,1)</f>
        <v>Aéreo</v>
      </c>
      <c r="N255" t="str">
        <f>_xlfn.XLOOKUP($B255,Entradas!$B:$B,Entradas!U:U,,0,1)</f>
        <v>Não</v>
      </c>
      <c r="O255" t="str">
        <f>_xlfn.XLOOKUP($B255,Entradas!$B:$B,Entradas!V:V,,0,1)</f>
        <v>Realizada</v>
      </c>
      <c r="P255" t="str">
        <f>_xlfn.XLOOKUP($B255,Entradas!$B:$B,Entradas!W:W,,0,1)</f>
        <v>NÃO</v>
      </c>
      <c r="Q255" t="str">
        <f>_xlfn.XLOOKUP($B255,Entradas!$B:$B,Entradas!X:X,,0,1)</f>
        <v>Sem informação</v>
      </c>
      <c r="R255" s="36">
        <f>SUMIF(Entradas!$B:$B,'Entrada Lvl 5-4 qt'!$B255,Entradas!Y:Y)</f>
        <v>1288.1400000000001</v>
      </c>
      <c r="S255" s="36">
        <f>SUMIF(Entradas!$B:$B,'Entrada Lvl 5-4 qt'!$B255,Entradas!Z:Z)</f>
        <v>0</v>
      </c>
      <c r="T255" s="36">
        <f>SUMIF(Entradas!$B:$B,'Entrada Lvl 5-4 qt'!$B255,Entradas!AA:AA)</f>
        <v>1481.01</v>
      </c>
      <c r="U255" s="36">
        <f>SUMIF(Entradas!$B:$B,'Entrada Lvl 5-4 qt'!$B255,Entradas!AB:AB)</f>
        <v>0</v>
      </c>
      <c r="V255" s="49">
        <f>_xlfn.XLOOKUP($B255,Entradas!$B:$B,Entradas!AC:AC,,0,1)</f>
        <v>45191</v>
      </c>
      <c r="W255" s="58">
        <f t="shared" si="19"/>
        <v>4</v>
      </c>
      <c r="X255" s="28" t="s">
        <v>10</v>
      </c>
      <c r="Y255" s="32">
        <f t="shared" si="15"/>
        <v>0</v>
      </c>
      <c r="Z255" s="33">
        <f t="shared" si="16"/>
        <v>1481.01</v>
      </c>
      <c r="AA255" s="34">
        <f t="shared" si="17"/>
        <v>1288.1400000000001</v>
      </c>
      <c r="AB255" s="28" t="s">
        <v>1814</v>
      </c>
      <c r="AC255" s="28" t="s">
        <v>1820</v>
      </c>
      <c r="AD255" s="29" t="str" cm="1">
        <f t="array" ref="AD255">_xlfn.IFS(L255&lt;=Constantes!$G$2,"Muito Curta (evitável)",L255&lt;=Constantes!$H$2,"Curta Distância",L255&gt;Constantes!$H$2,"Longa Distância")</f>
        <v>Curta Distância</v>
      </c>
      <c r="AE255" s="30" t="str">
        <f t="shared" si="18"/>
        <v>NÃO</v>
      </c>
      <c r="AF255" s="30">
        <f>SUMIF(Entradas!$B:$B,'Entrada Lvl 5-4 qt'!$B255,Entradas!$AG:$AG)</f>
        <v>215.66197814172082</v>
      </c>
      <c r="AG255" s="30"/>
      <c r="BD255" s="49"/>
      <c r="BE255" s="49"/>
    </row>
    <row r="256" spans="1:57" x14ac:dyDescent="0.3">
      <c r="A256">
        <f>_xlfn.XLOOKUP(B256,Entradas!B:B,Entradas!A:A,,0,-1)</f>
        <v>2</v>
      </c>
      <c r="B256">
        <v>19304384</v>
      </c>
      <c r="C256" t="str">
        <f>_xlfn.XLOOKUP($B256,Entradas!$B:$B,Entradas!C:C,,0,1)</f>
        <v>001121/23</v>
      </c>
      <c r="D256" t="str">
        <f>_xlfn.XLOOKUP($B256,Entradas!$B:$B,Entradas!D:D,,0,1)</f>
        <v>***.236.673-**</v>
      </c>
      <c r="E256" t="str">
        <f>_xlfn.XLOOKUP($B256,Entradas!$B:$B,Entradas!E:E,,0,1)</f>
        <v>VIRGINIA BENTES PINTO</v>
      </c>
      <c r="F256" t="str">
        <f>_xlfn.XLOOKUP($B256,Entradas!$B:$B,Entradas!F:F,,0,1)</f>
        <v>PROFESSOR DO MAGISTERIO SUPERIOR</v>
      </c>
      <c r="G256" t="str">
        <f>_xlfn.XLOOKUP($B256,Entradas!$B:$B,Entradas!G:G,,0,1)</f>
        <v>-1</v>
      </c>
      <c r="H256" t="str">
        <f>_xlfn.XLOOKUP($B256,Entradas!$B:$B,Entradas!H:H,,0,1)</f>
        <v>Sem informação</v>
      </c>
      <c r="I256" s="49">
        <f>_xlfn.XLOOKUP($B256,Entradas!$B:$B,Entradas!I:I,,0,1)</f>
        <v>45236</v>
      </c>
      <c r="J256" s="49">
        <f>_xlfn.XLOOKUP($B256,Entradas!$B:$B,Entradas!J:J,,0,1)</f>
        <v>45240</v>
      </c>
      <c r="K256" t="str">
        <f>_xlfn.XLOOKUP($B256,Entradas!$B:$B,Entradas!K:K,,0,1)</f>
        <v>Participar com apresentação de trabalho do XXIII Encontro Nacional de Pesquisa em Ciência da Informação (ENANCIB) na cidade de Aracajú-SE, no período de 06/11/23 a 10/11/23</v>
      </c>
      <c r="L256">
        <f>SUMIF(Entradas!$B:$B,'Entrada Lvl 5-4 qt'!$B256,Entradas!S:S)</f>
        <v>1635.811322</v>
      </c>
      <c r="M256" t="str">
        <f>_xlfn.XLOOKUP($B256,Entradas!$B:$B,Entradas!T:T,,0,1)</f>
        <v>Aéreo</v>
      </c>
      <c r="N256" t="str">
        <f>_xlfn.XLOOKUP($B256,Entradas!$B:$B,Entradas!U:U,,0,1)</f>
        <v>Não</v>
      </c>
      <c r="O256" t="str">
        <f>_xlfn.XLOOKUP($B256,Entradas!$B:$B,Entradas!V:V,,0,1)</f>
        <v>Realizada</v>
      </c>
      <c r="P256" t="str">
        <f>_xlfn.XLOOKUP($B256,Entradas!$B:$B,Entradas!W:W,,0,1)</f>
        <v>NÃO</v>
      </c>
      <c r="Q256" t="str">
        <f>_xlfn.XLOOKUP($B256,Entradas!$B:$B,Entradas!X:X,,0,1)</f>
        <v>Sem informação</v>
      </c>
      <c r="R256" s="36">
        <f>SUMIF(Entradas!$B:$B,'Entrada Lvl 5-4 qt'!$B256,Entradas!Y:Y)</f>
        <v>1480.04</v>
      </c>
      <c r="S256" s="36">
        <f>SUMIF(Entradas!$B:$B,'Entrada Lvl 5-4 qt'!$B256,Entradas!Z:Z)</f>
        <v>0</v>
      </c>
      <c r="T256" s="36">
        <f>SUMIF(Entradas!$B:$B,'Entrada Lvl 5-4 qt'!$B256,Entradas!AA:AA)</f>
        <v>3315.2</v>
      </c>
      <c r="U256" s="36">
        <f>SUMIF(Entradas!$B:$B,'Entrada Lvl 5-4 qt'!$B256,Entradas!AB:AB)</f>
        <v>0</v>
      </c>
      <c r="V256" s="49">
        <f>_xlfn.XLOOKUP($B256,Entradas!$B:$B,Entradas!AC:AC,,0,1)</f>
        <v>45196</v>
      </c>
      <c r="W256" s="58">
        <f t="shared" si="19"/>
        <v>4</v>
      </c>
      <c r="X256" s="28" t="s">
        <v>10</v>
      </c>
      <c r="Y256" s="32">
        <f t="shared" si="15"/>
        <v>0</v>
      </c>
      <c r="Z256" s="33">
        <f t="shared" si="16"/>
        <v>3315.2</v>
      </c>
      <c r="AA256" s="34">
        <f t="shared" si="17"/>
        <v>1480.04</v>
      </c>
      <c r="AB256" s="28" t="s">
        <v>1814</v>
      </c>
      <c r="AC256" s="28" t="s">
        <v>1820</v>
      </c>
      <c r="AD256" s="29" t="str" cm="1">
        <f t="array" ref="AD256">_xlfn.IFS(L256&lt;=Constantes!$G$2,"Muito Curta (evitável)",L256&lt;=Constantes!$H$2,"Curta Distância",L256&gt;Constantes!$H$2,"Longa Distância")</f>
        <v>Curta Distância</v>
      </c>
      <c r="AE256" s="30" t="str">
        <f t="shared" si="18"/>
        <v>NÃO</v>
      </c>
      <c r="AF256" s="30">
        <f>SUMIF(Entradas!$B:$B,'Entrada Lvl 5-4 qt'!$B256,Entradas!$AG:$AG)</f>
        <v>299.13976031287035</v>
      </c>
      <c r="AG256" s="30"/>
      <c r="BD256" s="49"/>
      <c r="BE256" s="49"/>
    </row>
    <row r="257" spans="1:57" x14ac:dyDescent="0.3">
      <c r="A257">
        <f>_xlfn.XLOOKUP(B257,Entradas!B:B,Entradas!A:A,,0,-1)</f>
        <v>2</v>
      </c>
      <c r="B257">
        <v>19315632</v>
      </c>
      <c r="C257" t="str">
        <f>_xlfn.XLOOKUP($B257,Entradas!$B:$B,Entradas!C:C,,0,1)</f>
        <v>001160/23</v>
      </c>
      <c r="D257" t="str">
        <f>_xlfn.XLOOKUP($B257,Entradas!$B:$B,Entradas!D:D,,0,1)</f>
        <v>***.842.844-**</v>
      </c>
      <c r="E257" t="str">
        <f>_xlfn.XLOOKUP($B257,Entradas!$B:$B,Entradas!E:E,,0,1)</f>
        <v>ANIELSON BARBOSA DA SILVA</v>
      </c>
      <c r="F257" t="str">
        <f>_xlfn.XLOOKUP($B257,Entradas!$B:$B,Entradas!F:F,,0,1)</f>
        <v>PROFESSOR DO MAGISTERIO SUPERIOR</v>
      </c>
      <c r="G257" t="str">
        <f>_xlfn.XLOOKUP($B257,Entradas!$B:$B,Entradas!G:G,,0,1)</f>
        <v>-1</v>
      </c>
      <c r="H257" t="str">
        <f>_xlfn.XLOOKUP($B257,Entradas!$B:$B,Entradas!H:H,,0,1)</f>
        <v>Sem informação</v>
      </c>
      <c r="I257" s="49">
        <f>_xlfn.XLOOKUP($B257,Entradas!$B:$B,Entradas!I:I,,0,1)</f>
        <v>45236</v>
      </c>
      <c r="J257" s="49">
        <f>_xlfn.XLOOKUP($B257,Entradas!$B:$B,Entradas!J:J,,0,1)</f>
        <v>45240</v>
      </c>
      <c r="K257" t="str">
        <f>_xlfn.XLOOKUP($B257,Entradas!$B:$B,Entradas!K:K,,0,1)</f>
        <v>Apresentação de dois artigos XXVI no Seminário de Administração - SEMEAD 2023.</v>
      </c>
      <c r="L257">
        <f>SUMIF(Entradas!$B:$B,'Entrada Lvl 5-4 qt'!$B257,Entradas!S:S)</f>
        <v>4379.9484839999996</v>
      </c>
      <c r="M257" t="str">
        <f>_xlfn.XLOOKUP($B257,Entradas!$B:$B,Entradas!T:T,,0,1)</f>
        <v>Aéreo</v>
      </c>
      <c r="N257" t="str">
        <f>_xlfn.XLOOKUP($B257,Entradas!$B:$B,Entradas!U:U,,0,1)</f>
        <v>Não</v>
      </c>
      <c r="O257" t="str">
        <f>_xlfn.XLOOKUP($B257,Entradas!$B:$B,Entradas!V:V,,0,1)</f>
        <v>Realizada</v>
      </c>
      <c r="P257" t="str">
        <f>_xlfn.XLOOKUP($B257,Entradas!$B:$B,Entradas!W:W,,0,1)</f>
        <v>NÃO</v>
      </c>
      <c r="Q257" t="str">
        <f>_xlfn.XLOOKUP($B257,Entradas!$B:$B,Entradas!X:X,,0,1)</f>
        <v>Sem informação</v>
      </c>
      <c r="R257" s="36">
        <f>SUMIF(Entradas!$B:$B,'Entrada Lvl 5-4 qt'!$B257,Entradas!Y:Y)</f>
        <v>1660.58</v>
      </c>
      <c r="S257" s="36">
        <f>SUMIF(Entradas!$B:$B,'Entrada Lvl 5-4 qt'!$B257,Entradas!Z:Z)</f>
        <v>0</v>
      </c>
      <c r="T257" s="36">
        <f>SUMIF(Entradas!$B:$B,'Entrada Lvl 5-4 qt'!$B257,Entradas!AA:AA)</f>
        <v>2371.94</v>
      </c>
      <c r="U257" s="36">
        <f>SUMIF(Entradas!$B:$B,'Entrada Lvl 5-4 qt'!$B257,Entradas!AB:AB)</f>
        <v>0</v>
      </c>
      <c r="V257" s="49">
        <f>_xlfn.XLOOKUP($B257,Entradas!$B:$B,Entradas!AC:AC,,0,1)</f>
        <v>45191</v>
      </c>
      <c r="W257" s="58">
        <f t="shared" si="19"/>
        <v>4</v>
      </c>
      <c r="X257" s="28" t="s">
        <v>10</v>
      </c>
      <c r="Y257" s="32">
        <f t="shared" si="15"/>
        <v>0</v>
      </c>
      <c r="Z257" s="33">
        <f t="shared" si="16"/>
        <v>2371.94</v>
      </c>
      <c r="AA257" s="34">
        <f t="shared" si="17"/>
        <v>1660.58</v>
      </c>
      <c r="AB257" s="28" t="s">
        <v>1814</v>
      </c>
      <c r="AC257" s="28" t="s">
        <v>1820</v>
      </c>
      <c r="AD257" s="29" t="str" cm="1">
        <f t="array" ref="AD257">_xlfn.IFS(L257&lt;=Constantes!$G$2,"Muito Curta (evitável)",L257&lt;=Constantes!$H$2,"Curta Distância",L257&gt;Constantes!$H$2,"Longa Distância")</f>
        <v>Longa Distância</v>
      </c>
      <c r="AE257" s="30" t="str">
        <f t="shared" si="18"/>
        <v>NÃO</v>
      </c>
      <c r="AF257" s="30">
        <f>SUMIF(Entradas!$B:$B,'Entrada Lvl 5-4 qt'!$B257,Entradas!$AG:$AG)</f>
        <v>800.95835140972315</v>
      </c>
      <c r="AG257" s="30"/>
      <c r="BD257" s="49"/>
      <c r="BE257" s="49"/>
    </row>
    <row r="258" spans="1:57" x14ac:dyDescent="0.3">
      <c r="A258">
        <f>_xlfn.XLOOKUP(B258,Entradas!B:B,Entradas!A:A,,0,-1)</f>
        <v>2</v>
      </c>
      <c r="B258">
        <v>19315974</v>
      </c>
      <c r="C258" t="str">
        <f>_xlfn.XLOOKUP($B258,Entradas!$B:$B,Entradas!C:C,,0,1)</f>
        <v>001199/23</v>
      </c>
      <c r="D258" t="str">
        <f>_xlfn.XLOOKUP($B258,Entradas!$B:$B,Entradas!D:D,,0,1)</f>
        <v>***.771.344-**</v>
      </c>
      <c r="E258" t="str">
        <f>_xlfn.XLOOKUP($B258,Entradas!$B:$B,Entradas!E:E,,0,1)</f>
        <v>ALZIRA KARLA ARAUJO DA SILVA</v>
      </c>
      <c r="F258" t="str">
        <f>_xlfn.XLOOKUP($B258,Entradas!$B:$B,Entradas!F:F,,0,1)</f>
        <v>PROFESSOR DO MAGISTERIO SUPERIOR</v>
      </c>
      <c r="G258" t="str">
        <f>_xlfn.XLOOKUP($B258,Entradas!$B:$B,Entradas!G:G,,0,1)</f>
        <v>-1</v>
      </c>
      <c r="H258" t="str">
        <f>_xlfn.XLOOKUP($B258,Entradas!$B:$B,Entradas!H:H,,0,1)</f>
        <v>Sem informação</v>
      </c>
      <c r="I258" s="49">
        <f>_xlfn.XLOOKUP($B258,Entradas!$B:$B,Entradas!I:I,,0,1)</f>
        <v>45236</v>
      </c>
      <c r="J258" s="49">
        <f>_xlfn.XLOOKUP($B258,Entradas!$B:$B,Entradas!J:J,,0,1)</f>
        <v>45240</v>
      </c>
      <c r="K258" t="str">
        <f>_xlfn.XLOOKUP($B258,Entradas!$B:$B,Entradas!K:K,,0,1)</f>
        <v>Participar com apresentação de trabalho do XXIII Encontro Nacional de Pesquisa em Ciência da Informa na cidade de Aracaju-SE, no período de 06/11/23 a 10/11/23</v>
      </c>
      <c r="L258">
        <f>SUMIF(Entradas!$B:$B,'Entrada Lvl 5-4 qt'!$B258,Entradas!S:S)</f>
        <v>791.19715919999999</v>
      </c>
      <c r="M258" t="str">
        <f>_xlfn.XLOOKUP($B258,Entradas!$B:$B,Entradas!T:T,,0,1)</f>
        <v>Aéreo</v>
      </c>
      <c r="N258" t="str">
        <f>_xlfn.XLOOKUP($B258,Entradas!$B:$B,Entradas!U:U,,0,1)</f>
        <v>Não</v>
      </c>
      <c r="O258" t="str">
        <f>_xlfn.XLOOKUP($B258,Entradas!$B:$B,Entradas!V:V,,0,1)</f>
        <v>Realizada</v>
      </c>
      <c r="P258" t="str">
        <f>_xlfn.XLOOKUP($B258,Entradas!$B:$B,Entradas!W:W,,0,1)</f>
        <v>NÃO</v>
      </c>
      <c r="Q258" t="str">
        <f>_xlfn.XLOOKUP($B258,Entradas!$B:$B,Entradas!X:X,,0,1)</f>
        <v>Sem informação</v>
      </c>
      <c r="R258" s="36">
        <f>SUMIF(Entradas!$B:$B,'Entrada Lvl 5-4 qt'!$B258,Entradas!Y:Y)</f>
        <v>1575.04</v>
      </c>
      <c r="S258" s="36">
        <f>SUMIF(Entradas!$B:$B,'Entrada Lvl 5-4 qt'!$B258,Entradas!Z:Z)</f>
        <v>0</v>
      </c>
      <c r="T258" s="36">
        <f>SUMIF(Entradas!$B:$B,'Entrada Lvl 5-4 qt'!$B258,Entradas!AA:AA)</f>
        <v>1481.01</v>
      </c>
      <c r="U258" s="36">
        <f>SUMIF(Entradas!$B:$B,'Entrada Lvl 5-4 qt'!$B258,Entradas!AB:AB)</f>
        <v>0</v>
      </c>
      <c r="V258" s="49">
        <f>_xlfn.XLOOKUP($B258,Entradas!$B:$B,Entradas!AC:AC,,0,1)</f>
        <v>45194</v>
      </c>
      <c r="W258" s="58">
        <f t="shared" si="19"/>
        <v>4</v>
      </c>
      <c r="X258" s="28" t="s">
        <v>10</v>
      </c>
      <c r="Y258" s="32">
        <f t="shared" ref="Y258:Y321" si="20">IF(A258&lt;3,0,1)</f>
        <v>0</v>
      </c>
      <c r="Z258" s="33">
        <f t="shared" ref="Z258:Z321" si="21">IFERROR(SUM(T258:U258),0)</f>
        <v>1481.01</v>
      </c>
      <c r="AA258" s="34">
        <f t="shared" ref="AA258:AA321" si="22">IFERROR(SUM(R258:S258),0)</f>
        <v>1575.04</v>
      </c>
      <c r="AB258" s="28" t="s">
        <v>1814</v>
      </c>
      <c r="AC258" s="28" t="s">
        <v>1820</v>
      </c>
      <c r="AD258" s="29" t="str" cm="1">
        <f t="array" ref="AD258">_xlfn.IFS(L258&lt;=Constantes!$G$2,"Muito Curta (evitável)",L258&lt;=Constantes!$H$2,"Curta Distância",L258&gt;Constantes!$H$2,"Longa Distância")</f>
        <v>Curta Distância</v>
      </c>
      <c r="AE258" s="30" t="str">
        <f t="shared" ref="AE258:AE321" si="23">IF(P258="SIM",IF(Q258="Sem Informação","SIM","NÃO"),"NÃO")</f>
        <v>NÃO</v>
      </c>
      <c r="AF258" s="30">
        <f>SUMIF(Entradas!$B:$B,'Entrada Lvl 5-4 qt'!$B258,Entradas!$AG:$AG)</f>
        <v>215.66197814172082</v>
      </c>
      <c r="AG258" s="30"/>
      <c r="BD258" s="49"/>
      <c r="BE258" s="49"/>
    </row>
    <row r="259" spans="1:57" x14ac:dyDescent="0.3">
      <c r="A259">
        <f>_xlfn.XLOOKUP(B259,Entradas!B:B,Entradas!A:A,,0,-1)</f>
        <v>2</v>
      </c>
      <c r="B259">
        <v>19323399</v>
      </c>
      <c r="C259" t="str">
        <f>_xlfn.XLOOKUP($B259,Entradas!$B:$B,Entradas!C:C,,0,1)</f>
        <v>001189/23</v>
      </c>
      <c r="D259" t="str">
        <f>_xlfn.XLOOKUP($B259,Entradas!$B:$B,Entradas!D:D,,0,1)</f>
        <v>***.436.934-**</v>
      </c>
      <c r="E259" t="str">
        <f>_xlfn.XLOOKUP($B259,Entradas!$B:$B,Entradas!E:E,,0,1)</f>
        <v>JAQUELINE GUIMARAES SANTOS</v>
      </c>
      <c r="F259" t="str">
        <f>_xlfn.XLOOKUP($B259,Entradas!$B:$B,Entradas!F:F,,0,1)</f>
        <v>PROFESSOR DO MAGISTERIO SUPERIOR</v>
      </c>
      <c r="G259" t="str">
        <f>_xlfn.XLOOKUP($B259,Entradas!$B:$B,Entradas!G:G,,0,1)</f>
        <v>-1</v>
      </c>
      <c r="H259" t="str">
        <f>_xlfn.XLOOKUP($B259,Entradas!$B:$B,Entradas!H:H,,0,1)</f>
        <v>Sem informação</v>
      </c>
      <c r="I259" s="49">
        <f>_xlfn.XLOOKUP($B259,Entradas!$B:$B,Entradas!I:I,,0,1)</f>
        <v>45236</v>
      </c>
      <c r="J259" s="49">
        <f>_xlfn.XLOOKUP($B259,Entradas!$B:$B,Entradas!J:J,,0,1)</f>
        <v>45241</v>
      </c>
      <c r="K259" t="str">
        <f>_xlfn.XLOOKUP($B259,Entradas!$B:$B,Entradas!K:K,,0,1)</f>
        <v>A participação no XXVI Seminários em Administração (SemeAd) é fundamental, pois é um dos eventos mais importantes na área, sendo um momento de interações com outras(os) pesquisadoras(es), além da possibilidade de buscar parcerias de pesquisas. Ademais, a requerente possui trabalho aprovado para ser apresentado durante o evento.</v>
      </c>
      <c r="L259">
        <f>SUMIF(Entradas!$B:$B,'Entrada Lvl 5-4 qt'!$B259,Entradas!S:S)</f>
        <v>4379.9484839999996</v>
      </c>
      <c r="M259" t="str">
        <f>_xlfn.XLOOKUP($B259,Entradas!$B:$B,Entradas!T:T,,0,1)</f>
        <v>Aéreo</v>
      </c>
      <c r="N259" t="str">
        <f>_xlfn.XLOOKUP($B259,Entradas!$B:$B,Entradas!U:U,,0,1)</f>
        <v>Não</v>
      </c>
      <c r="O259" t="str">
        <f>_xlfn.XLOOKUP($B259,Entradas!$B:$B,Entradas!V:V,,0,1)</f>
        <v>Realizada</v>
      </c>
      <c r="P259" t="str">
        <f>_xlfn.XLOOKUP($B259,Entradas!$B:$B,Entradas!W:W,,0,1)</f>
        <v>NÃO</v>
      </c>
      <c r="Q259" t="str">
        <f>_xlfn.XLOOKUP($B259,Entradas!$B:$B,Entradas!X:X,,0,1)</f>
        <v>Sem informação</v>
      </c>
      <c r="R259" s="36">
        <f>SUMIF(Entradas!$B:$B,'Entrada Lvl 5-4 qt'!$B259,Entradas!Y:Y)</f>
        <v>1598.92</v>
      </c>
      <c r="S259" s="36">
        <f>SUMIF(Entradas!$B:$B,'Entrada Lvl 5-4 qt'!$B259,Entradas!Z:Z)</f>
        <v>0</v>
      </c>
      <c r="T259" s="36">
        <f>SUMIF(Entradas!$B:$B,'Entrada Lvl 5-4 qt'!$B259,Entradas!AA:AA)</f>
        <v>1941.3400000000001</v>
      </c>
      <c r="U259" s="36">
        <f>SUMIF(Entradas!$B:$B,'Entrada Lvl 5-4 qt'!$B259,Entradas!AB:AB)</f>
        <v>0</v>
      </c>
      <c r="V259" s="49">
        <f>_xlfn.XLOOKUP($B259,Entradas!$B:$B,Entradas!AC:AC,,0,1)</f>
        <v>45191</v>
      </c>
      <c r="W259" s="58">
        <f t="shared" ref="W259:W322" si="24">J259-I259</f>
        <v>5</v>
      </c>
      <c r="X259" s="28" t="s">
        <v>10</v>
      </c>
      <c r="Y259" s="32">
        <f t="shared" si="20"/>
        <v>0</v>
      </c>
      <c r="Z259" s="33">
        <f t="shared" si="21"/>
        <v>1941.3400000000001</v>
      </c>
      <c r="AA259" s="34">
        <f t="shared" si="22"/>
        <v>1598.92</v>
      </c>
      <c r="AB259" s="28" t="s">
        <v>1814</v>
      </c>
      <c r="AC259" s="28" t="s">
        <v>1820</v>
      </c>
      <c r="AD259" s="29" t="str" cm="1">
        <f t="array" ref="AD259">_xlfn.IFS(L259&lt;=Constantes!$G$2,"Muito Curta (evitável)",L259&lt;=Constantes!$H$2,"Curta Distância",L259&gt;Constantes!$H$2,"Longa Distância")</f>
        <v>Longa Distância</v>
      </c>
      <c r="AE259" s="30" t="str">
        <f t="shared" si="23"/>
        <v>NÃO</v>
      </c>
      <c r="AF259" s="30">
        <f>SUMIF(Entradas!$B:$B,'Entrada Lvl 5-4 qt'!$B259,Entradas!$AG:$AG)</f>
        <v>800.95835140972315</v>
      </c>
      <c r="AG259" s="30"/>
      <c r="BD259" s="49"/>
      <c r="BE259" s="49"/>
    </row>
    <row r="260" spans="1:57" x14ac:dyDescent="0.3">
      <c r="A260">
        <f>_xlfn.XLOOKUP(B260,Entradas!B:B,Entradas!A:A,,0,-1)</f>
        <v>2</v>
      </c>
      <c r="B260">
        <v>19400372</v>
      </c>
      <c r="C260" t="str">
        <f>_xlfn.XLOOKUP($B260,Entradas!$B:$B,Entradas!C:C,,0,1)</f>
        <v>001452/23</v>
      </c>
      <c r="D260" t="str">
        <f>_xlfn.XLOOKUP($B260,Entradas!$B:$B,Entradas!D:D,,0,1)</f>
        <v>***.556.554-**</v>
      </c>
      <c r="E260" t="str">
        <f>_xlfn.XLOOKUP($B260,Entradas!$B:$B,Entradas!E:E,,0,1)</f>
        <v>LEONARDO AUGUSTO FONSECA PASCOAL</v>
      </c>
      <c r="F260" t="str">
        <f>_xlfn.XLOOKUP($B260,Entradas!$B:$B,Entradas!F:F,,0,1)</f>
        <v>PROFESSOR DO MAGISTERIO SUPERIOR</v>
      </c>
      <c r="G260" t="str">
        <f>_xlfn.XLOOKUP($B260,Entradas!$B:$B,Entradas!G:G,,0,1)</f>
        <v>-1</v>
      </c>
      <c r="H260" t="str">
        <f>_xlfn.XLOOKUP($B260,Entradas!$B:$B,Entradas!H:H,,0,1)</f>
        <v>Sem informação</v>
      </c>
      <c r="I260" s="49">
        <f>_xlfn.XLOOKUP($B260,Entradas!$B:$B,Entradas!I:I,,0,1)</f>
        <v>45236</v>
      </c>
      <c r="J260" s="49">
        <f>_xlfn.XLOOKUP($B260,Entradas!$B:$B,Entradas!J:J,,0,1)</f>
        <v>45240</v>
      </c>
      <c r="K260" t="str">
        <f>_xlfn.XLOOKUP($B260,Entradas!$B:$B,Entradas!K:K,,0,1)</f>
        <v>Participar do Congresso Internacional Porkexpo Latam 2023, como congressista e apresentador de trabalhos</v>
      </c>
      <c r="L260">
        <f>SUMIF(Entradas!$B:$B,'Entrada Lvl 5-4 qt'!$B260,Entradas!S:S)</f>
        <v>5673.0520900000001</v>
      </c>
      <c r="M260" t="str">
        <f>_xlfn.XLOOKUP($B260,Entradas!$B:$B,Entradas!T:T,,0,1)</f>
        <v>Aéreo</v>
      </c>
      <c r="N260" t="str">
        <f>_xlfn.XLOOKUP($B260,Entradas!$B:$B,Entradas!U:U,,0,1)</f>
        <v>Sim</v>
      </c>
      <c r="O260" t="str">
        <f>_xlfn.XLOOKUP($B260,Entradas!$B:$B,Entradas!V:V,,0,1)</f>
        <v>Realizada</v>
      </c>
      <c r="P260" t="str">
        <f>_xlfn.XLOOKUP($B260,Entradas!$B:$B,Entradas!W:W,,0,1)</f>
        <v>NÃO</v>
      </c>
      <c r="Q260" t="str">
        <f>_xlfn.XLOOKUP($B260,Entradas!$B:$B,Entradas!X:X,,0,1)</f>
        <v>Sem informação</v>
      </c>
      <c r="R260" s="36">
        <f>SUMIF(Entradas!$B:$B,'Entrada Lvl 5-4 qt'!$B260,Entradas!Y:Y)</f>
        <v>0</v>
      </c>
      <c r="S260" s="36">
        <f>SUMIF(Entradas!$B:$B,'Entrada Lvl 5-4 qt'!$B260,Entradas!Z:Z)</f>
        <v>0</v>
      </c>
      <c r="T260" s="36">
        <f>SUMIF(Entradas!$B:$B,'Entrada Lvl 5-4 qt'!$B260,Entradas!AA:AA)</f>
        <v>3734.11</v>
      </c>
      <c r="U260" s="36">
        <f>SUMIF(Entradas!$B:$B,'Entrada Lvl 5-4 qt'!$B260,Entradas!AB:AB)</f>
        <v>0</v>
      </c>
      <c r="V260" s="49">
        <f>_xlfn.XLOOKUP($B260,Entradas!$B:$B,Entradas!AC:AC,,0,1)</f>
        <v>45216</v>
      </c>
      <c r="W260" s="58">
        <f t="shared" si="24"/>
        <v>4</v>
      </c>
      <c r="X260" s="28" t="s">
        <v>10</v>
      </c>
      <c r="Y260" s="32">
        <f t="shared" si="20"/>
        <v>0</v>
      </c>
      <c r="Z260" s="33">
        <f t="shared" si="21"/>
        <v>3734.11</v>
      </c>
      <c r="AA260" s="34">
        <f t="shared" si="22"/>
        <v>0</v>
      </c>
      <c r="AB260" s="28" t="s">
        <v>1814</v>
      </c>
      <c r="AC260" s="28" t="s">
        <v>1820</v>
      </c>
      <c r="AD260" s="29" t="str" cm="1">
        <f t="array" ref="AD260">_xlfn.IFS(L260&lt;=Constantes!$G$2,"Muito Curta (evitável)",L260&lt;=Constantes!$H$2,"Curta Distância",L260&gt;Constantes!$H$2,"Longa Distância")</f>
        <v>Longa Distância</v>
      </c>
      <c r="AE260" s="30" t="str">
        <f t="shared" si="23"/>
        <v>NÃO</v>
      </c>
      <c r="AF260" s="30">
        <f>SUMIF(Entradas!$B:$B,'Entrada Lvl 5-4 qt'!$B260,Entradas!$AG:$AG)</f>
        <v>1037.4273729626555</v>
      </c>
      <c r="AG260" s="30"/>
      <c r="BD260" s="49"/>
      <c r="BE260" s="49"/>
    </row>
    <row r="261" spans="1:57" x14ac:dyDescent="0.3">
      <c r="A261">
        <f>_xlfn.XLOOKUP(B261,Entradas!B:B,Entradas!A:A,,0,-1)</f>
        <v>2</v>
      </c>
      <c r="B261">
        <v>19346425</v>
      </c>
      <c r="C261" t="str">
        <f>_xlfn.XLOOKUP($B261,Entradas!$B:$B,Entradas!C:C,,0,1)</f>
        <v>001247/23</v>
      </c>
      <c r="D261" t="str">
        <f>_xlfn.XLOOKUP($B261,Entradas!$B:$B,Entradas!D:D,,0,1)</f>
        <v>***.246.274-**</v>
      </c>
      <c r="E261" t="str">
        <f>_xlfn.XLOOKUP($B261,Entradas!$B:$B,Entradas!E:E,,0,1)</f>
        <v>GUSTAVO BARBOSA DE MESQUITA BATISTA</v>
      </c>
      <c r="F261" t="str">
        <f>_xlfn.XLOOKUP($B261,Entradas!$B:$B,Entradas!F:F,,0,1)</f>
        <v>PROFESSOR DO MAGISTERIO SUPERIOR</v>
      </c>
      <c r="G261" t="str">
        <f>_xlfn.XLOOKUP($B261,Entradas!$B:$B,Entradas!G:G,,0,1)</f>
        <v>FUC-0001</v>
      </c>
      <c r="H261" t="str">
        <f>_xlfn.XLOOKUP($B261,Entradas!$B:$B,Entradas!H:H,,0,1)</f>
        <v>FUC-0001</v>
      </c>
      <c r="I261" s="49">
        <f>_xlfn.XLOOKUP($B261,Entradas!$B:$B,Entradas!I:I,,0,1)</f>
        <v>45237</v>
      </c>
      <c r="J261" s="49">
        <f>_xlfn.XLOOKUP($B261,Entradas!$B:$B,Entradas!J:J,,0,1)</f>
        <v>45240</v>
      </c>
      <c r="K261" t="str">
        <f>_xlfn.XLOOKUP($B261,Entradas!$B:$B,Entradas!K:K,,0,1)</f>
        <v>SEMINÁRIO DE AVALIAÇÃO DA CAPES EM BRASÍLIA -DF: debate sobre o instrumento de avaliação aplicável aos Programas de Pós-Graduação em Direito</v>
      </c>
      <c r="L261">
        <f>SUMIF(Entradas!$B:$B,'Entrada Lvl 5-4 qt'!$B261,Entradas!S:S)</f>
        <v>3426.839982</v>
      </c>
      <c r="M261" t="str">
        <f>_xlfn.XLOOKUP($B261,Entradas!$B:$B,Entradas!T:T,,0,1)</f>
        <v>Aéreo</v>
      </c>
      <c r="N261" t="str">
        <f>_xlfn.XLOOKUP($B261,Entradas!$B:$B,Entradas!U:U,,0,1)</f>
        <v>Não</v>
      </c>
      <c r="O261" t="str">
        <f>_xlfn.XLOOKUP($B261,Entradas!$B:$B,Entradas!V:V,,0,1)</f>
        <v>Realizada</v>
      </c>
      <c r="P261" t="str">
        <f>_xlfn.XLOOKUP($B261,Entradas!$B:$B,Entradas!W:W,,0,1)</f>
        <v>NÃO</v>
      </c>
      <c r="Q261" t="str">
        <f>_xlfn.XLOOKUP($B261,Entradas!$B:$B,Entradas!X:X,,0,1)</f>
        <v>Sem informação</v>
      </c>
      <c r="R261" s="36">
        <f>SUMIF(Entradas!$B:$B,'Entrada Lvl 5-4 qt'!$B261,Entradas!Y:Y)</f>
        <v>1309.3499999999999</v>
      </c>
      <c r="S261" s="36">
        <f>SUMIF(Entradas!$B:$B,'Entrada Lvl 5-4 qt'!$B261,Entradas!Z:Z)</f>
        <v>0</v>
      </c>
      <c r="T261" s="36">
        <f>SUMIF(Entradas!$B:$B,'Entrada Lvl 5-4 qt'!$B261,Entradas!AA:AA)</f>
        <v>1852.4</v>
      </c>
      <c r="U261" s="36">
        <f>SUMIF(Entradas!$B:$B,'Entrada Lvl 5-4 qt'!$B261,Entradas!AB:AB)</f>
        <v>0</v>
      </c>
      <c r="V261" s="49">
        <f>_xlfn.XLOOKUP($B261,Entradas!$B:$B,Entradas!AC:AC,,0,1)</f>
        <v>45202</v>
      </c>
      <c r="W261" s="58">
        <f t="shared" si="24"/>
        <v>3</v>
      </c>
      <c r="X261" s="28" t="s">
        <v>10</v>
      </c>
      <c r="Y261" s="32">
        <f t="shared" si="20"/>
        <v>0</v>
      </c>
      <c r="Z261" s="33">
        <f t="shared" si="21"/>
        <v>1852.4</v>
      </c>
      <c r="AA261" s="34">
        <f t="shared" si="22"/>
        <v>1309.3499999999999</v>
      </c>
      <c r="AB261" s="28" t="s">
        <v>1814</v>
      </c>
      <c r="AC261" s="28" t="s">
        <v>1784</v>
      </c>
      <c r="AD261" s="29" t="str" cm="1">
        <f t="array" ref="AD261">_xlfn.IFS(L261&lt;=Constantes!$G$2,"Muito Curta (evitável)",L261&lt;=Constantes!$H$2,"Curta Distância",L261&gt;Constantes!$H$2,"Longa Distância")</f>
        <v>Curta Distância</v>
      </c>
      <c r="AE261" s="30" t="str">
        <f t="shared" si="23"/>
        <v>NÃO</v>
      </c>
      <c r="AF261" s="30">
        <f>SUMIF(Entradas!$B:$B,'Entrada Lvl 5-4 qt'!$B261,Entradas!$AG:$AG)</f>
        <v>626.66401501165365</v>
      </c>
      <c r="AG261" s="30"/>
      <c r="BD261" s="49"/>
      <c r="BE261" s="49"/>
    </row>
    <row r="262" spans="1:57" x14ac:dyDescent="0.3">
      <c r="A262">
        <f>_xlfn.XLOOKUP(B262,Entradas!B:B,Entradas!A:A,,0,-1)</f>
        <v>2</v>
      </c>
      <c r="B262">
        <v>19358374</v>
      </c>
      <c r="C262" t="str">
        <f>_xlfn.XLOOKUP($B262,Entradas!$B:$B,Entradas!C:C,,0,1)</f>
        <v>001305/23</v>
      </c>
      <c r="D262" t="str">
        <f>_xlfn.XLOOKUP($B262,Entradas!$B:$B,Entradas!D:D,,0,1)</f>
        <v>***.470.034-**</v>
      </c>
      <c r="E262" t="str">
        <f>_xlfn.XLOOKUP($B262,Entradas!$B:$B,Entradas!E:E,,0,1)</f>
        <v>EMANUEL LUIZ PEREIRA DA SILVA</v>
      </c>
      <c r="F262" t="str">
        <f>_xlfn.XLOOKUP($B262,Entradas!$B:$B,Entradas!F:F,,0,1)</f>
        <v>PROFESSOR DO MAGISTERIO SUPERIOR</v>
      </c>
      <c r="G262" t="str">
        <f>_xlfn.XLOOKUP($B262,Entradas!$B:$B,Entradas!G:G,,0,1)</f>
        <v>FUC-0001</v>
      </c>
      <c r="H262" t="str">
        <f>_xlfn.XLOOKUP($B262,Entradas!$B:$B,Entradas!H:H,,0,1)</f>
        <v>FUC-0001</v>
      </c>
      <c r="I262" s="49">
        <f>_xlfn.XLOOKUP($B262,Entradas!$B:$B,Entradas!I:I,,0,1)</f>
        <v>45237</v>
      </c>
      <c r="J262" s="49">
        <f>_xlfn.XLOOKUP($B262,Entradas!$B:$B,Entradas!J:J,,0,1)</f>
        <v>45239</v>
      </c>
      <c r="K262" t="str">
        <f>_xlfn.XLOOKUP($B262,Entradas!$B:$B,Entradas!K:K,,0,1)</f>
        <v>Participar como representante da Pós-Graduação em Serviço Social do Seminário de Meio Termo da CAPES.</v>
      </c>
      <c r="L262">
        <f>SUMIF(Entradas!$B:$B,'Entrada Lvl 5-4 qt'!$B262,Entradas!S:S)</f>
        <v>3426.839982</v>
      </c>
      <c r="M262" t="str">
        <f>_xlfn.XLOOKUP($B262,Entradas!$B:$B,Entradas!T:T,,0,1)</f>
        <v>Aéreo</v>
      </c>
      <c r="N262" t="str">
        <f>_xlfn.XLOOKUP($B262,Entradas!$B:$B,Entradas!U:U,,0,1)</f>
        <v>Sim</v>
      </c>
      <c r="O262" t="str">
        <f>_xlfn.XLOOKUP($B262,Entradas!$B:$B,Entradas!V:V,,0,1)</f>
        <v>Realizada</v>
      </c>
      <c r="P262" t="str">
        <f>_xlfn.XLOOKUP($B262,Entradas!$B:$B,Entradas!W:W,,0,1)</f>
        <v>NÃO</v>
      </c>
      <c r="Q262" t="str">
        <f>_xlfn.XLOOKUP($B262,Entradas!$B:$B,Entradas!X:X,,0,1)</f>
        <v>Sem informação</v>
      </c>
      <c r="R262" s="36">
        <f>SUMIF(Entradas!$B:$B,'Entrada Lvl 5-4 qt'!$B262,Entradas!Y:Y)</f>
        <v>958.12</v>
      </c>
      <c r="S262" s="36">
        <f>SUMIF(Entradas!$B:$B,'Entrada Lvl 5-4 qt'!$B262,Entradas!Z:Z)</f>
        <v>0</v>
      </c>
      <c r="T262" s="36">
        <f>SUMIF(Entradas!$B:$B,'Entrada Lvl 5-4 qt'!$B262,Entradas!AA:AA)</f>
        <v>2073.6999999999998</v>
      </c>
      <c r="U262" s="36">
        <f>SUMIF(Entradas!$B:$B,'Entrada Lvl 5-4 qt'!$B262,Entradas!AB:AB)</f>
        <v>0</v>
      </c>
      <c r="V262" s="49">
        <f>_xlfn.XLOOKUP($B262,Entradas!$B:$B,Entradas!AC:AC,,0,1)</f>
        <v>45203</v>
      </c>
      <c r="W262" s="58">
        <f t="shared" si="24"/>
        <v>2</v>
      </c>
      <c r="X262" s="28" t="s">
        <v>10</v>
      </c>
      <c r="Y262" s="32">
        <f t="shared" si="20"/>
        <v>0</v>
      </c>
      <c r="Z262" s="33">
        <f t="shared" si="21"/>
        <v>2073.6999999999998</v>
      </c>
      <c r="AA262" s="34">
        <f t="shared" si="22"/>
        <v>958.12</v>
      </c>
      <c r="AB262" s="28" t="s">
        <v>1813</v>
      </c>
      <c r="AC262" s="28" t="s">
        <v>1784</v>
      </c>
      <c r="AD262" s="29" t="str" cm="1">
        <f t="array" ref="AD262">_xlfn.IFS(L262&lt;=Constantes!$G$2,"Muito Curta (evitável)",L262&lt;=Constantes!$H$2,"Curta Distância",L262&gt;Constantes!$H$2,"Longa Distância")</f>
        <v>Curta Distância</v>
      </c>
      <c r="AE262" s="30" t="str">
        <f t="shared" si="23"/>
        <v>NÃO</v>
      </c>
      <c r="AF262" s="30">
        <f>SUMIF(Entradas!$B:$B,'Entrada Lvl 5-4 qt'!$B262,Entradas!$AG:$AG)</f>
        <v>626.66401501165365</v>
      </c>
      <c r="AG262" s="30"/>
      <c r="BD262" s="49"/>
      <c r="BE262" s="49"/>
    </row>
    <row r="263" spans="1:57" x14ac:dyDescent="0.3">
      <c r="A263">
        <f>_xlfn.XLOOKUP(B263,Entradas!B:B,Entradas!A:A,,0,-1)</f>
        <v>2</v>
      </c>
      <c r="B263">
        <v>19445875</v>
      </c>
      <c r="C263" t="str">
        <f>_xlfn.XLOOKUP($B263,Entradas!$B:$B,Entradas!C:C,,0,1)</f>
        <v>001580/23</v>
      </c>
      <c r="D263" t="str">
        <f>_xlfn.XLOOKUP($B263,Entradas!$B:$B,Entradas!D:D,,0,1)</f>
        <v>***.705.344-**</v>
      </c>
      <c r="E263" t="str">
        <f>_xlfn.XLOOKUP($B263,Entradas!$B:$B,Entradas!E:E,,0,1)</f>
        <v>JAILSON RIBEIRO DE OLIVEIRA</v>
      </c>
      <c r="F263" t="str">
        <f>_xlfn.XLOOKUP($B263,Entradas!$B:$B,Entradas!F:F,,0,1)</f>
        <v>PROFESSOR DO MAGISTERIO SUPERIOR</v>
      </c>
      <c r="G263" t="str">
        <f>_xlfn.XLOOKUP($B263,Entradas!$B:$B,Entradas!G:G,,0,1)</f>
        <v>CD-0004</v>
      </c>
      <c r="H263" t="str">
        <f>_xlfn.XLOOKUP($B263,Entradas!$B:$B,Entradas!H:H,,0,1)</f>
        <v>Cargo Comissionado de Direção</v>
      </c>
      <c r="I263" s="49">
        <f>_xlfn.XLOOKUP($B263,Entradas!$B:$B,Entradas!I:I,,0,1)</f>
        <v>45237</v>
      </c>
      <c r="J263" s="49">
        <f>_xlfn.XLOOKUP($B263,Entradas!$B:$B,Entradas!J:J,,0,1)</f>
        <v>45241</v>
      </c>
      <c r="K263" t="str">
        <f>_xlfn.XLOOKUP($B263,Entradas!$B:$B,Entradas!K:K,,0,1)</f>
        <v>Participar do XII ENCONTRO NACIONAL DE PROCURADORES EDUCACIONAIS INSTITUCIONAIS-ENPI-IPES, no período de 08 a 10/11/2023, em Salvador/BA</v>
      </c>
      <c r="L263">
        <f>SUMIF(Entradas!$B:$B,'Entrada Lvl 5-4 qt'!$B263,Entradas!S:S)</f>
        <v>1482.2388261999999</v>
      </c>
      <c r="M263" t="str">
        <f>_xlfn.XLOOKUP($B263,Entradas!$B:$B,Entradas!T:T,,0,1)</f>
        <v>Aéreo</v>
      </c>
      <c r="N263" t="str">
        <f>_xlfn.XLOOKUP($B263,Entradas!$B:$B,Entradas!U:U,,0,1)</f>
        <v>Não</v>
      </c>
      <c r="O263" t="str">
        <f>_xlfn.XLOOKUP($B263,Entradas!$B:$B,Entradas!V:V,,0,1)</f>
        <v>Realizada</v>
      </c>
      <c r="P263" t="str">
        <f>_xlfn.XLOOKUP($B263,Entradas!$B:$B,Entradas!W:W,,0,1)</f>
        <v>SIM</v>
      </c>
      <c r="Q263" t="str">
        <f>_xlfn.XLOOKUP($B263,Entradas!$B:$B,Entradas!X:X,,0,1)</f>
        <v>Demanda apresentada em 13/10, gerando um gap temporal devido a tramitação interna na IES, conforme justificativa no formulário de solicitação.</v>
      </c>
      <c r="R263" s="36">
        <f>SUMIF(Entradas!$B:$B,'Entrada Lvl 5-4 qt'!$B263,Entradas!Y:Y)</f>
        <v>1509.95</v>
      </c>
      <c r="S263" s="36">
        <f>SUMIF(Entradas!$B:$B,'Entrada Lvl 5-4 qt'!$B263,Entradas!Z:Z)</f>
        <v>0</v>
      </c>
      <c r="T263" s="36">
        <f>SUMIF(Entradas!$B:$B,'Entrada Lvl 5-4 qt'!$B263,Entradas!AA:AA)</f>
        <v>2921.08</v>
      </c>
      <c r="U263" s="36">
        <f>SUMIF(Entradas!$B:$B,'Entrada Lvl 5-4 qt'!$B263,Entradas!AB:AB)</f>
        <v>0</v>
      </c>
      <c r="V263" s="49">
        <f>_xlfn.XLOOKUP($B263,Entradas!$B:$B,Entradas!AC:AC,,0,1)</f>
        <v>45224</v>
      </c>
      <c r="W263" s="58">
        <f t="shared" si="24"/>
        <v>4</v>
      </c>
      <c r="X263" s="28" t="s">
        <v>10</v>
      </c>
      <c r="Y263" s="32">
        <f t="shared" si="20"/>
        <v>0</v>
      </c>
      <c r="Z263" s="33">
        <f t="shared" si="21"/>
        <v>2921.08</v>
      </c>
      <c r="AA263" s="34">
        <f t="shared" si="22"/>
        <v>1509.95</v>
      </c>
      <c r="AB263" s="28" t="s">
        <v>1813</v>
      </c>
      <c r="AC263" s="28" t="s">
        <v>1784</v>
      </c>
      <c r="AD263" s="29" t="str" cm="1">
        <f t="array" ref="AD263">_xlfn.IFS(L263&lt;=Constantes!$G$2,"Muito Curta (evitável)",L263&lt;=Constantes!$H$2,"Curta Distância",L263&gt;Constantes!$H$2,"Longa Distância")</f>
        <v>Curta Distância</v>
      </c>
      <c r="AE263" s="30" t="str">
        <f t="shared" si="23"/>
        <v>NÃO</v>
      </c>
      <c r="AF263" s="30">
        <f>SUMIF(Entradas!$B:$B,'Entrada Lvl 5-4 qt'!$B263,Entradas!$AG:$AG)</f>
        <v>271.05605715809952</v>
      </c>
      <c r="AG263" s="30"/>
      <c r="BD263" s="49"/>
      <c r="BE263" s="49"/>
    </row>
    <row r="264" spans="1:57" x14ac:dyDescent="0.3">
      <c r="A264">
        <f>_xlfn.XLOOKUP(B264,Entradas!B:B,Entradas!A:A,,0,-1)</f>
        <v>2</v>
      </c>
      <c r="B264">
        <v>19466987</v>
      </c>
      <c r="C264" t="str">
        <f>_xlfn.XLOOKUP($B264,Entradas!$B:$B,Entradas!C:C,,0,1)</f>
        <v>001637/23</v>
      </c>
      <c r="D264" t="str">
        <f>_xlfn.XLOOKUP($B264,Entradas!$B:$B,Entradas!D:D,,0,1)</f>
        <v>***.583.474-**</v>
      </c>
      <c r="E264" t="str">
        <f>_xlfn.XLOOKUP($B264,Entradas!$B:$B,Entradas!E:E,,0,1)</f>
        <v>ANA BERENICE PERES MARTORELLI</v>
      </c>
      <c r="F264" t="str">
        <f>_xlfn.XLOOKUP($B264,Entradas!$B:$B,Entradas!F:F,,0,1)</f>
        <v>PROFESSOR DO MAGISTERIO SUPERIOR</v>
      </c>
      <c r="G264" t="str">
        <f>_xlfn.XLOOKUP($B264,Entradas!$B:$B,Entradas!G:G,,0,1)</f>
        <v>FG-0003</v>
      </c>
      <c r="H264" t="str">
        <f>_xlfn.XLOOKUP($B264,Entradas!$B:$B,Entradas!H:H,,0,1)</f>
        <v>FG-0003</v>
      </c>
      <c r="I264" s="49">
        <f>_xlfn.XLOOKUP($B264,Entradas!$B:$B,Entradas!I:I,,0,1)</f>
        <v>45237</v>
      </c>
      <c r="J264" s="49">
        <f>_xlfn.XLOOKUP($B264,Entradas!$B:$B,Entradas!J:J,,0,1)</f>
        <v>45239</v>
      </c>
      <c r="K264" t="str">
        <f>_xlfn.XLOOKUP($B264,Entradas!$B:$B,Entradas!K:K,,0,1)</f>
        <v>participação em Reunião presencial do CGRIFES (Conselho de Gestores de Relações Internacionais das IFES), que acontecerá em Brasília-DF, no período de 08 a 09 de novembro de 2023.</v>
      </c>
      <c r="L264">
        <f>SUMIF(Entradas!$B:$B,'Entrada Lvl 5-4 qt'!$B264,Entradas!S:S)</f>
        <v>3426.839982</v>
      </c>
      <c r="M264" t="str">
        <f>_xlfn.XLOOKUP($B264,Entradas!$B:$B,Entradas!T:T,,0,1)</f>
        <v>Aéreo</v>
      </c>
      <c r="N264" t="str">
        <f>_xlfn.XLOOKUP($B264,Entradas!$B:$B,Entradas!U:U,,0,1)</f>
        <v>Sim</v>
      </c>
      <c r="O264" t="str">
        <f>_xlfn.XLOOKUP($B264,Entradas!$B:$B,Entradas!V:V,,0,1)</f>
        <v>Realizada</v>
      </c>
      <c r="P264" t="str">
        <f>_xlfn.XLOOKUP($B264,Entradas!$B:$B,Entradas!W:W,,0,1)</f>
        <v>SIM</v>
      </c>
      <c r="Q264" t="str">
        <f>_xlfn.XLOOKUP($B264,Entradas!$B:$B,Entradas!X:X,,0,1)</f>
        <v>conforme autorização superior, em anexo</v>
      </c>
      <c r="R264" s="36">
        <f>SUMIF(Entradas!$B:$B,'Entrada Lvl 5-4 qt'!$B264,Entradas!Y:Y)</f>
        <v>958.12</v>
      </c>
      <c r="S264" s="36">
        <f>SUMIF(Entradas!$B:$B,'Entrada Lvl 5-4 qt'!$B264,Entradas!Z:Z)</f>
        <v>0</v>
      </c>
      <c r="T264" s="36">
        <f>SUMIF(Entradas!$B:$B,'Entrada Lvl 5-4 qt'!$B264,Entradas!AA:AA)</f>
        <v>4275.3999999999996</v>
      </c>
      <c r="U264" s="36">
        <f>SUMIF(Entradas!$B:$B,'Entrada Lvl 5-4 qt'!$B264,Entradas!AB:AB)</f>
        <v>4275.3999999999996</v>
      </c>
      <c r="V264" s="49">
        <f>_xlfn.XLOOKUP($B264,Entradas!$B:$B,Entradas!AC:AC,,0,1)</f>
        <v>45231</v>
      </c>
      <c r="W264" s="58">
        <f t="shared" si="24"/>
        <v>2</v>
      </c>
      <c r="X264" s="28" t="s">
        <v>10</v>
      </c>
      <c r="Y264" s="32">
        <f t="shared" si="20"/>
        <v>0</v>
      </c>
      <c r="Z264" s="33">
        <f t="shared" si="21"/>
        <v>8550.7999999999993</v>
      </c>
      <c r="AA264" s="34">
        <f t="shared" si="22"/>
        <v>958.12</v>
      </c>
      <c r="AB264" s="28" t="s">
        <v>1813</v>
      </c>
      <c r="AC264" s="28" t="s">
        <v>1784</v>
      </c>
      <c r="AD264" s="29" t="str" cm="1">
        <f t="array" ref="AD264">_xlfn.IFS(L264&lt;=Constantes!$G$2,"Muito Curta (evitável)",L264&lt;=Constantes!$H$2,"Curta Distância",L264&gt;Constantes!$H$2,"Longa Distância")</f>
        <v>Curta Distância</v>
      </c>
      <c r="AE264" s="30" t="str">
        <f t="shared" si="23"/>
        <v>NÃO</v>
      </c>
      <c r="AF264" s="30">
        <f>SUMIF(Entradas!$B:$B,'Entrada Lvl 5-4 qt'!$B264,Entradas!$AG:$AG)</f>
        <v>626.66401501165365</v>
      </c>
      <c r="AG264" s="30"/>
      <c r="BD264" s="49"/>
      <c r="BE264" s="49"/>
    </row>
    <row r="265" spans="1:57" x14ac:dyDescent="0.3">
      <c r="A265">
        <f>_xlfn.XLOOKUP(B265,Entradas!B:B,Entradas!A:A,,0,-1)</f>
        <v>2</v>
      </c>
      <c r="B265">
        <v>19479520</v>
      </c>
      <c r="C265" t="str">
        <f>_xlfn.XLOOKUP($B265,Entradas!$B:$B,Entradas!C:C,,0,1)</f>
        <v>001650/23</v>
      </c>
      <c r="D265" t="str">
        <f>_xlfn.XLOOKUP($B265,Entradas!$B:$B,Entradas!D:D,,0,1)</f>
        <v>***.279.994-**</v>
      </c>
      <c r="E265" t="str">
        <f>_xlfn.XLOOKUP($B265,Entradas!$B:$B,Entradas!E:E,,0,1)</f>
        <v>SURAMA SANTOS ISMAEL DA COSTA</v>
      </c>
      <c r="F265" t="str">
        <f>_xlfn.XLOOKUP($B265,Entradas!$B:$B,Entradas!F:F,,0,1)</f>
        <v>PROFESSOR DO MAGISTERIO SUPERIOR</v>
      </c>
      <c r="G265" t="str">
        <f>_xlfn.XLOOKUP($B265,Entradas!$B:$B,Entradas!G:G,,0,1)</f>
        <v>-1</v>
      </c>
      <c r="H265" t="str">
        <f>_xlfn.XLOOKUP($B265,Entradas!$B:$B,Entradas!H:H,,0,1)</f>
        <v>Sem informação</v>
      </c>
      <c r="I265" s="49">
        <f>_xlfn.XLOOKUP($B265,Entradas!$B:$B,Entradas!I:I,,0,1)</f>
        <v>45237</v>
      </c>
      <c r="J265" s="49">
        <f>_xlfn.XLOOKUP($B265,Entradas!$B:$B,Entradas!J:J,,0,1)</f>
        <v>45240</v>
      </c>
      <c r="K265" t="str">
        <f>_xlfn.XLOOKUP($B265,Entradas!$B:$B,Entradas!K:K,,0,1)</f>
        <v>Participação da Reunião Técnica sobre os programas de formação inicial e continuada para professores indígenas fomentada pela Secretaria de Educação Continuada, Alfabetização de Jovens e Adultos, Diversidade e Inclusão (Secadi), que ocorrerá em Brasília, nos dias 7, 8 e 9 de novembro de 2023.</v>
      </c>
      <c r="L265">
        <f>SUMIF(Entradas!$B:$B,'Entrada Lvl 5-4 qt'!$B265,Entradas!S:S)</f>
        <v>3426.839982</v>
      </c>
      <c r="M265" t="str">
        <f>_xlfn.XLOOKUP($B265,Entradas!$B:$B,Entradas!T:T,,0,1)</f>
        <v>Aéreo</v>
      </c>
      <c r="N265" t="str">
        <f>_xlfn.XLOOKUP($B265,Entradas!$B:$B,Entradas!U:U,,0,1)</f>
        <v>Sim</v>
      </c>
      <c r="O265" t="str">
        <f>_xlfn.XLOOKUP($B265,Entradas!$B:$B,Entradas!V:V,,0,1)</f>
        <v>Realizada</v>
      </c>
      <c r="P265" t="str">
        <f>_xlfn.XLOOKUP($B265,Entradas!$B:$B,Entradas!W:W,,0,1)</f>
        <v>SIM</v>
      </c>
      <c r="Q265" t="str">
        <f>_xlfn.XLOOKUP($B265,Entradas!$B:$B,Entradas!X:X,,0,1)</f>
        <v>Em virtude de ajuste internos institucionais no tocante as questões orçamentárias do Centro, justifico o envio tardio.</v>
      </c>
      <c r="R265" s="36">
        <f>SUMIF(Entradas!$B:$B,'Entrada Lvl 5-4 qt'!$B265,Entradas!Y:Y)</f>
        <v>1215.83</v>
      </c>
      <c r="S265" s="36">
        <f>SUMIF(Entradas!$B:$B,'Entrada Lvl 5-4 qt'!$B265,Entradas!Z:Z)</f>
        <v>0</v>
      </c>
      <c r="T265" s="36">
        <f>SUMIF(Entradas!$B:$B,'Entrada Lvl 5-4 qt'!$B265,Entradas!AA:AA)</f>
        <v>4245.3999999999996</v>
      </c>
      <c r="U265" s="36">
        <f>SUMIF(Entradas!$B:$B,'Entrada Lvl 5-4 qt'!$B265,Entradas!AB:AB)</f>
        <v>0</v>
      </c>
      <c r="V265" s="49">
        <f>_xlfn.XLOOKUP($B265,Entradas!$B:$B,Entradas!AC:AC,,0,1)</f>
        <v>45233</v>
      </c>
      <c r="W265" s="58">
        <f t="shared" si="24"/>
        <v>3</v>
      </c>
      <c r="X265" s="28" t="s">
        <v>10</v>
      </c>
      <c r="Y265" s="32">
        <f t="shared" si="20"/>
        <v>0</v>
      </c>
      <c r="Z265" s="33">
        <f t="shared" si="21"/>
        <v>4245.3999999999996</v>
      </c>
      <c r="AA265" s="34">
        <f t="shared" si="22"/>
        <v>1215.83</v>
      </c>
      <c r="AB265" s="28" t="s">
        <v>1813</v>
      </c>
      <c r="AC265" s="28" t="s">
        <v>1820</v>
      </c>
      <c r="AD265" s="29" t="str" cm="1">
        <f t="array" ref="AD265">_xlfn.IFS(L265&lt;=Constantes!$G$2,"Muito Curta (evitável)",L265&lt;=Constantes!$H$2,"Curta Distância",L265&gt;Constantes!$H$2,"Longa Distância")</f>
        <v>Curta Distância</v>
      </c>
      <c r="AE265" s="30" t="str">
        <f t="shared" si="23"/>
        <v>NÃO</v>
      </c>
      <c r="AF265" s="30">
        <f>SUMIF(Entradas!$B:$B,'Entrada Lvl 5-4 qt'!$B265,Entradas!$AG:$AG)</f>
        <v>626.66401501165365</v>
      </c>
      <c r="AG265" s="30"/>
      <c r="BD265" s="49"/>
      <c r="BE265" s="49"/>
    </row>
    <row r="266" spans="1:57" x14ac:dyDescent="0.3">
      <c r="A266">
        <f>_xlfn.XLOOKUP(B266,Entradas!B:B,Entradas!A:A,,0,-1)</f>
        <v>2</v>
      </c>
      <c r="B266">
        <v>19077191</v>
      </c>
      <c r="C266" t="str">
        <f>_xlfn.XLOOKUP($B266,Entradas!$B:$B,Entradas!C:C,,0,1)</f>
        <v>001029/23</v>
      </c>
      <c r="D266" t="str">
        <f>_xlfn.XLOOKUP($B266,Entradas!$B:$B,Entradas!D:D,,0,1)</f>
        <v>***.076.830-**</v>
      </c>
      <c r="E266" t="str">
        <f>_xlfn.XLOOKUP($B266,Entradas!$B:$B,Entradas!E:E,,0,1)</f>
        <v>JULIELE MARIA SIEVERS</v>
      </c>
      <c r="F266" t="str">
        <f>_xlfn.XLOOKUP($B266,Entradas!$B:$B,Entradas!F:F,,0,1)</f>
        <v>PROFESSOR DO MAGISTERIO SUPERIOR</v>
      </c>
      <c r="G266" t="str">
        <f>_xlfn.XLOOKUP($B266,Entradas!$B:$B,Entradas!G:G,,0,1)</f>
        <v>-1</v>
      </c>
      <c r="H266" t="str">
        <f>_xlfn.XLOOKUP($B266,Entradas!$B:$B,Entradas!H:H,,0,1)</f>
        <v>Sem informação</v>
      </c>
      <c r="I266" s="49">
        <f>_xlfn.XLOOKUP($B266,Entradas!$B:$B,Entradas!I:I,,0,1)</f>
        <v>45238</v>
      </c>
      <c r="J266" s="49">
        <f>_xlfn.XLOOKUP($B266,Entradas!$B:$B,Entradas!J:J,,0,1)</f>
        <v>45244</v>
      </c>
      <c r="K266" t="str">
        <f>_xlfn.XLOOKUP($B266,Entradas!$B:$B,Entradas!K:K,,0,1)</f>
        <v>Participar como palestrante convidada do I Encontro de Filosofia e Normatividades Práticas.</v>
      </c>
      <c r="L266">
        <f>SUMIF(Entradas!$B:$B,'Entrada Lvl 5-4 qt'!$B266,Entradas!S:S)</f>
        <v>558.13892280000005</v>
      </c>
      <c r="M266" t="str">
        <f>_xlfn.XLOOKUP($B266,Entradas!$B:$B,Entradas!T:T,,0,1)</f>
        <v>Aéreo</v>
      </c>
      <c r="N266" t="str">
        <f>_xlfn.XLOOKUP($B266,Entradas!$B:$B,Entradas!U:U,,0,1)</f>
        <v>Sim</v>
      </c>
      <c r="O266" t="str">
        <f>_xlfn.XLOOKUP($B266,Entradas!$B:$B,Entradas!V:V,,0,1)</f>
        <v>Realizada</v>
      </c>
      <c r="P266" t="str">
        <f>_xlfn.XLOOKUP($B266,Entradas!$B:$B,Entradas!W:W,,0,1)</f>
        <v>NÃO</v>
      </c>
      <c r="Q266" t="str">
        <f>_xlfn.XLOOKUP($B266,Entradas!$B:$B,Entradas!X:X,,0,1)</f>
        <v>Sem informação</v>
      </c>
      <c r="R266" s="36">
        <f>SUMIF(Entradas!$B:$B,'Entrada Lvl 5-4 qt'!$B266,Entradas!Y:Y)</f>
        <v>2162.08</v>
      </c>
      <c r="S266" s="36">
        <f>SUMIF(Entradas!$B:$B,'Entrada Lvl 5-4 qt'!$B266,Entradas!Z:Z)</f>
        <v>0</v>
      </c>
      <c r="T266" s="36">
        <f>SUMIF(Entradas!$B:$B,'Entrada Lvl 5-4 qt'!$B266,Entradas!AA:AA)</f>
        <v>2156.7799999999997</v>
      </c>
      <c r="U266" s="36">
        <f>SUMIF(Entradas!$B:$B,'Entrada Lvl 5-4 qt'!$B266,Entradas!AB:AB)</f>
        <v>0</v>
      </c>
      <c r="V266" s="49">
        <f>_xlfn.XLOOKUP($B266,Entradas!$B:$B,Entradas!AC:AC,,0,1)</f>
        <v>45195</v>
      </c>
      <c r="W266" s="58">
        <f t="shared" si="24"/>
        <v>6</v>
      </c>
      <c r="X266" s="28" t="s">
        <v>10</v>
      </c>
      <c r="Y266" s="32">
        <f t="shared" si="20"/>
        <v>0</v>
      </c>
      <c r="Z266" s="33">
        <f t="shared" si="21"/>
        <v>2156.7799999999997</v>
      </c>
      <c r="AA266" s="34">
        <f t="shared" si="22"/>
        <v>2162.08</v>
      </c>
      <c r="AB266" s="28" t="s">
        <v>1814</v>
      </c>
      <c r="AC266" s="28" t="s">
        <v>1820</v>
      </c>
      <c r="AD266" s="29" t="str" cm="1">
        <f t="array" ref="AD266">_xlfn.IFS(L266&lt;=Constantes!$G$2,"Muito Curta (evitável)",L266&lt;=Constantes!$H$2,"Curta Distância",L266&gt;Constantes!$H$2,"Longa Distância")</f>
        <v>Muito Curta (evitável)</v>
      </c>
      <c r="AE266" s="30" t="str">
        <f t="shared" si="23"/>
        <v>NÃO</v>
      </c>
      <c r="AF266" s="30">
        <f>SUMIF(Entradas!$B:$B,'Entrada Lvl 5-4 qt'!$B266,Entradas!$AG:$AG)</f>
        <v>152.13571329129365</v>
      </c>
      <c r="AG266" s="30"/>
      <c r="BD266" s="49"/>
      <c r="BE266" s="49"/>
    </row>
    <row r="267" spans="1:57" x14ac:dyDescent="0.3">
      <c r="A267">
        <f>_xlfn.XLOOKUP(B267,Entradas!B:B,Entradas!A:A,,0,-1)</f>
        <v>2</v>
      </c>
      <c r="B267">
        <v>19277297</v>
      </c>
      <c r="C267" t="str">
        <f>_xlfn.XLOOKUP($B267,Entradas!$B:$B,Entradas!C:C,,0,1)</f>
        <v>001063/23</v>
      </c>
      <c r="D267" t="str">
        <f>_xlfn.XLOOKUP($B267,Entradas!$B:$B,Entradas!D:D,,0,1)</f>
        <v>***.904.834-**</v>
      </c>
      <c r="E267" t="str">
        <f>_xlfn.XLOOKUP($B267,Entradas!$B:$B,Entradas!E:E,,0,1)</f>
        <v>IAN PORTO GURGEL DO AMARAL</v>
      </c>
      <c r="F267" t="str">
        <f>_xlfn.XLOOKUP($B267,Entradas!$B:$B,Entradas!F:F,,0,1)</f>
        <v>PROFESSOR DO MAGISTERIO SUPERIOR</v>
      </c>
      <c r="G267" t="str">
        <f>_xlfn.XLOOKUP($B267,Entradas!$B:$B,Entradas!G:G,,0,1)</f>
        <v>FUC-0001</v>
      </c>
      <c r="H267" t="str">
        <f>_xlfn.XLOOKUP($B267,Entradas!$B:$B,Entradas!H:H,,0,1)</f>
        <v>FUC-0001</v>
      </c>
      <c r="I267" s="49">
        <f>_xlfn.XLOOKUP($B267,Entradas!$B:$B,Entradas!I:I,,0,1)</f>
        <v>45238</v>
      </c>
      <c r="J267" s="49">
        <f>_xlfn.XLOOKUP($B267,Entradas!$B:$B,Entradas!J:J,,0,1)</f>
        <v>45241</v>
      </c>
      <c r="K267" t="str">
        <f>_xlfn.XLOOKUP($B267,Entradas!$B:$B,Entradas!K:K,,0,1)</f>
        <v>Viagem para participação no Seminário de Meio Termo dos programas de pós-graduação da área de Biotecnologia, a ser realizado na sede da CAPES, em Brasília-DF.</v>
      </c>
      <c r="L267">
        <f>SUMIF(Entradas!$B:$B,'Entrada Lvl 5-4 qt'!$B267,Entradas!S:S)</f>
        <v>3426.839982</v>
      </c>
      <c r="M267" t="str">
        <f>_xlfn.XLOOKUP($B267,Entradas!$B:$B,Entradas!T:T,,0,1)</f>
        <v>Aéreo</v>
      </c>
      <c r="N267" t="str">
        <f>_xlfn.XLOOKUP($B267,Entradas!$B:$B,Entradas!U:U,,0,1)</f>
        <v>Sim</v>
      </c>
      <c r="O267" t="str">
        <f>_xlfn.XLOOKUP($B267,Entradas!$B:$B,Entradas!V:V,,0,1)</f>
        <v>Realizada</v>
      </c>
      <c r="P267" t="str">
        <f>_xlfn.XLOOKUP($B267,Entradas!$B:$B,Entradas!W:W,,0,1)</f>
        <v>NÃO</v>
      </c>
      <c r="Q267" t="str">
        <f>_xlfn.XLOOKUP($B267,Entradas!$B:$B,Entradas!X:X,,0,1)</f>
        <v>Sem informação</v>
      </c>
      <c r="R267" s="36">
        <f>SUMIF(Entradas!$B:$B,'Entrada Lvl 5-4 qt'!$B267,Entradas!Y:Y)</f>
        <v>1339.26</v>
      </c>
      <c r="S267" s="36">
        <f>SUMIF(Entradas!$B:$B,'Entrada Lvl 5-4 qt'!$B267,Entradas!Z:Z)</f>
        <v>0</v>
      </c>
      <c r="T267" s="36">
        <f>SUMIF(Entradas!$B:$B,'Entrada Lvl 5-4 qt'!$B267,Entradas!AA:AA)</f>
        <v>1594.1</v>
      </c>
      <c r="U267" s="36">
        <f>SUMIF(Entradas!$B:$B,'Entrada Lvl 5-4 qt'!$B267,Entradas!AB:AB)</f>
        <v>0</v>
      </c>
      <c r="V267" s="49">
        <f>_xlfn.XLOOKUP($B267,Entradas!$B:$B,Entradas!AC:AC,,0,1)</f>
        <v>45187</v>
      </c>
      <c r="W267" s="58">
        <f t="shared" si="24"/>
        <v>3</v>
      </c>
      <c r="X267" s="28" t="s">
        <v>10</v>
      </c>
      <c r="Y267" s="32">
        <f t="shared" si="20"/>
        <v>0</v>
      </c>
      <c r="Z267" s="33">
        <f t="shared" si="21"/>
        <v>1594.1</v>
      </c>
      <c r="AA267" s="34">
        <f t="shared" si="22"/>
        <v>1339.26</v>
      </c>
      <c r="AB267" s="28" t="s">
        <v>1813</v>
      </c>
      <c r="AC267" s="28" t="s">
        <v>1784</v>
      </c>
      <c r="AD267" s="29" t="str" cm="1">
        <f t="array" ref="AD267">_xlfn.IFS(L267&lt;=Constantes!$G$2,"Muito Curta (evitável)",L267&lt;=Constantes!$H$2,"Curta Distância",L267&gt;Constantes!$H$2,"Longa Distância")</f>
        <v>Curta Distância</v>
      </c>
      <c r="AE267" s="30" t="str">
        <f t="shared" si="23"/>
        <v>NÃO</v>
      </c>
      <c r="AF267" s="30">
        <f>SUMIF(Entradas!$B:$B,'Entrada Lvl 5-4 qt'!$B267,Entradas!$AG:$AG)</f>
        <v>626.66401501165365</v>
      </c>
      <c r="AG267" s="30"/>
      <c r="BD267" s="49"/>
      <c r="BE267" s="49"/>
    </row>
    <row r="268" spans="1:57" x14ac:dyDescent="0.3">
      <c r="A268">
        <f>_xlfn.XLOOKUP(B268,Entradas!B:B,Entradas!A:A,,0,-1)</f>
        <v>2</v>
      </c>
      <c r="B268">
        <v>19287574</v>
      </c>
      <c r="C268" t="str">
        <f>_xlfn.XLOOKUP($B268,Entradas!$B:$B,Entradas!C:C,,0,1)</f>
        <v>001092/23</v>
      </c>
      <c r="D268" t="str">
        <f>_xlfn.XLOOKUP($B268,Entradas!$B:$B,Entradas!D:D,,0,1)</f>
        <v>***.171.798-**</v>
      </c>
      <c r="E268" t="str">
        <f>_xlfn.XLOOKUP($B268,Entradas!$B:$B,Entradas!E:E,,0,1)</f>
        <v>MARCO VALERIO CLASSE COLONNELLI</v>
      </c>
      <c r="F268" t="str">
        <f>_xlfn.XLOOKUP($B268,Entradas!$B:$B,Entradas!F:F,,0,1)</f>
        <v>PROFESSOR DO MAGISTERIO SUPERIOR</v>
      </c>
      <c r="G268" t="str">
        <f>_xlfn.XLOOKUP($B268,Entradas!$B:$B,Entradas!G:G,,0,1)</f>
        <v>FUC-0001</v>
      </c>
      <c r="H268" t="str">
        <f>_xlfn.XLOOKUP($B268,Entradas!$B:$B,Entradas!H:H,,0,1)</f>
        <v>FUC-0001</v>
      </c>
      <c r="I268" s="49">
        <f>_xlfn.XLOOKUP($B268,Entradas!$B:$B,Entradas!I:I,,0,1)</f>
        <v>45238</v>
      </c>
      <c r="J268" s="49">
        <f>_xlfn.XLOOKUP($B268,Entradas!$B:$B,Entradas!J:J,,0,1)</f>
        <v>45241</v>
      </c>
      <c r="K268" t="str">
        <f>_xlfn.XLOOKUP($B268,Entradas!$B:$B,Entradas!K:K,,0,1)</f>
        <v>Participação do Seminário do Meio Termo promovido pela CAPES.</v>
      </c>
      <c r="L268">
        <f>SUMIF(Entradas!$B:$B,'Entrada Lvl 5-4 qt'!$B268,Entradas!S:S)</f>
        <v>3426.839982</v>
      </c>
      <c r="M268" t="str">
        <f>_xlfn.XLOOKUP($B268,Entradas!$B:$B,Entradas!T:T,,0,1)</f>
        <v>Aéreo</v>
      </c>
      <c r="N268" t="str">
        <f>_xlfn.XLOOKUP($B268,Entradas!$B:$B,Entradas!U:U,,0,1)</f>
        <v>Não</v>
      </c>
      <c r="O268" t="str">
        <f>_xlfn.XLOOKUP($B268,Entradas!$B:$B,Entradas!V:V,,0,1)</f>
        <v>Realizada</v>
      </c>
      <c r="P268" t="str">
        <f>_xlfn.XLOOKUP($B268,Entradas!$B:$B,Entradas!W:W,,0,1)</f>
        <v>NÃO</v>
      </c>
      <c r="Q268" t="str">
        <f>_xlfn.XLOOKUP($B268,Entradas!$B:$B,Entradas!X:X,,0,1)</f>
        <v>Sem informação</v>
      </c>
      <c r="R268" s="36">
        <f>SUMIF(Entradas!$B:$B,'Entrada Lvl 5-4 qt'!$B268,Entradas!Y:Y)</f>
        <v>0</v>
      </c>
      <c r="S268" s="36">
        <f>SUMIF(Entradas!$B:$B,'Entrada Lvl 5-4 qt'!$B268,Entradas!Z:Z)</f>
        <v>0</v>
      </c>
      <c r="T268" s="36">
        <f>SUMIF(Entradas!$B:$B,'Entrada Lvl 5-4 qt'!$B268,Entradas!AA:AA)</f>
        <v>1569.5</v>
      </c>
      <c r="U268" s="36">
        <f>SUMIF(Entradas!$B:$B,'Entrada Lvl 5-4 qt'!$B268,Entradas!AB:AB)</f>
        <v>0</v>
      </c>
      <c r="V268" s="49">
        <f>_xlfn.XLOOKUP($B268,Entradas!$B:$B,Entradas!AC:AC,,0,1)</f>
        <v>45184</v>
      </c>
      <c r="W268" s="58">
        <f t="shared" si="24"/>
        <v>3</v>
      </c>
      <c r="X268" s="28" t="s">
        <v>10</v>
      </c>
      <c r="Y268" s="32">
        <f t="shared" si="20"/>
        <v>0</v>
      </c>
      <c r="Z268" s="33">
        <f t="shared" si="21"/>
        <v>1569.5</v>
      </c>
      <c r="AA268" s="34">
        <f t="shared" si="22"/>
        <v>0</v>
      </c>
      <c r="AB268" s="28" t="s">
        <v>1813</v>
      </c>
      <c r="AC268" s="28" t="s">
        <v>1784</v>
      </c>
      <c r="AD268" s="29" t="str" cm="1">
        <f t="array" ref="AD268">_xlfn.IFS(L268&lt;=Constantes!$G$2,"Muito Curta (evitável)",L268&lt;=Constantes!$H$2,"Curta Distância",L268&gt;Constantes!$H$2,"Longa Distância")</f>
        <v>Curta Distância</v>
      </c>
      <c r="AE268" s="30" t="str">
        <f t="shared" si="23"/>
        <v>NÃO</v>
      </c>
      <c r="AF268" s="30">
        <f>SUMIF(Entradas!$B:$B,'Entrada Lvl 5-4 qt'!$B268,Entradas!$AG:$AG)</f>
        <v>626.66401501165365</v>
      </c>
      <c r="AG268" s="30"/>
      <c r="BD268" s="49"/>
      <c r="BE268" s="49"/>
    </row>
    <row r="269" spans="1:57" x14ac:dyDescent="0.3">
      <c r="A269">
        <f>_xlfn.XLOOKUP(B269,Entradas!B:B,Entradas!A:A,,0,-1)</f>
        <v>1</v>
      </c>
      <c r="B269">
        <v>19368241</v>
      </c>
      <c r="C269" t="str">
        <f>_xlfn.XLOOKUP($B269,Entradas!$B:$B,Entradas!C:C,,0,1)</f>
        <v>001323/23</v>
      </c>
      <c r="D269" t="str">
        <f>_xlfn.XLOOKUP($B269,Entradas!$B:$B,Entradas!D:D,,0,1)</f>
        <v/>
      </c>
      <c r="E269" t="str">
        <f>_xlfn.XLOOKUP($B269,Entradas!$B:$B,Entradas!E:E,,0,1)</f>
        <v>TIAGO DE AGUIAR RODRIGUES</v>
      </c>
      <c r="F269" t="str">
        <f>_xlfn.XLOOKUP($B269,Entradas!$B:$B,Entradas!F:F,,0,1)</f>
        <v>PROFESSOR DO MAGISTERIO SUPERIOR</v>
      </c>
      <c r="G269" t="str">
        <f>_xlfn.XLOOKUP($B269,Entradas!$B:$B,Entradas!G:G,,0,1)</f>
        <v>FUC-0001</v>
      </c>
      <c r="H269" t="str">
        <f>_xlfn.XLOOKUP($B269,Entradas!$B:$B,Entradas!H:H,,0,1)</f>
        <v>FUC-0001</v>
      </c>
      <c r="I269" s="49">
        <f>_xlfn.XLOOKUP($B269,Entradas!$B:$B,Entradas!I:I,,0,1)</f>
        <v>45238</v>
      </c>
      <c r="J269" s="49">
        <f>_xlfn.XLOOKUP($B269,Entradas!$B:$B,Entradas!J:J,,0,1)</f>
        <v>45240</v>
      </c>
      <c r="K269" t="str">
        <f>_xlfn.XLOOKUP($B269,Entradas!$B:$B,Entradas!K:K,,0,1)</f>
        <v>Participar como representante do MPLE de Reunião de Meio Termo da CAPES.</v>
      </c>
      <c r="L269">
        <f>SUMIF(Entradas!$B:$B,'Entrada Lvl 5-4 qt'!$B269,Entradas!S:S)</f>
        <v>1713.419991</v>
      </c>
      <c r="M269" t="str">
        <f>_xlfn.XLOOKUP($B269,Entradas!$B:$B,Entradas!T:T,,0,1)</f>
        <v>Aéreo</v>
      </c>
      <c r="N269" t="str">
        <f>_xlfn.XLOOKUP($B269,Entradas!$B:$B,Entradas!U:U,,0,1)</f>
        <v>Sim</v>
      </c>
      <c r="O269" t="str">
        <f>_xlfn.XLOOKUP($B269,Entradas!$B:$B,Entradas!V:V,,0,1)</f>
        <v>Realizada</v>
      </c>
      <c r="P269" t="str">
        <f>_xlfn.XLOOKUP($B269,Entradas!$B:$B,Entradas!W:W,,0,1)</f>
        <v>NÃO</v>
      </c>
      <c r="Q269" t="str">
        <f>_xlfn.XLOOKUP($B269,Entradas!$B:$B,Entradas!X:X,,0,1)</f>
        <v>Sem informação</v>
      </c>
      <c r="R269" s="36">
        <f>SUMIF(Entradas!$B:$B,'Entrada Lvl 5-4 qt'!$B269,Entradas!Y:Y)</f>
        <v>958.12</v>
      </c>
      <c r="S269" s="36">
        <f>SUMIF(Entradas!$B:$B,'Entrada Lvl 5-4 qt'!$B269,Entradas!Z:Z)</f>
        <v>0</v>
      </c>
      <c r="T269" s="36">
        <f>SUMIF(Entradas!$B:$B,'Entrada Lvl 5-4 qt'!$B269,Entradas!AA:AA)</f>
        <v>905.29</v>
      </c>
      <c r="U269" s="36">
        <f>SUMIF(Entradas!$B:$B,'Entrada Lvl 5-4 qt'!$B269,Entradas!AB:AB)</f>
        <v>0</v>
      </c>
      <c r="V269" s="49">
        <f>_xlfn.XLOOKUP($B269,Entradas!$B:$B,Entradas!AC:AC,,0,1)</f>
        <v>45204</v>
      </c>
      <c r="W269" s="58">
        <f t="shared" si="24"/>
        <v>2</v>
      </c>
      <c r="X269" s="28" t="s">
        <v>10</v>
      </c>
      <c r="Y269" s="32">
        <f t="shared" si="20"/>
        <v>0</v>
      </c>
      <c r="Z269" s="33">
        <f t="shared" si="21"/>
        <v>905.29</v>
      </c>
      <c r="AA269" s="34">
        <f t="shared" si="22"/>
        <v>958.12</v>
      </c>
      <c r="AB269" s="28" t="s">
        <v>1813</v>
      </c>
      <c r="AC269" s="28" t="s">
        <v>1784</v>
      </c>
      <c r="AD269" s="29" t="str" cm="1">
        <f t="array" ref="AD269">_xlfn.IFS(L269&lt;=Constantes!$G$2,"Muito Curta (evitável)",L269&lt;=Constantes!$H$2,"Curta Distância",L269&gt;Constantes!$H$2,"Longa Distância")</f>
        <v>Curta Distância</v>
      </c>
      <c r="AE269" s="30" t="str">
        <f t="shared" si="23"/>
        <v>NÃO</v>
      </c>
      <c r="AF269" s="30">
        <f>SUMIF(Entradas!$B:$B,'Entrada Lvl 5-4 qt'!$B269,Entradas!$AG:$AG)</f>
        <v>313.33200750582682</v>
      </c>
      <c r="AG269" s="30"/>
      <c r="BD269" s="49"/>
      <c r="BE269" s="49"/>
    </row>
    <row r="270" spans="1:57" x14ac:dyDescent="0.3">
      <c r="A270">
        <f>_xlfn.XLOOKUP(B270,Entradas!B:B,Entradas!A:A,,0,-1)</f>
        <v>2</v>
      </c>
      <c r="B270">
        <v>19393176</v>
      </c>
      <c r="C270" t="str">
        <f>_xlfn.XLOOKUP($B270,Entradas!$B:$B,Entradas!C:C,,0,1)</f>
        <v>001441/23</v>
      </c>
      <c r="D270" t="str">
        <f>_xlfn.XLOOKUP($B270,Entradas!$B:$B,Entradas!D:D,,0,1)</f>
        <v>***.107.470-**</v>
      </c>
      <c r="E270" t="str">
        <f>_xlfn.XLOOKUP($B270,Entradas!$B:$B,Entradas!E:E,,0,1)</f>
        <v>FABIANA CARDOSO DE SIQUEIRA</v>
      </c>
      <c r="F270" t="str">
        <f>_xlfn.XLOOKUP($B270,Entradas!$B:$B,Entradas!F:F,,0,1)</f>
        <v>PROFESSOR DO MAGISTERIO SUPERIOR</v>
      </c>
      <c r="G270" t="str">
        <f>_xlfn.XLOOKUP($B270,Entradas!$B:$B,Entradas!G:G,,0,1)</f>
        <v>CD-0004</v>
      </c>
      <c r="H270" t="str">
        <f>_xlfn.XLOOKUP($B270,Entradas!$B:$B,Entradas!H:H,,0,1)</f>
        <v>Cargo Comissionado de Direção</v>
      </c>
      <c r="I270" s="49">
        <f>_xlfn.XLOOKUP($B270,Entradas!$B:$B,Entradas!I:I,,0,1)</f>
        <v>45238</v>
      </c>
      <c r="J270" s="49">
        <f>_xlfn.XLOOKUP($B270,Entradas!$B:$B,Entradas!J:J,,0,1)</f>
        <v>45241</v>
      </c>
      <c r="K270" t="str">
        <f>_xlfn.XLOOKUP($B270,Entradas!$B:$B,Entradas!K:K,,0,1)</f>
        <v>- Como docente, participar do 21º Encontro Nacional de Pesquisadores em Jornalismo - SBPJOR - na Universidade de Brasília (UnB) - Brasília (DF) - Novembro de 2023. Apresentar trabalho. - Como vice-diretora do CCTA, Realizar visitas ao Congresso Nacional e Ministérios com a finalidade de buscar recursos para o Centro.</v>
      </c>
      <c r="L270">
        <f>SUMIF(Entradas!$B:$B,'Entrada Lvl 5-4 qt'!$B270,Entradas!S:S)</f>
        <v>3426.839982</v>
      </c>
      <c r="M270" t="str">
        <f>_xlfn.XLOOKUP($B270,Entradas!$B:$B,Entradas!T:T,,0,1)</f>
        <v>Aéreo</v>
      </c>
      <c r="N270" t="str">
        <f>_xlfn.XLOOKUP($B270,Entradas!$B:$B,Entradas!U:U,,0,1)</f>
        <v>Sim</v>
      </c>
      <c r="O270" t="str">
        <f>_xlfn.XLOOKUP($B270,Entradas!$B:$B,Entradas!V:V,,0,1)</f>
        <v>Realizada</v>
      </c>
      <c r="P270" t="str">
        <f>_xlfn.XLOOKUP($B270,Entradas!$B:$B,Entradas!W:W,,0,1)</f>
        <v>NÃO</v>
      </c>
      <c r="Q270" t="str">
        <f>_xlfn.XLOOKUP($B270,Entradas!$B:$B,Entradas!X:X,,0,1)</f>
        <v>Sem informação</v>
      </c>
      <c r="R270" s="36">
        <f>SUMIF(Entradas!$B:$B,'Entrada Lvl 5-4 qt'!$B270,Entradas!Y:Y)</f>
        <v>1339.26</v>
      </c>
      <c r="S270" s="36">
        <f>SUMIF(Entradas!$B:$B,'Entrada Lvl 5-4 qt'!$B270,Entradas!Z:Z)</f>
        <v>0</v>
      </c>
      <c r="T270" s="36">
        <f>SUMIF(Entradas!$B:$B,'Entrada Lvl 5-4 qt'!$B270,Entradas!AA:AA)</f>
        <v>2122.5</v>
      </c>
      <c r="U270" s="36">
        <f>SUMIF(Entradas!$B:$B,'Entrada Lvl 5-4 qt'!$B270,Entradas!AB:AB)</f>
        <v>0</v>
      </c>
      <c r="V270" s="49">
        <f>_xlfn.XLOOKUP($B270,Entradas!$B:$B,Entradas!AC:AC,,0,1)</f>
        <v>45215</v>
      </c>
      <c r="W270" s="58">
        <f t="shared" si="24"/>
        <v>3</v>
      </c>
      <c r="X270" s="28" t="s">
        <v>10</v>
      </c>
      <c r="Y270" s="32">
        <f t="shared" si="20"/>
        <v>0</v>
      </c>
      <c r="Z270" s="33">
        <f t="shared" si="21"/>
        <v>2122.5</v>
      </c>
      <c r="AA270" s="34">
        <f t="shared" si="22"/>
        <v>1339.26</v>
      </c>
      <c r="AB270" s="28" t="s">
        <v>1814</v>
      </c>
      <c r="AC270" s="28" t="s">
        <v>1820</v>
      </c>
      <c r="AD270" s="29" t="str" cm="1">
        <f t="array" ref="AD270">_xlfn.IFS(L270&lt;=Constantes!$G$2,"Muito Curta (evitável)",L270&lt;=Constantes!$H$2,"Curta Distância",L270&gt;Constantes!$H$2,"Longa Distância")</f>
        <v>Curta Distância</v>
      </c>
      <c r="AE270" s="30" t="str">
        <f t="shared" si="23"/>
        <v>NÃO</v>
      </c>
      <c r="AF270" s="30">
        <f>SUMIF(Entradas!$B:$B,'Entrada Lvl 5-4 qt'!$B270,Entradas!$AG:$AG)</f>
        <v>626.66401501165365</v>
      </c>
      <c r="AG270" s="30"/>
      <c r="BD270" s="49"/>
      <c r="BE270" s="49"/>
    </row>
    <row r="271" spans="1:57" x14ac:dyDescent="0.3">
      <c r="A271">
        <f>_xlfn.XLOOKUP(B271,Entradas!B:B,Entradas!A:A,,0,-1)</f>
        <v>2</v>
      </c>
      <c r="B271">
        <v>19405681</v>
      </c>
      <c r="C271" t="str">
        <f>_xlfn.XLOOKUP($B271,Entradas!$B:$B,Entradas!C:C,,0,1)</f>
        <v>001470/23</v>
      </c>
      <c r="D271" t="str">
        <f>_xlfn.XLOOKUP($B271,Entradas!$B:$B,Entradas!D:D,,0,1)</f>
        <v>***.731.432-**</v>
      </c>
      <c r="E271" t="str">
        <f>_xlfn.XLOOKUP($B271,Entradas!$B:$B,Entradas!E:E,,0,1)</f>
        <v>CARLOS BOCKER NETO</v>
      </c>
      <c r="F271" t="str">
        <f>_xlfn.XLOOKUP($B271,Entradas!$B:$B,Entradas!F:F,,0,1)</f>
        <v>PROFESSOR DO MAGISTERIO SUPERIOR</v>
      </c>
      <c r="G271" t="str">
        <f>_xlfn.XLOOKUP($B271,Entradas!$B:$B,Entradas!G:G,,0,1)</f>
        <v>FUC-0001</v>
      </c>
      <c r="H271" t="str">
        <f>_xlfn.XLOOKUP($B271,Entradas!$B:$B,Entradas!H:H,,0,1)</f>
        <v>FUC-0001</v>
      </c>
      <c r="I271" s="49">
        <f>_xlfn.XLOOKUP($B271,Entradas!$B:$B,Entradas!I:I,,0,1)</f>
        <v>45238</v>
      </c>
      <c r="J271" s="49">
        <f>_xlfn.XLOOKUP($B271,Entradas!$B:$B,Entradas!J:J,,0,1)</f>
        <v>45241</v>
      </c>
      <c r="K271" t="str">
        <f>_xlfn.XLOOKUP($B271,Entradas!$B:$B,Entradas!K:K,,0,1)</f>
        <v>Participar da reunião de coordenadores do PROFMAT no dia 9/11/2023 e do I Encontro Nacional do Mestrado PROFMAT nos dias 10 e 11/11/2023.</v>
      </c>
      <c r="L271">
        <f>SUMIF(Entradas!$B:$B,'Entrada Lvl 5-4 qt'!$B271,Entradas!S:S)</f>
        <v>3923.0015720000001</v>
      </c>
      <c r="M271" t="str">
        <f>_xlfn.XLOOKUP($B271,Entradas!$B:$B,Entradas!T:T,,0,1)</f>
        <v>Aéreo</v>
      </c>
      <c r="N271" t="str">
        <f>_xlfn.XLOOKUP($B271,Entradas!$B:$B,Entradas!U:U,,0,1)</f>
        <v>Sim</v>
      </c>
      <c r="O271" t="str">
        <f>_xlfn.XLOOKUP($B271,Entradas!$B:$B,Entradas!V:V,,0,1)</f>
        <v>Realizada</v>
      </c>
      <c r="P271" t="str">
        <f>_xlfn.XLOOKUP($B271,Entradas!$B:$B,Entradas!W:W,,0,1)</f>
        <v>SIM</v>
      </c>
      <c r="Q271" t="str">
        <f>_xlfn.XLOOKUP($B271,Entradas!$B:$B,Entradas!X:X,,0,1)</f>
        <v>Processo enviado indevidamente</v>
      </c>
      <c r="R271" s="36">
        <f>SUMIF(Entradas!$B:$B,'Entrada Lvl 5-4 qt'!$B271,Entradas!Y:Y)</f>
        <v>1339.26</v>
      </c>
      <c r="S271" s="36">
        <f>SUMIF(Entradas!$B:$B,'Entrada Lvl 5-4 qt'!$B271,Entradas!Z:Z)</f>
        <v>0</v>
      </c>
      <c r="T271" s="36">
        <f>SUMIF(Entradas!$B:$B,'Entrada Lvl 5-4 qt'!$B271,Entradas!AA:AA)</f>
        <v>2202.8900000000003</v>
      </c>
      <c r="U271" s="36">
        <f>SUMIF(Entradas!$B:$B,'Entrada Lvl 5-4 qt'!$B271,Entradas!AB:AB)</f>
        <v>0</v>
      </c>
      <c r="V271" s="49">
        <f>_xlfn.XLOOKUP($B271,Entradas!$B:$B,Entradas!AC:AC,,0,1)</f>
        <v>45216</v>
      </c>
      <c r="W271" s="58">
        <f t="shared" si="24"/>
        <v>3</v>
      </c>
      <c r="X271" s="28" t="s">
        <v>10</v>
      </c>
      <c r="Y271" s="32">
        <f t="shared" si="20"/>
        <v>0</v>
      </c>
      <c r="Z271" s="33">
        <f t="shared" si="21"/>
        <v>2202.8900000000003</v>
      </c>
      <c r="AA271" s="34">
        <f t="shared" si="22"/>
        <v>1339.26</v>
      </c>
      <c r="AB271" s="28" t="s">
        <v>1815</v>
      </c>
      <c r="AC271" s="28" t="s">
        <v>1784</v>
      </c>
      <c r="AD271" s="29" t="str" cm="1">
        <f t="array" ref="AD271">_xlfn.IFS(L271&lt;=Constantes!$G$2,"Muito Curta (evitável)",L271&lt;=Constantes!$H$2,"Curta Distância",L271&gt;Constantes!$H$2,"Longa Distância")</f>
        <v>Longa Distância</v>
      </c>
      <c r="AE271" s="30" t="str">
        <f t="shared" si="23"/>
        <v>NÃO</v>
      </c>
      <c r="AF271" s="30">
        <f>SUMIF(Entradas!$B:$B,'Entrada Lvl 5-4 qt'!$B271,Entradas!$AG:$AG)</f>
        <v>717.39676463438343</v>
      </c>
      <c r="AG271" s="30"/>
      <c r="BD271" s="49"/>
      <c r="BE271" s="49"/>
    </row>
    <row r="272" spans="1:57" x14ac:dyDescent="0.3">
      <c r="A272">
        <f>_xlfn.XLOOKUP(B272,Entradas!B:B,Entradas!A:A,,0,-1)</f>
        <v>2</v>
      </c>
      <c r="B272">
        <v>19425415</v>
      </c>
      <c r="C272" t="str">
        <f>_xlfn.XLOOKUP($B272,Entradas!$B:$B,Entradas!C:C,,0,1)</f>
        <v>001524/23</v>
      </c>
      <c r="D272" t="str">
        <f>_xlfn.XLOOKUP($B272,Entradas!$B:$B,Entradas!D:D,,0,1)</f>
        <v>***.220.560-**</v>
      </c>
      <c r="E272" t="str">
        <f>_xlfn.XLOOKUP($B272,Entradas!$B:$B,Entradas!E:E,,0,1)</f>
        <v>JAMES BATISTA VIEIRA</v>
      </c>
      <c r="F272" t="str">
        <f>_xlfn.XLOOKUP($B272,Entradas!$B:$B,Entradas!F:F,,0,1)</f>
        <v>PROFESSOR DO MAGISTERIO SUPERIOR</v>
      </c>
      <c r="G272" t="str">
        <f>_xlfn.XLOOKUP($B272,Entradas!$B:$B,Entradas!G:G,,0,1)</f>
        <v>-1</v>
      </c>
      <c r="H272" t="str">
        <f>_xlfn.XLOOKUP($B272,Entradas!$B:$B,Entradas!H:H,,0,1)</f>
        <v>Sem informação</v>
      </c>
      <c r="I272" s="49">
        <f>_xlfn.XLOOKUP($B272,Entradas!$B:$B,Entradas!I:I,,0,1)</f>
        <v>45238</v>
      </c>
      <c r="J272" s="49">
        <f>_xlfn.XLOOKUP($B272,Entradas!$B:$B,Entradas!J:J,,0,1)</f>
        <v>45239</v>
      </c>
      <c r="K272" t="str">
        <f>_xlfn.XLOOKUP($B272,Entradas!$B:$B,Entradas!K:K,,0,1)</f>
        <v>Docente pede ajuda para participar, como convidado, da reunião dos Laboratório de Inovação, durante a Semana de Inovação 2023 da Enap, em Brasília/DF.</v>
      </c>
      <c r="L272">
        <f>SUMIF(Entradas!$B:$B,'Entrada Lvl 5-4 qt'!$B272,Entradas!S:S)</f>
        <v>3426.839982</v>
      </c>
      <c r="M272" t="str">
        <f>_xlfn.XLOOKUP($B272,Entradas!$B:$B,Entradas!T:T,,0,1)</f>
        <v>Aéreo</v>
      </c>
      <c r="N272" t="str">
        <f>_xlfn.XLOOKUP($B272,Entradas!$B:$B,Entradas!U:U,,0,1)</f>
        <v>Sim</v>
      </c>
      <c r="O272" t="str">
        <f>_xlfn.XLOOKUP($B272,Entradas!$B:$B,Entradas!V:V,,0,1)</f>
        <v>Realizada</v>
      </c>
      <c r="P272" t="str">
        <f>_xlfn.XLOOKUP($B272,Entradas!$B:$B,Entradas!W:W,,0,1)</f>
        <v>NÃO</v>
      </c>
      <c r="Q272" t="str">
        <f>_xlfn.XLOOKUP($B272,Entradas!$B:$B,Entradas!X:X,,0,1)</f>
        <v>Sem informação</v>
      </c>
      <c r="R272" s="36">
        <f>SUMIF(Entradas!$B:$B,'Entrada Lvl 5-4 qt'!$B272,Entradas!Y:Y)</f>
        <v>606.89</v>
      </c>
      <c r="S272" s="36">
        <f>SUMIF(Entradas!$B:$B,'Entrada Lvl 5-4 qt'!$B272,Entradas!Z:Z)</f>
        <v>0</v>
      </c>
      <c r="T272" s="36">
        <f>SUMIF(Entradas!$B:$B,'Entrada Lvl 5-4 qt'!$B272,Entradas!AA:AA)</f>
        <v>2614.4</v>
      </c>
      <c r="U272" s="36">
        <f>SUMIF(Entradas!$B:$B,'Entrada Lvl 5-4 qt'!$B272,Entradas!AB:AB)</f>
        <v>0</v>
      </c>
      <c r="V272" s="49">
        <f>_xlfn.XLOOKUP($B272,Entradas!$B:$B,Entradas!AC:AC,,0,1)</f>
        <v>45222</v>
      </c>
      <c r="W272" s="58">
        <f t="shared" si="24"/>
        <v>1</v>
      </c>
      <c r="X272" s="28" t="s">
        <v>10</v>
      </c>
      <c r="Y272" s="32">
        <f t="shared" si="20"/>
        <v>0</v>
      </c>
      <c r="Z272" s="33">
        <f t="shared" si="21"/>
        <v>2614.4</v>
      </c>
      <c r="AA272" s="34">
        <f t="shared" si="22"/>
        <v>606.89</v>
      </c>
      <c r="AB272" s="28" t="s">
        <v>1813</v>
      </c>
      <c r="AC272" s="28" t="s">
        <v>1820</v>
      </c>
      <c r="AD272" s="29" t="str" cm="1">
        <f t="array" ref="AD272">_xlfn.IFS(L272&lt;=Constantes!$G$2,"Muito Curta (evitável)",L272&lt;=Constantes!$H$2,"Curta Distância",L272&gt;Constantes!$H$2,"Longa Distância")</f>
        <v>Curta Distância</v>
      </c>
      <c r="AE272" s="30" t="str">
        <f t="shared" si="23"/>
        <v>NÃO</v>
      </c>
      <c r="AF272" s="30">
        <f>SUMIF(Entradas!$B:$B,'Entrada Lvl 5-4 qt'!$B272,Entradas!$AG:$AG)</f>
        <v>626.66401501165365</v>
      </c>
      <c r="AG272" s="30"/>
      <c r="BD272" s="49"/>
      <c r="BE272" s="49"/>
    </row>
    <row r="273" spans="1:57" x14ac:dyDescent="0.3">
      <c r="A273">
        <f>_xlfn.XLOOKUP(B273,Entradas!B:B,Entradas!A:A,,0,-1)</f>
        <v>2</v>
      </c>
      <c r="B273">
        <v>19448124</v>
      </c>
      <c r="C273" t="str">
        <f>_xlfn.XLOOKUP($B273,Entradas!$B:$B,Entradas!C:C,,0,1)</f>
        <v>001585/23</v>
      </c>
      <c r="D273" t="str">
        <f>_xlfn.XLOOKUP($B273,Entradas!$B:$B,Entradas!D:D,,0,1)</f>
        <v>***.930.828-**</v>
      </c>
      <c r="E273" t="str">
        <f>_xlfn.XLOOKUP($B273,Entradas!$B:$B,Entradas!E:E,,0,1)</f>
        <v>FERNANDA MATRIGANI MERCADO GUTIERRES DE QUEIROZ</v>
      </c>
      <c r="F273" t="str">
        <f>_xlfn.XLOOKUP($B273,Entradas!$B:$B,Entradas!F:F,,0,1)</f>
        <v>PROFESSOR DO MAGISTERIO SUPERIOR</v>
      </c>
      <c r="G273" t="str">
        <f>_xlfn.XLOOKUP($B273,Entradas!$B:$B,Entradas!G:G,,0,1)</f>
        <v>-1</v>
      </c>
      <c r="H273" t="str">
        <f>_xlfn.XLOOKUP($B273,Entradas!$B:$B,Entradas!H:H,,0,1)</f>
        <v>Sem informação</v>
      </c>
      <c r="I273" s="49">
        <f>_xlfn.XLOOKUP($B273,Entradas!$B:$B,Entradas!I:I,,0,1)</f>
        <v>45238</v>
      </c>
      <c r="J273" s="49">
        <f>_xlfn.XLOOKUP($B273,Entradas!$B:$B,Entradas!J:J,,0,1)</f>
        <v>45240</v>
      </c>
      <c r="K273" t="str">
        <f>_xlfn.XLOOKUP($B273,Entradas!$B:$B,Entradas!K:K,,0,1)</f>
        <v>Essa solicitação de diárias tem como propósito subsidiar no deslocamento de uma ação do curso de extensão intitulado: A FORMAÇÃO CONTINUADA DOS PROFESSORES PARAIBANOS PARA A ATUAÇÃO NUMA PERSPECTIVA INCLUSIVA: fundamentos teóricos e estratégias metodológicas, tendo em vista que o palestrante sairá de seu Estado com a finalidade de proferir palestra intitulada: Alternativas para a construção de uma escola inclusiva e acessível a todos os estudantes.</v>
      </c>
      <c r="L273">
        <f>SUMIF(Entradas!$B:$B,'Entrada Lvl 5-4 qt'!$B273,Entradas!S:S)</f>
        <v>1482.2388261999999</v>
      </c>
      <c r="M273" t="str">
        <f>_xlfn.XLOOKUP($B273,Entradas!$B:$B,Entradas!T:T,,0,1)</f>
        <v>Aéreo</v>
      </c>
      <c r="N273" t="str">
        <f>_xlfn.XLOOKUP($B273,Entradas!$B:$B,Entradas!U:U,,0,1)</f>
        <v>Não</v>
      </c>
      <c r="O273" t="str">
        <f>_xlfn.XLOOKUP($B273,Entradas!$B:$B,Entradas!V:V,,0,1)</f>
        <v>Realizada</v>
      </c>
      <c r="P273" t="str">
        <f>_xlfn.XLOOKUP($B273,Entradas!$B:$B,Entradas!W:W,,0,1)</f>
        <v>SIM</v>
      </c>
      <c r="Q273" t="str">
        <f>_xlfn.XLOOKUP($B273,Entradas!$B:$B,Entradas!X:X,,0,1)</f>
        <v>Conforme em anexo, o convite foi enviado no dia 17/10/2023 e consequentemente o aceite do proposto foi fora do prazo estipulado.</v>
      </c>
      <c r="R273" s="36">
        <f>SUMIF(Entradas!$B:$B,'Entrada Lvl 5-4 qt'!$B273,Entradas!Y:Y)</f>
        <v>857.82</v>
      </c>
      <c r="S273" s="36">
        <f>SUMIF(Entradas!$B:$B,'Entrada Lvl 5-4 qt'!$B273,Entradas!Z:Z)</f>
        <v>0</v>
      </c>
      <c r="T273" s="36">
        <f>SUMIF(Entradas!$B:$B,'Entrada Lvl 5-4 qt'!$B273,Entradas!AA:AA)</f>
        <v>1863.38</v>
      </c>
      <c r="U273" s="36">
        <f>SUMIF(Entradas!$B:$B,'Entrada Lvl 5-4 qt'!$B273,Entradas!AB:AB)</f>
        <v>0</v>
      </c>
      <c r="V273" s="49">
        <f>_xlfn.XLOOKUP($B273,Entradas!$B:$B,Entradas!AC:AC,,0,1)</f>
        <v>45226</v>
      </c>
      <c r="W273" s="58">
        <f t="shared" si="24"/>
        <v>2</v>
      </c>
      <c r="X273" s="28" t="s">
        <v>10</v>
      </c>
      <c r="Y273" s="32">
        <f t="shared" si="20"/>
        <v>0</v>
      </c>
      <c r="Z273" s="33">
        <f t="shared" si="21"/>
        <v>1863.38</v>
      </c>
      <c r="AA273" s="34">
        <f t="shared" si="22"/>
        <v>857.82</v>
      </c>
      <c r="AB273" s="28" t="s">
        <v>1814</v>
      </c>
      <c r="AC273" s="28" t="s">
        <v>1820</v>
      </c>
      <c r="AD273" s="29" t="str" cm="1">
        <f t="array" ref="AD273">_xlfn.IFS(L273&lt;=Constantes!$G$2,"Muito Curta (evitável)",L273&lt;=Constantes!$H$2,"Curta Distância",L273&gt;Constantes!$H$2,"Longa Distância")</f>
        <v>Curta Distância</v>
      </c>
      <c r="AE273" s="30" t="str">
        <f t="shared" si="23"/>
        <v>NÃO</v>
      </c>
      <c r="AF273" s="30">
        <f>SUMIF(Entradas!$B:$B,'Entrada Lvl 5-4 qt'!$B273,Entradas!$AG:$AG)</f>
        <v>271.05605715809952</v>
      </c>
      <c r="AG273" s="30"/>
      <c r="BD273" s="49"/>
      <c r="BE273" s="49"/>
    </row>
    <row r="274" spans="1:57" x14ac:dyDescent="0.3">
      <c r="A274">
        <f>_xlfn.XLOOKUP(B274,Entradas!B:B,Entradas!A:A,,0,-1)</f>
        <v>2</v>
      </c>
      <c r="B274">
        <v>19245152</v>
      </c>
      <c r="C274" t="str">
        <f>_xlfn.XLOOKUP($B274,Entradas!$B:$B,Entradas!C:C,,0,1)</f>
        <v>000987/23</v>
      </c>
      <c r="D274" t="str">
        <f>_xlfn.XLOOKUP($B274,Entradas!$B:$B,Entradas!D:D,,0,1)</f>
        <v>***.025.844-**</v>
      </c>
      <c r="E274" t="str">
        <f>_xlfn.XLOOKUP($B274,Entradas!$B:$B,Entradas!E:E,,0,1)</f>
        <v>MARIA DE LOURDES DE FARIAS PONTES</v>
      </c>
      <c r="F274" t="str">
        <f>_xlfn.XLOOKUP($B274,Entradas!$B:$B,Entradas!F:F,,0,1)</f>
        <v>PROFESSOR DO MAGISTERIO SUPERIOR</v>
      </c>
      <c r="G274" t="str">
        <f>_xlfn.XLOOKUP($B274,Entradas!$B:$B,Entradas!G:G,,0,1)</f>
        <v>-1</v>
      </c>
      <c r="H274" t="str">
        <f>_xlfn.XLOOKUP($B274,Entradas!$B:$B,Entradas!H:H,,0,1)</f>
        <v>Sem informação</v>
      </c>
      <c r="I274" s="49">
        <f>_xlfn.XLOOKUP($B274,Entradas!$B:$B,Entradas!I:I,,0,1)</f>
        <v>45240</v>
      </c>
      <c r="J274" s="49">
        <f>_xlfn.XLOOKUP($B274,Entradas!$B:$B,Entradas!J:J,,0,1)</f>
        <v>45245</v>
      </c>
      <c r="K274" t="str">
        <f>_xlfn.XLOOKUP($B274,Entradas!$B:$B,Entradas!K:K,,0,1)</f>
        <v>Participação na Reunião de coordenadores de Programas de Pós-Graduação da Área de Enfermagem no CBEn (no dia 11/11) e do 74º Congresso Brasileiro de Enfermagem (74º CBEn), que inicia no dia 12/11</v>
      </c>
      <c r="L274">
        <f>SUMIF(Entradas!$B:$B,'Entrada Lvl 5-4 qt'!$B274,Entradas!S:S)</f>
        <v>3923.0015720000001</v>
      </c>
      <c r="M274" t="str">
        <f>_xlfn.XLOOKUP($B274,Entradas!$B:$B,Entradas!T:T,,0,1)</f>
        <v>Aéreo</v>
      </c>
      <c r="N274" t="str">
        <f>_xlfn.XLOOKUP($B274,Entradas!$B:$B,Entradas!U:U,,0,1)</f>
        <v>Não</v>
      </c>
      <c r="O274" t="str">
        <f>_xlfn.XLOOKUP($B274,Entradas!$B:$B,Entradas!V:V,,0,1)</f>
        <v>Realizada</v>
      </c>
      <c r="P274" t="str">
        <f>_xlfn.XLOOKUP($B274,Entradas!$B:$B,Entradas!W:W,,0,1)</f>
        <v>NÃO</v>
      </c>
      <c r="Q274" t="str">
        <f>_xlfn.XLOOKUP($B274,Entradas!$B:$B,Entradas!X:X,,0,1)</f>
        <v>Sem informação</v>
      </c>
      <c r="R274" s="36">
        <f>SUMIF(Entradas!$B:$B,'Entrada Lvl 5-4 qt'!$B274,Entradas!Y:Y)</f>
        <v>2101.54</v>
      </c>
      <c r="S274" s="36">
        <f>SUMIF(Entradas!$B:$B,'Entrada Lvl 5-4 qt'!$B274,Entradas!Z:Z)</f>
        <v>0</v>
      </c>
      <c r="T274" s="36">
        <f>SUMIF(Entradas!$B:$B,'Entrada Lvl 5-4 qt'!$B274,Entradas!AA:AA)</f>
        <v>1636.69</v>
      </c>
      <c r="U274" s="36">
        <f>SUMIF(Entradas!$B:$B,'Entrada Lvl 5-4 qt'!$B274,Entradas!AB:AB)</f>
        <v>0</v>
      </c>
      <c r="V274" s="49">
        <f>_xlfn.XLOOKUP($B274,Entradas!$B:$B,Entradas!AC:AC,,0,1)</f>
        <v>45174</v>
      </c>
      <c r="W274" s="58">
        <f t="shared" si="24"/>
        <v>5</v>
      </c>
      <c r="X274" s="28" t="s">
        <v>10</v>
      </c>
      <c r="Y274" s="32">
        <f t="shared" si="20"/>
        <v>0</v>
      </c>
      <c r="Z274" s="33">
        <f t="shared" si="21"/>
        <v>1636.69</v>
      </c>
      <c r="AA274" s="34">
        <f t="shared" si="22"/>
        <v>2101.54</v>
      </c>
      <c r="AB274" s="28" t="s">
        <v>1815</v>
      </c>
      <c r="AC274" s="28" t="s">
        <v>1784</v>
      </c>
      <c r="AD274" s="29" t="str" cm="1">
        <f t="array" ref="AD274">_xlfn.IFS(L274&lt;=Constantes!$G$2,"Muito Curta (evitável)",L274&lt;=Constantes!$H$2,"Curta Distância",L274&gt;Constantes!$H$2,"Longa Distância")</f>
        <v>Longa Distância</v>
      </c>
      <c r="AE274" s="30" t="str">
        <f t="shared" si="23"/>
        <v>NÃO</v>
      </c>
      <c r="AF274" s="30">
        <f>SUMIF(Entradas!$B:$B,'Entrada Lvl 5-4 qt'!$B274,Entradas!$AG:$AG)</f>
        <v>717.39676463438343</v>
      </c>
      <c r="AG274" s="30"/>
      <c r="BD274" s="49"/>
      <c r="BE274" s="49"/>
    </row>
    <row r="275" spans="1:57" x14ac:dyDescent="0.3">
      <c r="A275">
        <f>_xlfn.XLOOKUP(B275,Entradas!B:B,Entradas!A:A,,0,-1)</f>
        <v>2</v>
      </c>
      <c r="B275">
        <v>19246181</v>
      </c>
      <c r="C275" t="str">
        <f>_xlfn.XLOOKUP($B275,Entradas!$B:$B,Entradas!C:C,,0,1)</f>
        <v>000988/23</v>
      </c>
      <c r="D275" t="str">
        <f>_xlfn.XLOOKUP($B275,Entradas!$B:$B,Entradas!D:D,,0,1)</f>
        <v>***.779.593-**</v>
      </c>
      <c r="E275" t="str">
        <f>_xlfn.XLOOKUP($B275,Entradas!$B:$B,Entradas!E:E,,0,1)</f>
        <v>JACIRA DOS SANTOS OLIVEIRA</v>
      </c>
      <c r="F275" t="str">
        <f>_xlfn.XLOOKUP($B275,Entradas!$B:$B,Entradas!F:F,,0,1)</f>
        <v>PROFESSOR DO MAGISTERIO SUPERIOR</v>
      </c>
      <c r="G275" t="str">
        <f>_xlfn.XLOOKUP($B275,Entradas!$B:$B,Entradas!G:G,,0,1)</f>
        <v>FUC-0001</v>
      </c>
      <c r="H275" t="str">
        <f>_xlfn.XLOOKUP($B275,Entradas!$B:$B,Entradas!H:H,,0,1)</f>
        <v>FUC-0001</v>
      </c>
      <c r="I275" s="49">
        <f>_xlfn.XLOOKUP($B275,Entradas!$B:$B,Entradas!I:I,,0,1)</f>
        <v>45240</v>
      </c>
      <c r="J275" s="49">
        <f>_xlfn.XLOOKUP($B275,Entradas!$B:$B,Entradas!J:J,,0,1)</f>
        <v>45245</v>
      </c>
      <c r="K275" t="str">
        <f>_xlfn.XLOOKUP($B275,Entradas!$B:$B,Entradas!K:K,,0,1)</f>
        <v>Participação enquanto coordenadora da Reunião de coordenadores de Programas de Pós-Graduação da Área de Enfermagem no CBEn (no dia 11/11) e do 74º Congresso Brasileiro de Enfermagem (74º CBEn), que inicia no dia 12/11</v>
      </c>
      <c r="L275">
        <f>SUMIF(Entradas!$B:$B,'Entrada Lvl 5-4 qt'!$B275,Entradas!S:S)</f>
        <v>3923.0015720000001</v>
      </c>
      <c r="M275" t="str">
        <f>_xlfn.XLOOKUP($B275,Entradas!$B:$B,Entradas!T:T,,0,1)</f>
        <v>Aéreo</v>
      </c>
      <c r="N275" t="str">
        <f>_xlfn.XLOOKUP($B275,Entradas!$B:$B,Entradas!U:U,,0,1)</f>
        <v>Sim</v>
      </c>
      <c r="O275" t="str">
        <f>_xlfn.XLOOKUP($B275,Entradas!$B:$B,Entradas!V:V,,0,1)</f>
        <v>Realizada</v>
      </c>
      <c r="P275" t="str">
        <f>_xlfn.XLOOKUP($B275,Entradas!$B:$B,Entradas!W:W,,0,1)</f>
        <v>NÃO</v>
      </c>
      <c r="Q275" t="str">
        <f>_xlfn.XLOOKUP($B275,Entradas!$B:$B,Entradas!X:X,,0,1)</f>
        <v>Sem informação</v>
      </c>
      <c r="R275" s="36">
        <f>SUMIF(Entradas!$B:$B,'Entrada Lvl 5-4 qt'!$B275,Entradas!Y:Y)</f>
        <v>2101.54</v>
      </c>
      <c r="S275" s="36">
        <f>SUMIF(Entradas!$B:$B,'Entrada Lvl 5-4 qt'!$B275,Entradas!Z:Z)</f>
        <v>0</v>
      </c>
      <c r="T275" s="36">
        <f>SUMIF(Entradas!$B:$B,'Entrada Lvl 5-4 qt'!$B275,Entradas!AA:AA)</f>
        <v>1636.69</v>
      </c>
      <c r="U275" s="36">
        <f>SUMIF(Entradas!$B:$B,'Entrada Lvl 5-4 qt'!$B275,Entradas!AB:AB)</f>
        <v>0</v>
      </c>
      <c r="V275" s="49">
        <f>_xlfn.XLOOKUP($B275,Entradas!$B:$B,Entradas!AC:AC,,0,1)</f>
        <v>45174</v>
      </c>
      <c r="W275" s="58">
        <f t="shared" si="24"/>
        <v>5</v>
      </c>
      <c r="X275" s="28" t="s">
        <v>10</v>
      </c>
      <c r="Y275" s="32">
        <f t="shared" si="20"/>
        <v>0</v>
      </c>
      <c r="Z275" s="33">
        <f t="shared" si="21"/>
        <v>1636.69</v>
      </c>
      <c r="AA275" s="34">
        <f t="shared" si="22"/>
        <v>2101.54</v>
      </c>
      <c r="AB275" s="28" t="s">
        <v>1815</v>
      </c>
      <c r="AC275" s="28" t="s">
        <v>1784</v>
      </c>
      <c r="AD275" s="29" t="str" cm="1">
        <f t="array" ref="AD275">_xlfn.IFS(L275&lt;=Constantes!$G$2,"Muito Curta (evitável)",L275&lt;=Constantes!$H$2,"Curta Distância",L275&gt;Constantes!$H$2,"Longa Distância")</f>
        <v>Longa Distância</v>
      </c>
      <c r="AE275" s="30" t="str">
        <f t="shared" si="23"/>
        <v>NÃO</v>
      </c>
      <c r="AF275" s="30">
        <f>SUMIF(Entradas!$B:$B,'Entrada Lvl 5-4 qt'!$B275,Entradas!$AG:$AG)</f>
        <v>717.39676463438343</v>
      </c>
      <c r="AG275" s="30"/>
      <c r="BD275" s="49"/>
      <c r="BE275" s="49"/>
    </row>
    <row r="276" spans="1:57" x14ac:dyDescent="0.3">
      <c r="A276">
        <f>_xlfn.XLOOKUP(B276,Entradas!B:B,Entradas!A:A,,0,-1)</f>
        <v>2</v>
      </c>
      <c r="B276">
        <v>19378040</v>
      </c>
      <c r="C276" t="str">
        <f>_xlfn.XLOOKUP($B276,Entradas!$B:$B,Entradas!C:C,,0,1)</f>
        <v>001379/23</v>
      </c>
      <c r="D276" t="str">
        <f>_xlfn.XLOOKUP($B276,Entradas!$B:$B,Entradas!D:D,,0,1)</f>
        <v>***.515.653-**</v>
      </c>
      <c r="E276" t="str">
        <f>_xlfn.XLOOKUP($B276,Entradas!$B:$B,Entradas!E:E,,0,1)</f>
        <v>RONDINELLE MARCOLINO BATISTA</v>
      </c>
      <c r="F276" t="str">
        <f>_xlfn.XLOOKUP($B276,Entradas!$B:$B,Entradas!F:F,,0,1)</f>
        <v>PROFESSOR DO MAGISTERIO SUPERIOR</v>
      </c>
      <c r="G276" t="str">
        <f>_xlfn.XLOOKUP($B276,Entradas!$B:$B,Entradas!G:G,,0,1)</f>
        <v>FUC-0001</v>
      </c>
      <c r="H276" t="str">
        <f>_xlfn.XLOOKUP($B276,Entradas!$B:$B,Entradas!H:H,,0,1)</f>
        <v>FUC-0001</v>
      </c>
      <c r="I276" s="49">
        <f>_xlfn.XLOOKUP($B276,Entradas!$B:$B,Entradas!I:I,,0,1)</f>
        <v>45240</v>
      </c>
      <c r="J276" s="49">
        <f>_xlfn.XLOOKUP($B276,Entradas!$B:$B,Entradas!J:J,,0,1)</f>
        <v>45255</v>
      </c>
      <c r="K276" t="str">
        <f>_xlfn.XLOOKUP($B276,Entradas!$B:$B,Entradas!K:K,,0,1)</f>
        <v>O docente dará continuidade a um projeto de pesquisa na área de Análise Geométrica a convite do prof. Manassés Xavier durante o período de 10 a 25 de novembro de 2023. Ele também participará dos Seminários do Programa de Pós Graduação de Matemática proferindo uma palestra intitulada 'Rigidity of free boundary minimal disk in meam convex three-manifolds'.</v>
      </c>
      <c r="L276">
        <f>SUMIF(Entradas!$B:$B,'Entrada Lvl 5-4 qt'!$B276,Entradas!S:S)</f>
        <v>1802.4813251999999</v>
      </c>
      <c r="M276" t="str">
        <f>_xlfn.XLOOKUP($B276,Entradas!$B:$B,Entradas!T:T,,0,1)</f>
        <v>Aéreo</v>
      </c>
      <c r="N276" t="str">
        <f>_xlfn.XLOOKUP($B276,Entradas!$B:$B,Entradas!U:U,,0,1)</f>
        <v>Não</v>
      </c>
      <c r="O276" t="str">
        <f>_xlfn.XLOOKUP($B276,Entradas!$B:$B,Entradas!V:V,,0,1)</f>
        <v>Realizada</v>
      </c>
      <c r="P276" t="str">
        <f>_xlfn.XLOOKUP($B276,Entradas!$B:$B,Entradas!W:W,,0,1)</f>
        <v>NÃO</v>
      </c>
      <c r="Q276" t="str">
        <f>_xlfn.XLOOKUP($B276,Entradas!$B:$B,Entradas!X:X,,0,1)</f>
        <v>Sem informação</v>
      </c>
      <c r="R276" s="36">
        <f>SUMIF(Entradas!$B:$B,'Entrada Lvl 5-4 qt'!$B276,Entradas!Y:Y)</f>
        <v>5056.3100000000004</v>
      </c>
      <c r="S276" s="36">
        <f>SUMIF(Entradas!$B:$B,'Entrada Lvl 5-4 qt'!$B276,Entradas!Z:Z)</f>
        <v>0</v>
      </c>
      <c r="T276" s="36">
        <f>SUMIF(Entradas!$B:$B,'Entrada Lvl 5-4 qt'!$B276,Entradas!AA:AA)</f>
        <v>2762.83</v>
      </c>
      <c r="U276" s="36">
        <f>SUMIF(Entradas!$B:$B,'Entrada Lvl 5-4 qt'!$B276,Entradas!AB:AB)</f>
        <v>0</v>
      </c>
      <c r="V276" s="49">
        <f>_xlfn.XLOOKUP($B276,Entradas!$B:$B,Entradas!AC:AC,,0,1)</f>
        <v>45209</v>
      </c>
      <c r="W276" s="58">
        <f t="shared" si="24"/>
        <v>15</v>
      </c>
      <c r="X276" s="28" t="s">
        <v>10</v>
      </c>
      <c r="Y276" s="32">
        <f t="shared" si="20"/>
        <v>0</v>
      </c>
      <c r="Z276" s="33">
        <f t="shared" si="21"/>
        <v>2762.83</v>
      </c>
      <c r="AA276" s="34">
        <f t="shared" si="22"/>
        <v>5056.3100000000004</v>
      </c>
      <c r="AB276" s="28" t="s">
        <v>1818</v>
      </c>
      <c r="AC276" s="28" t="s">
        <v>1820</v>
      </c>
      <c r="AD276" s="29" t="str" cm="1">
        <f t="array" ref="AD276">_xlfn.IFS(L276&lt;=Constantes!$G$2,"Muito Curta (evitável)",L276&lt;=Constantes!$H$2,"Curta Distância",L276&gt;Constantes!$H$2,"Longa Distância")</f>
        <v>Curta Distância</v>
      </c>
      <c r="AE276" s="30" t="str">
        <f t="shared" si="23"/>
        <v>NÃO</v>
      </c>
      <c r="AF276" s="30">
        <f>SUMIF(Entradas!$B:$B,'Entrada Lvl 5-4 qt'!$B276,Entradas!$AG:$AG)</f>
        <v>329.61859618963615</v>
      </c>
      <c r="AG276" s="30"/>
      <c r="BD276" s="49"/>
      <c r="BE276" s="49"/>
    </row>
    <row r="277" spans="1:57" x14ac:dyDescent="0.3">
      <c r="A277">
        <f>_xlfn.XLOOKUP(B277,Entradas!B:B,Entradas!A:A,,0,-1)</f>
        <v>2</v>
      </c>
      <c r="B277">
        <v>19429538</v>
      </c>
      <c r="C277" t="str">
        <f>_xlfn.XLOOKUP($B277,Entradas!$B:$B,Entradas!C:C,,0,1)</f>
        <v>001564/23</v>
      </c>
      <c r="D277" t="str">
        <f>_xlfn.XLOOKUP($B277,Entradas!$B:$B,Entradas!D:D,,0,1)</f>
        <v/>
      </c>
      <c r="E277" t="str">
        <f>_xlfn.XLOOKUP($B277,Entradas!$B:$B,Entradas!E:E,,0,1)</f>
        <v>LUIZ PAULO FELINTO PEREIRA</v>
      </c>
      <c r="F277" t="str">
        <f>_xlfn.XLOOKUP($B277,Entradas!$B:$B,Entradas!F:F,,0,1)</f>
        <v/>
      </c>
      <c r="G277" t="str">
        <f>_xlfn.XLOOKUP($B277,Entradas!$B:$B,Entradas!G:G,,0,1)</f>
        <v>-1</v>
      </c>
      <c r="H277" t="str">
        <f>_xlfn.XLOOKUP($B277,Entradas!$B:$B,Entradas!H:H,,0,1)</f>
        <v>Sem informação</v>
      </c>
      <c r="I277" s="49">
        <f>_xlfn.XLOOKUP($B277,Entradas!$B:$B,Entradas!I:I,,0,1)</f>
        <v>45240</v>
      </c>
      <c r="J277" s="49">
        <f>_xlfn.XLOOKUP($B277,Entradas!$B:$B,Entradas!J:J,,0,1)</f>
        <v>45246</v>
      </c>
      <c r="K277" t="str">
        <f>_xlfn.XLOOKUP($B277,Entradas!$B:$B,Entradas!K:K,,0,1)</f>
        <v>PROPOSTO IRÁ PARTICIPAR DE CONGRESSO DE ARTE EDUCAÇÃO CONFAEB 2023 APRESENTANDO TRABALHOS DE PESQUISA REFERENTE AO SEU CURSO DE GRADUAÇÃO NA UFPB.</v>
      </c>
      <c r="L277">
        <f>SUMIF(Entradas!$B:$B,'Entrada Lvl 5-4 qt'!$B277,Entradas!S:S)</f>
        <v>2294.693906</v>
      </c>
      <c r="M277" t="str">
        <f>_xlfn.XLOOKUP($B277,Entradas!$B:$B,Entradas!T:T,,0,1)</f>
        <v>Aéreo</v>
      </c>
      <c r="N277" t="str">
        <f>_xlfn.XLOOKUP($B277,Entradas!$B:$B,Entradas!U:U,,0,1)</f>
        <v>Não</v>
      </c>
      <c r="O277" t="str">
        <f>_xlfn.XLOOKUP($B277,Entradas!$B:$B,Entradas!V:V,,0,1)</f>
        <v>Realizada</v>
      </c>
      <c r="P277" t="str">
        <f>_xlfn.XLOOKUP($B277,Entradas!$B:$B,Entradas!W:W,,0,1)</f>
        <v>NÃO</v>
      </c>
      <c r="Q277" t="str">
        <f>_xlfn.XLOOKUP($B277,Entradas!$B:$B,Entradas!X:X,,0,1)</f>
        <v>Sem informação</v>
      </c>
      <c r="R277" s="36">
        <f>SUMIF(Entradas!$B:$B,'Entrada Lvl 5-4 qt'!$B277,Entradas!Y:Y)</f>
        <v>0</v>
      </c>
      <c r="S277" s="36">
        <f>SUMIF(Entradas!$B:$B,'Entrada Lvl 5-4 qt'!$B277,Entradas!Z:Z)</f>
        <v>0</v>
      </c>
      <c r="T277" s="36">
        <f>SUMIF(Entradas!$B:$B,'Entrada Lvl 5-4 qt'!$B277,Entradas!AA:AA)</f>
        <v>2500.88</v>
      </c>
      <c r="U277" s="36">
        <f>SUMIF(Entradas!$B:$B,'Entrada Lvl 5-4 qt'!$B277,Entradas!AB:AB)</f>
        <v>0</v>
      </c>
      <c r="V277" s="49">
        <f>_xlfn.XLOOKUP($B277,Entradas!$B:$B,Entradas!AC:AC,,0,1)</f>
        <v>45223</v>
      </c>
      <c r="W277" s="58">
        <f t="shared" si="24"/>
        <v>6</v>
      </c>
      <c r="X277" s="28" t="s">
        <v>10</v>
      </c>
      <c r="Y277" s="32">
        <f t="shared" si="20"/>
        <v>0</v>
      </c>
      <c r="Z277" s="33">
        <f t="shared" si="21"/>
        <v>2500.88</v>
      </c>
      <c r="AA277" s="34">
        <f t="shared" si="22"/>
        <v>0</v>
      </c>
      <c r="AB277" s="28" t="s">
        <v>1814</v>
      </c>
      <c r="AC277" s="28" t="s">
        <v>1822</v>
      </c>
      <c r="AD277" s="29" t="str" cm="1">
        <f t="array" ref="AD277">_xlfn.IFS(L277&lt;=Constantes!$G$2,"Muito Curta (evitável)",L277&lt;=Constantes!$H$2,"Curta Distância",L277&gt;Constantes!$H$2,"Longa Distância")</f>
        <v>Curta Distância</v>
      </c>
      <c r="AE277" s="30" t="str">
        <f t="shared" si="23"/>
        <v>NÃO</v>
      </c>
      <c r="AF277" s="30">
        <f>SUMIF(Entradas!$B:$B,'Entrada Lvl 5-4 qt'!$B277,Entradas!$AG:$AG)</f>
        <v>419.62919304959075</v>
      </c>
      <c r="AG277" s="30"/>
      <c r="BD277" s="49"/>
      <c r="BE277" s="49"/>
    </row>
    <row r="278" spans="1:57" x14ac:dyDescent="0.3">
      <c r="A278">
        <f>_xlfn.XLOOKUP(B278,Entradas!B:B,Entradas!A:A,,0,-1)</f>
        <v>2</v>
      </c>
      <c r="B278">
        <v>19429698</v>
      </c>
      <c r="C278" t="str">
        <f>_xlfn.XLOOKUP($B278,Entradas!$B:$B,Entradas!C:C,,0,1)</f>
        <v>001565/23</v>
      </c>
      <c r="D278" t="str">
        <f>_xlfn.XLOOKUP($B278,Entradas!$B:$B,Entradas!D:D,,0,1)</f>
        <v/>
      </c>
      <c r="E278" t="str">
        <f>_xlfn.XLOOKUP($B278,Entradas!$B:$B,Entradas!E:E,,0,1)</f>
        <v>THIAGO DE FONTES RODRIGUES</v>
      </c>
      <c r="F278" t="str">
        <f>_xlfn.XLOOKUP($B278,Entradas!$B:$B,Entradas!F:F,,0,1)</f>
        <v/>
      </c>
      <c r="G278" t="str">
        <f>_xlfn.XLOOKUP($B278,Entradas!$B:$B,Entradas!G:G,,0,1)</f>
        <v>-1</v>
      </c>
      <c r="H278" t="str">
        <f>_xlfn.XLOOKUP($B278,Entradas!$B:$B,Entradas!H:H,,0,1)</f>
        <v>Sem informação</v>
      </c>
      <c r="I278" s="49">
        <f>_xlfn.XLOOKUP($B278,Entradas!$B:$B,Entradas!I:I,,0,1)</f>
        <v>45240</v>
      </c>
      <c r="J278" s="49">
        <f>_xlfn.XLOOKUP($B278,Entradas!$B:$B,Entradas!J:J,,0,1)</f>
        <v>45246</v>
      </c>
      <c r="K278" t="str">
        <f>_xlfn.XLOOKUP($B278,Entradas!$B:$B,Entradas!K:K,,0,1)</f>
        <v>PROPOSTO IRÁ PARTICIPAR DO CONGRESSO DE ARTE EDUCAÇÃO - CONFAEB 2023, APRESENTANDO TRABALHOS DE PESQUISA REFERENTE AO SEU CURSO DE GRADUAÇÃO NA UFPB.</v>
      </c>
      <c r="L278">
        <f>SUMIF(Entradas!$B:$B,'Entrada Lvl 5-4 qt'!$B278,Entradas!S:S)</f>
        <v>2294.693906</v>
      </c>
      <c r="M278" t="str">
        <f>_xlfn.XLOOKUP($B278,Entradas!$B:$B,Entradas!T:T,,0,1)</f>
        <v>Aéreo</v>
      </c>
      <c r="N278" t="str">
        <f>_xlfn.XLOOKUP($B278,Entradas!$B:$B,Entradas!U:U,,0,1)</f>
        <v>Não</v>
      </c>
      <c r="O278" t="str">
        <f>_xlfn.XLOOKUP($B278,Entradas!$B:$B,Entradas!V:V,,0,1)</f>
        <v>Realizada</v>
      </c>
      <c r="P278" t="str">
        <f>_xlfn.XLOOKUP($B278,Entradas!$B:$B,Entradas!W:W,,0,1)</f>
        <v>NÃO</v>
      </c>
      <c r="Q278" t="str">
        <f>_xlfn.XLOOKUP($B278,Entradas!$B:$B,Entradas!X:X,,0,1)</f>
        <v>Sem informação</v>
      </c>
      <c r="R278" s="36">
        <f>SUMIF(Entradas!$B:$B,'Entrada Lvl 5-4 qt'!$B278,Entradas!Y:Y)</f>
        <v>0</v>
      </c>
      <c r="S278" s="36">
        <f>SUMIF(Entradas!$B:$B,'Entrada Lvl 5-4 qt'!$B278,Entradas!Z:Z)</f>
        <v>0</v>
      </c>
      <c r="T278" s="36">
        <f>SUMIF(Entradas!$B:$B,'Entrada Lvl 5-4 qt'!$B278,Entradas!AA:AA)</f>
        <v>2500.88</v>
      </c>
      <c r="U278" s="36">
        <f>SUMIF(Entradas!$B:$B,'Entrada Lvl 5-4 qt'!$B278,Entradas!AB:AB)</f>
        <v>0</v>
      </c>
      <c r="V278" s="49">
        <f>_xlfn.XLOOKUP($B278,Entradas!$B:$B,Entradas!AC:AC,,0,1)</f>
        <v>45223</v>
      </c>
      <c r="W278" s="58">
        <f t="shared" si="24"/>
        <v>6</v>
      </c>
      <c r="X278" s="28" t="s">
        <v>10</v>
      </c>
      <c r="Y278" s="32">
        <f t="shared" si="20"/>
        <v>0</v>
      </c>
      <c r="Z278" s="33">
        <f t="shared" si="21"/>
        <v>2500.88</v>
      </c>
      <c r="AA278" s="34">
        <f t="shared" si="22"/>
        <v>0</v>
      </c>
      <c r="AB278" s="28" t="s">
        <v>1814</v>
      </c>
      <c r="AC278" s="28" t="s">
        <v>1822</v>
      </c>
      <c r="AD278" s="29" t="str" cm="1">
        <f t="array" ref="AD278">_xlfn.IFS(L278&lt;=Constantes!$G$2,"Muito Curta (evitável)",L278&lt;=Constantes!$H$2,"Curta Distância",L278&gt;Constantes!$H$2,"Longa Distância")</f>
        <v>Curta Distância</v>
      </c>
      <c r="AE278" s="30" t="str">
        <f t="shared" si="23"/>
        <v>NÃO</v>
      </c>
      <c r="AF278" s="30">
        <f>SUMIF(Entradas!$B:$B,'Entrada Lvl 5-4 qt'!$B278,Entradas!$AG:$AG)</f>
        <v>419.62919304959075</v>
      </c>
      <c r="AG278" s="30"/>
      <c r="BD278" s="49"/>
      <c r="BE278" s="49"/>
    </row>
    <row r="279" spans="1:57" x14ac:dyDescent="0.3">
      <c r="A279">
        <f>_xlfn.XLOOKUP(B279,Entradas!B:B,Entradas!A:A,,0,-1)</f>
        <v>2</v>
      </c>
      <c r="B279">
        <v>19162088</v>
      </c>
      <c r="C279" t="str">
        <f>_xlfn.XLOOKUP($B279,Entradas!$B:$B,Entradas!C:C,,0,1)</f>
        <v>000860/23</v>
      </c>
      <c r="D279" t="str">
        <f>_xlfn.XLOOKUP($B279,Entradas!$B:$B,Entradas!D:D,,0,1)</f>
        <v/>
      </c>
      <c r="E279" t="str">
        <f>_xlfn.XLOOKUP($B279,Entradas!$B:$B,Entradas!E:E,,0,1)</f>
        <v>SERGIO VITAL DA SILVA JUNIOR</v>
      </c>
      <c r="F279" t="str">
        <f>_xlfn.XLOOKUP($B279,Entradas!$B:$B,Entradas!F:F,,0,1)</f>
        <v/>
      </c>
      <c r="G279" t="str">
        <f>_xlfn.XLOOKUP($B279,Entradas!$B:$B,Entradas!G:G,,0,1)</f>
        <v>-1</v>
      </c>
      <c r="H279" t="str">
        <f>_xlfn.XLOOKUP($B279,Entradas!$B:$B,Entradas!H:H,,0,1)</f>
        <v>Sem informação</v>
      </c>
      <c r="I279" s="49">
        <f>_xlfn.XLOOKUP($B279,Entradas!$B:$B,Entradas!I:I,,0,1)</f>
        <v>45241</v>
      </c>
      <c r="J279" s="49">
        <f>_xlfn.XLOOKUP($B279,Entradas!$B:$B,Entradas!J:J,,0,1)</f>
        <v>45246</v>
      </c>
      <c r="K279" t="str">
        <f>_xlfn.XLOOKUP($B279,Entradas!$B:$B,Entradas!K:K,,0,1)</f>
        <v>Participação no evento nacional mais importante da área de enfermagem: 74º Congresso Brasileiro de Enfermagem e apresentação de trabalho científico oriundo de pesquisa de doutorado.</v>
      </c>
      <c r="L279">
        <f>SUMIF(Entradas!$B:$B,'Entrada Lvl 5-4 qt'!$B279,Entradas!S:S)</f>
        <v>3923.0015720000001</v>
      </c>
      <c r="M279" t="str">
        <f>_xlfn.XLOOKUP($B279,Entradas!$B:$B,Entradas!T:T,,0,1)</f>
        <v>Aéreo</v>
      </c>
      <c r="N279" t="str">
        <f>_xlfn.XLOOKUP($B279,Entradas!$B:$B,Entradas!U:U,,0,1)</f>
        <v>Sim</v>
      </c>
      <c r="O279" t="str">
        <f>_xlfn.XLOOKUP($B279,Entradas!$B:$B,Entradas!V:V,,0,1)</f>
        <v>Realizada</v>
      </c>
      <c r="P279" t="str">
        <f>_xlfn.XLOOKUP($B279,Entradas!$B:$B,Entradas!W:W,,0,1)</f>
        <v>NÃO</v>
      </c>
      <c r="Q279" t="str">
        <f>_xlfn.XLOOKUP($B279,Entradas!$B:$B,Entradas!X:X,,0,1)</f>
        <v>Sem informação</v>
      </c>
      <c r="R279" s="36">
        <f>SUMIF(Entradas!$B:$B,'Entrada Lvl 5-4 qt'!$B279,Entradas!Y:Y)</f>
        <v>0</v>
      </c>
      <c r="S279" s="36">
        <f>SUMIF(Entradas!$B:$B,'Entrada Lvl 5-4 qt'!$B279,Entradas!Z:Z)</f>
        <v>0</v>
      </c>
      <c r="T279" s="36">
        <f>SUMIF(Entradas!$B:$B,'Entrada Lvl 5-4 qt'!$B279,Entradas!AA:AA)</f>
        <v>1533.3899999999999</v>
      </c>
      <c r="U279" s="36">
        <f>SUMIF(Entradas!$B:$B,'Entrada Lvl 5-4 qt'!$B279,Entradas!AB:AB)</f>
        <v>0</v>
      </c>
      <c r="V279" s="49">
        <f>_xlfn.XLOOKUP($B279,Entradas!$B:$B,Entradas!AC:AC,,0,1)</f>
        <v>45156</v>
      </c>
      <c r="W279" s="58">
        <f t="shared" si="24"/>
        <v>5</v>
      </c>
      <c r="X279" s="28" t="s">
        <v>10</v>
      </c>
      <c r="Y279" s="32">
        <f t="shared" si="20"/>
        <v>0</v>
      </c>
      <c r="Z279" s="33">
        <f t="shared" si="21"/>
        <v>1533.3899999999999</v>
      </c>
      <c r="AA279" s="34">
        <f t="shared" si="22"/>
        <v>0</v>
      </c>
      <c r="AB279" s="28" t="s">
        <v>1814</v>
      </c>
      <c r="AC279" s="28" t="s">
        <v>1822</v>
      </c>
      <c r="AD279" s="29" t="str" cm="1">
        <f t="array" ref="AD279">_xlfn.IFS(L279&lt;=Constantes!$G$2,"Muito Curta (evitável)",L279&lt;=Constantes!$H$2,"Curta Distância",L279&gt;Constantes!$H$2,"Longa Distância")</f>
        <v>Longa Distância</v>
      </c>
      <c r="AE279" s="30" t="str">
        <f t="shared" si="23"/>
        <v>NÃO</v>
      </c>
      <c r="AF279" s="30">
        <f>SUMIF(Entradas!$B:$B,'Entrada Lvl 5-4 qt'!$B279,Entradas!$AG:$AG)</f>
        <v>717.39676463438343</v>
      </c>
      <c r="AG279" s="30"/>
      <c r="BD279" s="49"/>
      <c r="BE279" s="49"/>
    </row>
    <row r="280" spans="1:57" x14ac:dyDescent="0.3">
      <c r="A280">
        <f>_xlfn.XLOOKUP(B280,Entradas!B:B,Entradas!A:A,,0,-1)</f>
        <v>2</v>
      </c>
      <c r="B280">
        <v>19286475</v>
      </c>
      <c r="C280" t="str">
        <f>_xlfn.XLOOKUP($B280,Entradas!$B:$B,Entradas!C:C,,0,1)</f>
        <v>001079/23</v>
      </c>
      <c r="D280" t="str">
        <f>_xlfn.XLOOKUP($B280,Entradas!$B:$B,Entradas!D:D,,0,1)</f>
        <v>***.259.354-**</v>
      </c>
      <c r="E280" t="str">
        <f>_xlfn.XLOOKUP($B280,Entradas!$B:$B,Entradas!E:E,,0,1)</f>
        <v>MARCOS DOS SANTOS LIMA</v>
      </c>
      <c r="F280" t="str">
        <f>_xlfn.XLOOKUP($B280,Entradas!$B:$B,Entradas!F:F,,0,1)</f>
        <v>PROFESSOR ENS BASICO TECN TECNOLOGICO</v>
      </c>
      <c r="G280" t="str">
        <f>_xlfn.XLOOKUP($B280,Entradas!$B:$B,Entradas!G:G,,0,1)</f>
        <v>-1</v>
      </c>
      <c r="H280" t="str">
        <f>_xlfn.XLOOKUP($B280,Entradas!$B:$B,Entradas!H:H,,0,1)</f>
        <v>Sem informação</v>
      </c>
      <c r="I280" s="49">
        <f>_xlfn.XLOOKUP($B280,Entradas!$B:$B,Entradas!I:I,,0,1)</f>
        <v>45241</v>
      </c>
      <c r="J280" s="49">
        <f>_xlfn.XLOOKUP($B280,Entradas!$B:$B,Entradas!J:J,,0,1)</f>
        <v>45245</v>
      </c>
      <c r="K280" t="str">
        <f>_xlfn.XLOOKUP($B280,Entradas!$B:$B,Entradas!K:K,,0,1)</f>
        <v>Participação e apresentação de trabalho no Simpósio Latino Americano de Ciência de Alimentos e Nutrição - 15 SLACAN</v>
      </c>
      <c r="L280">
        <f>SUMIF(Entradas!$B:$B,'Entrada Lvl 5-4 qt'!$B280,Entradas!S:S)</f>
        <v>3342.027568</v>
      </c>
      <c r="M280" t="str">
        <f>_xlfn.XLOOKUP($B280,Entradas!$B:$B,Entradas!T:T,,0,1)</f>
        <v>Aéreo</v>
      </c>
      <c r="N280" t="str">
        <f>_xlfn.XLOOKUP($B280,Entradas!$B:$B,Entradas!U:U,,0,1)</f>
        <v>Não</v>
      </c>
      <c r="O280" t="str">
        <f>_xlfn.XLOOKUP($B280,Entradas!$B:$B,Entradas!V:V,,0,1)</f>
        <v>Realizada</v>
      </c>
      <c r="P280" t="str">
        <f>_xlfn.XLOOKUP($B280,Entradas!$B:$B,Entradas!W:W,,0,1)</f>
        <v>NÃO</v>
      </c>
      <c r="Q280" t="str">
        <f>_xlfn.XLOOKUP($B280,Entradas!$B:$B,Entradas!X:X,,0,1)</f>
        <v>Sem informação</v>
      </c>
      <c r="R280" s="36">
        <f>SUMIF(Entradas!$B:$B,'Entrada Lvl 5-4 qt'!$B280,Entradas!Y:Y)</f>
        <v>1294.23</v>
      </c>
      <c r="S280" s="36">
        <f>SUMIF(Entradas!$B:$B,'Entrada Lvl 5-4 qt'!$B280,Entradas!Z:Z)</f>
        <v>0</v>
      </c>
      <c r="T280" s="36">
        <f>SUMIF(Entradas!$B:$B,'Entrada Lvl 5-4 qt'!$B280,Entradas!AA:AA)</f>
        <v>1427.54</v>
      </c>
      <c r="U280" s="36">
        <f>SUMIF(Entradas!$B:$B,'Entrada Lvl 5-4 qt'!$B280,Entradas!AB:AB)</f>
        <v>0</v>
      </c>
      <c r="V280" s="49">
        <f>_xlfn.XLOOKUP($B280,Entradas!$B:$B,Entradas!AC:AC,,0,1)</f>
        <v>45184</v>
      </c>
      <c r="W280" s="58">
        <f t="shared" si="24"/>
        <v>4</v>
      </c>
      <c r="X280" s="28" t="s">
        <v>10</v>
      </c>
      <c r="Y280" s="32">
        <f t="shared" si="20"/>
        <v>0</v>
      </c>
      <c r="Z280" s="33">
        <f t="shared" si="21"/>
        <v>1427.54</v>
      </c>
      <c r="AA280" s="34">
        <f t="shared" si="22"/>
        <v>1294.23</v>
      </c>
      <c r="AB280" s="28" t="s">
        <v>1814</v>
      </c>
      <c r="AC280" s="28" t="s">
        <v>1820</v>
      </c>
      <c r="AD280" s="29" t="str" cm="1">
        <f t="array" ref="AD280">_xlfn.IFS(L280&lt;=Constantes!$G$2,"Muito Curta (evitável)",L280&lt;=Constantes!$H$2,"Curta Distância",L280&gt;Constantes!$H$2,"Longa Distância")</f>
        <v>Curta Distância</v>
      </c>
      <c r="AE280" s="30" t="str">
        <f t="shared" si="23"/>
        <v>NÃO</v>
      </c>
      <c r="AF280" s="30">
        <f>SUMIF(Entradas!$B:$B,'Entrada Lvl 5-4 qt'!$B280,Entradas!$AG:$AG)</f>
        <v>611.15442362155568</v>
      </c>
      <c r="AG280" s="30"/>
      <c r="BD280" s="49"/>
      <c r="BE280" s="49"/>
    </row>
    <row r="281" spans="1:57" x14ac:dyDescent="0.3">
      <c r="A281">
        <f>_xlfn.XLOOKUP(B281,Entradas!B:B,Entradas!A:A,,0,-1)</f>
        <v>2</v>
      </c>
      <c r="B281">
        <v>19312513</v>
      </c>
      <c r="C281" t="str">
        <f>_xlfn.XLOOKUP($B281,Entradas!$B:$B,Entradas!C:C,,0,1)</f>
        <v>001149/23</v>
      </c>
      <c r="D281" t="str">
        <f>_xlfn.XLOOKUP($B281,Entradas!$B:$B,Entradas!D:D,,0,1)</f>
        <v>***.013.884-**</v>
      </c>
      <c r="E281" t="str">
        <f>_xlfn.XLOOKUP($B281,Entradas!$B:$B,Entradas!E:E,,0,1)</f>
        <v>DEBORAH HELENA BATISTA LEITE</v>
      </c>
      <c r="F281" t="str">
        <f>_xlfn.XLOOKUP($B281,Entradas!$B:$B,Entradas!F:F,,0,1)</f>
        <v/>
      </c>
      <c r="G281" t="str">
        <f>_xlfn.XLOOKUP($B281,Entradas!$B:$B,Entradas!G:G,,0,1)</f>
        <v>-1</v>
      </c>
      <c r="H281" t="str">
        <f>_xlfn.XLOOKUP($B281,Entradas!$B:$B,Entradas!H:H,,0,1)</f>
        <v>Sem informação</v>
      </c>
      <c r="I281" s="49">
        <f>_xlfn.XLOOKUP($B281,Entradas!$B:$B,Entradas!I:I,,0,1)</f>
        <v>45241</v>
      </c>
      <c r="J281" s="49">
        <f>_xlfn.XLOOKUP($B281,Entradas!$B:$B,Entradas!J:J,,0,1)</f>
        <v>45245</v>
      </c>
      <c r="K281" t="str">
        <f>_xlfn.XLOOKUP($B281,Entradas!$B:$B,Entradas!K:K,,0,1)</f>
        <v>Participação e Apresentação de trabalho em evento científico da área da enfermagem</v>
      </c>
      <c r="L281">
        <f>SUMIF(Entradas!$B:$B,'Entrada Lvl 5-4 qt'!$B281,Entradas!S:S)</f>
        <v>3923.0015720000001</v>
      </c>
      <c r="M281" t="str">
        <f>_xlfn.XLOOKUP($B281,Entradas!$B:$B,Entradas!T:T,,0,1)</f>
        <v>Aéreo</v>
      </c>
      <c r="N281" t="str">
        <f>_xlfn.XLOOKUP($B281,Entradas!$B:$B,Entradas!U:U,,0,1)</f>
        <v>Sim</v>
      </c>
      <c r="O281" t="str">
        <f>_xlfn.XLOOKUP($B281,Entradas!$B:$B,Entradas!V:V,,0,1)</f>
        <v>Realizada</v>
      </c>
      <c r="P281" t="str">
        <f>_xlfn.XLOOKUP($B281,Entradas!$B:$B,Entradas!W:W,,0,1)</f>
        <v>NÃO</v>
      </c>
      <c r="Q281" t="str">
        <f>_xlfn.XLOOKUP($B281,Entradas!$B:$B,Entradas!X:X,,0,1)</f>
        <v>Sem informação</v>
      </c>
      <c r="R281" s="36">
        <f>SUMIF(Entradas!$B:$B,'Entrada Lvl 5-4 qt'!$B281,Entradas!Y:Y)</f>
        <v>0</v>
      </c>
      <c r="S281" s="36">
        <f>SUMIF(Entradas!$B:$B,'Entrada Lvl 5-4 qt'!$B281,Entradas!Z:Z)</f>
        <v>0</v>
      </c>
      <c r="T281" s="36">
        <f>SUMIF(Entradas!$B:$B,'Entrada Lvl 5-4 qt'!$B281,Entradas!AA:AA)</f>
        <v>1724.89</v>
      </c>
      <c r="U281" s="36">
        <f>SUMIF(Entradas!$B:$B,'Entrada Lvl 5-4 qt'!$B281,Entradas!AB:AB)</f>
        <v>0</v>
      </c>
      <c r="V281" s="49">
        <f>_xlfn.XLOOKUP($B281,Entradas!$B:$B,Entradas!AC:AC,,0,1)</f>
        <v>45190</v>
      </c>
      <c r="W281" s="58">
        <f t="shared" si="24"/>
        <v>4</v>
      </c>
      <c r="X281" s="28" t="s">
        <v>10</v>
      </c>
      <c r="Y281" s="32">
        <f t="shared" si="20"/>
        <v>0</v>
      </c>
      <c r="Z281" s="33">
        <f t="shared" si="21"/>
        <v>1724.89</v>
      </c>
      <c r="AA281" s="34">
        <f t="shared" si="22"/>
        <v>0</v>
      </c>
      <c r="AB281" s="28" t="s">
        <v>1814</v>
      </c>
      <c r="AC281" s="28" t="s">
        <v>1822</v>
      </c>
      <c r="AD281" s="29" t="str" cm="1">
        <f t="array" ref="AD281">_xlfn.IFS(L281&lt;=Constantes!$G$2,"Muito Curta (evitável)",L281&lt;=Constantes!$H$2,"Curta Distância",L281&gt;Constantes!$H$2,"Longa Distância")</f>
        <v>Longa Distância</v>
      </c>
      <c r="AE281" s="30" t="str">
        <f t="shared" si="23"/>
        <v>NÃO</v>
      </c>
      <c r="AF281" s="30">
        <f>SUMIF(Entradas!$B:$B,'Entrada Lvl 5-4 qt'!$B281,Entradas!$AG:$AG)</f>
        <v>717.39676463438343</v>
      </c>
      <c r="AG281" s="30"/>
      <c r="BD281" s="49"/>
      <c r="BE281" s="49"/>
    </row>
    <row r="282" spans="1:57" x14ac:dyDescent="0.3">
      <c r="A282">
        <f>_xlfn.XLOOKUP(B282,Entradas!B:B,Entradas!A:A,,0,-1)</f>
        <v>2</v>
      </c>
      <c r="B282">
        <v>19392824</v>
      </c>
      <c r="C282" t="str">
        <f>_xlfn.XLOOKUP($B282,Entradas!$B:$B,Entradas!C:C,,0,1)</f>
        <v>001486/23</v>
      </c>
      <c r="D282" t="str">
        <f>_xlfn.XLOOKUP($B282,Entradas!$B:$B,Entradas!D:D,,0,1)</f>
        <v/>
      </c>
      <c r="E282" t="str">
        <f>_xlfn.XLOOKUP($B282,Entradas!$B:$B,Entradas!E:E,,0,1)</f>
        <v>AMANDA MARILIA DA SILVA SANT ANA</v>
      </c>
      <c r="F282" t="str">
        <f>_xlfn.XLOOKUP($B282,Entradas!$B:$B,Entradas!F:F,,0,1)</f>
        <v>PROFESSOR DO MAGISTERIO SUPERIOR</v>
      </c>
      <c r="G282" t="str">
        <f>_xlfn.XLOOKUP($B282,Entradas!$B:$B,Entradas!G:G,,0,1)</f>
        <v>-1</v>
      </c>
      <c r="H282" t="str">
        <f>_xlfn.XLOOKUP($B282,Entradas!$B:$B,Entradas!H:H,,0,1)</f>
        <v>Sem informação</v>
      </c>
      <c r="I282" s="49">
        <f>_xlfn.XLOOKUP($B282,Entradas!$B:$B,Entradas!I:I,,0,1)</f>
        <v>45241</v>
      </c>
      <c r="J282" s="49">
        <f>_xlfn.XLOOKUP($B282,Entradas!$B:$B,Entradas!J:J,,0,1)</f>
        <v>45244</v>
      </c>
      <c r="K282" t="str">
        <f>_xlfn.XLOOKUP($B282,Entradas!$B:$B,Entradas!K:K,,0,1)</f>
        <v>Participação e apresentação de resumo oriundo de dissertação de aluno do PPGTA no 15° SIMPÓSIO LATINO AMERICANO DE CIÊNCIA DE ALIMENTOS E NUTRIÇÃO (SLACAN) em Campinas-SP. Realização: 12 a 14 de novembro de 2023.</v>
      </c>
      <c r="L282">
        <f>SUMIF(Entradas!$B:$B,'Entrada Lvl 5-4 qt'!$B282,Entradas!S:S)</f>
        <v>4387.7299999999996</v>
      </c>
      <c r="M282" t="str">
        <f>_xlfn.XLOOKUP($B282,Entradas!$B:$B,Entradas!T:T,,0,1)</f>
        <v>Aéreo</v>
      </c>
      <c r="N282" t="str">
        <f>_xlfn.XLOOKUP($B282,Entradas!$B:$B,Entradas!U:U,,0,1)</f>
        <v>Não</v>
      </c>
      <c r="O282" t="str">
        <f>_xlfn.XLOOKUP($B282,Entradas!$B:$B,Entradas!V:V,,0,1)</f>
        <v>Realizada</v>
      </c>
      <c r="P282" t="str">
        <f>_xlfn.XLOOKUP($B282,Entradas!$B:$B,Entradas!W:W,,0,1)</f>
        <v>NÃO</v>
      </c>
      <c r="Q282" t="str">
        <f>_xlfn.XLOOKUP($B282,Entradas!$B:$B,Entradas!X:X,,0,1)</f>
        <v>Sem informação</v>
      </c>
      <c r="R282" s="36">
        <f>SUMIF(Entradas!$B:$B,'Entrada Lvl 5-4 qt'!$B282,Entradas!Y:Y)</f>
        <v>1088.33</v>
      </c>
      <c r="S282" s="36">
        <f>SUMIF(Entradas!$B:$B,'Entrada Lvl 5-4 qt'!$B282,Entradas!Z:Z)</f>
        <v>0</v>
      </c>
      <c r="T282" s="36">
        <f>SUMIF(Entradas!$B:$B,'Entrada Lvl 5-4 qt'!$B282,Entradas!AA:AA)</f>
        <v>3643.04</v>
      </c>
      <c r="U282" s="36">
        <f>SUMIF(Entradas!$B:$B,'Entrada Lvl 5-4 qt'!$B282,Entradas!AB:AB)</f>
        <v>0</v>
      </c>
      <c r="V282" s="49">
        <f>_xlfn.XLOOKUP($B282,Entradas!$B:$B,Entradas!AC:AC,,0,1)</f>
        <v>45219</v>
      </c>
      <c r="W282" s="58">
        <f t="shared" si="24"/>
        <v>3</v>
      </c>
      <c r="X282" s="28" t="s">
        <v>10</v>
      </c>
      <c r="Y282" s="32">
        <f t="shared" si="20"/>
        <v>0</v>
      </c>
      <c r="Z282" s="33">
        <f t="shared" si="21"/>
        <v>3643.04</v>
      </c>
      <c r="AA282" s="34">
        <f t="shared" si="22"/>
        <v>1088.33</v>
      </c>
      <c r="AB282" s="28" t="s">
        <v>1814</v>
      </c>
      <c r="AC282" s="28" t="s">
        <v>1820</v>
      </c>
      <c r="AD282" s="29" t="str" cm="1">
        <f t="array" ref="AD282">_xlfn.IFS(L282&lt;=Constantes!$G$2,"Muito Curta (evitável)",L282&lt;=Constantes!$H$2,"Curta Distância",L282&gt;Constantes!$H$2,"Longa Distância")</f>
        <v>Longa Distância</v>
      </c>
      <c r="AE282" s="30" t="str">
        <f t="shared" si="23"/>
        <v>NÃO</v>
      </c>
      <c r="AF282" s="30">
        <f>SUMIF(Entradas!$B:$B,'Entrada Lvl 5-4 qt'!$B282,Entradas!$AG:$AG)</f>
        <v>802.381352216604</v>
      </c>
      <c r="AG282" s="30"/>
      <c r="BD282" s="49"/>
      <c r="BE282" s="49"/>
    </row>
    <row r="283" spans="1:57" x14ac:dyDescent="0.3">
      <c r="A283">
        <f>_xlfn.XLOOKUP(B283,Entradas!B:B,Entradas!A:A,,0,-1)</f>
        <v>2</v>
      </c>
      <c r="B283">
        <v>19403635</v>
      </c>
      <c r="C283" t="str">
        <f>_xlfn.XLOOKUP($B283,Entradas!$B:$B,Entradas!C:C,,0,1)</f>
        <v>001487/23</v>
      </c>
      <c r="D283" t="str">
        <f>_xlfn.XLOOKUP($B283,Entradas!$B:$B,Entradas!D:D,,0,1)</f>
        <v/>
      </c>
      <c r="E283" t="str">
        <f>_xlfn.XLOOKUP($B283,Entradas!$B:$B,Entradas!E:E,,0,1)</f>
        <v>CAMILA SAMPAIO MANGOLIM</v>
      </c>
      <c r="F283" t="str">
        <f>_xlfn.XLOOKUP($B283,Entradas!$B:$B,Entradas!F:F,,0,1)</f>
        <v>PROFESSOR DO MAGISTERIO SUPERIOR</v>
      </c>
      <c r="G283" t="str">
        <f>_xlfn.XLOOKUP($B283,Entradas!$B:$B,Entradas!G:G,,0,1)</f>
        <v>-1</v>
      </c>
      <c r="H283" t="str">
        <f>_xlfn.XLOOKUP($B283,Entradas!$B:$B,Entradas!H:H,,0,1)</f>
        <v>Sem informação</v>
      </c>
      <c r="I283" s="49">
        <f>_xlfn.XLOOKUP($B283,Entradas!$B:$B,Entradas!I:I,,0,1)</f>
        <v>45241</v>
      </c>
      <c r="J283" s="49">
        <f>_xlfn.XLOOKUP($B283,Entradas!$B:$B,Entradas!J:J,,0,1)</f>
        <v>45244</v>
      </c>
      <c r="K283" t="str">
        <f>_xlfn.XLOOKUP($B283,Entradas!$B:$B,Entradas!K:K,,0,1)</f>
        <v>Participação e apresentação de resumo oriundo de dissertação de aluno do PPGTA no 15° SIMPÓSIO LATINO AMERICANO DE CIÊNCIA DE ALIMENTOS E NUTRIÇÃO (SLACAN) em Campinas-SP. Realização: 12 a 14 de novembro de 2023.</v>
      </c>
      <c r="L283">
        <f>SUMIF(Entradas!$B:$B,'Entrada Lvl 5-4 qt'!$B283,Entradas!S:S)</f>
        <v>4387.7299999999996</v>
      </c>
      <c r="M283" t="str">
        <f>_xlfn.XLOOKUP($B283,Entradas!$B:$B,Entradas!T:T,,0,1)</f>
        <v>Aéreo</v>
      </c>
      <c r="N283" t="str">
        <f>_xlfn.XLOOKUP($B283,Entradas!$B:$B,Entradas!U:U,,0,1)</f>
        <v>Não</v>
      </c>
      <c r="O283" t="str">
        <f>_xlfn.XLOOKUP($B283,Entradas!$B:$B,Entradas!V:V,,0,1)</f>
        <v>Realizada</v>
      </c>
      <c r="P283" t="str">
        <f>_xlfn.XLOOKUP($B283,Entradas!$B:$B,Entradas!W:W,,0,1)</f>
        <v>NÃO</v>
      </c>
      <c r="Q283" t="str">
        <f>_xlfn.XLOOKUP($B283,Entradas!$B:$B,Entradas!X:X,,0,1)</f>
        <v>Sem informação</v>
      </c>
      <c r="R283" s="36">
        <f>SUMIF(Entradas!$B:$B,'Entrada Lvl 5-4 qt'!$B283,Entradas!Y:Y)</f>
        <v>1088.33</v>
      </c>
      <c r="S283" s="36">
        <f>SUMIF(Entradas!$B:$B,'Entrada Lvl 5-4 qt'!$B283,Entradas!Z:Z)</f>
        <v>0</v>
      </c>
      <c r="T283" s="36">
        <f>SUMIF(Entradas!$B:$B,'Entrada Lvl 5-4 qt'!$B283,Entradas!AA:AA)</f>
        <v>3643.04</v>
      </c>
      <c r="U283" s="36">
        <f>SUMIF(Entradas!$B:$B,'Entrada Lvl 5-4 qt'!$B283,Entradas!AB:AB)</f>
        <v>0</v>
      </c>
      <c r="V283" s="49">
        <f>_xlfn.XLOOKUP($B283,Entradas!$B:$B,Entradas!AC:AC,,0,1)</f>
        <v>45219</v>
      </c>
      <c r="W283" s="58">
        <f t="shared" si="24"/>
        <v>3</v>
      </c>
      <c r="X283" s="28" t="s">
        <v>10</v>
      </c>
      <c r="Y283" s="32">
        <f t="shared" si="20"/>
        <v>0</v>
      </c>
      <c r="Z283" s="33">
        <f t="shared" si="21"/>
        <v>3643.04</v>
      </c>
      <c r="AA283" s="34">
        <f t="shared" si="22"/>
        <v>1088.33</v>
      </c>
      <c r="AB283" s="28" t="s">
        <v>1814</v>
      </c>
      <c r="AC283" s="28" t="s">
        <v>1820</v>
      </c>
      <c r="AD283" s="29" t="str" cm="1">
        <f t="array" ref="AD283">_xlfn.IFS(L283&lt;=Constantes!$G$2,"Muito Curta (evitável)",L283&lt;=Constantes!$H$2,"Curta Distância",L283&gt;Constantes!$H$2,"Longa Distância")</f>
        <v>Longa Distância</v>
      </c>
      <c r="AE283" s="30" t="str">
        <f t="shared" si="23"/>
        <v>NÃO</v>
      </c>
      <c r="AF283" s="30">
        <f>SUMIF(Entradas!$B:$B,'Entrada Lvl 5-4 qt'!$B283,Entradas!$AG:$AG)</f>
        <v>802.381352216604</v>
      </c>
      <c r="AG283" s="30"/>
      <c r="BD283" s="49"/>
      <c r="BE283" s="49"/>
    </row>
    <row r="284" spans="1:57" x14ac:dyDescent="0.3">
      <c r="A284">
        <f>_xlfn.XLOOKUP(B284,Entradas!B:B,Entradas!A:A,,0,-1)</f>
        <v>2</v>
      </c>
      <c r="B284">
        <v>19415132</v>
      </c>
      <c r="C284" t="str">
        <f>_xlfn.XLOOKUP($B284,Entradas!$B:$B,Entradas!C:C,,0,1)</f>
        <v>001491/23</v>
      </c>
      <c r="D284" t="str">
        <f>_xlfn.XLOOKUP($B284,Entradas!$B:$B,Entradas!D:D,,0,1)</f>
        <v/>
      </c>
      <c r="E284" t="str">
        <f>_xlfn.XLOOKUP($B284,Entradas!$B:$B,Entradas!E:E,,0,1)</f>
        <v>LIS MARIA LIMA PONTES DE ALCANTARA</v>
      </c>
      <c r="F284" t="str">
        <f>_xlfn.XLOOKUP($B284,Entradas!$B:$B,Entradas!F:F,,0,1)</f>
        <v/>
      </c>
      <c r="G284" t="str">
        <f>_xlfn.XLOOKUP($B284,Entradas!$B:$B,Entradas!G:G,,0,1)</f>
        <v>-1</v>
      </c>
      <c r="H284" t="str">
        <f>_xlfn.XLOOKUP($B284,Entradas!$B:$B,Entradas!H:H,,0,1)</f>
        <v>Sem informação</v>
      </c>
      <c r="I284" s="49">
        <f>_xlfn.XLOOKUP($B284,Entradas!$B:$B,Entradas!I:I,,0,1)</f>
        <v>45241</v>
      </c>
      <c r="J284" s="49">
        <f>_xlfn.XLOOKUP($B284,Entradas!$B:$B,Entradas!J:J,,0,1)</f>
        <v>45245</v>
      </c>
      <c r="K284" t="str">
        <f>_xlfn.XLOOKUP($B284,Entradas!$B:$B,Entradas!K:K,,0,1)</f>
        <v>PROPOSTO IRÁ PARTICIPAR DE EVENTO TIPO CONGRESSO PARA APRESENTAÇÃO DE TRABALHOS COMO PARTE DE SEUS ESTUDOS PARA FORMAÇÃO EM GRADUAÇÃO NA UNIVERSIDADE.</v>
      </c>
      <c r="L284">
        <f>SUMIF(Entradas!$B:$B,'Entrada Lvl 5-4 qt'!$B284,Entradas!S:S)</f>
        <v>4387.7299999999996</v>
      </c>
      <c r="M284" t="str">
        <f>_xlfn.XLOOKUP($B284,Entradas!$B:$B,Entradas!T:T,,0,1)</f>
        <v>Aéreo</v>
      </c>
      <c r="N284" t="str">
        <f>_xlfn.XLOOKUP($B284,Entradas!$B:$B,Entradas!U:U,,0,1)</f>
        <v>Não</v>
      </c>
      <c r="O284" t="str">
        <f>_xlfn.XLOOKUP($B284,Entradas!$B:$B,Entradas!V:V,,0,1)</f>
        <v>Realizada</v>
      </c>
      <c r="P284" t="str">
        <f>_xlfn.XLOOKUP($B284,Entradas!$B:$B,Entradas!W:W,,0,1)</f>
        <v>NÃO</v>
      </c>
      <c r="Q284" t="str">
        <f>_xlfn.XLOOKUP($B284,Entradas!$B:$B,Entradas!X:X,,0,1)</f>
        <v>Sem informação</v>
      </c>
      <c r="R284" s="36">
        <f>SUMIF(Entradas!$B:$B,'Entrada Lvl 5-4 qt'!$B284,Entradas!Y:Y)</f>
        <v>0</v>
      </c>
      <c r="S284" s="36">
        <f>SUMIF(Entradas!$B:$B,'Entrada Lvl 5-4 qt'!$B284,Entradas!Z:Z)</f>
        <v>0</v>
      </c>
      <c r="T284" s="36">
        <f>SUMIF(Entradas!$B:$B,'Entrada Lvl 5-4 qt'!$B284,Entradas!AA:AA)</f>
        <v>2998.34</v>
      </c>
      <c r="U284" s="36">
        <f>SUMIF(Entradas!$B:$B,'Entrada Lvl 5-4 qt'!$B284,Entradas!AB:AB)</f>
        <v>0</v>
      </c>
      <c r="V284" s="49">
        <f>_xlfn.XLOOKUP($B284,Entradas!$B:$B,Entradas!AC:AC,,0,1)</f>
        <v>45217</v>
      </c>
      <c r="W284" s="58">
        <f t="shared" si="24"/>
        <v>4</v>
      </c>
      <c r="X284" s="28" t="s">
        <v>10</v>
      </c>
      <c r="Y284" s="32">
        <f t="shared" si="20"/>
        <v>0</v>
      </c>
      <c r="Z284" s="33">
        <f t="shared" si="21"/>
        <v>2998.34</v>
      </c>
      <c r="AA284" s="34">
        <f t="shared" si="22"/>
        <v>0</v>
      </c>
      <c r="AB284" s="28" t="s">
        <v>1814</v>
      </c>
      <c r="AC284" s="28" t="s">
        <v>1822</v>
      </c>
      <c r="AD284" s="29" t="str" cm="1">
        <f t="array" ref="AD284">_xlfn.IFS(L284&lt;=Constantes!$G$2,"Muito Curta (evitável)",L284&lt;=Constantes!$H$2,"Curta Distância",L284&gt;Constantes!$H$2,"Longa Distância")</f>
        <v>Longa Distância</v>
      </c>
      <c r="AE284" s="30" t="str">
        <f t="shared" si="23"/>
        <v>NÃO</v>
      </c>
      <c r="AF284" s="30">
        <f>SUMIF(Entradas!$B:$B,'Entrada Lvl 5-4 qt'!$B284,Entradas!$AG:$AG)</f>
        <v>802.381352216604</v>
      </c>
      <c r="AG284" s="30"/>
      <c r="BD284" s="49"/>
      <c r="BE284" s="49"/>
    </row>
    <row r="285" spans="1:57" x14ac:dyDescent="0.3">
      <c r="A285">
        <f>_xlfn.XLOOKUP(B285,Entradas!B:B,Entradas!A:A,,0,-1)</f>
        <v>2</v>
      </c>
      <c r="B285">
        <v>19428135</v>
      </c>
      <c r="C285" t="str">
        <f>_xlfn.XLOOKUP($B285,Entradas!$B:$B,Entradas!C:C,,0,1)</f>
        <v>001558/23</v>
      </c>
      <c r="D285" t="str">
        <f>_xlfn.XLOOKUP($B285,Entradas!$B:$B,Entradas!D:D,,0,1)</f>
        <v/>
      </c>
      <c r="E285" t="str">
        <f>_xlfn.XLOOKUP($B285,Entradas!$B:$B,Entradas!E:E,,0,1)</f>
        <v>IVANIELE ROCHA DE ANDRADE</v>
      </c>
      <c r="F285" t="str">
        <f>_xlfn.XLOOKUP($B285,Entradas!$B:$B,Entradas!F:F,,0,1)</f>
        <v/>
      </c>
      <c r="G285" t="str">
        <f>_xlfn.XLOOKUP($B285,Entradas!$B:$B,Entradas!G:G,,0,1)</f>
        <v>-1</v>
      </c>
      <c r="H285" t="str">
        <f>_xlfn.XLOOKUP($B285,Entradas!$B:$B,Entradas!H:H,,0,1)</f>
        <v>Sem informação</v>
      </c>
      <c r="I285" s="49">
        <f>_xlfn.XLOOKUP($B285,Entradas!$B:$B,Entradas!I:I,,0,1)</f>
        <v>45241</v>
      </c>
      <c r="J285" s="49">
        <f>_xlfn.XLOOKUP($B285,Entradas!$B:$B,Entradas!J:J,,0,1)</f>
        <v>45245</v>
      </c>
      <c r="K285" t="str">
        <f>_xlfn.XLOOKUP($B285,Entradas!$B:$B,Entradas!K:K,,0,1)</f>
        <v>PROPOSTO IRÁ PARTICIPAR DE CONGRESSO SLACAN APRESENTANDO TRABALHOS DE PESQUISA REFERENTE AO SEU CURSO DE GRADUAÇÃO NA UFPB.</v>
      </c>
      <c r="L285">
        <f>SUMIF(Entradas!$B:$B,'Entrada Lvl 5-4 qt'!$B285,Entradas!S:S)</f>
        <v>4387.7299999999996</v>
      </c>
      <c r="M285" t="str">
        <f>_xlfn.XLOOKUP($B285,Entradas!$B:$B,Entradas!T:T,,0,1)</f>
        <v>Aéreo</v>
      </c>
      <c r="N285" t="str">
        <f>_xlfn.XLOOKUP($B285,Entradas!$B:$B,Entradas!U:U,,0,1)</f>
        <v>Sim</v>
      </c>
      <c r="O285" t="str">
        <f>_xlfn.XLOOKUP($B285,Entradas!$B:$B,Entradas!V:V,,0,1)</f>
        <v>Realizada</v>
      </c>
      <c r="P285" t="str">
        <f>_xlfn.XLOOKUP($B285,Entradas!$B:$B,Entradas!W:W,,0,1)</f>
        <v>NÃO</v>
      </c>
      <c r="Q285" t="str">
        <f>_xlfn.XLOOKUP($B285,Entradas!$B:$B,Entradas!X:X,,0,1)</f>
        <v>Sem informação</v>
      </c>
      <c r="R285" s="36">
        <f>SUMIF(Entradas!$B:$B,'Entrada Lvl 5-4 qt'!$B285,Entradas!Y:Y)</f>
        <v>0</v>
      </c>
      <c r="S285" s="36">
        <f>SUMIF(Entradas!$B:$B,'Entrada Lvl 5-4 qt'!$B285,Entradas!Z:Z)</f>
        <v>0</v>
      </c>
      <c r="T285" s="36">
        <f>SUMIF(Entradas!$B:$B,'Entrada Lvl 5-4 qt'!$B285,Entradas!AA:AA)</f>
        <v>2351.34</v>
      </c>
      <c r="U285" s="36">
        <f>SUMIF(Entradas!$B:$B,'Entrada Lvl 5-4 qt'!$B285,Entradas!AB:AB)</f>
        <v>0</v>
      </c>
      <c r="V285" s="49">
        <f>_xlfn.XLOOKUP($B285,Entradas!$B:$B,Entradas!AC:AC,,0,1)</f>
        <v>45223</v>
      </c>
      <c r="W285" s="58">
        <f t="shared" si="24"/>
        <v>4</v>
      </c>
      <c r="X285" s="28" t="s">
        <v>10</v>
      </c>
      <c r="Y285" s="32">
        <f t="shared" si="20"/>
        <v>0</v>
      </c>
      <c r="Z285" s="33">
        <f t="shared" si="21"/>
        <v>2351.34</v>
      </c>
      <c r="AA285" s="34">
        <f t="shared" si="22"/>
        <v>0</v>
      </c>
      <c r="AB285" s="28" t="s">
        <v>1814</v>
      </c>
      <c r="AC285" s="28" t="s">
        <v>1822</v>
      </c>
      <c r="AD285" s="29" t="str" cm="1">
        <f t="array" ref="AD285">_xlfn.IFS(L285&lt;=Constantes!$G$2,"Muito Curta (evitável)",L285&lt;=Constantes!$H$2,"Curta Distância",L285&gt;Constantes!$H$2,"Longa Distância")</f>
        <v>Longa Distância</v>
      </c>
      <c r="AE285" s="30" t="str">
        <f t="shared" si="23"/>
        <v>NÃO</v>
      </c>
      <c r="AF285" s="30">
        <f>SUMIF(Entradas!$B:$B,'Entrada Lvl 5-4 qt'!$B285,Entradas!$AG:$AG)</f>
        <v>802.381352216604</v>
      </c>
      <c r="AG285" s="30"/>
      <c r="BD285" s="49"/>
      <c r="BE285" s="49"/>
    </row>
    <row r="286" spans="1:57" x14ac:dyDescent="0.3">
      <c r="A286">
        <f>_xlfn.XLOOKUP(B286,Entradas!B:B,Entradas!A:A,,0,-1)</f>
        <v>2</v>
      </c>
      <c r="B286">
        <v>19428217</v>
      </c>
      <c r="C286" t="str">
        <f>_xlfn.XLOOKUP($B286,Entradas!$B:$B,Entradas!C:C,,0,1)</f>
        <v>001560/23</v>
      </c>
      <c r="D286" t="str">
        <f>_xlfn.XLOOKUP($B286,Entradas!$B:$B,Entradas!D:D,,0,1)</f>
        <v/>
      </c>
      <c r="E286" t="str">
        <f>_xlfn.XLOOKUP($B286,Entradas!$B:$B,Entradas!E:E,,0,1)</f>
        <v>ALYSON JOSE DOS SANTOS FRANCO</v>
      </c>
      <c r="F286" t="str">
        <f>_xlfn.XLOOKUP($B286,Entradas!$B:$B,Entradas!F:F,,0,1)</f>
        <v/>
      </c>
      <c r="G286" t="str">
        <f>_xlfn.XLOOKUP($B286,Entradas!$B:$B,Entradas!G:G,,0,1)</f>
        <v>-1</v>
      </c>
      <c r="H286" t="str">
        <f>_xlfn.XLOOKUP($B286,Entradas!$B:$B,Entradas!H:H,,0,1)</f>
        <v>Sem informação</v>
      </c>
      <c r="I286" s="49">
        <f>_xlfn.XLOOKUP($B286,Entradas!$B:$B,Entradas!I:I,,0,1)</f>
        <v>45241</v>
      </c>
      <c r="J286" s="49">
        <f>_xlfn.XLOOKUP($B286,Entradas!$B:$B,Entradas!J:J,,0,1)</f>
        <v>45245</v>
      </c>
      <c r="K286" t="str">
        <f>_xlfn.XLOOKUP($B286,Entradas!$B:$B,Entradas!K:K,,0,1)</f>
        <v>PROPOSTO IRÁ PARTICIPAR DE CONGRESSO SLACAN APRESENTANDO TRABALHOS DE PESQUISA REFERENTE AO SEU CURSO DE GRADUAÇÃO NA UFPB.</v>
      </c>
      <c r="L286">
        <f>SUMIF(Entradas!$B:$B,'Entrada Lvl 5-4 qt'!$B286,Entradas!S:S)</f>
        <v>4387.7299999999996</v>
      </c>
      <c r="M286" t="str">
        <f>_xlfn.XLOOKUP($B286,Entradas!$B:$B,Entradas!T:T,,0,1)</f>
        <v>Aéreo</v>
      </c>
      <c r="N286" t="str">
        <f>_xlfn.XLOOKUP($B286,Entradas!$B:$B,Entradas!U:U,,0,1)</f>
        <v>Sim</v>
      </c>
      <c r="O286" t="str">
        <f>_xlfn.XLOOKUP($B286,Entradas!$B:$B,Entradas!V:V,,0,1)</f>
        <v>Realizada</v>
      </c>
      <c r="P286" t="str">
        <f>_xlfn.XLOOKUP($B286,Entradas!$B:$B,Entradas!W:W,,0,1)</f>
        <v>NÃO</v>
      </c>
      <c r="Q286" t="str">
        <f>_xlfn.XLOOKUP($B286,Entradas!$B:$B,Entradas!X:X,,0,1)</f>
        <v>Sem informação</v>
      </c>
      <c r="R286" s="36">
        <f>SUMIF(Entradas!$B:$B,'Entrada Lvl 5-4 qt'!$B286,Entradas!Y:Y)</f>
        <v>0</v>
      </c>
      <c r="S286" s="36">
        <f>SUMIF(Entradas!$B:$B,'Entrada Lvl 5-4 qt'!$B286,Entradas!Z:Z)</f>
        <v>0</v>
      </c>
      <c r="T286" s="36">
        <f>SUMIF(Entradas!$B:$B,'Entrada Lvl 5-4 qt'!$B286,Entradas!AA:AA)</f>
        <v>2351.34</v>
      </c>
      <c r="U286" s="36">
        <f>SUMIF(Entradas!$B:$B,'Entrada Lvl 5-4 qt'!$B286,Entradas!AB:AB)</f>
        <v>0</v>
      </c>
      <c r="V286" s="49">
        <f>_xlfn.XLOOKUP($B286,Entradas!$B:$B,Entradas!AC:AC,,0,1)</f>
        <v>45223</v>
      </c>
      <c r="W286" s="58">
        <f t="shared" si="24"/>
        <v>4</v>
      </c>
      <c r="X286" s="28" t="s">
        <v>10</v>
      </c>
      <c r="Y286" s="32">
        <f t="shared" si="20"/>
        <v>0</v>
      </c>
      <c r="Z286" s="33">
        <f t="shared" si="21"/>
        <v>2351.34</v>
      </c>
      <c r="AA286" s="34">
        <f t="shared" si="22"/>
        <v>0</v>
      </c>
      <c r="AB286" s="28" t="s">
        <v>1814</v>
      </c>
      <c r="AC286" s="28" t="s">
        <v>1822</v>
      </c>
      <c r="AD286" s="29" t="str" cm="1">
        <f t="array" ref="AD286">_xlfn.IFS(L286&lt;=Constantes!$G$2,"Muito Curta (evitável)",L286&lt;=Constantes!$H$2,"Curta Distância",L286&gt;Constantes!$H$2,"Longa Distância")</f>
        <v>Longa Distância</v>
      </c>
      <c r="AE286" s="30" t="str">
        <f t="shared" si="23"/>
        <v>NÃO</v>
      </c>
      <c r="AF286" s="30">
        <f>SUMIF(Entradas!$B:$B,'Entrada Lvl 5-4 qt'!$B286,Entradas!$AG:$AG)</f>
        <v>802.381352216604</v>
      </c>
      <c r="AG286" s="30"/>
      <c r="BD286" s="49"/>
      <c r="BE286" s="49"/>
    </row>
    <row r="287" spans="1:57" x14ac:dyDescent="0.3">
      <c r="A287">
        <f>_xlfn.XLOOKUP(B287,Entradas!B:B,Entradas!A:A,,0,-1)</f>
        <v>2</v>
      </c>
      <c r="B287">
        <v>19428302</v>
      </c>
      <c r="C287" t="str">
        <f>_xlfn.XLOOKUP($B287,Entradas!$B:$B,Entradas!C:C,,0,1)</f>
        <v>001561/23</v>
      </c>
      <c r="D287" t="str">
        <f>_xlfn.XLOOKUP($B287,Entradas!$B:$B,Entradas!D:D,,0,1)</f>
        <v/>
      </c>
      <c r="E287" t="str">
        <f>_xlfn.XLOOKUP($B287,Entradas!$B:$B,Entradas!E:E,,0,1)</f>
        <v>MATEUS SABINO DE SOUZA FERREIRA</v>
      </c>
      <c r="F287" t="str">
        <f>_xlfn.XLOOKUP($B287,Entradas!$B:$B,Entradas!F:F,,0,1)</f>
        <v/>
      </c>
      <c r="G287" t="str">
        <f>_xlfn.XLOOKUP($B287,Entradas!$B:$B,Entradas!G:G,,0,1)</f>
        <v>-1</v>
      </c>
      <c r="H287" t="str">
        <f>_xlfn.XLOOKUP($B287,Entradas!$B:$B,Entradas!H:H,,0,1)</f>
        <v>Sem informação</v>
      </c>
      <c r="I287" s="49">
        <f>_xlfn.XLOOKUP($B287,Entradas!$B:$B,Entradas!I:I,,0,1)</f>
        <v>45241</v>
      </c>
      <c r="J287" s="49">
        <f>_xlfn.XLOOKUP($B287,Entradas!$B:$B,Entradas!J:J,,0,1)</f>
        <v>45245</v>
      </c>
      <c r="K287" t="str">
        <f>_xlfn.XLOOKUP($B287,Entradas!$B:$B,Entradas!K:K,,0,1)</f>
        <v>PROPOSTO IRÁ PARTICIPAR DE CONGRESSO SLACAN APRESENTANDO TRABALHOS DE PESQUISA REFERENTE AO SEU CURSO DE GRADUAÇÃO NA UFPB.</v>
      </c>
      <c r="L287">
        <f>SUMIF(Entradas!$B:$B,'Entrada Lvl 5-4 qt'!$B287,Entradas!S:S)</f>
        <v>4387.7299999999996</v>
      </c>
      <c r="M287" t="str">
        <f>_xlfn.XLOOKUP($B287,Entradas!$B:$B,Entradas!T:T,,0,1)</f>
        <v>Aéreo</v>
      </c>
      <c r="N287" t="str">
        <f>_xlfn.XLOOKUP($B287,Entradas!$B:$B,Entradas!U:U,,0,1)</f>
        <v>Sim</v>
      </c>
      <c r="O287" t="str">
        <f>_xlfn.XLOOKUP($B287,Entradas!$B:$B,Entradas!V:V,,0,1)</f>
        <v>Realizada</v>
      </c>
      <c r="P287" t="str">
        <f>_xlfn.XLOOKUP($B287,Entradas!$B:$B,Entradas!W:W,,0,1)</f>
        <v>NÃO</v>
      </c>
      <c r="Q287" t="str">
        <f>_xlfn.XLOOKUP($B287,Entradas!$B:$B,Entradas!X:X,,0,1)</f>
        <v>Sem informação</v>
      </c>
      <c r="R287" s="36">
        <f>SUMIF(Entradas!$B:$B,'Entrada Lvl 5-4 qt'!$B287,Entradas!Y:Y)</f>
        <v>0</v>
      </c>
      <c r="S287" s="36">
        <f>SUMIF(Entradas!$B:$B,'Entrada Lvl 5-4 qt'!$B287,Entradas!Z:Z)</f>
        <v>0</v>
      </c>
      <c r="T287" s="36">
        <f>SUMIF(Entradas!$B:$B,'Entrada Lvl 5-4 qt'!$B287,Entradas!AA:AA)</f>
        <v>2351.34</v>
      </c>
      <c r="U287" s="36">
        <f>SUMIF(Entradas!$B:$B,'Entrada Lvl 5-4 qt'!$B287,Entradas!AB:AB)</f>
        <v>0</v>
      </c>
      <c r="V287" s="49">
        <f>_xlfn.XLOOKUP($B287,Entradas!$B:$B,Entradas!AC:AC,,0,1)</f>
        <v>45223</v>
      </c>
      <c r="W287" s="58">
        <f t="shared" si="24"/>
        <v>4</v>
      </c>
      <c r="X287" s="28" t="s">
        <v>10</v>
      </c>
      <c r="Y287" s="32">
        <f t="shared" si="20"/>
        <v>0</v>
      </c>
      <c r="Z287" s="33">
        <f t="shared" si="21"/>
        <v>2351.34</v>
      </c>
      <c r="AA287" s="34">
        <f t="shared" si="22"/>
        <v>0</v>
      </c>
      <c r="AB287" s="28" t="s">
        <v>1814</v>
      </c>
      <c r="AC287" s="28" t="s">
        <v>1822</v>
      </c>
      <c r="AD287" s="29" t="str" cm="1">
        <f t="array" ref="AD287">_xlfn.IFS(L287&lt;=Constantes!$G$2,"Muito Curta (evitável)",L287&lt;=Constantes!$H$2,"Curta Distância",L287&gt;Constantes!$H$2,"Longa Distância")</f>
        <v>Longa Distância</v>
      </c>
      <c r="AE287" s="30" t="str">
        <f t="shared" si="23"/>
        <v>NÃO</v>
      </c>
      <c r="AF287" s="30">
        <f>SUMIF(Entradas!$B:$B,'Entrada Lvl 5-4 qt'!$B287,Entradas!$AG:$AG)</f>
        <v>802.381352216604</v>
      </c>
      <c r="AG287" s="30"/>
      <c r="BD287" s="49"/>
      <c r="BE287" s="49"/>
    </row>
    <row r="288" spans="1:57" x14ac:dyDescent="0.3">
      <c r="A288">
        <f>_xlfn.XLOOKUP(B288,Entradas!B:B,Entradas!A:A,,0,-1)</f>
        <v>2</v>
      </c>
      <c r="B288">
        <v>19107006</v>
      </c>
      <c r="C288" t="str">
        <f>_xlfn.XLOOKUP($B288,Entradas!$B:$B,Entradas!C:C,,0,1)</f>
        <v>000722/23</v>
      </c>
      <c r="D288" t="str">
        <f>_xlfn.XLOOKUP($B288,Entradas!$B:$B,Entradas!D:D,,0,1)</f>
        <v>***.743.654-**</v>
      </c>
      <c r="E288" t="str">
        <f>_xlfn.XLOOKUP($B288,Entradas!$B:$B,Entradas!E:E,,0,1)</f>
        <v>SINARA PEREIRA FRAGOSO</v>
      </c>
      <c r="F288" t="str">
        <f>_xlfn.XLOOKUP($B288,Entradas!$B:$B,Entradas!F:F,,0,1)</f>
        <v>ENGENHEIRO-AREA</v>
      </c>
      <c r="G288" t="str">
        <f>_xlfn.XLOOKUP($B288,Entradas!$B:$B,Entradas!G:G,,0,1)</f>
        <v>-1</v>
      </c>
      <c r="H288" t="str">
        <f>_xlfn.XLOOKUP($B288,Entradas!$B:$B,Entradas!H:H,,0,1)</f>
        <v>Sem informação</v>
      </c>
      <c r="I288" s="49">
        <f>_xlfn.XLOOKUP($B288,Entradas!$B:$B,Entradas!I:I,,0,1)</f>
        <v>45242</v>
      </c>
      <c r="J288" s="49">
        <f>_xlfn.XLOOKUP($B288,Entradas!$B:$B,Entradas!J:J,,0,1)</f>
        <v>45245</v>
      </c>
      <c r="K288" t="str">
        <f>_xlfn.XLOOKUP($B288,Entradas!$B:$B,Entradas!K:K,,0,1)</f>
        <v>Participação no Simpósio Latino Americano de Ciência de Alimentos e Nutrição 15 SLACAN, como Servidora do quadro Técnico do Departamento de Engenharia de Alimento, e Apresentação de Trabalhos Científicos a ser apresentado de forma oral e em Banner, trabalhos estes desenvolvidos no curso de Engenharia de Alimentos desse departamento.</v>
      </c>
      <c r="L288">
        <f>SUMIF(Entradas!$B:$B,'Entrada Lvl 5-4 qt'!$B288,Entradas!S:S)</f>
        <v>4387.7299999999996</v>
      </c>
      <c r="M288" t="str">
        <f>_xlfn.XLOOKUP($B288,Entradas!$B:$B,Entradas!T:T,,0,1)</f>
        <v>Aéreo</v>
      </c>
      <c r="N288" t="str">
        <f>_xlfn.XLOOKUP($B288,Entradas!$B:$B,Entradas!U:U,,0,1)</f>
        <v>Não</v>
      </c>
      <c r="O288" t="str">
        <f>_xlfn.XLOOKUP($B288,Entradas!$B:$B,Entradas!V:V,,0,1)</f>
        <v>Realizada</v>
      </c>
      <c r="P288" t="str">
        <f>_xlfn.XLOOKUP($B288,Entradas!$B:$B,Entradas!W:W,,0,1)</f>
        <v>NÃO</v>
      </c>
      <c r="Q288" t="str">
        <f>_xlfn.XLOOKUP($B288,Entradas!$B:$B,Entradas!X:X,,0,1)</f>
        <v>Sem informação</v>
      </c>
      <c r="R288" s="36">
        <f>SUMIF(Entradas!$B:$B,'Entrada Lvl 5-4 qt'!$B288,Entradas!Y:Y)</f>
        <v>1088.33</v>
      </c>
      <c r="S288" s="36">
        <f>SUMIF(Entradas!$B:$B,'Entrada Lvl 5-4 qt'!$B288,Entradas!Z:Z)</f>
        <v>0</v>
      </c>
      <c r="T288" s="36">
        <f>SUMIF(Entradas!$B:$B,'Entrada Lvl 5-4 qt'!$B288,Entradas!AA:AA)</f>
        <v>2401.54</v>
      </c>
      <c r="U288" s="36">
        <f>SUMIF(Entradas!$B:$B,'Entrada Lvl 5-4 qt'!$B288,Entradas!AB:AB)</f>
        <v>0</v>
      </c>
      <c r="V288" s="49">
        <f>_xlfn.XLOOKUP($B288,Entradas!$B:$B,Entradas!AC:AC,,0,1)</f>
        <v>45141</v>
      </c>
      <c r="W288" s="58">
        <f t="shared" si="24"/>
        <v>3</v>
      </c>
      <c r="X288" s="28" t="s">
        <v>10</v>
      </c>
      <c r="Y288" s="32">
        <f t="shared" si="20"/>
        <v>0</v>
      </c>
      <c r="Z288" s="33">
        <f t="shared" si="21"/>
        <v>2401.54</v>
      </c>
      <c r="AA288" s="34">
        <f t="shared" si="22"/>
        <v>1088.33</v>
      </c>
      <c r="AB288" s="28" t="s">
        <v>1814</v>
      </c>
      <c r="AC288" s="28" t="s">
        <v>1784</v>
      </c>
      <c r="AD288" s="29" t="str" cm="1">
        <f t="array" ref="AD288">_xlfn.IFS(L288&lt;=Constantes!$G$2,"Muito Curta (evitável)",L288&lt;=Constantes!$H$2,"Curta Distância",L288&gt;Constantes!$H$2,"Longa Distância")</f>
        <v>Longa Distância</v>
      </c>
      <c r="AE288" s="30" t="str">
        <f t="shared" si="23"/>
        <v>NÃO</v>
      </c>
      <c r="AF288" s="30">
        <f>SUMIF(Entradas!$B:$B,'Entrada Lvl 5-4 qt'!$B288,Entradas!$AG:$AG)</f>
        <v>802.381352216604</v>
      </c>
      <c r="AG288" s="30"/>
      <c r="BD288" s="49"/>
      <c r="BE288" s="49"/>
    </row>
    <row r="289" spans="1:57" x14ac:dyDescent="0.3">
      <c r="A289">
        <f>_xlfn.XLOOKUP(B289,Entradas!B:B,Entradas!A:A,,0,-1)</f>
        <v>2</v>
      </c>
      <c r="B289">
        <v>19185584</v>
      </c>
      <c r="C289" t="str">
        <f>_xlfn.XLOOKUP($B289,Entradas!$B:$B,Entradas!C:C,,0,1)</f>
        <v>000803/23</v>
      </c>
      <c r="D289" t="str">
        <f>_xlfn.XLOOKUP($B289,Entradas!$B:$B,Entradas!D:D,,0,1)</f>
        <v>***.097.458-**</v>
      </c>
      <c r="E289" t="str">
        <f>_xlfn.XLOOKUP($B289,Entradas!$B:$B,Entradas!E:E,,0,1)</f>
        <v>MIQUELI MICHETTI</v>
      </c>
      <c r="F289" t="str">
        <f>_xlfn.XLOOKUP($B289,Entradas!$B:$B,Entradas!F:F,,0,1)</f>
        <v>PROFESSOR DO MAGISTERIO SUPERIOR</v>
      </c>
      <c r="G289" t="str">
        <f>_xlfn.XLOOKUP($B289,Entradas!$B:$B,Entradas!G:G,,0,1)</f>
        <v>-1</v>
      </c>
      <c r="H289" t="str">
        <f>_xlfn.XLOOKUP($B289,Entradas!$B:$B,Entradas!H:H,,0,1)</f>
        <v>Sem informação</v>
      </c>
      <c r="I289" s="49">
        <f>_xlfn.XLOOKUP($B289,Entradas!$B:$B,Entradas!I:I,,0,1)</f>
        <v>45242</v>
      </c>
      <c r="J289" s="49">
        <f>_xlfn.XLOOKUP($B289,Entradas!$B:$B,Entradas!J:J,,0,1)</f>
        <v>45244</v>
      </c>
      <c r="K289" t="str">
        <f>_xlfn.XLOOKUP($B289,Entradas!$B:$B,Entradas!K:K,,0,1)</f>
        <v>Participação, como representante do PPGS-UFPB, do Seminário de Meio-Termo da área de Sociologia da Avaliação Quadrienal da Capes, em Brasília. Trata-se do evento oficial nacional da Capes, em que todos os coordenadores dos PPGs do país se encontram para discutir e definir os critérios da Avaliação Quadrienal Capes.</v>
      </c>
      <c r="L289">
        <f>SUMIF(Entradas!$B:$B,'Entrada Lvl 5-4 qt'!$B289,Entradas!S:S)</f>
        <v>3426.839982</v>
      </c>
      <c r="M289" t="str">
        <f>_xlfn.XLOOKUP($B289,Entradas!$B:$B,Entradas!T:T,,0,1)</f>
        <v>Aéreo</v>
      </c>
      <c r="N289" t="str">
        <f>_xlfn.XLOOKUP($B289,Entradas!$B:$B,Entradas!U:U,,0,1)</f>
        <v>Sim</v>
      </c>
      <c r="O289" t="str">
        <f>_xlfn.XLOOKUP($B289,Entradas!$B:$B,Entradas!V:V,,0,1)</f>
        <v>Realizada</v>
      </c>
      <c r="P289" t="str">
        <f>_xlfn.XLOOKUP($B289,Entradas!$B:$B,Entradas!W:W,,0,1)</f>
        <v>NÃO</v>
      </c>
      <c r="Q289" t="str">
        <f>_xlfn.XLOOKUP($B289,Entradas!$B:$B,Entradas!X:X,,0,1)</f>
        <v>Sem informação</v>
      </c>
      <c r="R289" s="36">
        <f>SUMIF(Entradas!$B:$B,'Entrada Lvl 5-4 qt'!$B289,Entradas!Y:Y)</f>
        <v>988.03</v>
      </c>
      <c r="S289" s="36">
        <f>SUMIF(Entradas!$B:$B,'Entrada Lvl 5-4 qt'!$B289,Entradas!Z:Z)</f>
        <v>0</v>
      </c>
      <c r="T289" s="36">
        <f>SUMIF(Entradas!$B:$B,'Entrada Lvl 5-4 qt'!$B289,Entradas!AA:AA)</f>
        <v>2864.3</v>
      </c>
      <c r="U289" s="36">
        <f>SUMIF(Entradas!$B:$B,'Entrada Lvl 5-4 qt'!$B289,Entradas!AB:AB)</f>
        <v>0</v>
      </c>
      <c r="V289" s="49">
        <f>_xlfn.XLOOKUP($B289,Entradas!$B:$B,Entradas!AC:AC,,0,1)</f>
        <v>45153</v>
      </c>
      <c r="W289" s="58">
        <f t="shared" si="24"/>
        <v>2</v>
      </c>
      <c r="X289" s="28" t="s">
        <v>10</v>
      </c>
      <c r="Y289" s="32">
        <f t="shared" si="20"/>
        <v>0</v>
      </c>
      <c r="Z289" s="33">
        <f t="shared" si="21"/>
        <v>2864.3</v>
      </c>
      <c r="AA289" s="34">
        <f t="shared" si="22"/>
        <v>988.03</v>
      </c>
      <c r="AB289" s="28" t="s">
        <v>1813</v>
      </c>
      <c r="AC289" s="28" t="s">
        <v>1784</v>
      </c>
      <c r="AD289" s="29" t="str" cm="1">
        <f t="array" ref="AD289">_xlfn.IFS(L289&lt;=Constantes!$G$2,"Muito Curta (evitável)",L289&lt;=Constantes!$H$2,"Curta Distância",L289&gt;Constantes!$H$2,"Longa Distância")</f>
        <v>Curta Distância</v>
      </c>
      <c r="AE289" s="30" t="str">
        <f t="shared" si="23"/>
        <v>NÃO</v>
      </c>
      <c r="AF289" s="30">
        <f>SUMIF(Entradas!$B:$B,'Entrada Lvl 5-4 qt'!$B289,Entradas!$AG:$AG)</f>
        <v>626.66401501165365</v>
      </c>
      <c r="AG289" s="30"/>
      <c r="BD289" s="49"/>
      <c r="BE289" s="49"/>
    </row>
    <row r="290" spans="1:57" x14ac:dyDescent="0.3">
      <c r="A290">
        <f>_xlfn.XLOOKUP(B290,Entradas!B:B,Entradas!A:A,,0,-1)</f>
        <v>2</v>
      </c>
      <c r="B290">
        <v>19212969</v>
      </c>
      <c r="C290" t="str">
        <f>_xlfn.XLOOKUP($B290,Entradas!$B:$B,Entradas!C:C,,0,1)</f>
        <v>000902/23</v>
      </c>
      <c r="D290" t="str">
        <f>_xlfn.XLOOKUP($B290,Entradas!$B:$B,Entradas!D:D,,0,1)</f>
        <v>***.431.334-**</v>
      </c>
      <c r="E290" t="str">
        <f>_xlfn.XLOOKUP($B290,Entradas!$B:$B,Entradas!E:E,,0,1)</f>
        <v>RAFAELLA QUEIROGA SOUTO</v>
      </c>
      <c r="F290" t="str">
        <f>_xlfn.XLOOKUP($B290,Entradas!$B:$B,Entradas!F:F,,0,1)</f>
        <v>PROFESSOR DO MAGISTERIO SUPERIOR</v>
      </c>
      <c r="G290" t="str">
        <f>_xlfn.XLOOKUP($B290,Entradas!$B:$B,Entradas!G:G,,0,1)</f>
        <v>-1</v>
      </c>
      <c r="H290" t="str">
        <f>_xlfn.XLOOKUP($B290,Entradas!$B:$B,Entradas!H:H,,0,1)</f>
        <v>Sem informação</v>
      </c>
      <c r="I290" s="49">
        <f>_xlfn.XLOOKUP($B290,Entradas!$B:$B,Entradas!I:I,,0,1)</f>
        <v>45242</v>
      </c>
      <c r="J290" s="49">
        <f>_xlfn.XLOOKUP($B290,Entradas!$B:$B,Entradas!J:J,,0,1)</f>
        <v>45246</v>
      </c>
      <c r="K290" t="str">
        <f>_xlfn.XLOOKUP($B290,Entradas!$B:$B,Entradas!K:K,,0,1)</f>
        <v>participação no 74º Congresso Brasileiro de Enfermagem</v>
      </c>
      <c r="L290">
        <f>SUMIF(Entradas!$B:$B,'Entrada Lvl 5-4 qt'!$B290,Entradas!S:S)</f>
        <v>3923.0015720000001</v>
      </c>
      <c r="M290" t="str">
        <f>_xlfn.XLOOKUP($B290,Entradas!$B:$B,Entradas!T:T,,0,1)</f>
        <v>Aéreo</v>
      </c>
      <c r="N290" t="str">
        <f>_xlfn.XLOOKUP($B290,Entradas!$B:$B,Entradas!U:U,,0,1)</f>
        <v>Não</v>
      </c>
      <c r="O290" t="str">
        <f>_xlfn.XLOOKUP($B290,Entradas!$B:$B,Entradas!V:V,,0,1)</f>
        <v>Realizada</v>
      </c>
      <c r="P290" t="str">
        <f>_xlfn.XLOOKUP($B290,Entradas!$B:$B,Entradas!W:W,,0,1)</f>
        <v>NÃO</v>
      </c>
      <c r="Q290" t="str">
        <f>_xlfn.XLOOKUP($B290,Entradas!$B:$B,Entradas!X:X,,0,1)</f>
        <v>Sem informação</v>
      </c>
      <c r="R290" s="36">
        <f>SUMIF(Entradas!$B:$B,'Entrada Lvl 5-4 qt'!$B290,Entradas!Y:Y)</f>
        <v>1720.4</v>
      </c>
      <c r="S290" s="36">
        <f>SUMIF(Entradas!$B:$B,'Entrada Lvl 5-4 qt'!$B290,Entradas!Z:Z)</f>
        <v>0</v>
      </c>
      <c r="T290" s="36">
        <f>SUMIF(Entradas!$B:$B,'Entrada Lvl 5-4 qt'!$B290,Entradas!AA:AA)</f>
        <v>1726.69</v>
      </c>
      <c r="U290" s="36">
        <f>SUMIF(Entradas!$B:$B,'Entrada Lvl 5-4 qt'!$B290,Entradas!AB:AB)</f>
        <v>0</v>
      </c>
      <c r="V290" s="49">
        <f>_xlfn.XLOOKUP($B290,Entradas!$B:$B,Entradas!AC:AC,,0,1)</f>
        <v>45163</v>
      </c>
      <c r="W290" s="58">
        <f t="shared" si="24"/>
        <v>4</v>
      </c>
      <c r="X290" s="28" t="s">
        <v>10</v>
      </c>
      <c r="Y290" s="32">
        <f t="shared" si="20"/>
        <v>0</v>
      </c>
      <c r="Z290" s="33">
        <f t="shared" si="21"/>
        <v>1726.69</v>
      </c>
      <c r="AA290" s="34">
        <f t="shared" si="22"/>
        <v>1720.4</v>
      </c>
      <c r="AB290" s="28" t="s">
        <v>1814</v>
      </c>
      <c r="AC290" s="28" t="s">
        <v>1820</v>
      </c>
      <c r="AD290" s="29" t="str" cm="1">
        <f t="array" ref="AD290">_xlfn.IFS(L290&lt;=Constantes!$G$2,"Muito Curta (evitável)",L290&lt;=Constantes!$H$2,"Curta Distância",L290&gt;Constantes!$H$2,"Longa Distância")</f>
        <v>Longa Distância</v>
      </c>
      <c r="AE290" s="30" t="str">
        <f t="shared" si="23"/>
        <v>NÃO</v>
      </c>
      <c r="AF290" s="30">
        <f>SUMIF(Entradas!$B:$B,'Entrada Lvl 5-4 qt'!$B290,Entradas!$AG:$AG)</f>
        <v>717.39676463438343</v>
      </c>
      <c r="AG290" s="30"/>
      <c r="BD290" s="49"/>
      <c r="BE290" s="49"/>
    </row>
    <row r="291" spans="1:57" x14ac:dyDescent="0.3">
      <c r="A291">
        <f>_xlfn.XLOOKUP(B291,Entradas!B:B,Entradas!A:A,,0,-1)</f>
        <v>2</v>
      </c>
      <c r="B291">
        <v>19254569</v>
      </c>
      <c r="C291" t="str">
        <f>_xlfn.XLOOKUP($B291,Entradas!$B:$B,Entradas!C:C,,0,1)</f>
        <v>001021/23</v>
      </c>
      <c r="D291" t="str">
        <f>_xlfn.XLOOKUP($B291,Entradas!$B:$B,Entradas!D:D,,0,1)</f>
        <v>***.044.237-**</v>
      </c>
      <c r="E291" t="str">
        <f>_xlfn.XLOOKUP($B291,Entradas!$B:$B,Entradas!E:E,,0,1)</f>
        <v>ANGELA MARIA GARCIA</v>
      </c>
      <c r="F291" t="str">
        <f>_xlfn.XLOOKUP($B291,Entradas!$B:$B,Entradas!F:F,,0,1)</f>
        <v>PROFESSOR DO MAGISTERIO SUPERIOR</v>
      </c>
      <c r="G291" t="str">
        <f>_xlfn.XLOOKUP($B291,Entradas!$B:$B,Entradas!G:G,,0,1)</f>
        <v>FG-0001</v>
      </c>
      <c r="H291" t="str">
        <f>_xlfn.XLOOKUP($B291,Entradas!$B:$B,Entradas!H:H,,0,1)</f>
        <v>FG-0001</v>
      </c>
      <c r="I291" s="49">
        <f>_xlfn.XLOOKUP($B291,Entradas!$B:$B,Entradas!I:I,,0,1)</f>
        <v>45242</v>
      </c>
      <c r="J291" s="49">
        <f>_xlfn.XLOOKUP($B291,Entradas!$B:$B,Entradas!J:J,,0,1)</f>
        <v>45255</v>
      </c>
      <c r="K291" t="str">
        <f>_xlfn.XLOOKUP($B291,Entradas!$B:$B,Entradas!K:K,,0,1)</f>
        <v>Participar como membro em banca examinadora de concurso público na área de Teoria Antropológica, Edital 61/2023.</v>
      </c>
      <c r="L291">
        <f>SUMIF(Entradas!$B:$B,'Entrada Lvl 5-4 qt'!$B291,Entradas!S:S)</f>
        <v>2254.532154</v>
      </c>
      <c r="M291" t="str">
        <f>_xlfn.XLOOKUP($B291,Entradas!$B:$B,Entradas!T:T,,0,1)</f>
        <v>Aéreo</v>
      </c>
      <c r="N291" t="str">
        <f>_xlfn.XLOOKUP($B291,Entradas!$B:$B,Entradas!U:U,,0,1)</f>
        <v>Sim</v>
      </c>
      <c r="O291" t="str">
        <f>_xlfn.XLOOKUP($B291,Entradas!$B:$B,Entradas!V:V,,0,1)</f>
        <v>Realizada</v>
      </c>
      <c r="P291" t="str">
        <f>_xlfn.XLOOKUP($B291,Entradas!$B:$B,Entradas!W:W,,0,1)</f>
        <v>NÃO</v>
      </c>
      <c r="Q291" t="str">
        <f>_xlfn.XLOOKUP($B291,Entradas!$B:$B,Entradas!X:X,,0,1)</f>
        <v>Sem informação</v>
      </c>
      <c r="R291" s="36">
        <f>SUMIF(Entradas!$B:$B,'Entrada Lvl 5-4 qt'!$B291,Entradas!Y:Y)</f>
        <v>4429.58</v>
      </c>
      <c r="S291" s="36">
        <f>SUMIF(Entradas!$B:$B,'Entrada Lvl 5-4 qt'!$B291,Entradas!Z:Z)</f>
        <v>0</v>
      </c>
      <c r="T291" s="36">
        <f>SUMIF(Entradas!$B:$B,'Entrada Lvl 5-4 qt'!$B291,Entradas!AA:AA)</f>
        <v>2092.7200000000003</v>
      </c>
      <c r="U291" s="36">
        <f>SUMIF(Entradas!$B:$B,'Entrada Lvl 5-4 qt'!$B291,Entradas!AB:AB)</f>
        <v>0</v>
      </c>
      <c r="V291" s="49">
        <f>_xlfn.XLOOKUP($B291,Entradas!$B:$B,Entradas!AC:AC,,0,1)</f>
        <v>45180</v>
      </c>
      <c r="W291" s="58">
        <f t="shared" si="24"/>
        <v>13</v>
      </c>
      <c r="X291" s="28" t="s">
        <v>10</v>
      </c>
      <c r="Y291" s="32">
        <f t="shared" si="20"/>
        <v>0</v>
      </c>
      <c r="Z291" s="33">
        <f t="shared" si="21"/>
        <v>2092.7200000000003</v>
      </c>
      <c r="AA291" s="34">
        <f t="shared" si="22"/>
        <v>4429.58</v>
      </c>
      <c r="AB291" s="28" t="s">
        <v>1812</v>
      </c>
      <c r="AC291" s="28" t="s">
        <v>1820</v>
      </c>
      <c r="AD291" s="29" t="str" cm="1">
        <f t="array" ref="AD291">_xlfn.IFS(L291&lt;=Constantes!$G$2,"Muito Curta (evitável)",L291&lt;=Constantes!$H$2,"Curta Distância",L291&gt;Constantes!$H$2,"Longa Distância")</f>
        <v>Curta Distância</v>
      </c>
      <c r="AE291" s="30" t="str">
        <f t="shared" si="23"/>
        <v>NÃO</v>
      </c>
      <c r="AF291" s="30">
        <f>SUMIF(Entradas!$B:$B,'Entrada Lvl 5-4 qt'!$B291,Entradas!$AG:$AG)</f>
        <v>412.28483939128728</v>
      </c>
      <c r="AG291" s="30"/>
      <c r="BD291" s="49"/>
      <c r="BE291" s="49"/>
    </row>
    <row r="292" spans="1:57" x14ac:dyDescent="0.3">
      <c r="A292">
        <f>_xlfn.XLOOKUP(B292,Entradas!B:B,Entradas!A:A,,0,-1)</f>
        <v>2</v>
      </c>
      <c r="B292">
        <v>19283835</v>
      </c>
      <c r="C292" t="str">
        <f>_xlfn.XLOOKUP($B292,Entradas!$B:$B,Entradas!C:C,,0,1)</f>
        <v>001267/23</v>
      </c>
      <c r="D292" t="str">
        <f>_xlfn.XLOOKUP($B292,Entradas!$B:$B,Entradas!D:D,,0,1)</f>
        <v>***.080.908-**</v>
      </c>
      <c r="E292" t="str">
        <f>_xlfn.XLOOKUP($B292,Entradas!$B:$B,Entradas!E:E,,0,1)</f>
        <v>JORGE FERNANDO HERMIDA AVEIRO</v>
      </c>
      <c r="F292" t="str">
        <f>_xlfn.XLOOKUP($B292,Entradas!$B:$B,Entradas!F:F,,0,1)</f>
        <v>PROFESSOR DO MAGISTERIO SUPERIOR</v>
      </c>
      <c r="G292" t="str">
        <f>_xlfn.XLOOKUP($B292,Entradas!$B:$B,Entradas!G:G,,0,1)</f>
        <v>FUC-0001</v>
      </c>
      <c r="H292" t="str">
        <f>_xlfn.XLOOKUP($B292,Entradas!$B:$B,Entradas!H:H,,0,1)</f>
        <v>FUC-0001</v>
      </c>
      <c r="I292" s="49">
        <f>_xlfn.XLOOKUP($B292,Entradas!$B:$B,Entradas!I:I,,0,1)</f>
        <v>45242</v>
      </c>
      <c r="J292" s="49">
        <f>_xlfn.XLOOKUP($B292,Entradas!$B:$B,Entradas!J:J,,0,1)</f>
        <v>45245</v>
      </c>
      <c r="K292" t="str">
        <f>_xlfn.XLOOKUP($B292,Entradas!$B:$B,Entradas!K:K,,0,1)</f>
        <v>Reunião ordinária do Fórum Nacional de Coordenadores de Programas de Pós-Graduação em Educação (FORPREd) organizado pela CAPES em Educação em Brasília.</v>
      </c>
      <c r="L292">
        <f>SUMIF(Entradas!$B:$B,'Entrada Lvl 5-4 qt'!$B292,Entradas!S:S)</f>
        <v>3426.839982</v>
      </c>
      <c r="M292" t="str">
        <f>_xlfn.XLOOKUP($B292,Entradas!$B:$B,Entradas!T:T,,0,1)</f>
        <v>Aéreo</v>
      </c>
      <c r="N292" t="str">
        <f>_xlfn.XLOOKUP($B292,Entradas!$B:$B,Entradas!U:U,,0,1)</f>
        <v>Sim</v>
      </c>
      <c r="O292" t="str">
        <f>_xlfn.XLOOKUP($B292,Entradas!$B:$B,Entradas!V:V,,0,1)</f>
        <v>Realizada</v>
      </c>
      <c r="P292" t="str">
        <f>_xlfn.XLOOKUP($B292,Entradas!$B:$B,Entradas!W:W,,0,1)</f>
        <v>NÃO</v>
      </c>
      <c r="Q292" t="str">
        <f>_xlfn.XLOOKUP($B292,Entradas!$B:$B,Entradas!X:X,,0,1)</f>
        <v>Sem informação</v>
      </c>
      <c r="R292" s="36">
        <f>SUMIF(Entradas!$B:$B,'Entrada Lvl 5-4 qt'!$B292,Entradas!Y:Y)</f>
        <v>1369.17</v>
      </c>
      <c r="S292" s="36">
        <f>SUMIF(Entradas!$B:$B,'Entrada Lvl 5-4 qt'!$B292,Entradas!Z:Z)</f>
        <v>0</v>
      </c>
      <c r="T292" s="36">
        <f>SUMIF(Entradas!$B:$B,'Entrada Lvl 5-4 qt'!$B292,Entradas!AA:AA)</f>
        <v>2602.9</v>
      </c>
      <c r="U292" s="36">
        <f>SUMIF(Entradas!$B:$B,'Entrada Lvl 5-4 qt'!$B292,Entradas!AB:AB)</f>
        <v>0</v>
      </c>
      <c r="V292" s="49">
        <f>_xlfn.XLOOKUP($B292,Entradas!$B:$B,Entradas!AC:AC,,0,1)</f>
        <v>45198</v>
      </c>
      <c r="W292" s="58">
        <f t="shared" si="24"/>
        <v>3</v>
      </c>
      <c r="X292" s="28" t="s">
        <v>10</v>
      </c>
      <c r="Y292" s="32">
        <f t="shared" si="20"/>
        <v>0</v>
      </c>
      <c r="Z292" s="33">
        <f t="shared" si="21"/>
        <v>2602.9</v>
      </c>
      <c r="AA292" s="34">
        <f t="shared" si="22"/>
        <v>1369.17</v>
      </c>
      <c r="AB292" s="28" t="s">
        <v>1815</v>
      </c>
      <c r="AC292" s="28" t="s">
        <v>1784</v>
      </c>
      <c r="AD292" s="29" t="str" cm="1">
        <f t="array" ref="AD292">_xlfn.IFS(L292&lt;=Constantes!$G$2,"Muito Curta (evitável)",L292&lt;=Constantes!$H$2,"Curta Distância",L292&gt;Constantes!$H$2,"Longa Distância")</f>
        <v>Curta Distância</v>
      </c>
      <c r="AE292" s="30" t="str">
        <f t="shared" si="23"/>
        <v>NÃO</v>
      </c>
      <c r="AF292" s="30">
        <f>SUMIF(Entradas!$B:$B,'Entrada Lvl 5-4 qt'!$B292,Entradas!$AG:$AG)</f>
        <v>626.66401501165365</v>
      </c>
      <c r="AG292" s="30"/>
      <c r="BD292" s="49"/>
      <c r="BE292" s="49"/>
    </row>
    <row r="293" spans="1:57" x14ac:dyDescent="0.3">
      <c r="A293">
        <f>_xlfn.XLOOKUP(B293,Entradas!B:B,Entradas!A:A,,0,-1)</f>
        <v>2</v>
      </c>
      <c r="B293">
        <v>19332583</v>
      </c>
      <c r="C293" t="str">
        <f>_xlfn.XLOOKUP($B293,Entradas!$B:$B,Entradas!C:C,,0,1)</f>
        <v>001208/23</v>
      </c>
      <c r="D293" t="str">
        <f>_xlfn.XLOOKUP($B293,Entradas!$B:$B,Entradas!D:D,,0,1)</f>
        <v>***.721.104-**</v>
      </c>
      <c r="E293" t="str">
        <f>_xlfn.XLOOKUP($B293,Entradas!$B:$B,Entradas!E:E,,0,1)</f>
        <v>JOSE JAMACY DE ALMEIDA FERREIRA</v>
      </c>
      <c r="F293" t="str">
        <f>_xlfn.XLOOKUP($B293,Entradas!$B:$B,Entradas!F:F,,0,1)</f>
        <v>PROFESSOR DO MAGISTERIO SUPERIOR</v>
      </c>
      <c r="G293" t="str">
        <f>_xlfn.XLOOKUP($B293,Entradas!$B:$B,Entradas!G:G,,0,1)</f>
        <v>FUC-0001</v>
      </c>
      <c r="H293" t="str">
        <f>_xlfn.XLOOKUP($B293,Entradas!$B:$B,Entradas!H:H,,0,1)</f>
        <v>FUC-0001</v>
      </c>
      <c r="I293" s="49">
        <f>_xlfn.XLOOKUP($B293,Entradas!$B:$B,Entradas!I:I,,0,1)</f>
        <v>45242</v>
      </c>
      <c r="J293" s="49">
        <f>_xlfn.XLOOKUP($B293,Entradas!$B:$B,Entradas!J:J,,0,1)</f>
        <v>45245</v>
      </c>
      <c r="K293" t="str">
        <f>_xlfn.XLOOKUP($B293,Entradas!$B:$B,Entradas!K:K,,0,1)</f>
        <v>Participação do Seminário de Meio Termo promovido pela área 21 da CAPES e representando o PPGFis/UFPB na qualidade de coordenador do curso</v>
      </c>
      <c r="L293">
        <f>SUMIF(Entradas!$B:$B,'Entrada Lvl 5-4 qt'!$B293,Entradas!S:S)</f>
        <v>3426.839982</v>
      </c>
      <c r="M293" t="str">
        <f>_xlfn.XLOOKUP($B293,Entradas!$B:$B,Entradas!T:T,,0,1)</f>
        <v>Aéreo</v>
      </c>
      <c r="N293" t="str">
        <f>_xlfn.XLOOKUP($B293,Entradas!$B:$B,Entradas!U:U,,0,1)</f>
        <v>Sim</v>
      </c>
      <c r="O293" t="str">
        <f>_xlfn.XLOOKUP($B293,Entradas!$B:$B,Entradas!V:V,,0,1)</f>
        <v>Realizada</v>
      </c>
      <c r="P293" t="str">
        <f>_xlfn.XLOOKUP($B293,Entradas!$B:$B,Entradas!W:W,,0,1)</f>
        <v>NÃO</v>
      </c>
      <c r="Q293" t="str">
        <f>_xlfn.XLOOKUP($B293,Entradas!$B:$B,Entradas!X:X,,0,1)</f>
        <v>Sem informação</v>
      </c>
      <c r="R293" s="36">
        <f>SUMIF(Entradas!$B:$B,'Entrada Lvl 5-4 qt'!$B293,Entradas!Y:Y)</f>
        <v>1369.17</v>
      </c>
      <c r="S293" s="36">
        <f>SUMIF(Entradas!$B:$B,'Entrada Lvl 5-4 qt'!$B293,Entradas!Z:Z)</f>
        <v>0</v>
      </c>
      <c r="T293" s="36">
        <f>SUMIF(Entradas!$B:$B,'Entrada Lvl 5-4 qt'!$B293,Entradas!AA:AA)</f>
        <v>2425.9</v>
      </c>
      <c r="U293" s="36">
        <f>SUMIF(Entradas!$B:$B,'Entrada Lvl 5-4 qt'!$B293,Entradas!AB:AB)</f>
        <v>0</v>
      </c>
      <c r="V293" s="49">
        <f>_xlfn.XLOOKUP($B293,Entradas!$B:$B,Entradas!AC:AC,,0,1)</f>
        <v>45210</v>
      </c>
      <c r="W293" s="58">
        <f t="shared" si="24"/>
        <v>3</v>
      </c>
      <c r="X293" s="28" t="s">
        <v>10</v>
      </c>
      <c r="Y293" s="32">
        <f t="shared" si="20"/>
        <v>0</v>
      </c>
      <c r="Z293" s="33">
        <f t="shared" si="21"/>
        <v>2425.9</v>
      </c>
      <c r="AA293" s="34">
        <f t="shared" si="22"/>
        <v>1369.17</v>
      </c>
      <c r="AB293" s="28" t="s">
        <v>1813</v>
      </c>
      <c r="AC293" s="28" t="s">
        <v>1784</v>
      </c>
      <c r="AD293" s="29" t="str" cm="1">
        <f t="array" ref="AD293">_xlfn.IFS(L293&lt;=Constantes!$G$2,"Muito Curta (evitável)",L293&lt;=Constantes!$H$2,"Curta Distância",L293&gt;Constantes!$H$2,"Longa Distância")</f>
        <v>Curta Distância</v>
      </c>
      <c r="AE293" s="30" t="str">
        <f t="shared" si="23"/>
        <v>NÃO</v>
      </c>
      <c r="AF293" s="30">
        <f>SUMIF(Entradas!$B:$B,'Entrada Lvl 5-4 qt'!$B293,Entradas!$AG:$AG)</f>
        <v>626.66401501165365</v>
      </c>
      <c r="AG293" s="30"/>
      <c r="BD293" s="49"/>
      <c r="BE293" s="49"/>
    </row>
    <row r="294" spans="1:57" x14ac:dyDescent="0.3">
      <c r="A294">
        <f>_xlfn.XLOOKUP(B294,Entradas!B:B,Entradas!A:A,,0,-1)</f>
        <v>2</v>
      </c>
      <c r="B294">
        <v>19338561</v>
      </c>
      <c r="C294" t="str">
        <f>_xlfn.XLOOKUP($B294,Entradas!$B:$B,Entradas!C:C,,0,1)</f>
        <v>001296/23</v>
      </c>
      <c r="D294" t="str">
        <f>_xlfn.XLOOKUP($B294,Entradas!$B:$B,Entradas!D:D,,0,1)</f>
        <v>***.230.254-**</v>
      </c>
      <c r="E294" t="str">
        <f>_xlfn.XLOOKUP($B294,Entradas!$B:$B,Entradas!E:E,,0,1)</f>
        <v>ANA PAULA FURTADO SOARES PONTES</v>
      </c>
      <c r="F294" t="str">
        <f>_xlfn.XLOOKUP($B294,Entradas!$B:$B,Entradas!F:F,,0,1)</f>
        <v>PROFESSOR DO MAGISTERIO SUPERIOR</v>
      </c>
      <c r="G294" t="str">
        <f>_xlfn.XLOOKUP($B294,Entradas!$B:$B,Entradas!G:G,,0,1)</f>
        <v>FUC-0001</v>
      </c>
      <c r="H294" t="str">
        <f>_xlfn.XLOOKUP($B294,Entradas!$B:$B,Entradas!H:H,,0,1)</f>
        <v>FUC-0001</v>
      </c>
      <c r="I294" s="49">
        <f>_xlfn.XLOOKUP($B294,Entradas!$B:$B,Entradas!I:I,,0,1)</f>
        <v>45242</v>
      </c>
      <c r="J294" s="49">
        <f>_xlfn.XLOOKUP($B294,Entradas!$B:$B,Entradas!J:J,,0,1)</f>
        <v>45244</v>
      </c>
      <c r="K294" t="str">
        <f>_xlfn.XLOOKUP($B294,Entradas!$B:$B,Entradas!K:K,,0,1)</f>
        <v>Participar do Seminário do Meio Termo - Área Educação dos programas de pós-graduação da área de EDUCAÇÃO, será realizado na CAPES, Brasília-DF, nos dias 13 e 14 de novembrode2023,das 09:00 às 18:00 horas.</v>
      </c>
      <c r="L294">
        <f>SUMIF(Entradas!$B:$B,'Entrada Lvl 5-4 qt'!$B294,Entradas!S:S)</f>
        <v>3426.839982</v>
      </c>
      <c r="M294" t="str">
        <f>_xlfn.XLOOKUP($B294,Entradas!$B:$B,Entradas!T:T,,0,1)</f>
        <v>Aéreo</v>
      </c>
      <c r="N294" t="str">
        <f>_xlfn.XLOOKUP($B294,Entradas!$B:$B,Entradas!U:U,,0,1)</f>
        <v>Não</v>
      </c>
      <c r="O294" t="str">
        <f>_xlfn.XLOOKUP($B294,Entradas!$B:$B,Entradas!V:V,,0,1)</f>
        <v>Realizada</v>
      </c>
      <c r="P294" t="str">
        <f>_xlfn.XLOOKUP($B294,Entradas!$B:$B,Entradas!W:W,,0,1)</f>
        <v>NÃO</v>
      </c>
      <c r="Q294" t="str">
        <f>_xlfn.XLOOKUP($B294,Entradas!$B:$B,Entradas!X:X,,0,1)</f>
        <v>Sem informação</v>
      </c>
      <c r="R294" s="36">
        <f>SUMIF(Entradas!$B:$B,'Entrada Lvl 5-4 qt'!$B294,Entradas!Y:Y)</f>
        <v>988.03</v>
      </c>
      <c r="S294" s="36">
        <f>SUMIF(Entradas!$B:$B,'Entrada Lvl 5-4 qt'!$B294,Entradas!Z:Z)</f>
        <v>0</v>
      </c>
      <c r="T294" s="36">
        <f>SUMIF(Entradas!$B:$B,'Entrada Lvl 5-4 qt'!$B294,Entradas!AA:AA)</f>
        <v>2117.3000000000002</v>
      </c>
      <c r="U294" s="36">
        <f>SUMIF(Entradas!$B:$B,'Entrada Lvl 5-4 qt'!$B294,Entradas!AB:AB)</f>
        <v>0</v>
      </c>
      <c r="V294" s="49">
        <f>_xlfn.XLOOKUP($B294,Entradas!$B:$B,Entradas!AC:AC,,0,1)</f>
        <v>45202</v>
      </c>
      <c r="W294" s="58">
        <f t="shared" si="24"/>
        <v>2</v>
      </c>
      <c r="X294" s="28" t="s">
        <v>10</v>
      </c>
      <c r="Y294" s="32">
        <f t="shared" si="20"/>
        <v>0</v>
      </c>
      <c r="Z294" s="33">
        <f t="shared" si="21"/>
        <v>2117.3000000000002</v>
      </c>
      <c r="AA294" s="34">
        <f t="shared" si="22"/>
        <v>988.03</v>
      </c>
      <c r="AB294" s="28" t="s">
        <v>1813</v>
      </c>
      <c r="AC294" s="28" t="s">
        <v>1784</v>
      </c>
      <c r="AD294" s="29" t="str" cm="1">
        <f t="array" ref="AD294">_xlfn.IFS(L294&lt;=Constantes!$G$2,"Muito Curta (evitável)",L294&lt;=Constantes!$H$2,"Curta Distância",L294&gt;Constantes!$H$2,"Longa Distância")</f>
        <v>Curta Distância</v>
      </c>
      <c r="AE294" s="30" t="str">
        <f t="shared" si="23"/>
        <v>NÃO</v>
      </c>
      <c r="AF294" s="30">
        <f>SUMIF(Entradas!$B:$B,'Entrada Lvl 5-4 qt'!$B294,Entradas!$AG:$AG)</f>
        <v>626.66401501165365</v>
      </c>
      <c r="AG294" s="30"/>
      <c r="BD294" s="49"/>
      <c r="BE294" s="49"/>
    </row>
    <row r="295" spans="1:57" x14ac:dyDescent="0.3">
      <c r="A295">
        <f>_xlfn.XLOOKUP(B295,Entradas!B:B,Entradas!A:A,,0,-1)</f>
        <v>2</v>
      </c>
      <c r="B295">
        <v>19377521</v>
      </c>
      <c r="C295" t="str">
        <f>_xlfn.XLOOKUP($B295,Entradas!$B:$B,Entradas!C:C,,0,1)</f>
        <v>001377/23</v>
      </c>
      <c r="D295" t="str">
        <f>_xlfn.XLOOKUP($B295,Entradas!$B:$B,Entradas!D:D,,0,1)</f>
        <v>***.023.795-**</v>
      </c>
      <c r="E295" t="str">
        <f>_xlfn.XLOOKUP($B295,Entradas!$B:$B,Entradas!E:E,,0,1)</f>
        <v>ANDRE VINICIUS SANTOS DORIA</v>
      </c>
      <c r="F295" t="str">
        <f>_xlfn.XLOOKUP($B295,Entradas!$B:$B,Entradas!F:F,,0,1)</f>
        <v>PROFESSOR DO MAGISTERIO SUPERIOR</v>
      </c>
      <c r="G295" t="str">
        <f>_xlfn.XLOOKUP($B295,Entradas!$B:$B,Entradas!G:G,,0,1)</f>
        <v>-1</v>
      </c>
      <c r="H295" t="str">
        <f>_xlfn.XLOOKUP($B295,Entradas!$B:$B,Entradas!H:H,,0,1)</f>
        <v>Sem informação</v>
      </c>
      <c r="I295" s="49">
        <f>_xlfn.XLOOKUP($B295,Entradas!$B:$B,Entradas!I:I,,0,1)</f>
        <v>45242</v>
      </c>
      <c r="J295" s="49">
        <f>_xlfn.XLOOKUP($B295,Entradas!$B:$B,Entradas!J:J,,0,1)</f>
        <v>45255</v>
      </c>
      <c r="K295" t="str">
        <f>_xlfn.XLOOKUP($B295,Entradas!$B:$B,Entradas!K:K,,0,1)</f>
        <v>O docente dará continuidade a um projeto de pesquisa na área de Álgebra Comutativa a convite do prof. Ricardo Burity durante o período de 12 a 25 de novembro de 2023. Ele também participará do Seminários do Programa de Pós Graduação de Matemática proferindo uma palestra intitulada 'Ideais perfeitos linearmente apresentados de codimensão 2 em três variáveis'.</v>
      </c>
      <c r="L295">
        <f>SUMIF(Entradas!$B:$B,'Entrada Lvl 5-4 qt'!$B295,Entradas!S:S)</f>
        <v>973.46932400000003</v>
      </c>
      <c r="M295" t="str">
        <f>_xlfn.XLOOKUP($B295,Entradas!$B:$B,Entradas!T:T,,0,1)</f>
        <v>Aéreo</v>
      </c>
      <c r="N295" t="str">
        <f>_xlfn.XLOOKUP($B295,Entradas!$B:$B,Entradas!U:U,,0,1)</f>
        <v>Não</v>
      </c>
      <c r="O295" t="str">
        <f>_xlfn.XLOOKUP($B295,Entradas!$B:$B,Entradas!V:V,,0,1)</f>
        <v>Realizada</v>
      </c>
      <c r="P295" t="str">
        <f>_xlfn.XLOOKUP($B295,Entradas!$B:$B,Entradas!W:W,,0,1)</f>
        <v>NÃO</v>
      </c>
      <c r="Q295" t="str">
        <f>_xlfn.XLOOKUP($B295,Entradas!$B:$B,Entradas!X:X,,0,1)</f>
        <v>Sem informação</v>
      </c>
      <c r="R295" s="36">
        <f>SUMIF(Entradas!$B:$B,'Entrada Lvl 5-4 qt'!$B295,Entradas!Y:Y)</f>
        <v>4429.58</v>
      </c>
      <c r="S295" s="36">
        <f>SUMIF(Entradas!$B:$B,'Entrada Lvl 5-4 qt'!$B295,Entradas!Z:Z)</f>
        <v>0</v>
      </c>
      <c r="T295" s="36">
        <f>SUMIF(Entradas!$B:$B,'Entrada Lvl 5-4 qt'!$B295,Entradas!AA:AA)</f>
        <v>1621.1599999999999</v>
      </c>
      <c r="U295" s="36">
        <f>SUMIF(Entradas!$B:$B,'Entrada Lvl 5-4 qt'!$B295,Entradas!AB:AB)</f>
        <v>0</v>
      </c>
      <c r="V295" s="49">
        <f>_xlfn.XLOOKUP($B295,Entradas!$B:$B,Entradas!AC:AC,,0,1)</f>
        <v>45209</v>
      </c>
      <c r="W295" s="58">
        <f t="shared" si="24"/>
        <v>13</v>
      </c>
      <c r="X295" s="28" t="s">
        <v>10</v>
      </c>
      <c r="Y295" s="32">
        <f t="shared" si="20"/>
        <v>0</v>
      </c>
      <c r="Z295" s="33">
        <f t="shared" si="21"/>
        <v>1621.1599999999999</v>
      </c>
      <c r="AA295" s="34">
        <f t="shared" si="22"/>
        <v>4429.58</v>
      </c>
      <c r="AB295" s="28" t="s">
        <v>1814</v>
      </c>
      <c r="AC295" s="28" t="s">
        <v>1820</v>
      </c>
      <c r="AD295" s="29" t="str" cm="1">
        <f t="array" ref="AD295">_xlfn.IFS(L295&lt;=Constantes!$G$2,"Muito Curta (evitável)",L295&lt;=Constantes!$H$2,"Curta Distância",L295&gt;Constantes!$H$2,"Longa Distância")</f>
        <v>Curta Distância</v>
      </c>
      <c r="AE295" s="30" t="str">
        <f t="shared" si="23"/>
        <v>NÃO</v>
      </c>
      <c r="AF295" s="30">
        <f>SUMIF(Entradas!$B:$B,'Entrada Lvl 5-4 qt'!$B295,Entradas!$AG:$AG)</f>
        <v>265.34513886071062</v>
      </c>
      <c r="AG295" s="30"/>
      <c r="BD295" s="49"/>
      <c r="BE295" s="49"/>
    </row>
    <row r="296" spans="1:57" x14ac:dyDescent="0.3">
      <c r="A296">
        <f>_xlfn.XLOOKUP(B296,Entradas!B:B,Entradas!A:A,,0,-1)</f>
        <v>2</v>
      </c>
      <c r="B296">
        <v>19261039</v>
      </c>
      <c r="C296" t="str">
        <f>_xlfn.XLOOKUP($B296,Entradas!$B:$B,Entradas!C:C,,0,1)</f>
        <v>001013/23</v>
      </c>
      <c r="D296" t="str">
        <f>_xlfn.XLOOKUP($B296,Entradas!$B:$B,Entradas!D:D,,0,1)</f>
        <v>***.898.937-**</v>
      </c>
      <c r="E296" t="str">
        <f>_xlfn.XLOOKUP($B296,Entradas!$B:$B,Entradas!E:E,,0,1)</f>
        <v>SIDNEI CLEMENTE PERES</v>
      </c>
      <c r="F296" t="str">
        <f>_xlfn.XLOOKUP($B296,Entradas!$B:$B,Entradas!F:F,,0,1)</f>
        <v>PROFESSOR DO MAGISTERIO SUPERIOR</v>
      </c>
      <c r="G296" t="str">
        <f>_xlfn.XLOOKUP($B296,Entradas!$B:$B,Entradas!G:G,,0,1)</f>
        <v>-1</v>
      </c>
      <c r="H296" t="str">
        <f>_xlfn.XLOOKUP($B296,Entradas!$B:$B,Entradas!H:H,,0,1)</f>
        <v>Sem informação</v>
      </c>
      <c r="I296" s="49">
        <f>_xlfn.XLOOKUP($B296,Entradas!$B:$B,Entradas!I:I,,0,1)</f>
        <v>45243</v>
      </c>
      <c r="J296" s="49">
        <f>_xlfn.XLOOKUP($B296,Entradas!$B:$B,Entradas!J:J,,0,1)</f>
        <v>45255</v>
      </c>
      <c r="K296" t="str">
        <f>_xlfn.XLOOKUP($B296,Entradas!$B:$B,Entradas!K:K,,0,1)</f>
        <v>Integrar a comissão de seleção do Concurso Público para Professor do Magistério na área de Teoria Antropológica.</v>
      </c>
      <c r="L296">
        <f>SUMIF(Entradas!$B:$B,'Entrada Lvl 5-4 qt'!$B296,Entradas!S:S)</f>
        <v>3923.0015720000001</v>
      </c>
      <c r="M296" t="str">
        <f>_xlfn.XLOOKUP($B296,Entradas!$B:$B,Entradas!T:T,,0,1)</f>
        <v>Aéreo</v>
      </c>
      <c r="N296" t="str">
        <f>_xlfn.XLOOKUP($B296,Entradas!$B:$B,Entradas!U:U,,0,1)</f>
        <v>Sim</v>
      </c>
      <c r="O296" t="str">
        <f>_xlfn.XLOOKUP($B296,Entradas!$B:$B,Entradas!V:V,,0,1)</f>
        <v>Realizada</v>
      </c>
      <c r="P296" t="str">
        <f>_xlfn.XLOOKUP($B296,Entradas!$B:$B,Entradas!W:W,,0,1)</f>
        <v>NÃO</v>
      </c>
      <c r="Q296" t="str">
        <f>_xlfn.XLOOKUP($B296,Entradas!$B:$B,Entradas!X:X,,0,1)</f>
        <v>Sem informação</v>
      </c>
      <c r="R296" s="36">
        <f>SUMIF(Entradas!$B:$B,'Entrada Lvl 5-4 qt'!$B296,Entradas!Y:Y)</f>
        <v>4088.56</v>
      </c>
      <c r="S296" s="36">
        <f>SUMIF(Entradas!$B:$B,'Entrada Lvl 5-4 qt'!$B296,Entradas!Z:Z)</f>
        <v>0</v>
      </c>
      <c r="T296" s="36">
        <f>SUMIF(Entradas!$B:$B,'Entrada Lvl 5-4 qt'!$B296,Entradas!AA:AA)</f>
        <v>1910.49</v>
      </c>
      <c r="U296" s="36">
        <f>SUMIF(Entradas!$B:$B,'Entrada Lvl 5-4 qt'!$B296,Entradas!AB:AB)</f>
        <v>0</v>
      </c>
      <c r="V296" s="49">
        <f>_xlfn.XLOOKUP($B296,Entradas!$B:$B,Entradas!AC:AC,,0,1)</f>
        <v>45175</v>
      </c>
      <c r="W296" s="58">
        <f t="shared" si="24"/>
        <v>12</v>
      </c>
      <c r="X296" s="28" t="s">
        <v>10</v>
      </c>
      <c r="Y296" s="32">
        <f t="shared" si="20"/>
        <v>0</v>
      </c>
      <c r="Z296" s="33">
        <f t="shared" si="21"/>
        <v>1910.49</v>
      </c>
      <c r="AA296" s="34">
        <f t="shared" si="22"/>
        <v>4088.56</v>
      </c>
      <c r="AB296" s="28" t="s">
        <v>1812</v>
      </c>
      <c r="AC296" s="28" t="s">
        <v>1820</v>
      </c>
      <c r="AD296" s="29" t="str" cm="1">
        <f t="array" ref="AD296">_xlfn.IFS(L296&lt;=Constantes!$G$2,"Muito Curta (evitável)",L296&lt;=Constantes!$H$2,"Curta Distância",L296&gt;Constantes!$H$2,"Longa Distância")</f>
        <v>Longa Distância</v>
      </c>
      <c r="AE296" s="30" t="str">
        <f t="shared" si="23"/>
        <v>NÃO</v>
      </c>
      <c r="AF296" s="30">
        <f>SUMIF(Entradas!$B:$B,'Entrada Lvl 5-4 qt'!$B296,Entradas!$AG:$AG)</f>
        <v>717.39676463438343</v>
      </c>
      <c r="AG296" s="30"/>
      <c r="BD296" s="49"/>
      <c r="BE296" s="49"/>
    </row>
    <row r="297" spans="1:57" x14ac:dyDescent="0.3">
      <c r="A297">
        <f>_xlfn.XLOOKUP(B297,Entradas!B:B,Entradas!A:A,,0,-1)</f>
        <v>2</v>
      </c>
      <c r="B297">
        <v>19241806</v>
      </c>
      <c r="C297" t="str">
        <f>_xlfn.XLOOKUP($B297,Entradas!$B:$B,Entradas!C:C,,0,1)</f>
        <v>001161/23</v>
      </c>
      <c r="D297" t="str">
        <f>_xlfn.XLOOKUP($B297,Entradas!$B:$B,Entradas!D:D,,0,1)</f>
        <v>***.572.478-**</v>
      </c>
      <c r="E297" t="str">
        <f>_xlfn.XLOOKUP($B297,Entradas!$B:$B,Entradas!E:E,,0,1)</f>
        <v>MUNIQUE MASSARO</v>
      </c>
      <c r="F297" t="str">
        <f>_xlfn.XLOOKUP($B297,Entradas!$B:$B,Entradas!F:F,,0,1)</f>
        <v>PROFESSOR DO MAGISTERIO SUPERIOR</v>
      </c>
      <c r="G297" t="str">
        <f>_xlfn.XLOOKUP($B297,Entradas!$B:$B,Entradas!G:G,,0,1)</f>
        <v>-1</v>
      </c>
      <c r="H297" t="str">
        <f>_xlfn.XLOOKUP($B297,Entradas!$B:$B,Entradas!H:H,,0,1)</f>
        <v>Sem informação</v>
      </c>
      <c r="I297" s="49">
        <f>_xlfn.XLOOKUP($B297,Entradas!$B:$B,Entradas!I:I,,0,1)</f>
        <v>45244</v>
      </c>
      <c r="J297" s="49">
        <f>_xlfn.XLOOKUP($B297,Entradas!$B:$B,Entradas!J:J,,0,1)</f>
        <v>45249</v>
      </c>
      <c r="K297" t="str">
        <f>_xlfn.XLOOKUP($B297,Entradas!$B:$B,Entradas!K:K,,0,1)</f>
        <v>Apresentação de Comunicação Oral no 10º Congresso Brasileiro de Educação Especial, no município de São Carlos - SP.</v>
      </c>
      <c r="L297">
        <f>SUMIF(Entradas!$B:$B,'Entrada Lvl 5-4 qt'!$B297,Entradas!S:S)</f>
        <v>4387.7299999999996</v>
      </c>
      <c r="M297" t="str">
        <f>_xlfn.XLOOKUP($B297,Entradas!$B:$B,Entradas!T:T,,0,1)</f>
        <v>Aéreo</v>
      </c>
      <c r="N297" t="str">
        <f>_xlfn.XLOOKUP($B297,Entradas!$B:$B,Entradas!U:U,,0,1)</f>
        <v>Sim</v>
      </c>
      <c r="O297" t="str">
        <f>_xlfn.XLOOKUP($B297,Entradas!$B:$B,Entradas!V:V,,0,1)</f>
        <v>Realizada</v>
      </c>
      <c r="P297" t="str">
        <f>_xlfn.XLOOKUP($B297,Entradas!$B:$B,Entradas!W:W,,0,1)</f>
        <v>NÃO</v>
      </c>
      <c r="Q297" t="str">
        <f>_xlfn.XLOOKUP($B297,Entradas!$B:$B,Entradas!X:X,,0,1)</f>
        <v>Sem informação</v>
      </c>
      <c r="R297" s="36">
        <f>SUMIF(Entradas!$B:$B,'Entrada Lvl 5-4 qt'!$B297,Entradas!Y:Y)</f>
        <v>1660.22</v>
      </c>
      <c r="S297" s="36">
        <f>SUMIF(Entradas!$B:$B,'Entrada Lvl 5-4 qt'!$B297,Entradas!Z:Z)</f>
        <v>0</v>
      </c>
      <c r="T297" s="36">
        <f>SUMIF(Entradas!$B:$B,'Entrada Lvl 5-4 qt'!$B297,Entradas!AA:AA)</f>
        <v>1939.54</v>
      </c>
      <c r="U297" s="36">
        <f>SUMIF(Entradas!$B:$B,'Entrada Lvl 5-4 qt'!$B297,Entradas!AB:AB)</f>
        <v>0</v>
      </c>
      <c r="V297" s="49">
        <f>_xlfn.XLOOKUP($B297,Entradas!$B:$B,Entradas!AC:AC,,0,1)</f>
        <v>45191</v>
      </c>
      <c r="W297" s="58">
        <f t="shared" si="24"/>
        <v>5</v>
      </c>
      <c r="X297" s="28" t="s">
        <v>10</v>
      </c>
      <c r="Y297" s="32">
        <f t="shared" si="20"/>
        <v>0</v>
      </c>
      <c r="Z297" s="33">
        <f t="shared" si="21"/>
        <v>1939.54</v>
      </c>
      <c r="AA297" s="34">
        <f t="shared" si="22"/>
        <v>1660.22</v>
      </c>
      <c r="AB297" s="28" t="s">
        <v>1814</v>
      </c>
      <c r="AC297" s="28" t="s">
        <v>1820</v>
      </c>
      <c r="AD297" s="29" t="str" cm="1">
        <f t="array" ref="AD297">_xlfn.IFS(L297&lt;=Constantes!$G$2,"Muito Curta (evitável)",L297&lt;=Constantes!$H$2,"Curta Distância",L297&gt;Constantes!$H$2,"Longa Distância")</f>
        <v>Longa Distância</v>
      </c>
      <c r="AE297" s="30" t="str">
        <f t="shared" si="23"/>
        <v>NÃO</v>
      </c>
      <c r="AF297" s="30">
        <f>SUMIF(Entradas!$B:$B,'Entrada Lvl 5-4 qt'!$B297,Entradas!$AG:$AG)</f>
        <v>802.381352216604</v>
      </c>
      <c r="AG297" s="30"/>
      <c r="BD297" s="49"/>
      <c r="BE297" s="49"/>
    </row>
    <row r="298" spans="1:57" x14ac:dyDescent="0.3">
      <c r="A298">
        <f>_xlfn.XLOOKUP(B298,Entradas!B:B,Entradas!A:A,,0,-1)</f>
        <v>2</v>
      </c>
      <c r="B298">
        <v>19373884</v>
      </c>
      <c r="C298" t="str">
        <f>_xlfn.XLOOKUP($B298,Entradas!$B:$B,Entradas!C:C,,0,1)</f>
        <v>001356/23</v>
      </c>
      <c r="D298" t="str">
        <f>_xlfn.XLOOKUP($B298,Entradas!$B:$B,Entradas!D:D,,0,1)</f>
        <v>***.240.820-**</v>
      </c>
      <c r="E298" t="str">
        <f>_xlfn.XLOOKUP($B298,Entradas!$B:$B,Entradas!E:E,,0,1)</f>
        <v>ANA PAULA BASSO</v>
      </c>
      <c r="F298" t="str">
        <f>_xlfn.XLOOKUP($B298,Entradas!$B:$B,Entradas!F:F,,0,1)</f>
        <v>PROFESSOR DO MAGISTERIO SUPERIOR</v>
      </c>
      <c r="G298" t="str">
        <f>_xlfn.XLOOKUP($B298,Entradas!$B:$B,Entradas!G:G,,0,1)</f>
        <v>-1</v>
      </c>
      <c r="H298" t="str">
        <f>_xlfn.XLOOKUP($B298,Entradas!$B:$B,Entradas!H:H,,0,1)</f>
        <v>Sem informação</v>
      </c>
      <c r="I298" s="49">
        <f>_xlfn.XLOOKUP($B298,Entradas!$B:$B,Entradas!I:I,,0,1)</f>
        <v>45244</v>
      </c>
      <c r="J298" s="49">
        <f>_xlfn.XLOOKUP($B298,Entradas!$B:$B,Entradas!J:J,,0,1)</f>
        <v>45248</v>
      </c>
      <c r="K298" t="str">
        <f>_xlfn.XLOOKUP($B298,Entradas!$B:$B,Entradas!K:K,,0,1)</f>
        <v>Participação no XXX CONGRESSO NACIONAL DO CONPEDI FORTALEZA</v>
      </c>
      <c r="L298">
        <f>SUMIF(Entradas!$B:$B,'Entrada Lvl 5-4 qt'!$B298,Entradas!S:S)</f>
        <v>1092.4728600000001</v>
      </c>
      <c r="M298" t="str">
        <f>_xlfn.XLOOKUP($B298,Entradas!$B:$B,Entradas!T:T,,0,1)</f>
        <v>Aéreo</v>
      </c>
      <c r="N298" t="str">
        <f>_xlfn.XLOOKUP($B298,Entradas!$B:$B,Entradas!U:U,,0,1)</f>
        <v>Não</v>
      </c>
      <c r="O298" t="str">
        <f>_xlfn.XLOOKUP($B298,Entradas!$B:$B,Entradas!V:V,,0,1)</f>
        <v>Realizada</v>
      </c>
      <c r="P298" t="str">
        <f>_xlfn.XLOOKUP($B298,Entradas!$B:$B,Entradas!W:W,,0,1)</f>
        <v>NÃO</v>
      </c>
      <c r="Q298" t="str">
        <f>_xlfn.XLOOKUP($B298,Entradas!$B:$B,Entradas!X:X,,0,1)</f>
        <v>Sem informação</v>
      </c>
      <c r="R298" s="36">
        <f>SUMIF(Entradas!$B:$B,'Entrada Lvl 5-4 qt'!$B298,Entradas!Y:Y)</f>
        <v>1539.86</v>
      </c>
      <c r="S298" s="36">
        <f>SUMIF(Entradas!$B:$B,'Entrada Lvl 5-4 qt'!$B298,Entradas!Z:Z)</f>
        <v>0</v>
      </c>
      <c r="T298" s="36">
        <f>SUMIF(Entradas!$B:$B,'Entrada Lvl 5-4 qt'!$B298,Entradas!AA:AA)</f>
        <v>1733.22</v>
      </c>
      <c r="U298" s="36">
        <f>SUMIF(Entradas!$B:$B,'Entrada Lvl 5-4 qt'!$B298,Entradas!AB:AB)</f>
        <v>0</v>
      </c>
      <c r="V298" s="49">
        <f>_xlfn.XLOOKUP($B298,Entradas!$B:$B,Entradas!AC:AC,,0,1)</f>
        <v>45205</v>
      </c>
      <c r="W298" s="58">
        <f t="shared" si="24"/>
        <v>4</v>
      </c>
      <c r="X298" s="28" t="s">
        <v>10</v>
      </c>
      <c r="Y298" s="32">
        <f t="shared" si="20"/>
        <v>0</v>
      </c>
      <c r="Z298" s="33">
        <f t="shared" si="21"/>
        <v>1733.22</v>
      </c>
      <c r="AA298" s="34">
        <f t="shared" si="22"/>
        <v>1539.86</v>
      </c>
      <c r="AB298" s="28" t="s">
        <v>1814</v>
      </c>
      <c r="AC298" s="28" t="s">
        <v>1820</v>
      </c>
      <c r="AD298" s="29" t="str" cm="1">
        <f t="array" ref="AD298">_xlfn.IFS(L298&lt;=Constantes!$G$2,"Muito Curta (evitável)",L298&lt;=Constantes!$H$2,"Curta Distância",L298&gt;Constantes!$H$2,"Longa Distância")</f>
        <v>Curta Distância</v>
      </c>
      <c r="AE298" s="30" t="str">
        <f t="shared" si="23"/>
        <v>NÃO</v>
      </c>
      <c r="AF298" s="30">
        <f>SUMIF(Entradas!$B:$B,'Entrada Lvl 5-4 qt'!$B298,Entradas!$AG:$AG)</f>
        <v>297.78274013517625</v>
      </c>
      <c r="AG298" s="30"/>
      <c r="BD298" s="49"/>
      <c r="BE298" s="49"/>
    </row>
    <row r="299" spans="1:57" x14ac:dyDescent="0.3">
      <c r="A299">
        <f>_xlfn.XLOOKUP(B299,Entradas!B:B,Entradas!A:A,,0,-1)</f>
        <v>2</v>
      </c>
      <c r="B299">
        <v>19374948</v>
      </c>
      <c r="C299" t="str">
        <f>_xlfn.XLOOKUP($B299,Entradas!$B:$B,Entradas!C:C,,0,1)</f>
        <v>001357/23</v>
      </c>
      <c r="D299" t="str">
        <f>_xlfn.XLOOKUP($B299,Entradas!$B:$B,Entradas!D:D,,0,1)</f>
        <v>***.814.854-**</v>
      </c>
      <c r="E299" t="str">
        <f>_xlfn.XLOOKUP($B299,Entradas!$B:$B,Entradas!E:E,,0,1)</f>
        <v>MARIA CREUSA DE ARAUJO BORGES</v>
      </c>
      <c r="F299" t="str">
        <f>_xlfn.XLOOKUP($B299,Entradas!$B:$B,Entradas!F:F,,0,1)</f>
        <v>PROFESSOR DO MAGISTERIO SUPERIOR</v>
      </c>
      <c r="G299" t="str">
        <f>_xlfn.XLOOKUP($B299,Entradas!$B:$B,Entradas!G:G,,0,1)</f>
        <v>-1</v>
      </c>
      <c r="H299" t="str">
        <f>_xlfn.XLOOKUP($B299,Entradas!$B:$B,Entradas!H:H,,0,1)</f>
        <v>Sem informação</v>
      </c>
      <c r="I299" s="49">
        <f>_xlfn.XLOOKUP($B299,Entradas!$B:$B,Entradas!I:I,,0,1)</f>
        <v>45244</v>
      </c>
      <c r="J299" s="49">
        <f>_xlfn.XLOOKUP($B299,Entradas!$B:$B,Entradas!J:J,,0,1)</f>
        <v>45248</v>
      </c>
      <c r="K299" t="str">
        <f>_xlfn.XLOOKUP($B299,Entradas!$B:$B,Entradas!K:K,,0,1)</f>
        <v>Participação no XXX CONGRESSO NACIONAL DO CONPEDI FORTALEZA</v>
      </c>
      <c r="L299">
        <f>SUMIF(Entradas!$B:$B,'Entrada Lvl 5-4 qt'!$B299,Entradas!S:S)</f>
        <v>1092.4728600000001</v>
      </c>
      <c r="M299" t="str">
        <f>_xlfn.XLOOKUP($B299,Entradas!$B:$B,Entradas!T:T,,0,1)</f>
        <v>Aéreo</v>
      </c>
      <c r="N299" t="str">
        <f>_xlfn.XLOOKUP($B299,Entradas!$B:$B,Entradas!U:U,,0,1)</f>
        <v>Sim</v>
      </c>
      <c r="O299" t="str">
        <f>_xlfn.XLOOKUP($B299,Entradas!$B:$B,Entradas!V:V,,0,1)</f>
        <v>Realizada</v>
      </c>
      <c r="P299" t="str">
        <f>_xlfn.XLOOKUP($B299,Entradas!$B:$B,Entradas!W:W,,0,1)</f>
        <v>NÃO</v>
      </c>
      <c r="Q299" t="str">
        <f>_xlfn.XLOOKUP($B299,Entradas!$B:$B,Entradas!X:X,,0,1)</f>
        <v>Sem informação</v>
      </c>
      <c r="R299" s="36">
        <f>SUMIF(Entradas!$B:$B,'Entrada Lvl 5-4 qt'!$B299,Entradas!Y:Y)</f>
        <v>1539.86</v>
      </c>
      <c r="S299" s="36">
        <f>SUMIF(Entradas!$B:$B,'Entrada Lvl 5-4 qt'!$B299,Entradas!Z:Z)</f>
        <v>0</v>
      </c>
      <c r="T299" s="36">
        <f>SUMIF(Entradas!$B:$B,'Entrada Lvl 5-4 qt'!$B299,Entradas!AA:AA)</f>
        <v>1691.92</v>
      </c>
      <c r="U299" s="36">
        <f>SUMIF(Entradas!$B:$B,'Entrada Lvl 5-4 qt'!$B299,Entradas!AB:AB)</f>
        <v>0</v>
      </c>
      <c r="V299" s="49">
        <f>_xlfn.XLOOKUP($B299,Entradas!$B:$B,Entradas!AC:AC,,0,1)</f>
        <v>45208</v>
      </c>
      <c r="W299" s="58">
        <f t="shared" si="24"/>
        <v>4</v>
      </c>
      <c r="X299" s="28" t="s">
        <v>10</v>
      </c>
      <c r="Y299" s="32">
        <f t="shared" si="20"/>
        <v>0</v>
      </c>
      <c r="Z299" s="33">
        <f t="shared" si="21"/>
        <v>1691.92</v>
      </c>
      <c r="AA299" s="34">
        <f t="shared" si="22"/>
        <v>1539.86</v>
      </c>
      <c r="AB299" s="28" t="s">
        <v>1814</v>
      </c>
      <c r="AC299" s="28" t="s">
        <v>1820</v>
      </c>
      <c r="AD299" s="29" t="str" cm="1">
        <f t="array" ref="AD299">_xlfn.IFS(L299&lt;=Constantes!$G$2,"Muito Curta (evitável)",L299&lt;=Constantes!$H$2,"Curta Distância",L299&gt;Constantes!$H$2,"Longa Distância")</f>
        <v>Curta Distância</v>
      </c>
      <c r="AE299" s="30" t="str">
        <f t="shared" si="23"/>
        <v>NÃO</v>
      </c>
      <c r="AF299" s="30">
        <f>SUMIF(Entradas!$B:$B,'Entrada Lvl 5-4 qt'!$B299,Entradas!$AG:$AG)</f>
        <v>297.78274013517625</v>
      </c>
      <c r="AG299" s="30"/>
      <c r="BD299" s="49"/>
      <c r="BE299" s="49"/>
    </row>
    <row r="300" spans="1:57" x14ac:dyDescent="0.3">
      <c r="A300">
        <f>_xlfn.XLOOKUP(B300,Entradas!B:B,Entradas!A:A,,0,-1)</f>
        <v>2</v>
      </c>
      <c r="B300">
        <v>19383124</v>
      </c>
      <c r="C300" t="str">
        <f>_xlfn.XLOOKUP($B300,Entradas!$B:$B,Entradas!C:C,,0,1)</f>
        <v>001387/23</v>
      </c>
      <c r="D300" t="str">
        <f>_xlfn.XLOOKUP($B300,Entradas!$B:$B,Entradas!D:D,,0,1)</f>
        <v>***.205.304-**</v>
      </c>
      <c r="E300" t="str">
        <f>_xlfn.XLOOKUP($B300,Entradas!$B:$B,Entradas!E:E,,0,1)</f>
        <v>FERNANDO JOAQUIM FERREIRA MAIA</v>
      </c>
      <c r="F300" t="str">
        <f>_xlfn.XLOOKUP($B300,Entradas!$B:$B,Entradas!F:F,,0,1)</f>
        <v>PROFESSOR DO MAGISTERIO SUPERIOR</v>
      </c>
      <c r="G300" t="str">
        <f>_xlfn.XLOOKUP($B300,Entradas!$B:$B,Entradas!G:G,,0,1)</f>
        <v>-1</v>
      </c>
      <c r="H300" t="str">
        <f>_xlfn.XLOOKUP($B300,Entradas!$B:$B,Entradas!H:H,,0,1)</f>
        <v>Sem informação</v>
      </c>
      <c r="I300" s="49">
        <f>_xlfn.XLOOKUP($B300,Entradas!$B:$B,Entradas!I:I,,0,1)</f>
        <v>45244</v>
      </c>
      <c r="J300" s="49">
        <f>_xlfn.XLOOKUP($B300,Entradas!$B:$B,Entradas!J:J,,0,1)</f>
        <v>45248</v>
      </c>
      <c r="K300" t="str">
        <f>_xlfn.XLOOKUP($B300,Entradas!$B:$B,Entradas!K:K,,0,1)</f>
        <v>Participação no XXX CONGRESSO NACIONAL DO CONPEDI FORTALEZA</v>
      </c>
      <c r="L300">
        <f>SUMIF(Entradas!$B:$B,'Entrada Lvl 5-4 qt'!$B300,Entradas!S:S)</f>
        <v>1255.2527250000001</v>
      </c>
      <c r="M300" t="str">
        <f>_xlfn.XLOOKUP($B300,Entradas!$B:$B,Entradas!T:T,,0,1)</f>
        <v>Aéreo</v>
      </c>
      <c r="N300" t="str">
        <f>_xlfn.XLOOKUP($B300,Entradas!$B:$B,Entradas!U:U,,0,1)</f>
        <v>Não</v>
      </c>
      <c r="O300" t="str">
        <f>_xlfn.XLOOKUP($B300,Entradas!$B:$B,Entradas!V:V,,0,1)</f>
        <v>Realizada</v>
      </c>
      <c r="P300" t="str">
        <f>_xlfn.XLOOKUP($B300,Entradas!$B:$B,Entradas!W:W,,0,1)</f>
        <v>NÃO</v>
      </c>
      <c r="Q300" t="str">
        <f>_xlfn.XLOOKUP($B300,Entradas!$B:$B,Entradas!X:X,,0,1)</f>
        <v>Sem informação</v>
      </c>
      <c r="R300" s="36">
        <f>SUMIF(Entradas!$B:$B,'Entrada Lvl 5-4 qt'!$B300,Entradas!Y:Y)</f>
        <v>1539.86</v>
      </c>
      <c r="S300" s="36">
        <f>SUMIF(Entradas!$B:$B,'Entrada Lvl 5-4 qt'!$B300,Entradas!Z:Z)</f>
        <v>0</v>
      </c>
      <c r="T300" s="36">
        <f>SUMIF(Entradas!$B:$B,'Entrada Lvl 5-4 qt'!$B300,Entradas!AA:AA)</f>
        <v>978.17000000000007</v>
      </c>
      <c r="U300" s="36">
        <f>SUMIF(Entradas!$B:$B,'Entrada Lvl 5-4 qt'!$B300,Entradas!AB:AB)</f>
        <v>0</v>
      </c>
      <c r="V300" s="49">
        <f>_xlfn.XLOOKUP($B300,Entradas!$B:$B,Entradas!AC:AC,,0,1)</f>
        <v>45208</v>
      </c>
      <c r="W300" s="58">
        <f t="shared" si="24"/>
        <v>4</v>
      </c>
      <c r="X300" s="28" t="s">
        <v>10</v>
      </c>
      <c r="Y300" s="32">
        <f t="shared" si="20"/>
        <v>0</v>
      </c>
      <c r="Z300" s="33">
        <f t="shared" si="21"/>
        <v>978.17000000000007</v>
      </c>
      <c r="AA300" s="34">
        <f t="shared" si="22"/>
        <v>1539.86</v>
      </c>
      <c r="AB300" s="28" t="s">
        <v>1814</v>
      </c>
      <c r="AC300" s="28" t="s">
        <v>1820</v>
      </c>
      <c r="AD300" s="29" t="str" cm="1">
        <f t="array" ref="AD300">_xlfn.IFS(L300&lt;=Constantes!$G$2,"Muito Curta (evitável)",L300&lt;=Constantes!$H$2,"Curta Distância",L300&gt;Constantes!$H$2,"Longa Distância")</f>
        <v>Curta Distância</v>
      </c>
      <c r="AE300" s="30" t="str">
        <f t="shared" si="23"/>
        <v>NÃO</v>
      </c>
      <c r="AF300" s="30">
        <f>SUMIF(Entradas!$B:$B,'Entrada Lvl 5-4 qt'!$B300,Entradas!$AG:$AG)</f>
        <v>229.54725538241348</v>
      </c>
      <c r="AG300" s="30"/>
      <c r="BD300" s="49"/>
      <c r="BE300" s="49"/>
    </row>
    <row r="301" spans="1:57" x14ac:dyDescent="0.3">
      <c r="A301">
        <f>_xlfn.XLOOKUP(B301,Entradas!B:B,Entradas!A:A,,0,-1)</f>
        <v>2</v>
      </c>
      <c r="B301">
        <v>19418973</v>
      </c>
      <c r="C301" t="str">
        <f>_xlfn.XLOOKUP($B301,Entradas!$B:$B,Entradas!C:C,,0,1)</f>
        <v>001520/23</v>
      </c>
      <c r="D301" t="str">
        <f>_xlfn.XLOOKUP($B301,Entradas!$B:$B,Entradas!D:D,,0,1)</f>
        <v/>
      </c>
      <c r="E301" t="str">
        <f>_xlfn.XLOOKUP($B301,Entradas!$B:$B,Entradas!E:E,,0,1)</f>
        <v>JENNIFER KAROLYNNE COSTA DE SOUSA</v>
      </c>
      <c r="F301" t="str">
        <f>_xlfn.XLOOKUP($B301,Entradas!$B:$B,Entradas!F:F,,0,1)</f>
        <v/>
      </c>
      <c r="G301" t="str">
        <f>_xlfn.XLOOKUP($B301,Entradas!$B:$B,Entradas!G:G,,0,1)</f>
        <v>-1</v>
      </c>
      <c r="H301" t="str">
        <f>_xlfn.XLOOKUP($B301,Entradas!$B:$B,Entradas!H:H,,0,1)</f>
        <v>Sem informação</v>
      </c>
      <c r="I301" s="49">
        <f>_xlfn.XLOOKUP($B301,Entradas!$B:$B,Entradas!I:I,,0,1)</f>
        <v>45244</v>
      </c>
      <c r="J301" s="49">
        <f>_xlfn.XLOOKUP($B301,Entradas!$B:$B,Entradas!J:J,,0,1)</f>
        <v>45248</v>
      </c>
      <c r="K301" t="str">
        <f>_xlfn.XLOOKUP($B301,Entradas!$B:$B,Entradas!K:K,,0,1)</f>
        <v>Participação no XXX CONGRESSO NACIONAL DO CONPEDI FORTALEZA</v>
      </c>
      <c r="L301">
        <f>SUMIF(Entradas!$B:$B,'Entrada Lvl 5-4 qt'!$B301,Entradas!S:S)</f>
        <v>1092.4728600000001</v>
      </c>
      <c r="M301" t="str">
        <f>_xlfn.XLOOKUP($B301,Entradas!$B:$B,Entradas!T:T,,0,1)</f>
        <v>Aéreo</v>
      </c>
      <c r="N301" t="str">
        <f>_xlfn.XLOOKUP($B301,Entradas!$B:$B,Entradas!U:U,,0,1)</f>
        <v>Não</v>
      </c>
      <c r="O301" t="str">
        <f>_xlfn.XLOOKUP($B301,Entradas!$B:$B,Entradas!V:V,,0,1)</f>
        <v>Realizada</v>
      </c>
      <c r="P301" t="str">
        <f>_xlfn.XLOOKUP($B301,Entradas!$B:$B,Entradas!W:W,,0,1)</f>
        <v>NÃO</v>
      </c>
      <c r="Q301" t="str">
        <f>_xlfn.XLOOKUP($B301,Entradas!$B:$B,Entradas!X:X,,0,1)</f>
        <v>Sem informação</v>
      </c>
      <c r="R301" s="36">
        <f>SUMIF(Entradas!$B:$B,'Entrada Lvl 5-4 qt'!$B301,Entradas!Y:Y)</f>
        <v>0</v>
      </c>
      <c r="S301" s="36">
        <f>SUMIF(Entradas!$B:$B,'Entrada Lvl 5-4 qt'!$B301,Entradas!Z:Z)</f>
        <v>0</v>
      </c>
      <c r="T301" s="36">
        <f>SUMIF(Entradas!$B:$B,'Entrada Lvl 5-4 qt'!$B301,Entradas!AA:AA)</f>
        <v>2377.62</v>
      </c>
      <c r="U301" s="36">
        <f>SUMIF(Entradas!$B:$B,'Entrada Lvl 5-4 qt'!$B301,Entradas!AB:AB)</f>
        <v>0</v>
      </c>
      <c r="V301" s="49">
        <f>_xlfn.XLOOKUP($B301,Entradas!$B:$B,Entradas!AC:AC,,0,1)</f>
        <v>45219</v>
      </c>
      <c r="W301" s="58">
        <f t="shared" si="24"/>
        <v>4</v>
      </c>
      <c r="X301" s="28" t="s">
        <v>10</v>
      </c>
      <c r="Y301" s="32">
        <f t="shared" si="20"/>
        <v>0</v>
      </c>
      <c r="Z301" s="33">
        <f t="shared" si="21"/>
        <v>2377.62</v>
      </c>
      <c r="AA301" s="34">
        <f t="shared" si="22"/>
        <v>0</v>
      </c>
      <c r="AB301" s="28" t="s">
        <v>1814</v>
      </c>
      <c r="AC301" s="28" t="s">
        <v>1822</v>
      </c>
      <c r="AD301" s="29" t="str" cm="1">
        <f t="array" ref="AD301">_xlfn.IFS(L301&lt;=Constantes!$G$2,"Muito Curta (evitável)",L301&lt;=Constantes!$H$2,"Curta Distância",L301&gt;Constantes!$H$2,"Longa Distância")</f>
        <v>Curta Distância</v>
      </c>
      <c r="AE301" s="30" t="str">
        <f t="shared" si="23"/>
        <v>NÃO</v>
      </c>
      <c r="AF301" s="30">
        <f>SUMIF(Entradas!$B:$B,'Entrada Lvl 5-4 qt'!$B301,Entradas!$AG:$AG)</f>
        <v>297.78274013517625</v>
      </c>
      <c r="AG301" s="30"/>
      <c r="BD301" s="49"/>
      <c r="BE301" s="49"/>
    </row>
    <row r="302" spans="1:57" x14ac:dyDescent="0.3">
      <c r="A302">
        <f>_xlfn.XLOOKUP(B302,Entradas!B:B,Entradas!A:A,,0,-1)</f>
        <v>2</v>
      </c>
      <c r="B302">
        <v>19428443</v>
      </c>
      <c r="C302" t="str">
        <f>_xlfn.XLOOKUP($B302,Entradas!$B:$B,Entradas!C:C,,0,1)</f>
        <v>001575/23</v>
      </c>
      <c r="D302" t="str">
        <f>_xlfn.XLOOKUP($B302,Entradas!$B:$B,Entradas!D:D,,0,1)</f>
        <v/>
      </c>
      <c r="E302" t="str">
        <f>_xlfn.XLOOKUP($B302,Entradas!$B:$B,Entradas!E:E,,0,1)</f>
        <v>MATEUS MENDES VIEIRA</v>
      </c>
      <c r="F302" t="str">
        <f>_xlfn.XLOOKUP($B302,Entradas!$B:$B,Entradas!F:F,,0,1)</f>
        <v/>
      </c>
      <c r="G302" t="str">
        <f>_xlfn.XLOOKUP($B302,Entradas!$B:$B,Entradas!G:G,,0,1)</f>
        <v>-1</v>
      </c>
      <c r="H302" t="str">
        <f>_xlfn.XLOOKUP($B302,Entradas!$B:$B,Entradas!H:H,,0,1)</f>
        <v>Sem informação</v>
      </c>
      <c r="I302" s="49">
        <f>_xlfn.XLOOKUP($B302,Entradas!$B:$B,Entradas!I:I,,0,1)</f>
        <v>45244</v>
      </c>
      <c r="J302" s="49">
        <f>_xlfn.XLOOKUP($B302,Entradas!$B:$B,Entradas!J:J,,0,1)</f>
        <v>45250</v>
      </c>
      <c r="K302" t="str">
        <f>_xlfn.XLOOKUP($B302,Entradas!$B:$B,Entradas!K:K,,0,1)</f>
        <v>PROPOSTO IRÁ PARTICIPAR DO CONGRESSO 14º CIFARP 2023 APRESENTANDO TRABALHOS DE PESQUISA REFERENTE AO SEU CURSO DE GRADUAÇÃO NA UFPB.</v>
      </c>
      <c r="L302">
        <f>SUMIF(Entradas!$B:$B,'Entrada Lvl 5-4 qt'!$B302,Entradas!S:S)</f>
        <v>4159.2084379999997</v>
      </c>
      <c r="M302" t="str">
        <f>_xlfn.XLOOKUP($B302,Entradas!$B:$B,Entradas!T:T,,0,1)</f>
        <v>Aéreo</v>
      </c>
      <c r="N302" t="str">
        <f>_xlfn.XLOOKUP($B302,Entradas!$B:$B,Entradas!U:U,,0,1)</f>
        <v>Sim</v>
      </c>
      <c r="O302" t="str">
        <f>_xlfn.XLOOKUP($B302,Entradas!$B:$B,Entradas!V:V,,0,1)</f>
        <v>Realizada</v>
      </c>
      <c r="P302" t="str">
        <f>_xlfn.XLOOKUP($B302,Entradas!$B:$B,Entradas!W:W,,0,1)</f>
        <v>NÃO</v>
      </c>
      <c r="Q302" t="str">
        <f>_xlfn.XLOOKUP($B302,Entradas!$B:$B,Entradas!X:X,,0,1)</f>
        <v>Sem informação</v>
      </c>
      <c r="R302" s="36">
        <f>SUMIF(Entradas!$B:$B,'Entrada Lvl 5-4 qt'!$B302,Entradas!Y:Y)</f>
        <v>0</v>
      </c>
      <c r="S302" s="36">
        <f>SUMIF(Entradas!$B:$B,'Entrada Lvl 5-4 qt'!$B302,Entradas!Z:Z)</f>
        <v>0</v>
      </c>
      <c r="T302" s="36">
        <f>SUMIF(Entradas!$B:$B,'Entrada Lvl 5-4 qt'!$B302,Entradas!AA:AA)</f>
        <v>4678.26</v>
      </c>
      <c r="U302" s="36">
        <f>SUMIF(Entradas!$B:$B,'Entrada Lvl 5-4 qt'!$B302,Entradas!AB:AB)</f>
        <v>0</v>
      </c>
      <c r="V302" s="49">
        <f>_xlfn.XLOOKUP($B302,Entradas!$B:$B,Entradas!AC:AC,,0,1)</f>
        <v>45225</v>
      </c>
      <c r="W302" s="58">
        <f t="shared" si="24"/>
        <v>6</v>
      </c>
      <c r="X302" s="28" t="s">
        <v>10</v>
      </c>
      <c r="Y302" s="32">
        <f t="shared" si="20"/>
        <v>0</v>
      </c>
      <c r="Z302" s="33">
        <f t="shared" si="21"/>
        <v>4678.26</v>
      </c>
      <c r="AA302" s="34">
        <f t="shared" si="22"/>
        <v>0</v>
      </c>
      <c r="AB302" s="28" t="s">
        <v>1814</v>
      </c>
      <c r="AC302" s="28" t="s">
        <v>1822</v>
      </c>
      <c r="AD302" s="29" t="str" cm="1">
        <f t="array" ref="AD302">_xlfn.IFS(L302&lt;=Constantes!$G$2,"Muito Curta (evitável)",L302&lt;=Constantes!$H$2,"Curta Distância",L302&gt;Constantes!$H$2,"Longa Distância")</f>
        <v>Longa Distância</v>
      </c>
      <c r="AE302" s="30" t="str">
        <f t="shared" si="23"/>
        <v>NÃO</v>
      </c>
      <c r="AF302" s="30">
        <f>SUMIF(Entradas!$B:$B,'Entrada Lvl 5-4 qt'!$B302,Entradas!$AG:$AG)</f>
        <v>760.59176171577315</v>
      </c>
      <c r="AG302" s="30"/>
      <c r="BD302" s="49"/>
      <c r="BE302" s="49"/>
    </row>
    <row r="303" spans="1:57" x14ac:dyDescent="0.3">
      <c r="A303">
        <f>_xlfn.XLOOKUP(B303,Entradas!B:B,Entradas!A:A,,0,-1)</f>
        <v>2</v>
      </c>
      <c r="B303">
        <v>19174177</v>
      </c>
      <c r="C303" t="str">
        <f>_xlfn.XLOOKUP($B303,Entradas!$B:$B,Entradas!C:C,,0,1)</f>
        <v>000789/23</v>
      </c>
      <c r="D303" t="str">
        <f>_xlfn.XLOOKUP($B303,Entradas!$B:$B,Entradas!D:D,,0,1)</f>
        <v>***.212.634-**</v>
      </c>
      <c r="E303" t="str">
        <f>_xlfn.XLOOKUP($B303,Entradas!$B:$B,Entradas!E:E,,0,1)</f>
        <v>JULIO RIQUE NETO</v>
      </c>
      <c r="F303" t="str">
        <f>_xlfn.XLOOKUP($B303,Entradas!$B:$B,Entradas!F:F,,0,1)</f>
        <v>PROFESSOR DO MAGISTERIO SUPERIOR</v>
      </c>
      <c r="G303" t="str">
        <f>_xlfn.XLOOKUP($B303,Entradas!$B:$B,Entradas!G:G,,0,1)</f>
        <v>FUC-0001</v>
      </c>
      <c r="H303" t="str">
        <f>_xlfn.XLOOKUP($B303,Entradas!$B:$B,Entradas!H:H,,0,1)</f>
        <v>FUC-0001</v>
      </c>
      <c r="I303" s="49">
        <f>_xlfn.XLOOKUP($B303,Entradas!$B:$B,Entradas!I:I,,0,1)</f>
        <v>45245</v>
      </c>
      <c r="J303" s="49">
        <f>_xlfn.XLOOKUP($B303,Entradas!$B:$B,Entradas!J:J,,0,1)</f>
        <v>45248</v>
      </c>
      <c r="K303" t="str">
        <f>_xlfn.XLOOKUP($B303,Entradas!$B:$B,Entradas!K:K,,0,1)</f>
        <v>Participar do Seminário de Meio Termo da CAPES</v>
      </c>
      <c r="L303">
        <f>SUMIF(Entradas!$B:$B,'Entrada Lvl 5-4 qt'!$B303,Entradas!S:S)</f>
        <v>3426.839982</v>
      </c>
      <c r="M303" t="str">
        <f>_xlfn.XLOOKUP($B303,Entradas!$B:$B,Entradas!T:T,,0,1)</f>
        <v>Aéreo</v>
      </c>
      <c r="N303" t="str">
        <f>_xlfn.XLOOKUP($B303,Entradas!$B:$B,Entradas!U:U,,0,1)</f>
        <v>Não</v>
      </c>
      <c r="O303" t="str">
        <f>_xlfn.XLOOKUP($B303,Entradas!$B:$B,Entradas!V:V,,0,1)</f>
        <v>Realizada</v>
      </c>
      <c r="P303" t="str">
        <f>_xlfn.XLOOKUP($B303,Entradas!$B:$B,Entradas!W:W,,0,1)</f>
        <v>NÃO</v>
      </c>
      <c r="Q303" t="str">
        <f>_xlfn.XLOOKUP($B303,Entradas!$B:$B,Entradas!X:X,,0,1)</f>
        <v>Sem informação</v>
      </c>
      <c r="R303" s="36">
        <f>SUMIF(Entradas!$B:$B,'Entrada Lvl 5-4 qt'!$B303,Entradas!Y:Y)</f>
        <v>1369.17</v>
      </c>
      <c r="S303" s="36">
        <f>SUMIF(Entradas!$B:$B,'Entrada Lvl 5-4 qt'!$B303,Entradas!Z:Z)</f>
        <v>0</v>
      </c>
      <c r="T303" s="36">
        <f>SUMIF(Entradas!$B:$B,'Entrada Lvl 5-4 qt'!$B303,Entradas!AA:AA)</f>
        <v>2969.2</v>
      </c>
      <c r="U303" s="36">
        <f>SUMIF(Entradas!$B:$B,'Entrada Lvl 5-4 qt'!$B303,Entradas!AB:AB)</f>
        <v>0</v>
      </c>
      <c r="V303" s="49">
        <f>_xlfn.XLOOKUP($B303,Entradas!$B:$B,Entradas!AC:AC,,0,1)</f>
        <v>45173</v>
      </c>
      <c r="W303" s="58">
        <f t="shared" si="24"/>
        <v>3</v>
      </c>
      <c r="X303" s="28" t="s">
        <v>10</v>
      </c>
      <c r="Y303" s="32">
        <f t="shared" si="20"/>
        <v>0</v>
      </c>
      <c r="Z303" s="33">
        <f t="shared" si="21"/>
        <v>2969.2</v>
      </c>
      <c r="AA303" s="34">
        <f t="shared" si="22"/>
        <v>1369.17</v>
      </c>
      <c r="AB303" s="28" t="s">
        <v>1813</v>
      </c>
      <c r="AC303" s="28" t="s">
        <v>1784</v>
      </c>
      <c r="AD303" s="29" t="str" cm="1">
        <f t="array" ref="AD303">_xlfn.IFS(L303&lt;=Constantes!$G$2,"Muito Curta (evitável)",L303&lt;=Constantes!$H$2,"Curta Distância",L303&gt;Constantes!$H$2,"Longa Distância")</f>
        <v>Curta Distância</v>
      </c>
      <c r="AE303" s="30" t="str">
        <f t="shared" si="23"/>
        <v>NÃO</v>
      </c>
      <c r="AF303" s="30">
        <f>SUMIF(Entradas!$B:$B,'Entrada Lvl 5-4 qt'!$B303,Entradas!$AG:$AG)</f>
        <v>626.66401501165365</v>
      </c>
      <c r="AG303" s="30"/>
      <c r="BD303" s="49"/>
      <c r="BE303" s="49"/>
    </row>
    <row r="304" spans="1:57" x14ac:dyDescent="0.3">
      <c r="A304">
        <f>_xlfn.XLOOKUP(B304,Entradas!B:B,Entradas!A:A,,0,-1)</f>
        <v>2</v>
      </c>
      <c r="B304">
        <v>19186885</v>
      </c>
      <c r="C304" t="str">
        <f>_xlfn.XLOOKUP($B304,Entradas!$B:$B,Entradas!C:C,,0,1)</f>
        <v>001038/23</v>
      </c>
      <c r="D304" t="str">
        <f>_xlfn.XLOOKUP($B304,Entradas!$B:$B,Entradas!D:D,,0,1)</f>
        <v>***.133.404-**</v>
      </c>
      <c r="E304" t="str">
        <f>_xlfn.XLOOKUP($B304,Entradas!$B:$B,Entradas!E:E,,0,1)</f>
        <v>CARMEN WALENTINA AMORIM GAUDENCIO BEZERRA</v>
      </c>
      <c r="F304" t="str">
        <f>_xlfn.XLOOKUP($B304,Entradas!$B:$B,Entradas!F:F,,0,1)</f>
        <v>PROFESSOR DO MAGISTERIO SUPERIOR</v>
      </c>
      <c r="G304" t="str">
        <f>_xlfn.XLOOKUP($B304,Entradas!$B:$B,Entradas!G:G,,0,1)</f>
        <v>-1</v>
      </c>
      <c r="H304" t="str">
        <f>_xlfn.XLOOKUP($B304,Entradas!$B:$B,Entradas!H:H,,0,1)</f>
        <v>Sem informação</v>
      </c>
      <c r="I304" s="49">
        <f>_xlfn.XLOOKUP($B304,Entradas!$B:$B,Entradas!I:I,,0,1)</f>
        <v>45245</v>
      </c>
      <c r="J304" s="49">
        <f>_xlfn.XLOOKUP($B304,Entradas!$B:$B,Entradas!J:J,,0,1)</f>
        <v>45248</v>
      </c>
      <c r="K304" t="str">
        <f>_xlfn.XLOOKUP($B304,Entradas!$B:$B,Entradas!K:K,,0,1)</f>
        <v>Participar do Seminário de Meio Termo dos programas de pós-graduação da área de PSICOLOGIA, será realizado na CAPES, Brasília-DF, nos dias 16 e 17 de novembro de 2023, das 09:00 às 18:00 horas.</v>
      </c>
      <c r="L304">
        <f>SUMIF(Entradas!$B:$B,'Entrada Lvl 5-4 qt'!$B304,Entradas!S:S)</f>
        <v>3426.839982</v>
      </c>
      <c r="M304" t="str">
        <f>_xlfn.XLOOKUP($B304,Entradas!$B:$B,Entradas!T:T,,0,1)</f>
        <v>Aéreo</v>
      </c>
      <c r="N304" t="str">
        <f>_xlfn.XLOOKUP($B304,Entradas!$B:$B,Entradas!U:U,,0,1)</f>
        <v>Não</v>
      </c>
      <c r="O304" t="str">
        <f>_xlfn.XLOOKUP($B304,Entradas!$B:$B,Entradas!V:V,,0,1)</f>
        <v>Realizada</v>
      </c>
      <c r="P304" t="str">
        <f>_xlfn.XLOOKUP($B304,Entradas!$B:$B,Entradas!W:W,,0,1)</f>
        <v>NÃO</v>
      </c>
      <c r="Q304" t="str">
        <f>_xlfn.XLOOKUP($B304,Entradas!$B:$B,Entradas!X:X,,0,1)</f>
        <v>Sem informação</v>
      </c>
      <c r="R304" s="36">
        <f>SUMIF(Entradas!$B:$B,'Entrada Lvl 5-4 qt'!$B304,Entradas!Y:Y)</f>
        <v>1369.17</v>
      </c>
      <c r="S304" s="36">
        <f>SUMIF(Entradas!$B:$B,'Entrada Lvl 5-4 qt'!$B304,Entradas!Z:Z)</f>
        <v>0</v>
      </c>
      <c r="T304" s="36">
        <f>SUMIF(Entradas!$B:$B,'Entrada Lvl 5-4 qt'!$B304,Entradas!AA:AA)</f>
        <v>2712.3999999999996</v>
      </c>
      <c r="U304" s="36">
        <f>SUMIF(Entradas!$B:$B,'Entrada Lvl 5-4 qt'!$B304,Entradas!AB:AB)</f>
        <v>0</v>
      </c>
      <c r="V304" s="49">
        <f>_xlfn.XLOOKUP($B304,Entradas!$B:$B,Entradas!AC:AC,,0,1)</f>
        <v>45181</v>
      </c>
      <c r="W304" s="58">
        <f t="shared" si="24"/>
        <v>3</v>
      </c>
      <c r="X304" s="28" t="s">
        <v>10</v>
      </c>
      <c r="Y304" s="32">
        <f t="shared" si="20"/>
        <v>0</v>
      </c>
      <c r="Z304" s="33">
        <f t="shared" si="21"/>
        <v>2712.3999999999996</v>
      </c>
      <c r="AA304" s="34">
        <f t="shared" si="22"/>
        <v>1369.17</v>
      </c>
      <c r="AB304" s="28" t="s">
        <v>1813</v>
      </c>
      <c r="AC304" s="28" t="s">
        <v>1784</v>
      </c>
      <c r="AD304" s="29" t="str" cm="1">
        <f t="array" ref="AD304">_xlfn.IFS(L304&lt;=Constantes!$G$2,"Muito Curta (evitável)",L304&lt;=Constantes!$H$2,"Curta Distância",L304&gt;Constantes!$H$2,"Longa Distância")</f>
        <v>Curta Distância</v>
      </c>
      <c r="AE304" s="30" t="str">
        <f t="shared" si="23"/>
        <v>NÃO</v>
      </c>
      <c r="AF304" s="30">
        <f>SUMIF(Entradas!$B:$B,'Entrada Lvl 5-4 qt'!$B304,Entradas!$AG:$AG)</f>
        <v>626.66401501165365</v>
      </c>
      <c r="AG304" s="30"/>
      <c r="BD304" s="49"/>
      <c r="BE304" s="49"/>
    </row>
    <row r="305" spans="1:57" x14ac:dyDescent="0.3">
      <c r="A305">
        <f>_xlfn.XLOOKUP(B305,Entradas!B:B,Entradas!A:A,,0,-1)</f>
        <v>2</v>
      </c>
      <c r="B305">
        <v>19215547</v>
      </c>
      <c r="C305" t="str">
        <f>_xlfn.XLOOKUP($B305,Entradas!$B:$B,Entradas!C:C,,0,1)</f>
        <v>001181/23</v>
      </c>
      <c r="D305" t="str">
        <f>_xlfn.XLOOKUP($B305,Entradas!$B:$B,Entradas!D:D,,0,1)</f>
        <v>***.524.714-**</v>
      </c>
      <c r="E305" t="str">
        <f>_xlfn.XLOOKUP($B305,Entradas!$B:$B,Entradas!E:E,,0,1)</f>
        <v>MELYSSA KELLYANE CAVALCANTI GALDINO</v>
      </c>
      <c r="F305" t="str">
        <f>_xlfn.XLOOKUP($B305,Entradas!$B:$B,Entradas!F:F,,0,1)</f>
        <v>PROFESSOR DO MAGISTERIO SUPERIOR</v>
      </c>
      <c r="G305" t="str">
        <f>_xlfn.XLOOKUP($B305,Entradas!$B:$B,Entradas!G:G,,0,1)</f>
        <v>FUC-0001</v>
      </c>
      <c r="H305" t="str">
        <f>_xlfn.XLOOKUP($B305,Entradas!$B:$B,Entradas!H:H,,0,1)</f>
        <v>FUC-0001</v>
      </c>
      <c r="I305" s="49">
        <f>_xlfn.XLOOKUP($B305,Entradas!$B:$B,Entradas!I:I,,0,1)</f>
        <v>45245</v>
      </c>
      <c r="J305" s="49">
        <f>_xlfn.XLOOKUP($B305,Entradas!$B:$B,Entradas!J:J,,0,1)</f>
        <v>45247</v>
      </c>
      <c r="K305" t="str">
        <f>_xlfn.XLOOKUP($B305,Entradas!$B:$B,Entradas!K:K,,0,1)</f>
        <v>Participação da coordenadora do Programa de Pós-graduação em Neurociência Cognitiva e Comportamento, Melyssa Kellyane Cavalcanti Galdino, no Seminário de Meio Termo dos programas de pós-graduação da área de PSICOLOGIA, realizado na CAPES, Brasília-DF, nos dias 16 e 17 de novembro de 2023, das 09h às 18h horas.</v>
      </c>
      <c r="L305">
        <f>SUMIF(Entradas!$B:$B,'Entrada Lvl 5-4 qt'!$B305,Entradas!S:S)</f>
        <v>3426.839982</v>
      </c>
      <c r="M305" t="str">
        <f>_xlfn.XLOOKUP($B305,Entradas!$B:$B,Entradas!T:T,,0,1)</f>
        <v>Aéreo</v>
      </c>
      <c r="N305" t="str">
        <f>_xlfn.XLOOKUP($B305,Entradas!$B:$B,Entradas!U:U,,0,1)</f>
        <v>Não</v>
      </c>
      <c r="O305" t="str">
        <f>_xlfn.XLOOKUP($B305,Entradas!$B:$B,Entradas!V:V,,0,1)</f>
        <v>Realizada</v>
      </c>
      <c r="P305" t="str">
        <f>_xlfn.XLOOKUP($B305,Entradas!$B:$B,Entradas!W:W,,0,1)</f>
        <v>NÃO</v>
      </c>
      <c r="Q305" t="str">
        <f>_xlfn.XLOOKUP($B305,Entradas!$B:$B,Entradas!X:X,,0,1)</f>
        <v>Sem informação</v>
      </c>
      <c r="R305" s="36">
        <f>SUMIF(Entradas!$B:$B,'Entrada Lvl 5-4 qt'!$B305,Entradas!Y:Y)</f>
        <v>988.03</v>
      </c>
      <c r="S305" s="36">
        <f>SUMIF(Entradas!$B:$B,'Entrada Lvl 5-4 qt'!$B305,Entradas!Z:Z)</f>
        <v>0</v>
      </c>
      <c r="T305" s="36">
        <f>SUMIF(Entradas!$B:$B,'Entrada Lvl 5-4 qt'!$B305,Entradas!AA:AA)</f>
        <v>2582.5</v>
      </c>
      <c r="U305" s="36">
        <f>SUMIF(Entradas!$B:$B,'Entrada Lvl 5-4 qt'!$B305,Entradas!AB:AB)</f>
        <v>0</v>
      </c>
      <c r="V305" s="49">
        <f>_xlfn.XLOOKUP($B305,Entradas!$B:$B,Entradas!AC:AC,,0,1)</f>
        <v>45191</v>
      </c>
      <c r="W305" s="58">
        <f t="shared" si="24"/>
        <v>2</v>
      </c>
      <c r="X305" s="28" t="s">
        <v>10</v>
      </c>
      <c r="Y305" s="32">
        <f t="shared" si="20"/>
        <v>0</v>
      </c>
      <c r="Z305" s="33">
        <f t="shared" si="21"/>
        <v>2582.5</v>
      </c>
      <c r="AA305" s="34">
        <f t="shared" si="22"/>
        <v>988.03</v>
      </c>
      <c r="AB305" s="28" t="s">
        <v>1813</v>
      </c>
      <c r="AC305" s="28" t="s">
        <v>1784</v>
      </c>
      <c r="AD305" s="29" t="str" cm="1">
        <f t="array" ref="AD305">_xlfn.IFS(L305&lt;=Constantes!$G$2,"Muito Curta (evitável)",L305&lt;=Constantes!$H$2,"Curta Distância",L305&gt;Constantes!$H$2,"Longa Distância")</f>
        <v>Curta Distância</v>
      </c>
      <c r="AE305" s="30" t="str">
        <f t="shared" si="23"/>
        <v>NÃO</v>
      </c>
      <c r="AF305" s="30">
        <f>SUMIF(Entradas!$B:$B,'Entrada Lvl 5-4 qt'!$B305,Entradas!$AG:$AG)</f>
        <v>626.66401501165365</v>
      </c>
      <c r="AG305" s="30"/>
      <c r="BD305" s="49"/>
      <c r="BE305" s="49"/>
    </row>
    <row r="306" spans="1:57" x14ac:dyDescent="0.3">
      <c r="A306">
        <f>_xlfn.XLOOKUP(B306,Entradas!B:B,Entradas!A:A,,0,-1)</f>
        <v>2</v>
      </c>
      <c r="B306">
        <v>19269173</v>
      </c>
      <c r="C306" t="str">
        <f>_xlfn.XLOOKUP($B306,Entradas!$B:$B,Entradas!C:C,,0,1)</f>
        <v>001036/23</v>
      </c>
      <c r="D306" t="str">
        <f>_xlfn.XLOOKUP($B306,Entradas!$B:$B,Entradas!D:D,,0,1)</f>
        <v>***.789.374-**</v>
      </c>
      <c r="E306" t="str">
        <f>_xlfn.XLOOKUP($B306,Entradas!$B:$B,Entradas!E:E,,0,1)</f>
        <v>ANIERES BARBOSA DA SILVA</v>
      </c>
      <c r="F306" t="str">
        <f>_xlfn.XLOOKUP($B306,Entradas!$B:$B,Entradas!F:F,,0,1)</f>
        <v>PROFESSOR DO MAGISTERIO SUPERIOR</v>
      </c>
      <c r="G306" t="str">
        <f>_xlfn.XLOOKUP($B306,Entradas!$B:$B,Entradas!G:G,,0,1)</f>
        <v>FUC-0001</v>
      </c>
      <c r="H306" t="str">
        <f>_xlfn.XLOOKUP($B306,Entradas!$B:$B,Entradas!H:H,,0,1)</f>
        <v>FUC-0001</v>
      </c>
      <c r="I306" s="49">
        <f>_xlfn.XLOOKUP($B306,Entradas!$B:$B,Entradas!I:I,,0,1)</f>
        <v>45245</v>
      </c>
      <c r="J306" s="49">
        <f>_xlfn.XLOOKUP($B306,Entradas!$B:$B,Entradas!J:J,,0,1)</f>
        <v>45248</v>
      </c>
      <c r="K306" t="str">
        <f>_xlfn.XLOOKUP($B306,Entradas!$B:$B,Entradas!K:K,,0,1)</f>
        <v>Participar da reunião e das atividades do Seminário de Meio Termo, promovido pela Capes, destinado aos coordenadores de Programas de pós graduação em geografia no Brasil, que será realizado em Brasília nos dias 16 a 17 de novembro de 2023.</v>
      </c>
      <c r="L306">
        <f>SUMIF(Entradas!$B:$B,'Entrada Lvl 5-4 qt'!$B306,Entradas!S:S)</f>
        <v>3426.839982</v>
      </c>
      <c r="M306" t="str">
        <f>_xlfn.XLOOKUP($B306,Entradas!$B:$B,Entradas!T:T,,0,1)</f>
        <v>Aéreo</v>
      </c>
      <c r="N306" t="str">
        <f>_xlfn.XLOOKUP($B306,Entradas!$B:$B,Entradas!U:U,,0,1)</f>
        <v>Sim</v>
      </c>
      <c r="O306" t="str">
        <f>_xlfn.XLOOKUP($B306,Entradas!$B:$B,Entradas!V:V,,0,1)</f>
        <v>Realizada</v>
      </c>
      <c r="P306" t="str">
        <f>_xlfn.XLOOKUP($B306,Entradas!$B:$B,Entradas!W:W,,0,1)</f>
        <v>NÃO</v>
      </c>
      <c r="Q306" t="str">
        <f>_xlfn.XLOOKUP($B306,Entradas!$B:$B,Entradas!X:X,,0,1)</f>
        <v>Sem informação</v>
      </c>
      <c r="R306" s="36">
        <f>SUMIF(Entradas!$B:$B,'Entrada Lvl 5-4 qt'!$B306,Entradas!Y:Y)</f>
        <v>1369.17</v>
      </c>
      <c r="S306" s="36">
        <f>SUMIF(Entradas!$B:$B,'Entrada Lvl 5-4 qt'!$B306,Entradas!Z:Z)</f>
        <v>0</v>
      </c>
      <c r="T306" s="36">
        <f>SUMIF(Entradas!$B:$B,'Entrada Lvl 5-4 qt'!$B306,Entradas!AA:AA)</f>
        <v>2079.6999999999998</v>
      </c>
      <c r="U306" s="36">
        <f>SUMIF(Entradas!$B:$B,'Entrada Lvl 5-4 qt'!$B306,Entradas!AB:AB)</f>
        <v>0</v>
      </c>
      <c r="V306" s="49">
        <f>_xlfn.XLOOKUP($B306,Entradas!$B:$B,Entradas!AC:AC,,0,1)</f>
        <v>45181</v>
      </c>
      <c r="W306" s="58">
        <f t="shared" si="24"/>
        <v>3</v>
      </c>
      <c r="X306" s="28" t="s">
        <v>10</v>
      </c>
      <c r="Y306" s="32">
        <f t="shared" si="20"/>
        <v>0</v>
      </c>
      <c r="Z306" s="33">
        <f t="shared" si="21"/>
        <v>2079.6999999999998</v>
      </c>
      <c r="AA306" s="34">
        <f t="shared" si="22"/>
        <v>1369.17</v>
      </c>
      <c r="AB306" s="28" t="s">
        <v>1813</v>
      </c>
      <c r="AC306" s="28" t="s">
        <v>1784</v>
      </c>
      <c r="AD306" s="29" t="str" cm="1">
        <f t="array" ref="AD306">_xlfn.IFS(L306&lt;=Constantes!$G$2,"Muito Curta (evitável)",L306&lt;=Constantes!$H$2,"Curta Distância",L306&gt;Constantes!$H$2,"Longa Distância")</f>
        <v>Curta Distância</v>
      </c>
      <c r="AE306" s="30" t="str">
        <f t="shared" si="23"/>
        <v>NÃO</v>
      </c>
      <c r="AF306" s="30">
        <f>SUMIF(Entradas!$B:$B,'Entrada Lvl 5-4 qt'!$B306,Entradas!$AG:$AG)</f>
        <v>626.66401501165365</v>
      </c>
      <c r="AG306" s="30"/>
      <c r="BD306" s="49"/>
      <c r="BE306" s="49"/>
    </row>
    <row r="307" spans="1:57" x14ac:dyDescent="0.3">
      <c r="A307">
        <f>_xlfn.XLOOKUP(B307,Entradas!B:B,Entradas!A:A,,0,-1)</f>
        <v>2</v>
      </c>
      <c r="B307">
        <v>19387545</v>
      </c>
      <c r="C307" t="str">
        <f>_xlfn.XLOOKUP($B307,Entradas!$B:$B,Entradas!C:C,,0,1)</f>
        <v>001404/23</v>
      </c>
      <c r="D307" t="str">
        <f>_xlfn.XLOOKUP($B307,Entradas!$B:$B,Entradas!D:D,,0,1)</f>
        <v/>
      </c>
      <c r="E307" t="str">
        <f>_xlfn.XLOOKUP($B307,Entradas!$B:$B,Entradas!E:E,,0,1)</f>
        <v>PRISCILA TAVARES DOS SANTOS</v>
      </c>
      <c r="F307" t="str">
        <f>_xlfn.XLOOKUP($B307,Entradas!$B:$B,Entradas!F:F,,0,1)</f>
        <v/>
      </c>
      <c r="G307" t="str">
        <f>_xlfn.XLOOKUP($B307,Entradas!$B:$B,Entradas!G:G,,0,1)</f>
        <v>-1</v>
      </c>
      <c r="H307" t="str">
        <f>_xlfn.XLOOKUP($B307,Entradas!$B:$B,Entradas!H:H,,0,1)</f>
        <v>Sem informação</v>
      </c>
      <c r="I307" s="49">
        <f>_xlfn.XLOOKUP($B307,Entradas!$B:$B,Entradas!I:I,,0,1)</f>
        <v>45245</v>
      </c>
      <c r="J307" s="49">
        <f>_xlfn.XLOOKUP($B307,Entradas!$B:$B,Entradas!J:J,,0,1)</f>
        <v>45248</v>
      </c>
      <c r="K307" t="str">
        <f>_xlfn.XLOOKUP($B307,Entradas!$B:$B,Entradas!K:K,,0,1)</f>
        <v>Docente nas Oficinas de Autoavaliação e Planejamento Estratégico do Programa de Pós-Graduação em Direitos Humanos, Cidadania e Políticas Públicas da Universidade Federal da Paraíba. A Professora realizará oficina de projetos para reestruturação de linhas de pesquisa e projetos estruturantes junto aos docentes do Programa; além de duas oficinas do Currículo Lattes, sendo uma para docentes e outra para discentes e egressos do Programa.</v>
      </c>
      <c r="L307">
        <f>SUMIF(Entradas!$B:$B,'Entrada Lvl 5-4 qt'!$B307,Entradas!S:S)</f>
        <v>3923.0015720000001</v>
      </c>
      <c r="M307" t="str">
        <f>_xlfn.XLOOKUP($B307,Entradas!$B:$B,Entradas!T:T,,0,1)</f>
        <v>Aéreo</v>
      </c>
      <c r="N307" t="str">
        <f>_xlfn.XLOOKUP($B307,Entradas!$B:$B,Entradas!U:U,,0,1)</f>
        <v>Sim</v>
      </c>
      <c r="O307" t="str">
        <f>_xlfn.XLOOKUP($B307,Entradas!$B:$B,Entradas!V:V,,0,1)</f>
        <v>Realizada</v>
      </c>
      <c r="P307" t="str">
        <f>_xlfn.XLOOKUP($B307,Entradas!$B:$B,Entradas!W:W,,0,1)</f>
        <v>NÃO</v>
      </c>
      <c r="Q307" t="str">
        <f>_xlfn.XLOOKUP($B307,Entradas!$B:$B,Entradas!X:X,,0,1)</f>
        <v>Sem informação</v>
      </c>
      <c r="R307" s="36">
        <f>SUMIF(Entradas!$B:$B,'Entrada Lvl 5-4 qt'!$B307,Entradas!Y:Y)</f>
        <v>1288.57</v>
      </c>
      <c r="S307" s="36">
        <f>SUMIF(Entradas!$B:$B,'Entrada Lvl 5-4 qt'!$B307,Entradas!Z:Z)</f>
        <v>0</v>
      </c>
      <c r="T307" s="36">
        <f>SUMIF(Entradas!$B:$B,'Entrada Lvl 5-4 qt'!$B307,Entradas!AA:AA)</f>
        <v>2040.8899999999999</v>
      </c>
      <c r="U307" s="36">
        <f>SUMIF(Entradas!$B:$B,'Entrada Lvl 5-4 qt'!$B307,Entradas!AB:AB)</f>
        <v>0</v>
      </c>
      <c r="V307" s="49">
        <f>_xlfn.XLOOKUP($B307,Entradas!$B:$B,Entradas!AC:AC,,0,1)</f>
        <v>45210</v>
      </c>
      <c r="W307" s="58">
        <f t="shared" si="24"/>
        <v>3</v>
      </c>
      <c r="X307" s="28" t="s">
        <v>10</v>
      </c>
      <c r="Y307" s="32">
        <f t="shared" si="20"/>
        <v>0</v>
      </c>
      <c r="Z307" s="33">
        <f t="shared" si="21"/>
        <v>2040.8899999999999</v>
      </c>
      <c r="AA307" s="34">
        <f t="shared" si="22"/>
        <v>1288.57</v>
      </c>
      <c r="AB307" s="28" t="s">
        <v>1816</v>
      </c>
      <c r="AC307" s="28" t="s">
        <v>1821</v>
      </c>
      <c r="AD307" s="29" t="str" cm="1">
        <f t="array" ref="AD307">_xlfn.IFS(L307&lt;=Constantes!$G$2,"Muito Curta (evitável)",L307&lt;=Constantes!$H$2,"Curta Distância",L307&gt;Constantes!$H$2,"Longa Distância")</f>
        <v>Longa Distância</v>
      </c>
      <c r="AE307" s="30" t="str">
        <f t="shared" si="23"/>
        <v>NÃO</v>
      </c>
      <c r="AF307" s="30">
        <f>SUMIF(Entradas!$B:$B,'Entrada Lvl 5-4 qt'!$B307,Entradas!$AG:$AG)</f>
        <v>717.39676463438343</v>
      </c>
      <c r="AG307" s="30"/>
      <c r="BD307" s="49"/>
      <c r="BE307" s="49"/>
    </row>
    <row r="308" spans="1:57" x14ac:dyDescent="0.3">
      <c r="A308">
        <f>_xlfn.XLOOKUP(B308,Entradas!B:B,Entradas!A:A,,0,-1)</f>
        <v>2</v>
      </c>
      <c r="B308">
        <v>19428594</v>
      </c>
      <c r="C308" t="str">
        <f>_xlfn.XLOOKUP($B308,Entradas!$B:$B,Entradas!C:C,,0,1)</f>
        <v>001579/23</v>
      </c>
      <c r="D308" t="str">
        <f>_xlfn.XLOOKUP($B308,Entradas!$B:$B,Entradas!D:D,,0,1)</f>
        <v/>
      </c>
      <c r="E308" t="str">
        <f>_xlfn.XLOOKUP($B308,Entradas!$B:$B,Entradas!E:E,,0,1)</f>
        <v>ANA CATARINA GOMES DE LIMA</v>
      </c>
      <c r="F308" t="str">
        <f>_xlfn.XLOOKUP($B308,Entradas!$B:$B,Entradas!F:F,,0,1)</f>
        <v/>
      </c>
      <c r="G308" t="str">
        <f>_xlfn.XLOOKUP($B308,Entradas!$B:$B,Entradas!G:G,,0,1)</f>
        <v>-1</v>
      </c>
      <c r="H308" t="str">
        <f>_xlfn.XLOOKUP($B308,Entradas!$B:$B,Entradas!H:H,,0,1)</f>
        <v>Sem informação</v>
      </c>
      <c r="I308" s="49">
        <f>_xlfn.XLOOKUP($B308,Entradas!$B:$B,Entradas!I:I,,0,1)</f>
        <v>45245</v>
      </c>
      <c r="J308" s="49">
        <f>_xlfn.XLOOKUP($B308,Entradas!$B:$B,Entradas!J:J,,0,1)</f>
        <v>45248</v>
      </c>
      <c r="K308" t="str">
        <f>_xlfn.XLOOKUP($B308,Entradas!$B:$B,Entradas!K:K,,0,1)</f>
        <v>PROPOSTO IRÁ PARTICIPAR DO EVENTO INTERNACIONAL EUROLECS APRESENTANDO TRABALHOS DE PESQUISA CIENTÍFICA REFERENTE AO SEU CURSO DE GRADUAÇÃO NA UFPB.</v>
      </c>
      <c r="L308">
        <f>SUMIF(Entradas!$B:$B,'Entrada Lvl 5-4 qt'!$B308,Entradas!S:S)</f>
        <v>1482.2388261999999</v>
      </c>
      <c r="M308" t="str">
        <f>_xlfn.XLOOKUP($B308,Entradas!$B:$B,Entradas!T:T,,0,1)</f>
        <v>Aéreo</v>
      </c>
      <c r="N308" t="str">
        <f>_xlfn.XLOOKUP($B308,Entradas!$B:$B,Entradas!U:U,,0,1)</f>
        <v>Sim</v>
      </c>
      <c r="O308" t="str">
        <f>_xlfn.XLOOKUP($B308,Entradas!$B:$B,Entradas!V:V,,0,1)</f>
        <v>Realizada</v>
      </c>
      <c r="P308" t="str">
        <f>_xlfn.XLOOKUP($B308,Entradas!$B:$B,Entradas!W:W,,0,1)</f>
        <v>NÃO</v>
      </c>
      <c r="Q308" t="str">
        <f>_xlfn.XLOOKUP($B308,Entradas!$B:$B,Entradas!X:X,,0,1)</f>
        <v>Sem informação</v>
      </c>
      <c r="R308" s="36">
        <f>SUMIF(Entradas!$B:$B,'Entrada Lvl 5-4 qt'!$B308,Entradas!Y:Y)</f>
        <v>0</v>
      </c>
      <c r="S308" s="36">
        <f>SUMIF(Entradas!$B:$B,'Entrada Lvl 5-4 qt'!$B308,Entradas!Z:Z)</f>
        <v>0</v>
      </c>
      <c r="T308" s="36">
        <f>SUMIF(Entradas!$B:$B,'Entrada Lvl 5-4 qt'!$B308,Entradas!AA:AA)</f>
        <v>2229.48</v>
      </c>
      <c r="U308" s="36">
        <f>SUMIF(Entradas!$B:$B,'Entrada Lvl 5-4 qt'!$B308,Entradas!AB:AB)</f>
        <v>0</v>
      </c>
      <c r="V308" s="49">
        <f>_xlfn.XLOOKUP($B308,Entradas!$B:$B,Entradas!AC:AC,,0,1)</f>
        <v>45224</v>
      </c>
      <c r="W308" s="58">
        <f t="shared" si="24"/>
        <v>3</v>
      </c>
      <c r="X308" s="28" t="s">
        <v>10</v>
      </c>
      <c r="Y308" s="32">
        <f t="shared" si="20"/>
        <v>0</v>
      </c>
      <c r="Z308" s="33">
        <f t="shared" si="21"/>
        <v>2229.48</v>
      </c>
      <c r="AA308" s="34">
        <f t="shared" si="22"/>
        <v>0</v>
      </c>
      <c r="AB308" s="28" t="s">
        <v>1814</v>
      </c>
      <c r="AC308" s="28" t="s">
        <v>1822</v>
      </c>
      <c r="AD308" s="29" t="str" cm="1">
        <f t="array" ref="AD308">_xlfn.IFS(L308&lt;=Constantes!$G$2,"Muito Curta (evitável)",L308&lt;=Constantes!$H$2,"Curta Distância",L308&gt;Constantes!$H$2,"Longa Distância")</f>
        <v>Curta Distância</v>
      </c>
      <c r="AE308" s="30" t="str">
        <f t="shared" si="23"/>
        <v>NÃO</v>
      </c>
      <c r="AF308" s="30">
        <f>SUMIF(Entradas!$B:$B,'Entrada Lvl 5-4 qt'!$B308,Entradas!$AG:$AG)</f>
        <v>271.05605715809952</v>
      </c>
      <c r="AG308" s="30"/>
      <c r="BD308" s="49"/>
      <c r="BE308" s="49"/>
    </row>
    <row r="309" spans="1:57" x14ac:dyDescent="0.3">
      <c r="A309">
        <f>_xlfn.XLOOKUP(B309,Entradas!B:B,Entradas!A:A,,0,-1)</f>
        <v>2</v>
      </c>
      <c r="B309">
        <v>19507583</v>
      </c>
      <c r="C309" t="str">
        <f>_xlfn.XLOOKUP($B309,Entradas!$B:$B,Entradas!C:C,,0,1)</f>
        <v>001716/23</v>
      </c>
      <c r="D309" t="str">
        <f>_xlfn.XLOOKUP($B309,Entradas!$B:$B,Entradas!D:D,,0,1)</f>
        <v>***.423.606-**</v>
      </c>
      <c r="E309" t="str">
        <f>_xlfn.XLOOKUP($B309,Entradas!$B:$B,Entradas!E:E,,0,1)</f>
        <v>EDILSON PAES SARAIVA</v>
      </c>
      <c r="F309" t="str">
        <f>_xlfn.XLOOKUP($B309,Entradas!$B:$B,Entradas!F:F,,0,1)</f>
        <v>PROFESSOR DO MAGISTERIO SUPERIOR</v>
      </c>
      <c r="G309" t="str">
        <f>_xlfn.XLOOKUP($B309,Entradas!$B:$B,Entradas!G:G,,0,1)</f>
        <v>FUC-0001</v>
      </c>
      <c r="H309" t="str">
        <f>_xlfn.XLOOKUP($B309,Entradas!$B:$B,Entradas!H:H,,0,1)</f>
        <v>FUC-0001</v>
      </c>
      <c r="I309" s="49">
        <f>_xlfn.XLOOKUP($B309,Entradas!$B:$B,Entradas!I:I,,0,1)</f>
        <v>45245</v>
      </c>
      <c r="J309" s="49">
        <f>_xlfn.XLOOKUP($B309,Entradas!$B:$B,Entradas!J:J,,0,1)</f>
        <v>45248</v>
      </c>
      <c r="K309" t="str">
        <f>_xlfn.XLOOKUP($B309,Entradas!$B:$B,Entradas!K:K,,0,1)</f>
        <v>Participar do Seminário de Meio Termo (SMT) da Área de Zootecnia e Recursos Pesqueiros, na CAPES.</v>
      </c>
      <c r="L309">
        <f>SUMIF(Entradas!$B:$B,'Entrada Lvl 5-4 qt'!$B309,Entradas!S:S)</f>
        <v>3334.686674</v>
      </c>
      <c r="M309" t="str">
        <f>_xlfn.XLOOKUP($B309,Entradas!$B:$B,Entradas!T:T,,0,1)</f>
        <v>Aéreo</v>
      </c>
      <c r="N309" t="str">
        <f>_xlfn.XLOOKUP($B309,Entradas!$B:$B,Entradas!U:U,,0,1)</f>
        <v>Sim</v>
      </c>
      <c r="O309" t="str">
        <f>_xlfn.XLOOKUP($B309,Entradas!$B:$B,Entradas!V:V,,0,1)</f>
        <v>Realizada</v>
      </c>
      <c r="P309" t="str">
        <f>_xlfn.XLOOKUP($B309,Entradas!$B:$B,Entradas!W:W,,0,1)</f>
        <v>SIM</v>
      </c>
      <c r="Q309" t="str">
        <f>_xlfn.XLOOKUP($B309,Entradas!$B:$B,Entradas!X:X,,0,1)</f>
        <v>Conforme justificativa apresentada pelo proposto: Indisponibilidade de recursos do PROAP/PPGZ inviabilizaram a solicitação dentro do prazo previsto. Mediante autorização formal anexada a esta PCDP.</v>
      </c>
      <c r="R309" s="36">
        <f>SUMIF(Entradas!$B:$B,'Entrada Lvl 5-4 qt'!$B309,Entradas!Y:Y)</f>
        <v>1351.01</v>
      </c>
      <c r="S309" s="36">
        <f>SUMIF(Entradas!$B:$B,'Entrada Lvl 5-4 qt'!$B309,Entradas!Z:Z)</f>
        <v>0</v>
      </c>
      <c r="T309" s="36">
        <f>SUMIF(Entradas!$B:$B,'Entrada Lvl 5-4 qt'!$B309,Entradas!AA:AA)</f>
        <v>2184.87</v>
      </c>
      <c r="U309" s="36">
        <f>SUMIF(Entradas!$B:$B,'Entrada Lvl 5-4 qt'!$B309,Entradas!AB:AB)</f>
        <v>0</v>
      </c>
      <c r="V309" s="49">
        <f>_xlfn.XLOOKUP($B309,Entradas!$B:$B,Entradas!AC:AC,,0,1)</f>
        <v>45240</v>
      </c>
      <c r="W309" s="58">
        <f t="shared" si="24"/>
        <v>3</v>
      </c>
      <c r="X309" s="28" t="s">
        <v>10</v>
      </c>
      <c r="Y309" s="32">
        <f t="shared" si="20"/>
        <v>0</v>
      </c>
      <c r="Z309" s="33">
        <f t="shared" si="21"/>
        <v>2184.87</v>
      </c>
      <c r="AA309" s="34">
        <f t="shared" si="22"/>
        <v>1351.01</v>
      </c>
      <c r="AB309" s="28" t="s">
        <v>1813</v>
      </c>
      <c r="AC309" s="28" t="s">
        <v>1784</v>
      </c>
      <c r="AD309" s="29" t="str" cm="1">
        <f t="array" ref="AD309">_xlfn.IFS(L309&lt;=Constantes!$G$2,"Muito Curta (evitável)",L309&lt;=Constantes!$H$2,"Curta Distância",L309&gt;Constantes!$H$2,"Longa Distância")</f>
        <v>Curta Distância</v>
      </c>
      <c r="AE309" s="30" t="str">
        <f t="shared" si="23"/>
        <v>NÃO</v>
      </c>
      <c r="AF309" s="30">
        <f>SUMIF(Entradas!$B:$B,'Entrada Lvl 5-4 qt'!$B309,Entradas!$AG:$AG)</f>
        <v>609.81199907533278</v>
      </c>
      <c r="AG309" s="30"/>
      <c r="BD309" s="49"/>
      <c r="BE309" s="49"/>
    </row>
    <row r="310" spans="1:57" x14ac:dyDescent="0.3">
      <c r="A310">
        <f>_xlfn.XLOOKUP(B310,Entradas!B:B,Entradas!A:A,,0,-1)</f>
        <v>2</v>
      </c>
      <c r="B310">
        <v>19316258</v>
      </c>
      <c r="C310" t="str">
        <f>_xlfn.XLOOKUP($B310,Entradas!$B:$B,Entradas!C:C,,0,1)</f>
        <v>001172/23</v>
      </c>
      <c r="D310" t="str">
        <f>_xlfn.XLOOKUP($B310,Entradas!$B:$B,Entradas!D:D,,0,1)</f>
        <v/>
      </c>
      <c r="E310" t="str">
        <f>_xlfn.XLOOKUP($B310,Entradas!$B:$B,Entradas!E:E,,0,1)</f>
        <v>MARILIA PASSOS APOLIANO GOMES</v>
      </c>
      <c r="F310" t="str">
        <f>_xlfn.XLOOKUP($B310,Entradas!$B:$B,Entradas!F:F,,0,1)</f>
        <v>PROFESSOR DO MAGISTERIO SUPERIOR</v>
      </c>
      <c r="G310" t="str">
        <f>_xlfn.XLOOKUP($B310,Entradas!$B:$B,Entradas!G:G,,0,1)</f>
        <v>-1</v>
      </c>
      <c r="H310" t="str">
        <f>_xlfn.XLOOKUP($B310,Entradas!$B:$B,Entradas!H:H,,0,1)</f>
        <v>Sem informação</v>
      </c>
      <c r="I310" s="49">
        <f>_xlfn.XLOOKUP($B310,Entradas!$B:$B,Entradas!I:I,,0,1)</f>
        <v>45246</v>
      </c>
      <c r="J310" s="49">
        <f>_xlfn.XLOOKUP($B310,Entradas!$B:$B,Entradas!J:J,,0,1)</f>
        <v>45259</v>
      </c>
      <c r="K310" t="str">
        <f>_xlfn.XLOOKUP($B310,Entradas!$B:$B,Entradas!K:K,,0,1)</f>
        <v>Participação como membro titular em banca de concurso - área Gênero e Teoria Sociológica CCHLA - UFPB - regido pelo Edital nº 61, de 06/07/2023</v>
      </c>
      <c r="L310">
        <f>SUMIF(Entradas!$B:$B,'Entrada Lvl 5-4 qt'!$B310,Entradas!S:S)</f>
        <v>1802.4813251999999</v>
      </c>
      <c r="M310" t="str">
        <f>_xlfn.XLOOKUP($B310,Entradas!$B:$B,Entradas!T:T,,0,1)</f>
        <v>Aéreo</v>
      </c>
      <c r="N310" t="str">
        <f>_xlfn.XLOOKUP($B310,Entradas!$B:$B,Entradas!U:U,,0,1)</f>
        <v>Não</v>
      </c>
      <c r="O310" t="str">
        <f>_xlfn.XLOOKUP($B310,Entradas!$B:$B,Entradas!V:V,,0,1)</f>
        <v>Realizada</v>
      </c>
      <c r="P310" t="str">
        <f>_xlfn.XLOOKUP($B310,Entradas!$B:$B,Entradas!W:W,,0,1)</f>
        <v>NÃO</v>
      </c>
      <c r="Q310" t="str">
        <f>_xlfn.XLOOKUP($B310,Entradas!$B:$B,Entradas!X:X,,0,1)</f>
        <v>Sem informação</v>
      </c>
      <c r="R310" s="36">
        <f>SUMIF(Entradas!$B:$B,'Entrada Lvl 5-4 qt'!$B310,Entradas!Y:Y)</f>
        <v>4399.67</v>
      </c>
      <c r="S310" s="36">
        <f>SUMIF(Entradas!$B:$B,'Entrada Lvl 5-4 qt'!$B310,Entradas!Z:Z)</f>
        <v>0</v>
      </c>
      <c r="T310" s="36">
        <f>SUMIF(Entradas!$B:$B,'Entrada Lvl 5-4 qt'!$B310,Entradas!AA:AA)</f>
        <v>2665.23</v>
      </c>
      <c r="U310" s="36">
        <f>SUMIF(Entradas!$B:$B,'Entrada Lvl 5-4 qt'!$B310,Entradas!AB:AB)</f>
        <v>0</v>
      </c>
      <c r="V310" s="49">
        <f>_xlfn.XLOOKUP($B310,Entradas!$B:$B,Entradas!AC:AC,,0,1)</f>
        <v>45190</v>
      </c>
      <c r="W310" s="58">
        <f t="shared" si="24"/>
        <v>13</v>
      </c>
      <c r="X310" s="28" t="s">
        <v>10</v>
      </c>
      <c r="Y310" s="32">
        <f t="shared" si="20"/>
        <v>0</v>
      </c>
      <c r="Z310" s="33">
        <f t="shared" si="21"/>
        <v>2665.23</v>
      </c>
      <c r="AA310" s="34">
        <f t="shared" si="22"/>
        <v>4399.67</v>
      </c>
      <c r="AB310" s="28" t="s">
        <v>1812</v>
      </c>
      <c r="AC310" s="28" t="s">
        <v>1820</v>
      </c>
      <c r="AD310" s="29" t="str" cm="1">
        <f t="array" ref="AD310">_xlfn.IFS(L310&lt;=Constantes!$G$2,"Muito Curta (evitável)",L310&lt;=Constantes!$H$2,"Curta Distância",L310&gt;Constantes!$H$2,"Longa Distância")</f>
        <v>Curta Distância</v>
      </c>
      <c r="AE310" s="30" t="str">
        <f t="shared" si="23"/>
        <v>NÃO</v>
      </c>
      <c r="AF310" s="30">
        <f>SUMIF(Entradas!$B:$B,'Entrada Lvl 5-4 qt'!$B310,Entradas!$AG:$AG)</f>
        <v>329.61859618963615</v>
      </c>
      <c r="AG310" s="30"/>
      <c r="BD310" s="49"/>
      <c r="BE310" s="49"/>
    </row>
    <row r="311" spans="1:57" x14ac:dyDescent="0.3">
      <c r="A311">
        <f>_xlfn.XLOOKUP(B311,Entradas!B:B,Entradas!A:A,,0,-1)</f>
        <v>2</v>
      </c>
      <c r="B311">
        <v>19316531</v>
      </c>
      <c r="C311" t="str">
        <f>_xlfn.XLOOKUP($B311,Entradas!$B:$B,Entradas!C:C,,0,1)</f>
        <v>001168/23</v>
      </c>
      <c r="D311" t="str">
        <f>_xlfn.XLOOKUP($B311,Entradas!$B:$B,Entradas!D:D,,0,1)</f>
        <v>***.013.087-**</v>
      </c>
      <c r="E311" t="str">
        <f>_xlfn.XLOOKUP($B311,Entradas!$B:$B,Entradas!E:E,,0,1)</f>
        <v>ADELIA MARIA MIGLIEVICH RIBEIRO</v>
      </c>
      <c r="F311" t="str">
        <f>_xlfn.XLOOKUP($B311,Entradas!$B:$B,Entradas!F:F,,0,1)</f>
        <v>PROFESSOR DO MAGISTERIO SUPERIOR</v>
      </c>
      <c r="G311" t="str">
        <f>_xlfn.XLOOKUP($B311,Entradas!$B:$B,Entradas!G:G,,0,1)</f>
        <v>-1</v>
      </c>
      <c r="H311" t="str">
        <f>_xlfn.XLOOKUP($B311,Entradas!$B:$B,Entradas!H:H,,0,1)</f>
        <v>Sem informação</v>
      </c>
      <c r="I311" s="49">
        <f>_xlfn.XLOOKUP($B311,Entradas!$B:$B,Entradas!I:I,,0,1)</f>
        <v>45246</v>
      </c>
      <c r="J311" s="49">
        <f>_xlfn.XLOOKUP($B311,Entradas!$B:$B,Entradas!J:J,,0,1)</f>
        <v>45259</v>
      </c>
      <c r="K311" t="str">
        <f>_xlfn.XLOOKUP($B311,Entradas!$B:$B,Entradas!K:K,,0,1)</f>
        <v>Convidada para banca de concurso público docente.</v>
      </c>
      <c r="L311">
        <f>SUMIF(Entradas!$B:$B,'Entrada Lvl 5-4 qt'!$B311,Entradas!S:S)</f>
        <v>3136.7788519999999</v>
      </c>
      <c r="M311" t="str">
        <f>_xlfn.XLOOKUP($B311,Entradas!$B:$B,Entradas!T:T,,0,1)</f>
        <v>Aéreo</v>
      </c>
      <c r="N311" t="str">
        <f>_xlfn.XLOOKUP($B311,Entradas!$B:$B,Entradas!U:U,,0,1)</f>
        <v>Sim</v>
      </c>
      <c r="O311" t="str">
        <f>_xlfn.XLOOKUP($B311,Entradas!$B:$B,Entradas!V:V,,0,1)</f>
        <v>Realizada</v>
      </c>
      <c r="P311" t="str">
        <f>_xlfn.XLOOKUP($B311,Entradas!$B:$B,Entradas!W:W,,0,1)</f>
        <v>SIM</v>
      </c>
      <c r="Q311" t="str">
        <f>_xlfn.XLOOKUP($B311,Entradas!$B:$B,Entradas!X:X,,0,1)</f>
        <v>Corrigido.</v>
      </c>
      <c r="R311" s="36">
        <f>SUMIF(Entradas!$B:$B,'Entrada Lvl 5-4 qt'!$B311,Entradas!Y:Y)</f>
        <v>4399.67</v>
      </c>
      <c r="S311" s="36">
        <f>SUMIF(Entradas!$B:$B,'Entrada Lvl 5-4 qt'!$B311,Entradas!Z:Z)</f>
        <v>0</v>
      </c>
      <c r="T311" s="36">
        <f>SUMIF(Entradas!$B:$B,'Entrada Lvl 5-4 qt'!$B311,Entradas!AA:AA)</f>
        <v>2402.2400000000002</v>
      </c>
      <c r="U311" s="36">
        <f>SUMIF(Entradas!$B:$B,'Entrada Lvl 5-4 qt'!$B311,Entradas!AB:AB)</f>
        <v>0</v>
      </c>
      <c r="V311" s="49">
        <f>_xlfn.XLOOKUP($B311,Entradas!$B:$B,Entradas!AC:AC,,0,1)</f>
        <v>45190</v>
      </c>
      <c r="W311" s="58">
        <f t="shared" si="24"/>
        <v>13</v>
      </c>
      <c r="X311" s="28" t="s">
        <v>10</v>
      </c>
      <c r="Y311" s="32">
        <f t="shared" si="20"/>
        <v>0</v>
      </c>
      <c r="Z311" s="33">
        <f t="shared" si="21"/>
        <v>2402.2400000000002</v>
      </c>
      <c r="AA311" s="34">
        <f t="shared" si="22"/>
        <v>4399.67</v>
      </c>
      <c r="AB311" s="28" t="s">
        <v>1812</v>
      </c>
      <c r="AC311" s="28" t="s">
        <v>1820</v>
      </c>
      <c r="AD311" s="29" t="str" cm="1">
        <f t="array" ref="AD311">_xlfn.IFS(L311&lt;=Constantes!$G$2,"Muito Curta (evitável)",L311&lt;=Constantes!$H$2,"Curta Distância",L311&gt;Constantes!$H$2,"Longa Distância")</f>
        <v>Curta Distância</v>
      </c>
      <c r="AE311" s="30" t="str">
        <f t="shared" si="23"/>
        <v>NÃO</v>
      </c>
      <c r="AF311" s="30">
        <f>SUMIF(Entradas!$B:$B,'Entrada Lvl 5-4 qt'!$B311,Entradas!$AG:$AG)</f>
        <v>573.62072344292073</v>
      </c>
      <c r="AG311" s="30"/>
      <c r="BD311" s="49"/>
      <c r="BE311" s="49"/>
    </row>
    <row r="312" spans="1:57" x14ac:dyDescent="0.3">
      <c r="A312">
        <f>_xlfn.XLOOKUP(B312,Entradas!B:B,Entradas!A:A,,0,-1)</f>
        <v>2</v>
      </c>
      <c r="B312">
        <v>19133964</v>
      </c>
      <c r="C312" t="str">
        <f>_xlfn.XLOOKUP($B312,Entradas!$B:$B,Entradas!C:C,,0,1)</f>
        <v>000781/23</v>
      </c>
      <c r="D312" t="str">
        <f>_xlfn.XLOOKUP($B312,Entradas!$B:$B,Entradas!D:D,,0,1)</f>
        <v>***.045.794-**</v>
      </c>
      <c r="E312" t="str">
        <f>_xlfn.XLOOKUP($B312,Entradas!$B:$B,Entradas!E:E,,0,1)</f>
        <v>CELSO AUGUSTO GUIMARAES SANTOS</v>
      </c>
      <c r="F312" t="str">
        <f>_xlfn.XLOOKUP($B312,Entradas!$B:$B,Entradas!F:F,,0,1)</f>
        <v>PROFESSOR DO MAGISTERIO SUPERIOR</v>
      </c>
      <c r="G312" t="str">
        <f>_xlfn.XLOOKUP($B312,Entradas!$B:$B,Entradas!G:G,,0,1)</f>
        <v>-1</v>
      </c>
      <c r="H312" t="str">
        <f>_xlfn.XLOOKUP($B312,Entradas!$B:$B,Entradas!H:H,,0,1)</f>
        <v>Sem informação</v>
      </c>
      <c r="I312" s="49">
        <f>_xlfn.XLOOKUP($B312,Entradas!$B:$B,Entradas!I:I,,0,1)</f>
        <v>45248</v>
      </c>
      <c r="J312" s="49">
        <f>_xlfn.XLOOKUP($B312,Entradas!$B:$B,Entradas!J:J,,0,1)</f>
        <v>45255</v>
      </c>
      <c r="K312" t="str">
        <f>_xlfn.XLOOKUP($B312,Entradas!$B:$B,Entradas!K:K,,0,1)</f>
        <v>Participação no XXV Simpósio Brasileiro de Recursos Hídricos para apresentação de artigos.</v>
      </c>
      <c r="L312">
        <f>SUMIF(Entradas!$B:$B,'Entrada Lvl 5-4 qt'!$B312,Entradas!S:S)</f>
        <v>973.46932400000003</v>
      </c>
      <c r="M312" t="str">
        <f>_xlfn.XLOOKUP($B312,Entradas!$B:$B,Entradas!T:T,,0,1)</f>
        <v>Aéreo</v>
      </c>
      <c r="N312" t="str">
        <f>_xlfn.XLOOKUP($B312,Entradas!$B:$B,Entradas!U:U,,0,1)</f>
        <v>Não</v>
      </c>
      <c r="O312" t="str">
        <f>_xlfn.XLOOKUP($B312,Entradas!$B:$B,Entradas!V:V,,0,1)</f>
        <v>Realizada</v>
      </c>
      <c r="P312" t="str">
        <f>_xlfn.XLOOKUP($B312,Entradas!$B:$B,Entradas!W:W,,0,1)</f>
        <v>NÃO</v>
      </c>
      <c r="Q312" t="str">
        <f>_xlfn.XLOOKUP($B312,Entradas!$B:$B,Entradas!X:X,,0,1)</f>
        <v>Sem informação</v>
      </c>
      <c r="R312" s="36">
        <f>SUMIF(Entradas!$B:$B,'Entrada Lvl 5-4 qt'!$B312,Entradas!Y:Y)</f>
        <v>2503.1</v>
      </c>
      <c r="S312" s="36">
        <f>SUMIF(Entradas!$B:$B,'Entrada Lvl 5-4 qt'!$B312,Entradas!Z:Z)</f>
        <v>0</v>
      </c>
      <c r="T312" s="36">
        <f>SUMIF(Entradas!$B:$B,'Entrada Lvl 5-4 qt'!$B312,Entradas!AA:AA)</f>
        <v>2417.16</v>
      </c>
      <c r="U312" s="36">
        <f>SUMIF(Entradas!$B:$B,'Entrada Lvl 5-4 qt'!$B312,Entradas!AB:AB)</f>
        <v>0</v>
      </c>
      <c r="V312" s="49">
        <f>_xlfn.XLOOKUP($B312,Entradas!$B:$B,Entradas!AC:AC,,0,1)</f>
        <v>45155</v>
      </c>
      <c r="W312" s="58">
        <f t="shared" si="24"/>
        <v>7</v>
      </c>
      <c r="X312" s="28" t="s">
        <v>10</v>
      </c>
      <c r="Y312" s="32">
        <f t="shared" si="20"/>
        <v>0</v>
      </c>
      <c r="Z312" s="33">
        <f t="shared" si="21"/>
        <v>2417.16</v>
      </c>
      <c r="AA312" s="34">
        <f t="shared" si="22"/>
        <v>2503.1</v>
      </c>
      <c r="AB312" s="28" t="s">
        <v>1814</v>
      </c>
      <c r="AC312" s="28" t="s">
        <v>1820</v>
      </c>
      <c r="AD312" s="29" t="str" cm="1">
        <f t="array" ref="AD312">_xlfn.IFS(L312&lt;=Constantes!$G$2,"Muito Curta (evitável)",L312&lt;=Constantes!$H$2,"Curta Distância",L312&gt;Constantes!$H$2,"Longa Distância")</f>
        <v>Curta Distância</v>
      </c>
      <c r="AE312" s="30" t="str">
        <f t="shared" si="23"/>
        <v>NÃO</v>
      </c>
      <c r="AF312" s="30">
        <f>SUMIF(Entradas!$B:$B,'Entrada Lvl 5-4 qt'!$B312,Entradas!$AG:$AG)</f>
        <v>265.34513886071062</v>
      </c>
      <c r="AG312" s="30"/>
      <c r="BD312" s="49"/>
      <c r="BE312" s="49"/>
    </row>
    <row r="313" spans="1:57" x14ac:dyDescent="0.3">
      <c r="A313">
        <f>_xlfn.XLOOKUP(B313,Entradas!B:B,Entradas!A:A,,0,-1)</f>
        <v>2</v>
      </c>
      <c r="B313">
        <v>19208009</v>
      </c>
      <c r="C313" t="str">
        <f>_xlfn.XLOOKUP($B313,Entradas!$B:$B,Entradas!C:C,,0,1)</f>
        <v>000926/23</v>
      </c>
      <c r="D313" t="str">
        <f>_xlfn.XLOOKUP($B313,Entradas!$B:$B,Entradas!D:D,,0,1)</f>
        <v>***.370.124-**</v>
      </c>
      <c r="E313" t="str">
        <f>_xlfn.XLOOKUP($B313,Entradas!$B:$B,Entradas!E:E,,0,1)</f>
        <v>RICHARDE MARQUES DA SILVA</v>
      </c>
      <c r="F313" t="str">
        <f>_xlfn.XLOOKUP($B313,Entradas!$B:$B,Entradas!F:F,,0,1)</f>
        <v>PROFESSOR DO MAGISTERIO SUPERIOR</v>
      </c>
      <c r="G313" t="str">
        <f>_xlfn.XLOOKUP($B313,Entradas!$B:$B,Entradas!G:G,,0,1)</f>
        <v>FG-0001</v>
      </c>
      <c r="H313" t="str">
        <f>_xlfn.XLOOKUP($B313,Entradas!$B:$B,Entradas!H:H,,0,1)</f>
        <v>FG-0001</v>
      </c>
      <c r="I313" s="49">
        <f>_xlfn.XLOOKUP($B313,Entradas!$B:$B,Entradas!I:I,,0,1)</f>
        <v>45248</v>
      </c>
      <c r="J313" s="49">
        <f>_xlfn.XLOOKUP($B313,Entradas!$B:$B,Entradas!J:J,,0,1)</f>
        <v>45255</v>
      </c>
      <c r="K313" t="str">
        <f>_xlfn.XLOOKUP($B313,Entradas!$B:$B,Entradas!K:K,,0,1)</f>
        <v>Apresentar e Participar do XXV Simpósio Brasileiro de Recursos Hídricos na cidade de Aracaju/Se.</v>
      </c>
      <c r="L313">
        <f>SUMIF(Entradas!$B:$B,'Entrada Lvl 5-4 qt'!$B313,Entradas!S:S)</f>
        <v>973.46932400000003</v>
      </c>
      <c r="M313" t="str">
        <f>_xlfn.XLOOKUP($B313,Entradas!$B:$B,Entradas!T:T,,0,1)</f>
        <v>Aéreo</v>
      </c>
      <c r="N313" t="str">
        <f>_xlfn.XLOOKUP($B313,Entradas!$B:$B,Entradas!U:U,,0,1)</f>
        <v>Não</v>
      </c>
      <c r="O313" t="str">
        <f>_xlfn.XLOOKUP($B313,Entradas!$B:$B,Entradas!V:V,,0,1)</f>
        <v>Realizada</v>
      </c>
      <c r="P313" t="str">
        <f>_xlfn.XLOOKUP($B313,Entradas!$B:$B,Entradas!W:W,,0,1)</f>
        <v>NÃO</v>
      </c>
      <c r="Q313" t="str">
        <f>_xlfn.XLOOKUP($B313,Entradas!$B:$B,Entradas!X:X,,0,1)</f>
        <v>Sem informação</v>
      </c>
      <c r="R313" s="36">
        <f>SUMIF(Entradas!$B:$B,'Entrada Lvl 5-4 qt'!$B313,Entradas!Y:Y)</f>
        <v>2503.1</v>
      </c>
      <c r="S313" s="36">
        <f>SUMIF(Entradas!$B:$B,'Entrada Lvl 5-4 qt'!$B313,Entradas!Z:Z)</f>
        <v>0</v>
      </c>
      <c r="T313" s="36">
        <f>SUMIF(Entradas!$B:$B,'Entrada Lvl 5-4 qt'!$B313,Entradas!AA:AA)</f>
        <v>3201.3599999999997</v>
      </c>
      <c r="U313" s="36">
        <f>SUMIF(Entradas!$B:$B,'Entrada Lvl 5-4 qt'!$B313,Entradas!AB:AB)</f>
        <v>0</v>
      </c>
      <c r="V313" s="49">
        <f>_xlfn.XLOOKUP($B313,Entradas!$B:$B,Entradas!AC:AC,,0,1)</f>
        <v>45168</v>
      </c>
      <c r="W313" s="58">
        <f t="shared" si="24"/>
        <v>7</v>
      </c>
      <c r="X313" s="28" t="s">
        <v>10</v>
      </c>
      <c r="Y313" s="32">
        <f t="shared" si="20"/>
        <v>0</v>
      </c>
      <c r="Z313" s="33">
        <f t="shared" si="21"/>
        <v>3201.3599999999997</v>
      </c>
      <c r="AA313" s="34">
        <f t="shared" si="22"/>
        <v>2503.1</v>
      </c>
      <c r="AB313" s="28" t="s">
        <v>1814</v>
      </c>
      <c r="AC313" s="28" t="s">
        <v>1820</v>
      </c>
      <c r="AD313" s="29" t="str" cm="1">
        <f t="array" ref="AD313">_xlfn.IFS(L313&lt;=Constantes!$G$2,"Muito Curta (evitável)",L313&lt;=Constantes!$H$2,"Curta Distância",L313&gt;Constantes!$H$2,"Longa Distância")</f>
        <v>Curta Distância</v>
      </c>
      <c r="AE313" s="30" t="str">
        <f t="shared" si="23"/>
        <v>NÃO</v>
      </c>
      <c r="AF313" s="30">
        <f>SUMIF(Entradas!$B:$B,'Entrada Lvl 5-4 qt'!$B313,Entradas!$AG:$AG)</f>
        <v>265.34513886071062</v>
      </c>
      <c r="AG313" s="30"/>
      <c r="BD313" s="49"/>
      <c r="BE313" s="49"/>
    </row>
    <row r="314" spans="1:57" x14ac:dyDescent="0.3">
      <c r="A314">
        <f>_xlfn.XLOOKUP(B314,Entradas!B:B,Entradas!A:A,,0,-1)</f>
        <v>2</v>
      </c>
      <c r="B314">
        <v>19217117</v>
      </c>
      <c r="C314" t="str">
        <f>_xlfn.XLOOKUP($B314,Entradas!$B:$B,Entradas!C:C,,0,1)</f>
        <v>000885/23</v>
      </c>
      <c r="D314" t="str">
        <f>_xlfn.XLOOKUP($B314,Entradas!$B:$B,Entradas!D:D,,0,1)</f>
        <v>***.781.114-**</v>
      </c>
      <c r="E314" t="str">
        <f>_xlfn.XLOOKUP($B314,Entradas!$B:$B,Entradas!E:E,,0,1)</f>
        <v>CRISTIANO DAS NEVES ALMEIDA</v>
      </c>
      <c r="F314" t="str">
        <f>_xlfn.XLOOKUP($B314,Entradas!$B:$B,Entradas!F:F,,0,1)</f>
        <v>PROFESSOR DO MAGISTERIO SUPERIOR</v>
      </c>
      <c r="G314" t="str">
        <f>_xlfn.XLOOKUP($B314,Entradas!$B:$B,Entradas!G:G,,0,1)</f>
        <v>-1</v>
      </c>
      <c r="H314" t="str">
        <f>_xlfn.XLOOKUP($B314,Entradas!$B:$B,Entradas!H:H,,0,1)</f>
        <v>Sem informação</v>
      </c>
      <c r="I314" s="49">
        <f>_xlfn.XLOOKUP($B314,Entradas!$B:$B,Entradas!I:I,,0,1)</f>
        <v>45248</v>
      </c>
      <c r="J314" s="49">
        <f>_xlfn.XLOOKUP($B314,Entradas!$B:$B,Entradas!J:J,,0,1)</f>
        <v>45254</v>
      </c>
      <c r="K314" t="str">
        <f>_xlfn.XLOOKUP($B314,Entradas!$B:$B,Entradas!K:K,,0,1)</f>
        <v>Participação no XXV Simpósio Brasileiro de Recursos Hídricos</v>
      </c>
      <c r="L314">
        <f>SUMIF(Entradas!$B:$B,'Entrada Lvl 5-4 qt'!$B314,Entradas!S:S)</f>
        <v>973.46932400000003</v>
      </c>
      <c r="M314" t="str">
        <f>_xlfn.XLOOKUP($B314,Entradas!$B:$B,Entradas!T:T,,0,1)</f>
        <v>Aéreo</v>
      </c>
      <c r="N314" t="str">
        <f>_xlfn.XLOOKUP($B314,Entradas!$B:$B,Entradas!U:U,,0,1)</f>
        <v>Sim</v>
      </c>
      <c r="O314" t="str">
        <f>_xlfn.XLOOKUP($B314,Entradas!$B:$B,Entradas!V:V,,0,1)</f>
        <v>Realizada</v>
      </c>
      <c r="P314" t="str">
        <f>_xlfn.XLOOKUP($B314,Entradas!$B:$B,Entradas!W:W,,0,1)</f>
        <v>NÃO</v>
      </c>
      <c r="Q314" t="str">
        <f>_xlfn.XLOOKUP($B314,Entradas!$B:$B,Entradas!X:X,,0,1)</f>
        <v>Sem informação</v>
      </c>
      <c r="R314" s="36">
        <f>SUMIF(Entradas!$B:$B,'Entrada Lvl 5-4 qt'!$B314,Entradas!Y:Y)</f>
        <v>2162.08</v>
      </c>
      <c r="S314" s="36">
        <f>SUMIF(Entradas!$B:$B,'Entrada Lvl 5-4 qt'!$B314,Entradas!Z:Z)</f>
        <v>0</v>
      </c>
      <c r="T314" s="36">
        <f>SUMIF(Entradas!$B:$B,'Entrada Lvl 5-4 qt'!$B314,Entradas!AA:AA)</f>
        <v>2942.96</v>
      </c>
      <c r="U314" s="36">
        <f>SUMIF(Entradas!$B:$B,'Entrada Lvl 5-4 qt'!$B314,Entradas!AB:AB)</f>
        <v>0</v>
      </c>
      <c r="V314" s="49">
        <f>_xlfn.XLOOKUP($B314,Entradas!$B:$B,Entradas!AC:AC,,0,1)</f>
        <v>45167</v>
      </c>
      <c r="W314" s="58">
        <f t="shared" si="24"/>
        <v>6</v>
      </c>
      <c r="X314" s="28" t="s">
        <v>10</v>
      </c>
      <c r="Y314" s="32">
        <f t="shared" si="20"/>
        <v>0</v>
      </c>
      <c r="Z314" s="33">
        <f t="shared" si="21"/>
        <v>2942.96</v>
      </c>
      <c r="AA314" s="34">
        <f t="shared" si="22"/>
        <v>2162.08</v>
      </c>
      <c r="AB314" s="28" t="s">
        <v>1814</v>
      </c>
      <c r="AC314" s="28" t="s">
        <v>1820</v>
      </c>
      <c r="AD314" s="29" t="str" cm="1">
        <f t="array" ref="AD314">_xlfn.IFS(L314&lt;=Constantes!$G$2,"Muito Curta (evitável)",L314&lt;=Constantes!$H$2,"Curta Distância",L314&gt;Constantes!$H$2,"Longa Distância")</f>
        <v>Curta Distância</v>
      </c>
      <c r="AE314" s="30" t="str">
        <f t="shared" si="23"/>
        <v>NÃO</v>
      </c>
      <c r="AF314" s="30">
        <f>SUMIF(Entradas!$B:$B,'Entrada Lvl 5-4 qt'!$B314,Entradas!$AG:$AG)</f>
        <v>265.34513886071062</v>
      </c>
      <c r="AG314" s="30"/>
      <c r="BD314" s="49"/>
      <c r="BE314" s="49"/>
    </row>
    <row r="315" spans="1:57" x14ac:dyDescent="0.3">
      <c r="A315">
        <f>_xlfn.XLOOKUP(B315,Entradas!B:B,Entradas!A:A,,0,-1)</f>
        <v>2</v>
      </c>
      <c r="B315">
        <v>19277981</v>
      </c>
      <c r="C315" t="str">
        <f>_xlfn.XLOOKUP($B315,Entradas!$B:$B,Entradas!C:C,,0,1)</f>
        <v>001048/23</v>
      </c>
      <c r="D315" t="str">
        <f>_xlfn.XLOOKUP($B315,Entradas!$B:$B,Entradas!D:D,,0,1)</f>
        <v>***.231.197-**</v>
      </c>
      <c r="E315" t="str">
        <f>_xlfn.XLOOKUP($B315,Entradas!$B:$B,Entradas!E:E,,0,1)</f>
        <v>NELSON GOMES DE SANT ANA E SILVA JUNIOR</v>
      </c>
      <c r="F315" t="str">
        <f>_xlfn.XLOOKUP($B315,Entradas!$B:$B,Entradas!F:F,,0,1)</f>
        <v>PROFESSOR DO MAGISTERIO SUPERIOR</v>
      </c>
      <c r="G315" t="str">
        <f>_xlfn.XLOOKUP($B315,Entradas!$B:$B,Entradas!G:G,,0,1)</f>
        <v>-1</v>
      </c>
      <c r="H315" t="str">
        <f>_xlfn.XLOOKUP($B315,Entradas!$B:$B,Entradas!H:H,,0,1)</f>
        <v>Sem informação</v>
      </c>
      <c r="I315" s="49">
        <f>_xlfn.XLOOKUP($B315,Entradas!$B:$B,Entradas!I:I,,0,1)</f>
        <v>45249</v>
      </c>
      <c r="J315" s="49">
        <f>_xlfn.XLOOKUP($B315,Entradas!$B:$B,Entradas!J:J,,0,1)</f>
        <v>45255</v>
      </c>
      <c r="K315" t="str">
        <f>_xlfn.XLOOKUP($B315,Entradas!$B:$B,Entradas!K:K,,0,1)</f>
        <v>Participação no Seminário de Meio Termo 2023 da CAPES/MEC na condição de vice-coordenador do Programa de Pós-Graduação em Direitos Humanos, Cidadania e Políticas Públicas da UFPB.</v>
      </c>
      <c r="L315">
        <f>SUMIF(Entradas!$B:$B,'Entrada Lvl 5-4 qt'!$B315,Entradas!S:S)</f>
        <v>3426.839982</v>
      </c>
      <c r="M315" t="str">
        <f>_xlfn.XLOOKUP($B315,Entradas!$B:$B,Entradas!T:T,,0,1)</f>
        <v>Aéreo</v>
      </c>
      <c r="N315" t="str">
        <f>_xlfn.XLOOKUP($B315,Entradas!$B:$B,Entradas!U:U,,0,1)</f>
        <v>Não</v>
      </c>
      <c r="O315" t="str">
        <f>_xlfn.XLOOKUP($B315,Entradas!$B:$B,Entradas!V:V,,0,1)</f>
        <v>Realizada</v>
      </c>
      <c r="P315" t="str">
        <f>_xlfn.XLOOKUP($B315,Entradas!$B:$B,Entradas!W:W,,0,1)</f>
        <v>NÃO</v>
      </c>
      <c r="Q315" t="str">
        <f>_xlfn.XLOOKUP($B315,Entradas!$B:$B,Entradas!X:X,,0,1)</f>
        <v>Sem informação</v>
      </c>
      <c r="R315" s="36">
        <f>SUMIF(Entradas!$B:$B,'Entrada Lvl 5-4 qt'!$B315,Entradas!Y:Y)</f>
        <v>2422.86</v>
      </c>
      <c r="S315" s="36">
        <f>SUMIF(Entradas!$B:$B,'Entrada Lvl 5-4 qt'!$B315,Entradas!Z:Z)</f>
        <v>0</v>
      </c>
      <c r="T315" s="36">
        <f>SUMIF(Entradas!$B:$B,'Entrada Lvl 5-4 qt'!$B315,Entradas!AA:AA)</f>
        <v>2099.1</v>
      </c>
      <c r="U315" s="36">
        <f>SUMIF(Entradas!$B:$B,'Entrada Lvl 5-4 qt'!$B315,Entradas!AB:AB)</f>
        <v>0</v>
      </c>
      <c r="V315" s="49">
        <f>_xlfn.XLOOKUP($B315,Entradas!$B:$B,Entradas!AC:AC,,0,1)</f>
        <v>45182</v>
      </c>
      <c r="W315" s="58">
        <f t="shared" si="24"/>
        <v>6</v>
      </c>
      <c r="X315" s="28" t="s">
        <v>10</v>
      </c>
      <c r="Y315" s="32">
        <f t="shared" si="20"/>
        <v>0</v>
      </c>
      <c r="Z315" s="33">
        <f t="shared" si="21"/>
        <v>2099.1</v>
      </c>
      <c r="AA315" s="34">
        <f t="shared" si="22"/>
        <v>2422.86</v>
      </c>
      <c r="AB315" s="28" t="s">
        <v>1813</v>
      </c>
      <c r="AC315" s="28" t="s">
        <v>1784</v>
      </c>
      <c r="AD315" s="29" t="str" cm="1">
        <f t="array" ref="AD315">_xlfn.IFS(L315&lt;=Constantes!$G$2,"Muito Curta (evitável)",L315&lt;=Constantes!$H$2,"Curta Distância",L315&gt;Constantes!$H$2,"Longa Distância")</f>
        <v>Curta Distância</v>
      </c>
      <c r="AE315" s="30" t="str">
        <f t="shared" si="23"/>
        <v>NÃO</v>
      </c>
      <c r="AF315" s="30">
        <f>SUMIF(Entradas!$B:$B,'Entrada Lvl 5-4 qt'!$B315,Entradas!$AG:$AG)</f>
        <v>626.66401501165365</v>
      </c>
      <c r="AG315" s="30"/>
      <c r="BD315" s="49"/>
      <c r="BE315" s="49"/>
    </row>
    <row r="316" spans="1:57" x14ac:dyDescent="0.3">
      <c r="A316">
        <f>_xlfn.XLOOKUP(B316,Entradas!B:B,Entradas!A:A,,0,-1)</f>
        <v>2</v>
      </c>
      <c r="B316">
        <v>19283968</v>
      </c>
      <c r="C316" t="str">
        <f>_xlfn.XLOOKUP($B316,Entradas!$B:$B,Entradas!C:C,,0,1)</f>
        <v>001613/23</v>
      </c>
      <c r="D316" t="str">
        <f>_xlfn.XLOOKUP($B316,Entradas!$B:$B,Entradas!D:D,,0,1)</f>
        <v>***.313.214-**</v>
      </c>
      <c r="E316" t="str">
        <f>_xlfn.XLOOKUP($B316,Entradas!$B:$B,Entradas!E:E,,0,1)</f>
        <v>EMILIA MARIA DA TRINDADE PRESTES</v>
      </c>
      <c r="F316" t="str">
        <f>_xlfn.XLOOKUP($B316,Entradas!$B:$B,Entradas!F:F,,0,1)</f>
        <v>PROFESSOR DO MAGISTERIO SUPERIOR</v>
      </c>
      <c r="G316" t="str">
        <f>_xlfn.XLOOKUP($B316,Entradas!$B:$B,Entradas!G:G,,0,1)</f>
        <v>-1</v>
      </c>
      <c r="H316" t="str">
        <f>_xlfn.XLOOKUP($B316,Entradas!$B:$B,Entradas!H:H,,0,1)</f>
        <v>Sem informação</v>
      </c>
      <c r="I316" s="49">
        <f>_xlfn.XLOOKUP($B316,Entradas!$B:$B,Entradas!I:I,,0,1)</f>
        <v>45249</v>
      </c>
      <c r="J316" s="49">
        <f>_xlfn.XLOOKUP($B316,Entradas!$B:$B,Entradas!J:J,,0,1)</f>
        <v>45257</v>
      </c>
      <c r="K316" t="str">
        <f>_xlfn.XLOOKUP($B316,Entradas!$B:$B,Entradas!K:K,,0,1)</f>
        <v>Participação no II Simpósio Internacional Jurgen Habermas</v>
      </c>
      <c r="L316">
        <f>SUMIF(Entradas!$B:$B,'Entrada Lvl 5-4 qt'!$B316,Entradas!S:S)</f>
        <v>5391.1646700000001</v>
      </c>
      <c r="M316" t="str">
        <f>_xlfn.XLOOKUP($B316,Entradas!$B:$B,Entradas!T:T,,0,1)</f>
        <v>Aéreo</v>
      </c>
      <c r="N316" t="str">
        <f>_xlfn.XLOOKUP($B316,Entradas!$B:$B,Entradas!U:U,,0,1)</f>
        <v>Sim</v>
      </c>
      <c r="O316" t="str">
        <f>_xlfn.XLOOKUP($B316,Entradas!$B:$B,Entradas!V:V,,0,1)</f>
        <v>Realizada</v>
      </c>
      <c r="P316" t="str">
        <f>_xlfn.XLOOKUP($B316,Entradas!$B:$B,Entradas!W:W,,0,1)</f>
        <v>SIM</v>
      </c>
      <c r="Q316" t="str">
        <f>_xlfn.XLOOKUP($B316,Entradas!$B:$B,Entradas!X:X,,0,1)</f>
        <v>Foi necessário requisitar novos empenhos para pagamento de diárias e passagens.</v>
      </c>
      <c r="R316" s="36">
        <f>SUMIF(Entradas!$B:$B,'Entrada Lvl 5-4 qt'!$B316,Entradas!Y:Y)</f>
        <v>2814.21</v>
      </c>
      <c r="S316" s="36">
        <f>SUMIF(Entradas!$B:$B,'Entrada Lvl 5-4 qt'!$B316,Entradas!Z:Z)</f>
        <v>0</v>
      </c>
      <c r="T316" s="36">
        <f>SUMIF(Entradas!$B:$B,'Entrada Lvl 5-4 qt'!$B316,Entradas!AA:AA)</f>
        <v>4458.29</v>
      </c>
      <c r="U316" s="36">
        <f>SUMIF(Entradas!$B:$B,'Entrada Lvl 5-4 qt'!$B316,Entradas!AB:AB)</f>
        <v>0</v>
      </c>
      <c r="V316" s="49">
        <f>_xlfn.XLOOKUP($B316,Entradas!$B:$B,Entradas!AC:AC,,0,1)</f>
        <v>45237</v>
      </c>
      <c r="W316" s="58">
        <f t="shared" si="24"/>
        <v>8</v>
      </c>
      <c r="X316" s="28" t="s">
        <v>10</v>
      </c>
      <c r="Y316" s="32">
        <f t="shared" si="20"/>
        <v>0</v>
      </c>
      <c r="Z316" s="33">
        <f t="shared" si="21"/>
        <v>4458.29</v>
      </c>
      <c r="AA316" s="34">
        <f t="shared" si="22"/>
        <v>2814.21</v>
      </c>
      <c r="AB316" s="28" t="s">
        <v>1814</v>
      </c>
      <c r="AC316" s="28" t="s">
        <v>1820</v>
      </c>
      <c r="AD316" s="29" t="str" cm="1">
        <f t="array" ref="AD316">_xlfn.IFS(L316&lt;=Constantes!$G$2,"Muito Curta (evitável)",L316&lt;=Constantes!$H$2,"Curta Distância",L316&gt;Constantes!$H$2,"Longa Distância")</f>
        <v>Longa Distância</v>
      </c>
      <c r="AE316" s="30" t="str">
        <f t="shared" si="23"/>
        <v>NÃO</v>
      </c>
      <c r="AF316" s="30">
        <f>SUMIF(Entradas!$B:$B,'Entrada Lvl 5-4 qt'!$B316,Entradas!$AG:$AG)</f>
        <v>985.87880246436816</v>
      </c>
      <c r="AG316" s="30"/>
      <c r="BD316" s="49"/>
      <c r="BE316" s="49"/>
    </row>
    <row r="317" spans="1:57" x14ac:dyDescent="0.3">
      <c r="A317">
        <f>_xlfn.XLOOKUP(B317,Entradas!B:B,Entradas!A:A,,0,-1)</f>
        <v>2</v>
      </c>
      <c r="B317">
        <v>19323094</v>
      </c>
      <c r="C317" t="str">
        <f>_xlfn.XLOOKUP($B317,Entradas!$B:$B,Entradas!C:C,,0,1)</f>
        <v>001198/23</v>
      </c>
      <c r="D317" t="str">
        <f>_xlfn.XLOOKUP($B317,Entradas!$B:$B,Entradas!D:D,,0,1)</f>
        <v>***.474.766-**</v>
      </c>
      <c r="E317" t="str">
        <f>_xlfn.XLOOKUP($B317,Entradas!$B:$B,Entradas!E:E,,0,1)</f>
        <v>EDNA GUSMAO DE GOES BRENNAND</v>
      </c>
      <c r="F317" t="str">
        <f>_xlfn.XLOOKUP($B317,Entradas!$B:$B,Entradas!F:F,,0,1)</f>
        <v>PROFESSOR DO MAGISTERIO SUPERIOR</v>
      </c>
      <c r="G317" t="str">
        <f>_xlfn.XLOOKUP($B317,Entradas!$B:$B,Entradas!G:G,,0,1)</f>
        <v>-1</v>
      </c>
      <c r="H317" t="str">
        <f>_xlfn.XLOOKUP($B317,Entradas!$B:$B,Entradas!H:H,,0,1)</f>
        <v>Sem informação</v>
      </c>
      <c r="I317" s="49">
        <f>_xlfn.XLOOKUP($B317,Entradas!$B:$B,Entradas!I:I,,0,1)</f>
        <v>45249</v>
      </c>
      <c r="J317" s="49">
        <f>_xlfn.XLOOKUP($B317,Entradas!$B:$B,Entradas!J:J,,0,1)</f>
        <v>45256</v>
      </c>
      <c r="K317" t="str">
        <f>_xlfn.XLOOKUP($B317,Entradas!$B:$B,Entradas!K:K,,0,1)</f>
        <v>Como Coordenadora da Rede RIEV coordenar em parceria com a Universidade Federal da Santa Catarina -UFSC e a Universidade de València - Espanha o II Simpósio Internacional Jurgen Habermas no período de 20 a 25 de novembro (https://simposiojurgenhabermas.com/) ; proferir a conferência - Inteligência Artificial, Direitos Humanos eEsfera Pública no referido evento.</v>
      </c>
      <c r="L317">
        <f>SUMIF(Entradas!$B:$B,'Entrada Lvl 5-4 qt'!$B317,Entradas!S:S)</f>
        <v>5391.1646700000001</v>
      </c>
      <c r="M317" t="str">
        <f>_xlfn.XLOOKUP($B317,Entradas!$B:$B,Entradas!T:T,,0,1)</f>
        <v>Aéreo</v>
      </c>
      <c r="N317" t="str">
        <f>_xlfn.XLOOKUP($B317,Entradas!$B:$B,Entradas!U:U,,0,1)</f>
        <v>Sim</v>
      </c>
      <c r="O317" t="str">
        <f>_xlfn.XLOOKUP($B317,Entradas!$B:$B,Entradas!V:V,,0,1)</f>
        <v>Realizada</v>
      </c>
      <c r="P317" t="str">
        <f>_xlfn.XLOOKUP($B317,Entradas!$B:$B,Entradas!W:W,,0,1)</f>
        <v>NÃO</v>
      </c>
      <c r="Q317" t="str">
        <f>_xlfn.XLOOKUP($B317,Entradas!$B:$B,Entradas!X:X,,0,1)</f>
        <v>Sem informação</v>
      </c>
      <c r="R317" s="36">
        <f>SUMIF(Entradas!$B:$B,'Entrada Lvl 5-4 qt'!$B317,Entradas!Y:Y)</f>
        <v>2503.1</v>
      </c>
      <c r="S317" s="36">
        <f>SUMIF(Entradas!$B:$B,'Entrada Lvl 5-4 qt'!$B317,Entradas!Z:Z)</f>
        <v>0</v>
      </c>
      <c r="T317" s="36">
        <f>SUMIF(Entradas!$B:$B,'Entrada Lvl 5-4 qt'!$B317,Entradas!AA:AA)</f>
        <v>3362.49</v>
      </c>
      <c r="U317" s="36">
        <f>SUMIF(Entradas!$B:$B,'Entrada Lvl 5-4 qt'!$B317,Entradas!AB:AB)</f>
        <v>0</v>
      </c>
      <c r="V317" s="49">
        <f>_xlfn.XLOOKUP($B317,Entradas!$B:$B,Entradas!AC:AC,,0,1)</f>
        <v>45196</v>
      </c>
      <c r="W317" s="58">
        <f t="shared" si="24"/>
        <v>7</v>
      </c>
      <c r="X317" s="28" t="s">
        <v>10</v>
      </c>
      <c r="Y317" s="32">
        <f t="shared" si="20"/>
        <v>0</v>
      </c>
      <c r="Z317" s="33">
        <f t="shared" si="21"/>
        <v>3362.49</v>
      </c>
      <c r="AA317" s="34">
        <f t="shared" si="22"/>
        <v>2503.1</v>
      </c>
      <c r="AB317" s="28" t="s">
        <v>1814</v>
      </c>
      <c r="AC317" s="28" t="s">
        <v>1820</v>
      </c>
      <c r="AD317" s="29" t="str" cm="1">
        <f t="array" ref="AD317">_xlfn.IFS(L317&lt;=Constantes!$G$2,"Muito Curta (evitável)",L317&lt;=Constantes!$H$2,"Curta Distância",L317&gt;Constantes!$H$2,"Longa Distância")</f>
        <v>Longa Distância</v>
      </c>
      <c r="AE317" s="30" t="str">
        <f t="shared" si="23"/>
        <v>NÃO</v>
      </c>
      <c r="AF317" s="30">
        <f>SUMIF(Entradas!$B:$B,'Entrada Lvl 5-4 qt'!$B317,Entradas!$AG:$AG)</f>
        <v>985.87880246436816</v>
      </c>
      <c r="AG317" s="30"/>
      <c r="BD317" s="49"/>
      <c r="BE317" s="49"/>
    </row>
    <row r="318" spans="1:57" x14ac:dyDescent="0.3">
      <c r="A318">
        <f>_xlfn.XLOOKUP(B318,Entradas!B:B,Entradas!A:A,,0,-1)</f>
        <v>2</v>
      </c>
      <c r="B318">
        <v>19479618</v>
      </c>
      <c r="C318" t="str">
        <f>_xlfn.XLOOKUP($B318,Entradas!$B:$B,Entradas!C:C,,0,1)</f>
        <v>001648/23</v>
      </c>
      <c r="D318" t="str">
        <f>_xlfn.XLOOKUP($B318,Entradas!$B:$B,Entradas!D:D,,0,1)</f>
        <v>***.144.514-**</v>
      </c>
      <c r="E318" t="str">
        <f>_xlfn.XLOOKUP($B318,Entradas!$B:$B,Entradas!E:E,,0,1)</f>
        <v>ALEXANDRE EDUARDO DE ARAUJO</v>
      </c>
      <c r="F318" t="str">
        <f>_xlfn.XLOOKUP($B318,Entradas!$B:$B,Entradas!F:F,,0,1)</f>
        <v>PROFESSOR DO MAGISTERIO SUPERIOR</v>
      </c>
      <c r="G318" t="str">
        <f>_xlfn.XLOOKUP($B318,Entradas!$B:$B,Entradas!G:G,,0,1)</f>
        <v>FUC-0001</v>
      </c>
      <c r="H318" t="str">
        <f>_xlfn.XLOOKUP($B318,Entradas!$B:$B,Entradas!H:H,,0,1)</f>
        <v>FUC-0001</v>
      </c>
      <c r="I318" s="49">
        <f>_xlfn.XLOOKUP($B318,Entradas!$B:$B,Entradas!I:I,,0,1)</f>
        <v>45249</v>
      </c>
      <c r="J318" s="49">
        <f>_xlfn.XLOOKUP($B318,Entradas!$B:$B,Entradas!J:J,,0,1)</f>
        <v>45254</v>
      </c>
      <c r="K318" t="str">
        <f>_xlfn.XLOOKUP($B318,Entradas!$B:$B,Entradas!K:K,,0,1)</f>
        <v>O Congresso Brasileiro de Agroecologia é um importante evento nessa área do conhecimento, com a previsão de 5 mil participantes nesse ano de 2023. Serão realizadas participação em palestras, debates e apresentação de trabalhos técnicos científicos que serão apresentados, conforme comprovantes em anexo.</v>
      </c>
      <c r="L318">
        <f>SUMIF(Entradas!$B:$B,'Entrada Lvl 5-4 qt'!$B318,Entradas!S:S)</f>
        <v>3923.0015720000001</v>
      </c>
      <c r="M318" t="str">
        <f>_xlfn.XLOOKUP($B318,Entradas!$B:$B,Entradas!T:T,,0,1)</f>
        <v>Aéreo</v>
      </c>
      <c r="N318" t="str">
        <f>_xlfn.XLOOKUP($B318,Entradas!$B:$B,Entradas!U:U,,0,1)</f>
        <v>Não</v>
      </c>
      <c r="O318" t="str">
        <f>_xlfn.XLOOKUP($B318,Entradas!$B:$B,Entradas!V:V,,0,1)</f>
        <v>Realizada</v>
      </c>
      <c r="P318" t="str">
        <f>_xlfn.XLOOKUP($B318,Entradas!$B:$B,Entradas!W:W,,0,1)</f>
        <v>SIM</v>
      </c>
      <c r="Q318" t="str">
        <f>_xlfn.XLOOKUP($B318,Entradas!$B:$B,Entradas!X:X,,0,1)</f>
        <v>Conforme Justificativa do proposto: Justifica-se a viagem fora do prazo de antecedência para solicitação devido aos trâmites para inscrições, envio de trabalhos e confirmação de aceitação de trabalhos e confirmação de inscrição. Outro fato que fez a solicitação se tornar em caráter de urgência foi a impossibilidade do CCHSA de comprar passagens nacionais por não existir contrato vigente com agências de turismo, ocasionando a necessidade de uma nova abertura de processo pelo CAVN e consequente envio para o CCA como parceiros.' e Autorização formal do Ordenador de Despesas. Anexos a esta PCDP.</v>
      </c>
      <c r="R318" s="36">
        <f>SUMIF(Entradas!$B:$B,'Entrada Lvl 5-4 qt'!$B318,Entradas!Y:Y)</f>
        <v>0</v>
      </c>
      <c r="S318" s="36">
        <f>SUMIF(Entradas!$B:$B,'Entrada Lvl 5-4 qt'!$B318,Entradas!Z:Z)</f>
        <v>0</v>
      </c>
      <c r="T318" s="36">
        <f>SUMIF(Entradas!$B:$B,'Entrada Lvl 5-4 qt'!$B318,Entradas!AA:AA)</f>
        <v>2663.29</v>
      </c>
      <c r="U318" s="36">
        <f>SUMIF(Entradas!$B:$B,'Entrada Lvl 5-4 qt'!$B318,Entradas!AB:AB)</f>
        <v>0</v>
      </c>
      <c r="V318" s="49">
        <f>_xlfn.XLOOKUP($B318,Entradas!$B:$B,Entradas!AC:AC,,0,1)</f>
        <v>45236</v>
      </c>
      <c r="W318" s="58">
        <f t="shared" si="24"/>
        <v>5</v>
      </c>
      <c r="X318" s="28" t="s">
        <v>10</v>
      </c>
      <c r="Y318" s="32">
        <f t="shared" si="20"/>
        <v>0</v>
      </c>
      <c r="Z318" s="33">
        <f t="shared" si="21"/>
        <v>2663.29</v>
      </c>
      <c r="AA318" s="34">
        <f t="shared" si="22"/>
        <v>0</v>
      </c>
      <c r="AB318" s="28" t="s">
        <v>1814</v>
      </c>
      <c r="AC318" s="28" t="s">
        <v>1820</v>
      </c>
      <c r="AD318" s="29" t="str" cm="1">
        <f t="array" ref="AD318">_xlfn.IFS(L318&lt;=Constantes!$G$2,"Muito Curta (evitável)",L318&lt;=Constantes!$H$2,"Curta Distância",L318&gt;Constantes!$H$2,"Longa Distância")</f>
        <v>Longa Distância</v>
      </c>
      <c r="AE318" s="30" t="str">
        <f t="shared" si="23"/>
        <v>NÃO</v>
      </c>
      <c r="AF318" s="30">
        <f>SUMIF(Entradas!$B:$B,'Entrada Lvl 5-4 qt'!$B318,Entradas!$AG:$AG)</f>
        <v>717.39676463438343</v>
      </c>
      <c r="AG318" s="30"/>
      <c r="BD318" s="49"/>
      <c r="BE318" s="49"/>
    </row>
    <row r="319" spans="1:57" x14ac:dyDescent="0.3">
      <c r="A319">
        <f>_xlfn.XLOOKUP(B319,Entradas!B:B,Entradas!A:A,,0,-1)</f>
        <v>2</v>
      </c>
      <c r="B319">
        <v>19489218</v>
      </c>
      <c r="C319" t="str">
        <f>_xlfn.XLOOKUP($B319,Entradas!$B:$B,Entradas!C:C,,0,1)</f>
        <v>001658/23</v>
      </c>
      <c r="D319" t="str">
        <f>_xlfn.XLOOKUP($B319,Entradas!$B:$B,Entradas!D:D,,0,1)</f>
        <v>***.323.024-**</v>
      </c>
      <c r="E319" t="str">
        <f>_xlfn.XLOOKUP($B319,Entradas!$B:$B,Entradas!E:E,,0,1)</f>
        <v>SUELLEN MARY MARINHO DOS SANTOS ANDRADE</v>
      </c>
      <c r="F319" t="str">
        <f>_xlfn.XLOOKUP($B319,Entradas!$B:$B,Entradas!F:F,,0,1)</f>
        <v>PROFESSOR DO MAGISTERIO SUPERIOR</v>
      </c>
      <c r="G319" t="str">
        <f>_xlfn.XLOOKUP($B319,Entradas!$B:$B,Entradas!G:G,,0,1)</f>
        <v>-1</v>
      </c>
      <c r="H319" t="str">
        <f>_xlfn.XLOOKUP($B319,Entradas!$B:$B,Entradas!H:H,,0,1)</f>
        <v>Sem informação</v>
      </c>
      <c r="I319" s="49">
        <f>_xlfn.XLOOKUP($B319,Entradas!$B:$B,Entradas!I:I,,0,1)</f>
        <v>45249</v>
      </c>
      <c r="J319" s="49">
        <f>_xlfn.XLOOKUP($B319,Entradas!$B:$B,Entradas!J:J,,0,1)</f>
        <v>45254</v>
      </c>
      <c r="K319" t="str">
        <f>_xlfn.XLOOKUP($B319,Entradas!$B:$B,Entradas!K:K,,0,1)</f>
        <v>Participação em Seminário de Meio Termo, promovido pela CAPES. Serão desenvolvidas ações para o planejamento na condução dos processos avaliativos, envolvendo o Programa de Pós-graduação em Modelos de Decisão e Saúde.</v>
      </c>
      <c r="L319">
        <f>SUMIF(Entradas!$B:$B,'Entrada Lvl 5-4 qt'!$B319,Entradas!S:S)</f>
        <v>3426.839982</v>
      </c>
      <c r="M319" t="str">
        <f>_xlfn.XLOOKUP($B319,Entradas!$B:$B,Entradas!T:T,,0,1)</f>
        <v>Aéreo</v>
      </c>
      <c r="N319" t="str">
        <f>_xlfn.XLOOKUP($B319,Entradas!$B:$B,Entradas!U:U,,0,1)</f>
        <v>Não</v>
      </c>
      <c r="O319" t="str">
        <f>_xlfn.XLOOKUP($B319,Entradas!$B:$B,Entradas!V:V,,0,1)</f>
        <v>Realizada</v>
      </c>
      <c r="P319" t="str">
        <f>_xlfn.XLOOKUP($B319,Entradas!$B:$B,Entradas!W:W,,0,1)</f>
        <v>SIM</v>
      </c>
      <c r="Q319" t="str">
        <f>_xlfn.XLOOKUP($B319,Entradas!$B:$B,Entradas!X:X,,0,1)</f>
        <v>A atual gestão da coordenação do PPGMDS tomou posse recentemente, não tendo sido, portanto, ainda autorizado o acesso aos recursos do PROEX, para emissão de diárias e passagens. Em virtude disso, buscou-se uma alternativa de apoio da Instituição, tendo sido a presente solicitação encaminhada, nesta data e em caráter de urgência, com recursos conseguidos com a PRPG, a fim de viabilizar a participação da vicecoordenadora do Programa neste seminário conduzido pela CAPES.</v>
      </c>
      <c r="R319" s="36">
        <f>SUMIF(Entradas!$B:$B,'Entrada Lvl 5-4 qt'!$B319,Entradas!Y:Y)</f>
        <v>2041.72</v>
      </c>
      <c r="S319" s="36">
        <f>SUMIF(Entradas!$B:$B,'Entrada Lvl 5-4 qt'!$B319,Entradas!Z:Z)</f>
        <v>0</v>
      </c>
      <c r="T319" s="36">
        <f>SUMIF(Entradas!$B:$B,'Entrada Lvl 5-4 qt'!$B319,Entradas!AA:AA)</f>
        <v>2422.4</v>
      </c>
      <c r="U319" s="36">
        <f>SUMIF(Entradas!$B:$B,'Entrada Lvl 5-4 qt'!$B319,Entradas!AB:AB)</f>
        <v>0</v>
      </c>
      <c r="V319" s="49">
        <f>_xlfn.XLOOKUP($B319,Entradas!$B:$B,Entradas!AC:AC,,0,1)</f>
        <v>45237</v>
      </c>
      <c r="W319" s="58">
        <f t="shared" si="24"/>
        <v>5</v>
      </c>
      <c r="X319" s="28" t="s">
        <v>10</v>
      </c>
      <c r="Y319" s="32">
        <f t="shared" si="20"/>
        <v>0</v>
      </c>
      <c r="Z319" s="33">
        <f t="shared" si="21"/>
        <v>2422.4</v>
      </c>
      <c r="AA319" s="34">
        <f t="shared" si="22"/>
        <v>2041.72</v>
      </c>
      <c r="AB319" s="28" t="s">
        <v>1813</v>
      </c>
      <c r="AC319" s="28" t="s">
        <v>1784</v>
      </c>
      <c r="AD319" s="29" t="str" cm="1">
        <f t="array" ref="AD319">_xlfn.IFS(L319&lt;=Constantes!$G$2,"Muito Curta (evitável)",L319&lt;=Constantes!$H$2,"Curta Distância",L319&gt;Constantes!$H$2,"Longa Distância")</f>
        <v>Curta Distância</v>
      </c>
      <c r="AE319" s="30" t="str">
        <f t="shared" si="23"/>
        <v>NÃO</v>
      </c>
      <c r="AF319" s="30">
        <f>SUMIF(Entradas!$B:$B,'Entrada Lvl 5-4 qt'!$B319,Entradas!$AG:$AG)</f>
        <v>626.66401501165365</v>
      </c>
      <c r="AG319" s="30"/>
      <c r="BD319" s="49"/>
      <c r="BE319" s="49"/>
    </row>
    <row r="320" spans="1:57" x14ac:dyDescent="0.3">
      <c r="A320">
        <f>_xlfn.XLOOKUP(B320,Entradas!B:B,Entradas!A:A,,0,-1)</f>
        <v>2</v>
      </c>
      <c r="B320">
        <v>19133755</v>
      </c>
      <c r="C320" t="str">
        <f>_xlfn.XLOOKUP($B320,Entradas!$B:$B,Entradas!C:C,,0,1)</f>
        <v>000759/23</v>
      </c>
      <c r="D320" t="str">
        <f>_xlfn.XLOOKUP($B320,Entradas!$B:$B,Entradas!D:D,,0,1)</f>
        <v>***.585.554-**</v>
      </c>
      <c r="E320" t="str">
        <f>_xlfn.XLOOKUP($B320,Entradas!$B:$B,Entradas!E:E,,0,1)</f>
        <v>ADRIANO ROLIM DA PAZ</v>
      </c>
      <c r="F320" t="str">
        <f>_xlfn.XLOOKUP($B320,Entradas!$B:$B,Entradas!F:F,,0,1)</f>
        <v>PROFESSOR DO MAGISTERIO SUPERIOR</v>
      </c>
      <c r="G320" t="str">
        <f>_xlfn.XLOOKUP($B320,Entradas!$B:$B,Entradas!G:G,,0,1)</f>
        <v>-1</v>
      </c>
      <c r="H320" t="str">
        <f>_xlfn.XLOOKUP($B320,Entradas!$B:$B,Entradas!H:H,,0,1)</f>
        <v>Sem informação</v>
      </c>
      <c r="I320" s="49">
        <f>_xlfn.XLOOKUP($B320,Entradas!$B:$B,Entradas!I:I,,0,1)</f>
        <v>45250</v>
      </c>
      <c r="J320" s="49">
        <f>_xlfn.XLOOKUP($B320,Entradas!$B:$B,Entradas!J:J,,0,1)</f>
        <v>45254</v>
      </c>
      <c r="K320" t="str">
        <f>_xlfn.XLOOKUP($B320,Entradas!$B:$B,Entradas!K:K,,0,1)</f>
        <v>Participação no período de 20 a 24 de novembro de 2023 do XXV Simpósio Brasileiro de Recursos Hídricos, a ser realizado em Aracaju (SE), com dois artigos científicos completos aprovados para apresentação e publicação nos anais.</v>
      </c>
      <c r="L320">
        <f>SUMIF(Entradas!$B:$B,'Entrada Lvl 5-4 qt'!$B320,Entradas!S:S)</f>
        <v>973.46932400000003</v>
      </c>
      <c r="M320" t="str">
        <f>_xlfn.XLOOKUP($B320,Entradas!$B:$B,Entradas!T:T,,0,1)</f>
        <v>Aéreo</v>
      </c>
      <c r="N320" t="str">
        <f>_xlfn.XLOOKUP($B320,Entradas!$B:$B,Entradas!U:U,,0,1)</f>
        <v>Sim</v>
      </c>
      <c r="O320" t="str">
        <f>_xlfn.XLOOKUP($B320,Entradas!$B:$B,Entradas!V:V,,0,1)</f>
        <v>Realizada</v>
      </c>
      <c r="P320" t="str">
        <f>_xlfn.XLOOKUP($B320,Entradas!$B:$B,Entradas!W:W,,0,1)</f>
        <v>NÃO</v>
      </c>
      <c r="Q320" t="str">
        <f>_xlfn.XLOOKUP($B320,Entradas!$B:$B,Entradas!X:X,,0,1)</f>
        <v>Sem informação</v>
      </c>
      <c r="R320" s="36">
        <f>SUMIF(Entradas!$B:$B,'Entrada Lvl 5-4 qt'!$B320,Entradas!Y:Y)</f>
        <v>1480.04</v>
      </c>
      <c r="S320" s="36">
        <f>SUMIF(Entradas!$B:$B,'Entrada Lvl 5-4 qt'!$B320,Entradas!Z:Z)</f>
        <v>0</v>
      </c>
      <c r="T320" s="36">
        <f>SUMIF(Entradas!$B:$B,'Entrada Lvl 5-4 qt'!$B320,Entradas!AA:AA)</f>
        <v>2776.3599999999997</v>
      </c>
      <c r="U320" s="36">
        <f>SUMIF(Entradas!$B:$B,'Entrada Lvl 5-4 qt'!$B320,Entradas!AB:AB)</f>
        <v>0</v>
      </c>
      <c r="V320" s="49">
        <f>_xlfn.XLOOKUP($B320,Entradas!$B:$B,Entradas!AC:AC,,0,1)</f>
        <v>45148</v>
      </c>
      <c r="W320" s="58">
        <f t="shared" si="24"/>
        <v>4</v>
      </c>
      <c r="X320" s="28" t="s">
        <v>10</v>
      </c>
      <c r="Y320" s="32">
        <f t="shared" si="20"/>
        <v>0</v>
      </c>
      <c r="Z320" s="33">
        <f t="shared" si="21"/>
        <v>2776.3599999999997</v>
      </c>
      <c r="AA320" s="34">
        <f t="shared" si="22"/>
        <v>1480.04</v>
      </c>
      <c r="AB320" s="28" t="s">
        <v>1814</v>
      </c>
      <c r="AC320" s="28" t="s">
        <v>1820</v>
      </c>
      <c r="AD320" s="29" t="str" cm="1">
        <f t="array" ref="AD320">_xlfn.IFS(L320&lt;=Constantes!$G$2,"Muito Curta (evitável)",L320&lt;=Constantes!$H$2,"Curta Distância",L320&gt;Constantes!$H$2,"Longa Distância")</f>
        <v>Curta Distância</v>
      </c>
      <c r="AE320" s="30" t="str">
        <f t="shared" si="23"/>
        <v>NÃO</v>
      </c>
      <c r="AF320" s="30">
        <f>SUMIF(Entradas!$B:$B,'Entrada Lvl 5-4 qt'!$B320,Entradas!$AG:$AG)</f>
        <v>265.34513886071062</v>
      </c>
      <c r="AG320" s="30"/>
      <c r="BD320" s="49"/>
      <c r="BE320" s="49"/>
    </row>
    <row r="321" spans="1:57" x14ac:dyDescent="0.3">
      <c r="A321">
        <f>_xlfn.XLOOKUP(B321,Entradas!B:B,Entradas!A:A,,0,-1)</f>
        <v>2</v>
      </c>
      <c r="B321">
        <v>19245814</v>
      </c>
      <c r="C321" t="str">
        <f>_xlfn.XLOOKUP($B321,Entradas!$B:$B,Entradas!C:C,,0,1)</f>
        <v>001012/23</v>
      </c>
      <c r="D321" t="str">
        <f>_xlfn.XLOOKUP($B321,Entradas!$B:$B,Entradas!D:D,,0,1)</f>
        <v>***.840.844-**</v>
      </c>
      <c r="E321" t="str">
        <f>_xlfn.XLOOKUP($B321,Entradas!$B:$B,Entradas!E:E,,0,1)</f>
        <v>HEMILIO FERNANDES CAMPOS COELHO</v>
      </c>
      <c r="F321" t="str">
        <f>_xlfn.XLOOKUP($B321,Entradas!$B:$B,Entradas!F:F,,0,1)</f>
        <v>PROFESSOR DO MAGISTERIO SUPERIOR</v>
      </c>
      <c r="G321" t="str">
        <f>_xlfn.XLOOKUP($B321,Entradas!$B:$B,Entradas!G:G,,0,1)</f>
        <v>FG-0001</v>
      </c>
      <c r="H321" t="str">
        <f>_xlfn.XLOOKUP($B321,Entradas!$B:$B,Entradas!H:H,,0,1)</f>
        <v>FG-0001</v>
      </c>
      <c r="I321" s="49">
        <f>_xlfn.XLOOKUP($B321,Entradas!$B:$B,Entradas!I:I,,0,1)</f>
        <v>45250</v>
      </c>
      <c r="J321" s="49">
        <f>_xlfn.XLOOKUP($B321,Entradas!$B:$B,Entradas!J:J,,0,1)</f>
        <v>45255</v>
      </c>
      <c r="K321" t="str">
        <f>_xlfn.XLOOKUP($B321,Entradas!$B:$B,Entradas!K:K,,0,1)</f>
        <v>Participar como palestrante do WORKSHOP EM ANÁLISE DE SOBREVIVÊNCIA E APLICAÇÕES que será realizado na XVIII ESCOLA DE MODELOS DE REGRESSÃO e ocorrerá nos dias 21 a 24/11/2023 em BELÉM-PA, no Centro Cultural e Turístico Tancredo Neves (CENTUR).</v>
      </c>
      <c r="L321">
        <f>SUMIF(Entradas!$B:$B,'Entrada Lvl 5-4 qt'!$B321,Entradas!S:S)</f>
        <v>3262.9122579999998</v>
      </c>
      <c r="M321" t="str">
        <f>_xlfn.XLOOKUP($B321,Entradas!$B:$B,Entradas!T:T,,0,1)</f>
        <v>Aéreo</v>
      </c>
      <c r="N321" t="str">
        <f>_xlfn.XLOOKUP($B321,Entradas!$B:$B,Entradas!U:U,,0,1)</f>
        <v>Sim</v>
      </c>
      <c r="O321" t="str">
        <f>_xlfn.XLOOKUP($B321,Entradas!$B:$B,Entradas!V:V,,0,1)</f>
        <v>Realizada</v>
      </c>
      <c r="P321" t="str">
        <f>_xlfn.XLOOKUP($B321,Entradas!$B:$B,Entradas!W:W,,0,1)</f>
        <v>NÃO</v>
      </c>
      <c r="Q321" t="str">
        <f>_xlfn.XLOOKUP($B321,Entradas!$B:$B,Entradas!X:X,,0,1)</f>
        <v>Sem informação</v>
      </c>
      <c r="R321" s="36">
        <f>SUMIF(Entradas!$B:$B,'Entrada Lvl 5-4 qt'!$B321,Entradas!Y:Y)</f>
        <v>1821.06</v>
      </c>
      <c r="S321" s="36">
        <f>SUMIF(Entradas!$B:$B,'Entrada Lvl 5-4 qt'!$B321,Entradas!Z:Z)</f>
        <v>0</v>
      </c>
      <c r="T321" s="36">
        <f>SUMIF(Entradas!$B:$B,'Entrada Lvl 5-4 qt'!$B321,Entradas!AA:AA)</f>
        <v>2620.7800000000002</v>
      </c>
      <c r="U321" s="36">
        <f>SUMIF(Entradas!$B:$B,'Entrada Lvl 5-4 qt'!$B321,Entradas!AB:AB)</f>
        <v>0</v>
      </c>
      <c r="V321" s="49">
        <f>_xlfn.XLOOKUP($B321,Entradas!$B:$B,Entradas!AC:AC,,0,1)</f>
        <v>45178</v>
      </c>
      <c r="W321" s="58">
        <f t="shared" si="24"/>
        <v>5</v>
      </c>
      <c r="X321" s="28" t="s">
        <v>10</v>
      </c>
      <c r="Y321" s="32">
        <f t="shared" si="20"/>
        <v>0</v>
      </c>
      <c r="Z321" s="33">
        <f t="shared" si="21"/>
        <v>2620.7800000000002</v>
      </c>
      <c r="AA321" s="34">
        <f t="shared" si="22"/>
        <v>1821.06</v>
      </c>
      <c r="AB321" s="28" t="s">
        <v>1814</v>
      </c>
      <c r="AC321" s="28" t="s">
        <v>1820</v>
      </c>
      <c r="AD321" s="29" t="str" cm="1">
        <f t="array" ref="AD321">_xlfn.IFS(L321&lt;=Constantes!$G$2,"Muito Curta (evitável)",L321&lt;=Constantes!$H$2,"Curta Distância",L321&gt;Constantes!$H$2,"Longa Distância")</f>
        <v>Curta Distância</v>
      </c>
      <c r="AE321" s="30" t="str">
        <f t="shared" si="23"/>
        <v>NÃO</v>
      </c>
      <c r="AF321" s="30">
        <f>SUMIF(Entradas!$B:$B,'Entrada Lvl 5-4 qt'!$B321,Entradas!$AG:$AG)</f>
        <v>596.68665796167329</v>
      </c>
      <c r="AG321" s="30"/>
      <c r="BD321" s="49"/>
      <c r="BE321" s="49"/>
    </row>
    <row r="322" spans="1:57" x14ac:dyDescent="0.3">
      <c r="A322">
        <f>_xlfn.XLOOKUP(B322,Entradas!B:B,Entradas!A:A,,0,-1)</f>
        <v>2</v>
      </c>
      <c r="B322">
        <v>19161960</v>
      </c>
      <c r="C322" t="str">
        <f>_xlfn.XLOOKUP($B322,Entradas!$B:$B,Entradas!C:C,,0,1)</f>
        <v>000852/23</v>
      </c>
      <c r="D322" t="str">
        <f>_xlfn.XLOOKUP($B322,Entradas!$B:$B,Entradas!D:D,,0,1)</f>
        <v>***.662.224-**</v>
      </c>
      <c r="E322" t="str">
        <f>_xlfn.XLOOKUP($B322,Entradas!$B:$B,Entradas!E:E,,0,1)</f>
        <v>RITA CRISTIANA BARBOSA</v>
      </c>
      <c r="F322" t="str">
        <f>_xlfn.XLOOKUP($B322,Entradas!$B:$B,Entradas!F:F,,0,1)</f>
        <v>PROFESSOR DO MAGISTERIO SUPERIOR</v>
      </c>
      <c r="G322" t="str">
        <f>_xlfn.XLOOKUP($B322,Entradas!$B:$B,Entradas!G:G,,0,1)</f>
        <v>FG-0001</v>
      </c>
      <c r="H322" t="str">
        <f>_xlfn.XLOOKUP($B322,Entradas!$B:$B,Entradas!H:H,,0,1)</f>
        <v>FG-0001</v>
      </c>
      <c r="I322" s="49">
        <f>_xlfn.XLOOKUP($B322,Entradas!$B:$B,Entradas!I:I,,0,1)</f>
        <v>45251</v>
      </c>
      <c r="J322" s="49">
        <f>_xlfn.XLOOKUP($B322,Entradas!$B:$B,Entradas!J:J,,0,1)</f>
        <v>45256</v>
      </c>
      <c r="K322" t="str">
        <f>_xlfn.XLOOKUP($B322,Entradas!$B:$B,Entradas!K:K,,0,1)</f>
        <v>Ao propor o simpósio temático intitulado: Homossexualidade e Igreja, no XI Congresso Internacional de Diversidade Sexual, Étnico racial e de Gênero, abriu-se uma oportunidade ímpar e muito pertinente para conhecer e debater sobre interlocuções com o assunto gênero e religião, por meio de pesquisas realizadas no Brasil e em outros países, uma vez em que pesquiso e oriento tais temáticas, além de lecionar a disciplina: Gênero, sexualidade e religião na graduação e pós-graduação em Ciências das Religiões, da UFPB e ser líder do Grupo de Pesquisa sobre Educação, Religiões, Mulheres e Tecnologias Digitais - TECLA. Sou responsável pela Coordenação de Simpósio Temático e com apresentação de trabalho</v>
      </c>
      <c r="L322">
        <f>SUMIF(Entradas!$B:$B,'Entrada Lvl 5-4 qt'!$B322,Entradas!S:S)</f>
        <v>3923.0015720000001</v>
      </c>
      <c r="M322" t="str">
        <f>_xlfn.XLOOKUP($B322,Entradas!$B:$B,Entradas!T:T,,0,1)</f>
        <v>Aéreo</v>
      </c>
      <c r="N322" t="str">
        <f>_xlfn.XLOOKUP($B322,Entradas!$B:$B,Entradas!U:U,,0,1)</f>
        <v>Não</v>
      </c>
      <c r="O322" t="str">
        <f>_xlfn.XLOOKUP($B322,Entradas!$B:$B,Entradas!V:V,,0,1)</f>
        <v>Realizada</v>
      </c>
      <c r="P322" t="str">
        <f>_xlfn.XLOOKUP($B322,Entradas!$B:$B,Entradas!W:W,,0,1)</f>
        <v>NÃO</v>
      </c>
      <c r="Q322" t="str">
        <f>_xlfn.XLOOKUP($B322,Entradas!$B:$B,Entradas!X:X,,0,1)</f>
        <v>Sem informação</v>
      </c>
      <c r="R322" s="36">
        <f>SUMIF(Entradas!$B:$B,'Entrada Lvl 5-4 qt'!$B322,Entradas!Y:Y)</f>
        <v>2071.63</v>
      </c>
      <c r="S322" s="36">
        <f>SUMIF(Entradas!$B:$B,'Entrada Lvl 5-4 qt'!$B322,Entradas!Z:Z)</f>
        <v>0</v>
      </c>
      <c r="T322" s="36">
        <f>SUMIF(Entradas!$B:$B,'Entrada Lvl 5-4 qt'!$B322,Entradas!AA:AA)</f>
        <v>1629.0900000000001</v>
      </c>
      <c r="U322" s="36">
        <f>SUMIF(Entradas!$B:$B,'Entrada Lvl 5-4 qt'!$B322,Entradas!AB:AB)</f>
        <v>0</v>
      </c>
      <c r="V322" s="49">
        <f>_xlfn.XLOOKUP($B322,Entradas!$B:$B,Entradas!AC:AC,,0,1)</f>
        <v>45163</v>
      </c>
      <c r="W322" s="58">
        <f t="shared" si="24"/>
        <v>5</v>
      </c>
      <c r="X322" s="28" t="s">
        <v>10</v>
      </c>
      <c r="Y322" s="32">
        <f t="shared" ref="Y322:Y385" si="25">IF(A322&lt;3,0,1)</f>
        <v>0</v>
      </c>
      <c r="Z322" s="33">
        <f t="shared" ref="Z322:Z385" si="26">IFERROR(SUM(T322:U322),0)</f>
        <v>1629.0900000000001</v>
      </c>
      <c r="AA322" s="34">
        <f t="shared" ref="AA322:AA385" si="27">IFERROR(SUM(R322:S322),0)</f>
        <v>2071.63</v>
      </c>
      <c r="AB322" s="28" t="s">
        <v>1814</v>
      </c>
      <c r="AC322" s="28" t="s">
        <v>1820</v>
      </c>
      <c r="AD322" s="29" t="str" cm="1">
        <f t="array" ref="AD322">_xlfn.IFS(L322&lt;=Constantes!$G$2,"Muito Curta (evitável)",L322&lt;=Constantes!$H$2,"Curta Distância",L322&gt;Constantes!$H$2,"Longa Distância")</f>
        <v>Longa Distância</v>
      </c>
      <c r="AE322" s="30" t="str">
        <f t="shared" ref="AE322:AE385" si="28">IF(P322="SIM",IF(Q322="Sem Informação","SIM","NÃO"),"NÃO")</f>
        <v>NÃO</v>
      </c>
      <c r="AF322" s="30">
        <f>SUMIF(Entradas!$B:$B,'Entrada Lvl 5-4 qt'!$B322,Entradas!$AG:$AG)</f>
        <v>717.39676463438343</v>
      </c>
      <c r="AG322" s="30"/>
      <c r="BD322" s="49"/>
      <c r="BE322" s="49"/>
    </row>
    <row r="323" spans="1:57" x14ac:dyDescent="0.3">
      <c r="A323">
        <f>_xlfn.XLOOKUP(B323,Entradas!B:B,Entradas!A:A,,0,-1)</f>
        <v>2</v>
      </c>
      <c r="B323">
        <v>19328308</v>
      </c>
      <c r="C323" t="str">
        <f>_xlfn.XLOOKUP($B323,Entradas!$B:$B,Entradas!C:C,,0,1)</f>
        <v>001229/23</v>
      </c>
      <c r="D323" t="str">
        <f>_xlfn.XLOOKUP($B323,Entradas!$B:$B,Entradas!D:D,,0,1)</f>
        <v>***.193.774-**</v>
      </c>
      <c r="E323" t="str">
        <f>_xlfn.XLOOKUP($B323,Entradas!$B:$B,Entradas!E:E,,0,1)</f>
        <v>ANGELINA DIAS LEAO COSTA</v>
      </c>
      <c r="F323" t="str">
        <f>_xlfn.XLOOKUP($B323,Entradas!$B:$B,Entradas!F:F,,0,1)</f>
        <v>PROFESSOR DO MAGISTERIO SUPERIOR</v>
      </c>
      <c r="G323" t="str">
        <f>_xlfn.XLOOKUP($B323,Entradas!$B:$B,Entradas!G:G,,0,1)</f>
        <v>-1</v>
      </c>
      <c r="H323" t="str">
        <f>_xlfn.XLOOKUP($B323,Entradas!$B:$B,Entradas!H:H,,0,1)</f>
        <v>Sem informação</v>
      </c>
      <c r="I323" s="49">
        <f>_xlfn.XLOOKUP($B323,Entradas!$B:$B,Entradas!I:I,,0,1)</f>
        <v>45251</v>
      </c>
      <c r="J323" s="49">
        <f>_xlfn.XLOOKUP($B323,Entradas!$B:$B,Entradas!J:J,,0,1)</f>
        <v>45255</v>
      </c>
      <c r="K323" t="str">
        <f>_xlfn.XLOOKUP($B323,Entradas!$B:$B,Entradas!K:K,,0,1)</f>
        <v>Participação no XXIII Congresso da ABERGO</v>
      </c>
      <c r="L323">
        <f>SUMIF(Entradas!$B:$B,'Entrada Lvl 5-4 qt'!$B323,Entradas!S:S)</f>
        <v>5391.1646700000001</v>
      </c>
      <c r="M323" t="str">
        <f>_xlfn.XLOOKUP($B323,Entradas!$B:$B,Entradas!T:T,,0,1)</f>
        <v>Aéreo</v>
      </c>
      <c r="N323" t="str">
        <f>_xlfn.XLOOKUP($B323,Entradas!$B:$B,Entradas!U:U,,0,1)</f>
        <v>Sim</v>
      </c>
      <c r="O323" t="str">
        <f>_xlfn.XLOOKUP($B323,Entradas!$B:$B,Entradas!V:V,,0,1)</f>
        <v>Realizada</v>
      </c>
      <c r="P323" t="str">
        <f>_xlfn.XLOOKUP($B323,Entradas!$B:$B,Entradas!W:W,,0,1)</f>
        <v>NÃO</v>
      </c>
      <c r="Q323" t="str">
        <f>_xlfn.XLOOKUP($B323,Entradas!$B:$B,Entradas!X:X,,0,1)</f>
        <v>Sem informação</v>
      </c>
      <c r="R323" s="36">
        <f>SUMIF(Entradas!$B:$B,'Entrada Lvl 5-4 qt'!$B323,Entradas!Y:Y)</f>
        <v>1339.44</v>
      </c>
      <c r="S323" s="36">
        <f>SUMIF(Entradas!$B:$B,'Entrada Lvl 5-4 qt'!$B323,Entradas!Z:Z)</f>
        <v>0</v>
      </c>
      <c r="T323" s="36">
        <f>SUMIF(Entradas!$B:$B,'Entrada Lvl 5-4 qt'!$B323,Entradas!AA:AA)</f>
        <v>3680.29</v>
      </c>
      <c r="U323" s="36">
        <f>SUMIF(Entradas!$B:$B,'Entrada Lvl 5-4 qt'!$B323,Entradas!AB:AB)</f>
        <v>0</v>
      </c>
      <c r="V323" s="49">
        <f>_xlfn.XLOOKUP($B323,Entradas!$B:$B,Entradas!AC:AC,,0,1)</f>
        <v>45198</v>
      </c>
      <c r="W323" s="58">
        <f t="shared" ref="W323:W386" si="29">J323-I323</f>
        <v>4</v>
      </c>
      <c r="X323" s="28" t="s">
        <v>10</v>
      </c>
      <c r="Y323" s="32">
        <f t="shared" si="25"/>
        <v>0</v>
      </c>
      <c r="Z323" s="33">
        <f t="shared" si="26"/>
        <v>3680.29</v>
      </c>
      <c r="AA323" s="34">
        <f t="shared" si="27"/>
        <v>1339.44</v>
      </c>
      <c r="AB323" s="28" t="s">
        <v>1814</v>
      </c>
      <c r="AC323" s="28" t="s">
        <v>1820</v>
      </c>
      <c r="AD323" s="29" t="str" cm="1">
        <f t="array" ref="AD323">_xlfn.IFS(L323&lt;=Constantes!$G$2,"Muito Curta (evitável)",L323&lt;=Constantes!$H$2,"Curta Distância",L323&gt;Constantes!$H$2,"Longa Distância")</f>
        <v>Longa Distância</v>
      </c>
      <c r="AE323" s="30" t="str">
        <f t="shared" si="28"/>
        <v>NÃO</v>
      </c>
      <c r="AF323" s="30">
        <f>SUMIF(Entradas!$B:$B,'Entrada Lvl 5-4 qt'!$B323,Entradas!$AG:$AG)</f>
        <v>985.87880246436816</v>
      </c>
      <c r="AG323" s="30"/>
      <c r="BD323" s="49"/>
      <c r="BE323" s="49"/>
    </row>
    <row r="324" spans="1:57" x14ac:dyDescent="0.3">
      <c r="A324">
        <f>_xlfn.XLOOKUP(B324,Entradas!B:B,Entradas!A:A,,0,-1)</f>
        <v>2</v>
      </c>
      <c r="B324">
        <v>19373725</v>
      </c>
      <c r="C324" t="str">
        <f>_xlfn.XLOOKUP($B324,Entradas!$B:$B,Entradas!C:C,,0,1)</f>
        <v>001351/23</v>
      </c>
      <c r="D324" t="str">
        <f>_xlfn.XLOOKUP($B324,Entradas!$B:$B,Entradas!D:D,,0,1)</f>
        <v>***.609.056-**</v>
      </c>
      <c r="E324" t="str">
        <f>_xlfn.XLOOKUP($B324,Entradas!$B:$B,Entradas!E:E,,0,1)</f>
        <v>MARIANA COSTA MONTEIRO</v>
      </c>
      <c r="F324" t="str">
        <f>_xlfn.XLOOKUP($B324,Entradas!$B:$B,Entradas!F:F,,0,1)</f>
        <v>PROFESSOR DO MAGISTERIO SUPERIOR</v>
      </c>
      <c r="G324" t="str">
        <f>_xlfn.XLOOKUP($B324,Entradas!$B:$B,Entradas!G:G,,0,1)</f>
        <v>FUC-0001</v>
      </c>
      <c r="H324" t="str">
        <f>_xlfn.XLOOKUP($B324,Entradas!$B:$B,Entradas!H:H,,0,1)</f>
        <v>FUC-0001</v>
      </c>
      <c r="I324" s="49">
        <f>_xlfn.XLOOKUP($B324,Entradas!$B:$B,Entradas!I:I,,0,1)</f>
        <v>45251</v>
      </c>
      <c r="J324" s="49">
        <f>_xlfn.XLOOKUP($B324,Entradas!$B:$B,Entradas!J:J,,0,1)</f>
        <v>45254</v>
      </c>
      <c r="K324" t="str">
        <f>_xlfn.XLOOKUP($B324,Entradas!$B:$B,Entradas!K:K,,0,1)</f>
        <v>O proposto virá participar do XX Encontro Nacional do fórum de Coordenadores de Pós Graduação em Alimentação e Nutrição</v>
      </c>
      <c r="L324">
        <f>SUMIF(Entradas!$B:$B,'Entrada Lvl 5-4 qt'!$B324,Entradas!S:S)</f>
        <v>3923.0015720000001</v>
      </c>
      <c r="M324" t="str">
        <f>_xlfn.XLOOKUP($B324,Entradas!$B:$B,Entradas!T:T,,0,1)</f>
        <v>Aéreo</v>
      </c>
      <c r="N324" t="str">
        <f>_xlfn.XLOOKUP($B324,Entradas!$B:$B,Entradas!U:U,,0,1)</f>
        <v>Sim</v>
      </c>
      <c r="O324" t="str">
        <f>_xlfn.XLOOKUP($B324,Entradas!$B:$B,Entradas!V:V,,0,1)</f>
        <v>Realizada</v>
      </c>
      <c r="P324" t="str">
        <f>_xlfn.XLOOKUP($B324,Entradas!$B:$B,Entradas!W:W,,0,1)</f>
        <v>NÃO</v>
      </c>
      <c r="Q324" t="str">
        <f>_xlfn.XLOOKUP($B324,Entradas!$B:$B,Entradas!X:X,,0,1)</f>
        <v>Sem informação</v>
      </c>
      <c r="R324" s="36">
        <f>SUMIF(Entradas!$B:$B,'Entrada Lvl 5-4 qt'!$B324,Entradas!Y:Y)</f>
        <v>1168.93</v>
      </c>
      <c r="S324" s="36">
        <f>SUMIF(Entradas!$B:$B,'Entrada Lvl 5-4 qt'!$B324,Entradas!Z:Z)</f>
        <v>0</v>
      </c>
      <c r="T324" s="36">
        <f>SUMIF(Entradas!$B:$B,'Entrada Lvl 5-4 qt'!$B324,Entradas!AA:AA)</f>
        <v>2032.89</v>
      </c>
      <c r="U324" s="36">
        <f>SUMIF(Entradas!$B:$B,'Entrada Lvl 5-4 qt'!$B324,Entradas!AB:AB)</f>
        <v>0</v>
      </c>
      <c r="V324" s="49">
        <f>_xlfn.XLOOKUP($B324,Entradas!$B:$B,Entradas!AC:AC,,0,1)</f>
        <v>45205</v>
      </c>
      <c r="W324" s="58">
        <f t="shared" si="29"/>
        <v>3</v>
      </c>
      <c r="X324" s="28" t="s">
        <v>10</v>
      </c>
      <c r="Y324" s="32">
        <f t="shared" si="25"/>
        <v>0</v>
      </c>
      <c r="Z324" s="33">
        <f t="shared" si="26"/>
        <v>2032.89</v>
      </c>
      <c r="AA324" s="34">
        <f t="shared" si="27"/>
        <v>1168.93</v>
      </c>
      <c r="AB324" s="28" t="s">
        <v>1814</v>
      </c>
      <c r="AC324" s="28" t="s">
        <v>1784</v>
      </c>
      <c r="AD324" s="29" t="str" cm="1">
        <f t="array" ref="AD324">_xlfn.IFS(L324&lt;=Constantes!$G$2,"Muito Curta (evitável)",L324&lt;=Constantes!$H$2,"Curta Distância",L324&gt;Constantes!$H$2,"Longa Distância")</f>
        <v>Longa Distância</v>
      </c>
      <c r="AE324" s="30" t="str">
        <f t="shared" si="28"/>
        <v>NÃO</v>
      </c>
      <c r="AF324" s="30">
        <f>SUMIF(Entradas!$B:$B,'Entrada Lvl 5-4 qt'!$B324,Entradas!$AG:$AG)</f>
        <v>717.39676463438343</v>
      </c>
      <c r="AG324" s="30"/>
      <c r="BD324" s="49"/>
      <c r="BE324" s="49"/>
    </row>
    <row r="325" spans="1:57" x14ac:dyDescent="0.3">
      <c r="A325">
        <f>_xlfn.XLOOKUP(B325,Entradas!B:B,Entradas!A:A,,0,-1)</f>
        <v>2</v>
      </c>
      <c r="B325">
        <v>19379035</v>
      </c>
      <c r="C325" t="str">
        <f>_xlfn.XLOOKUP($B325,Entradas!$B:$B,Entradas!C:C,,0,1)</f>
        <v>001568/23</v>
      </c>
      <c r="D325" t="str">
        <f>_xlfn.XLOOKUP($B325,Entradas!$B:$B,Entradas!D:D,,0,1)</f>
        <v>***.426.028-**</v>
      </c>
      <c r="E325" t="str">
        <f>_xlfn.XLOOKUP($B325,Entradas!$B:$B,Entradas!E:E,,0,1)</f>
        <v>ULISSES CARVALHO DA SILVA</v>
      </c>
      <c r="F325" t="str">
        <f>_xlfn.XLOOKUP($B325,Entradas!$B:$B,Entradas!F:F,,0,1)</f>
        <v>PROFESSOR DO MAGISTERIO SUPERIOR</v>
      </c>
      <c r="G325" t="str">
        <f>_xlfn.XLOOKUP($B325,Entradas!$B:$B,Entradas!G:G,,0,1)</f>
        <v>CD-0003</v>
      </c>
      <c r="H325" t="str">
        <f>_xlfn.XLOOKUP($B325,Entradas!$B:$B,Entradas!H:H,,0,1)</f>
        <v>Cargo Comissionado de Direção</v>
      </c>
      <c r="I325" s="49">
        <f>_xlfn.XLOOKUP($B325,Entradas!$B:$B,Entradas!I:I,,0,1)</f>
        <v>45251</v>
      </c>
      <c r="J325" s="49">
        <f>_xlfn.XLOOKUP($B325,Entradas!$B:$B,Entradas!J:J,,0,1)</f>
        <v>45255</v>
      </c>
      <c r="K325" t="str">
        <f>_xlfn.XLOOKUP($B325,Entradas!$B:$B,Entradas!K:K,,0,1)</f>
        <v>Visita técnica à Escola Municipal de Música de São Paulo, à Escola de Música do Estado de São Paulo e à Faculdade Santa Marcelina, instituições de ensino musical e com orquestras jovens em São Paulo, objetivando o conhecimento acerca dos resultados obtidos por estas renomadas instituições muito contribuirão para aperfeiçoar o conjunto de atividades desenvolvidas pelo Departamento de Música do CCTA/UFPB, ligado à área de atuação do docente, como: melhoria das condições técnico-musicais de ensino, descortinar novas linhas de pesquisa na área da música e divisar possibilidades de projetos nas atividades de extensão do Departamento.</v>
      </c>
      <c r="L325">
        <f>SUMIF(Entradas!$B:$B,'Entrada Lvl 5-4 qt'!$B325,Entradas!S:S)</f>
        <v>4379.9484839999996</v>
      </c>
      <c r="M325" t="str">
        <f>_xlfn.XLOOKUP($B325,Entradas!$B:$B,Entradas!T:T,,0,1)</f>
        <v>Aéreo</v>
      </c>
      <c r="N325" t="str">
        <f>_xlfn.XLOOKUP($B325,Entradas!$B:$B,Entradas!U:U,,0,1)</f>
        <v>Sim</v>
      </c>
      <c r="O325" t="str">
        <f>_xlfn.XLOOKUP($B325,Entradas!$B:$B,Entradas!V:V,,0,1)</f>
        <v>Realizada</v>
      </c>
      <c r="P325" t="str">
        <f>_xlfn.XLOOKUP($B325,Entradas!$B:$B,Entradas!W:W,,0,1)</f>
        <v>NÃO</v>
      </c>
      <c r="Q325" t="str">
        <f>_xlfn.XLOOKUP($B325,Entradas!$B:$B,Entradas!X:X,,0,1)</f>
        <v>Sem informação</v>
      </c>
      <c r="R325" s="36">
        <f>SUMIF(Entradas!$B:$B,'Entrada Lvl 5-4 qt'!$B325,Entradas!Y:Y)</f>
        <v>1926.06</v>
      </c>
      <c r="S325" s="36">
        <f>SUMIF(Entradas!$B:$B,'Entrada Lvl 5-4 qt'!$B325,Entradas!Z:Z)</f>
        <v>0</v>
      </c>
      <c r="T325" s="36">
        <f>SUMIF(Entradas!$B:$B,'Entrada Lvl 5-4 qt'!$B325,Entradas!AA:AA)</f>
        <v>1374.54</v>
      </c>
      <c r="U325" s="36">
        <f>SUMIF(Entradas!$B:$B,'Entrada Lvl 5-4 qt'!$B325,Entradas!AB:AB)</f>
        <v>0</v>
      </c>
      <c r="V325" s="49">
        <f>_xlfn.XLOOKUP($B325,Entradas!$B:$B,Entradas!AC:AC,,0,1)</f>
        <v>45225</v>
      </c>
      <c r="W325" s="58">
        <f t="shared" si="29"/>
        <v>4</v>
      </c>
      <c r="X325" s="28" t="s">
        <v>10</v>
      </c>
      <c r="Y325" s="32">
        <f t="shared" si="25"/>
        <v>0</v>
      </c>
      <c r="Z325" s="33">
        <f t="shared" si="26"/>
        <v>1374.54</v>
      </c>
      <c r="AA325" s="34">
        <f t="shared" si="27"/>
        <v>1926.06</v>
      </c>
      <c r="AB325" s="28" t="s">
        <v>1816</v>
      </c>
      <c r="AC325" s="28" t="s">
        <v>1784</v>
      </c>
      <c r="AD325" s="29" t="str" cm="1">
        <f t="array" ref="AD325">_xlfn.IFS(L325&lt;=Constantes!$G$2,"Muito Curta (evitável)",L325&lt;=Constantes!$H$2,"Curta Distância",L325&gt;Constantes!$H$2,"Longa Distância")</f>
        <v>Longa Distância</v>
      </c>
      <c r="AE325" s="30" t="str">
        <f t="shared" si="28"/>
        <v>NÃO</v>
      </c>
      <c r="AF325" s="30">
        <f>SUMIF(Entradas!$B:$B,'Entrada Lvl 5-4 qt'!$B325,Entradas!$AG:$AG)</f>
        <v>800.95835140972315</v>
      </c>
      <c r="AG325" s="30"/>
      <c r="BD325" s="49"/>
      <c r="BE325" s="49"/>
    </row>
    <row r="326" spans="1:57" x14ac:dyDescent="0.3">
      <c r="A326">
        <f>_xlfn.XLOOKUP(B326,Entradas!B:B,Entradas!A:A,,0,-1)</f>
        <v>2</v>
      </c>
      <c r="B326">
        <v>19525156</v>
      </c>
      <c r="C326" t="str">
        <f>_xlfn.XLOOKUP($B326,Entradas!$B:$B,Entradas!C:C,,0,1)</f>
        <v>001744/23</v>
      </c>
      <c r="D326" t="str">
        <f>_xlfn.XLOOKUP($B326,Entradas!$B:$B,Entradas!D:D,,0,1)</f>
        <v>***.051.554-**</v>
      </c>
      <c r="E326" t="str">
        <f>_xlfn.XLOOKUP($B326,Entradas!$B:$B,Entradas!E:E,,0,1)</f>
        <v>VALDINEY VELOSO GOUVEIA</v>
      </c>
      <c r="F326" t="str">
        <f>_xlfn.XLOOKUP($B326,Entradas!$B:$B,Entradas!F:F,,0,1)</f>
        <v>PROFESSOR DO MAGISTERIO SUPERIOR</v>
      </c>
      <c r="G326" t="str">
        <f>_xlfn.XLOOKUP($B326,Entradas!$B:$B,Entradas!G:G,,0,1)</f>
        <v>CD-0001</v>
      </c>
      <c r="H326" t="str">
        <f>_xlfn.XLOOKUP($B326,Entradas!$B:$B,Entradas!H:H,,0,1)</f>
        <v>Cargo Comissionado de Direção</v>
      </c>
      <c r="I326" s="49">
        <f>_xlfn.XLOOKUP($B326,Entradas!$B:$B,Entradas!I:I,,0,1)</f>
        <v>45251</v>
      </c>
      <c r="J326" s="49">
        <f>_xlfn.XLOOKUP($B326,Entradas!$B:$B,Entradas!J:J,,0,1)</f>
        <v>45254</v>
      </c>
      <c r="K326" t="str">
        <f>_xlfn.XLOOKUP($B326,Entradas!$B:$B,Entradas!K:K,,0,1)</f>
        <v>Participar da CXCVI Reunião Ordinária do Conselho Pleno da ANDIFES, a ser realizada nos dias 22 e 23 de novembro de 2023, em Brasília/DF</v>
      </c>
      <c r="L326">
        <f>SUMIF(Entradas!$B:$B,'Entrada Lvl 5-4 qt'!$B326,Entradas!S:S)</f>
        <v>3426.839982</v>
      </c>
      <c r="M326" t="str">
        <f>_xlfn.XLOOKUP($B326,Entradas!$B:$B,Entradas!T:T,,0,1)</f>
        <v>Aéreo</v>
      </c>
      <c r="N326" t="str">
        <f>_xlfn.XLOOKUP($B326,Entradas!$B:$B,Entradas!U:U,,0,1)</f>
        <v>Sim</v>
      </c>
      <c r="O326" t="str">
        <f>_xlfn.XLOOKUP($B326,Entradas!$B:$B,Entradas!V:V,,0,1)</f>
        <v>Realizada</v>
      </c>
      <c r="P326" t="str">
        <f>_xlfn.XLOOKUP($B326,Entradas!$B:$B,Entradas!W:W,,0,1)</f>
        <v>SIM</v>
      </c>
      <c r="Q326" t="str">
        <f>_xlfn.XLOOKUP($B326,Entradas!$B:$B,Entradas!X:X,,0,1)</f>
        <v>Devido demanda/agenda do Gabinete/Reitoria e compromissos do Reitor fora da instituição, a viagem foi definida nesta data, conforme justificativa no formulário de solicitação de passagem e diária</v>
      </c>
      <c r="R326" s="36">
        <f>SUMIF(Entradas!$B:$B,'Entrada Lvl 5-4 qt'!$B326,Entradas!Y:Y)</f>
        <v>1492.57</v>
      </c>
      <c r="S326" s="36">
        <f>SUMIF(Entradas!$B:$B,'Entrada Lvl 5-4 qt'!$B326,Entradas!Z:Z)</f>
        <v>0</v>
      </c>
      <c r="T326" s="36">
        <f>SUMIF(Entradas!$B:$B,'Entrada Lvl 5-4 qt'!$B326,Entradas!AA:AA)</f>
        <v>3698.7999999999997</v>
      </c>
      <c r="U326" s="36">
        <f>SUMIF(Entradas!$B:$B,'Entrada Lvl 5-4 qt'!$B326,Entradas!AB:AB)</f>
        <v>0</v>
      </c>
      <c r="V326" s="49">
        <f>_xlfn.XLOOKUP($B326,Entradas!$B:$B,Entradas!AC:AC,,0,1)</f>
        <v>45246</v>
      </c>
      <c r="W326" s="58">
        <f t="shared" si="29"/>
        <v>3</v>
      </c>
      <c r="X326" s="28" t="s">
        <v>10</v>
      </c>
      <c r="Y326" s="32">
        <f t="shared" si="25"/>
        <v>0</v>
      </c>
      <c r="Z326" s="33">
        <f t="shared" si="26"/>
        <v>3698.7999999999997</v>
      </c>
      <c r="AA326" s="34">
        <f t="shared" si="27"/>
        <v>1492.57</v>
      </c>
      <c r="AB326" s="28" t="s">
        <v>1815</v>
      </c>
      <c r="AC326" s="28" t="s">
        <v>1784</v>
      </c>
      <c r="AD326" s="29" t="str" cm="1">
        <f t="array" ref="AD326">_xlfn.IFS(L326&lt;=Constantes!$G$2,"Muito Curta (evitável)",L326&lt;=Constantes!$H$2,"Curta Distância",L326&gt;Constantes!$H$2,"Longa Distância")</f>
        <v>Curta Distância</v>
      </c>
      <c r="AE326" s="30" t="str">
        <f t="shared" si="28"/>
        <v>NÃO</v>
      </c>
      <c r="AF326" s="30">
        <f>SUMIF(Entradas!$B:$B,'Entrada Lvl 5-4 qt'!$B326,Entradas!$AG:$AG)</f>
        <v>626.66401501165365</v>
      </c>
      <c r="AG326" s="30"/>
      <c r="BD326" s="49"/>
      <c r="BE326" s="49"/>
    </row>
    <row r="327" spans="1:57" x14ac:dyDescent="0.3">
      <c r="A327">
        <f>_xlfn.XLOOKUP(B327,Entradas!B:B,Entradas!A:A,,0,-1)</f>
        <v>2</v>
      </c>
      <c r="B327">
        <v>19537594</v>
      </c>
      <c r="C327" t="str">
        <f>_xlfn.XLOOKUP($B327,Entradas!$B:$B,Entradas!C:C,,0,1)</f>
        <v>001747/23</v>
      </c>
      <c r="D327" t="str">
        <f>_xlfn.XLOOKUP($B327,Entradas!$B:$B,Entradas!D:D,,0,1)</f>
        <v>***.854.654-**</v>
      </c>
      <c r="E327" t="str">
        <f>_xlfn.XLOOKUP($B327,Entradas!$B:$B,Entradas!E:E,,0,1)</f>
        <v>MARIA SORAYA PEREIRA FRANCO ADRIANO</v>
      </c>
      <c r="F327" t="str">
        <f>_xlfn.XLOOKUP($B327,Entradas!$B:$B,Entradas!F:F,,0,1)</f>
        <v>PROFESSOR ENS BASICO TECN TECNOLOGICO</v>
      </c>
      <c r="G327" t="str">
        <f>_xlfn.XLOOKUP($B327,Entradas!$B:$B,Entradas!G:G,,0,1)</f>
        <v>CD-0003</v>
      </c>
      <c r="H327" t="str">
        <f>_xlfn.XLOOKUP($B327,Entradas!$B:$B,Entradas!H:H,,0,1)</f>
        <v>Cargo Comissionado de Direção</v>
      </c>
      <c r="I327" s="49">
        <f>_xlfn.XLOOKUP($B327,Entradas!$B:$B,Entradas!I:I,,0,1)</f>
        <v>45251</v>
      </c>
      <c r="J327" s="49">
        <f>_xlfn.XLOOKUP($B327,Entradas!$B:$B,Entradas!J:J,,0,1)</f>
        <v>45254</v>
      </c>
      <c r="K327" t="str">
        <f>_xlfn.XLOOKUP($B327,Entradas!$B:$B,Entradas!K:K,,0,1)</f>
        <v>Participar no dia 21/11/2023 da reunião com a coordenação de orçamento da SESU/MEC, no dia 22/11/2023 reunião da CXCVI Reunião Ordinária do Conselho Pleno da ANDIFES, juntamente com o Senhor Reitor e no dia 23/11/2023 reunião do Seminário Internacional de Educação Profissional, em Brasília/DF</v>
      </c>
      <c r="L327">
        <f>SUMIF(Entradas!$B:$B,'Entrada Lvl 5-4 qt'!$B327,Entradas!S:S)</f>
        <v>3426.839982</v>
      </c>
      <c r="M327" t="str">
        <f>_xlfn.XLOOKUP($B327,Entradas!$B:$B,Entradas!T:T,,0,1)</f>
        <v>Aéreo</v>
      </c>
      <c r="N327" t="str">
        <f>_xlfn.XLOOKUP($B327,Entradas!$B:$B,Entradas!U:U,,0,1)</f>
        <v>Não</v>
      </c>
      <c r="O327" t="str">
        <f>_xlfn.XLOOKUP($B327,Entradas!$B:$B,Entradas!V:V,,0,1)</f>
        <v>Realizada</v>
      </c>
      <c r="P327" t="str">
        <f>_xlfn.XLOOKUP($B327,Entradas!$B:$B,Entradas!W:W,,0,1)</f>
        <v>SIM</v>
      </c>
      <c r="Q327" t="str">
        <f>_xlfn.XLOOKUP($B327,Entradas!$B:$B,Entradas!X:X,,0,1)</f>
        <v>Considerando o tempo de recebimento das convocações, não tendo tempo hábil obedecer os prazos previstos de orientação e fim do exercício orçamentário do CPT/ETS/UFPB, conforme justificativa no formulário de solicitação</v>
      </c>
      <c r="R327" s="36">
        <f>SUMIF(Entradas!$B:$B,'Entrada Lvl 5-4 qt'!$B327,Entradas!Y:Y)</f>
        <v>1492.57</v>
      </c>
      <c r="S327" s="36">
        <f>SUMIF(Entradas!$B:$B,'Entrada Lvl 5-4 qt'!$B327,Entradas!Z:Z)</f>
        <v>0</v>
      </c>
      <c r="T327" s="36">
        <f>SUMIF(Entradas!$B:$B,'Entrada Lvl 5-4 qt'!$B327,Entradas!AA:AA)</f>
        <v>3709.7999999999997</v>
      </c>
      <c r="U327" s="36">
        <f>SUMIF(Entradas!$B:$B,'Entrada Lvl 5-4 qt'!$B327,Entradas!AB:AB)</f>
        <v>0</v>
      </c>
      <c r="V327" s="49">
        <f>_xlfn.XLOOKUP($B327,Entradas!$B:$B,Entradas!AC:AC,,0,1)</f>
        <v>45247</v>
      </c>
      <c r="W327" s="58">
        <f t="shared" si="29"/>
        <v>3</v>
      </c>
      <c r="X327" s="28" t="s">
        <v>10</v>
      </c>
      <c r="Y327" s="32">
        <f t="shared" si="25"/>
        <v>0</v>
      </c>
      <c r="Z327" s="33">
        <f t="shared" si="26"/>
        <v>3709.7999999999997</v>
      </c>
      <c r="AA327" s="34">
        <f t="shared" si="27"/>
        <v>1492.57</v>
      </c>
      <c r="AB327" s="28" t="s">
        <v>1815</v>
      </c>
      <c r="AC327" s="28" t="s">
        <v>1784</v>
      </c>
      <c r="AD327" s="29" t="str" cm="1">
        <f t="array" ref="AD327">_xlfn.IFS(L327&lt;=Constantes!$G$2,"Muito Curta (evitável)",L327&lt;=Constantes!$H$2,"Curta Distância",L327&gt;Constantes!$H$2,"Longa Distância")</f>
        <v>Curta Distância</v>
      </c>
      <c r="AE327" s="30" t="str">
        <f t="shared" si="28"/>
        <v>NÃO</v>
      </c>
      <c r="AF327" s="30">
        <f>SUMIF(Entradas!$B:$B,'Entrada Lvl 5-4 qt'!$B327,Entradas!$AG:$AG)</f>
        <v>626.66401501165365</v>
      </c>
      <c r="AG327" s="30"/>
      <c r="BD327" s="49"/>
      <c r="BE327" s="49"/>
    </row>
    <row r="328" spans="1:57" x14ac:dyDescent="0.3">
      <c r="A328">
        <f>_xlfn.XLOOKUP(B328,Entradas!B:B,Entradas!A:A,,0,-1)</f>
        <v>2</v>
      </c>
      <c r="B328">
        <v>19223541</v>
      </c>
      <c r="C328" t="str">
        <f>_xlfn.XLOOKUP($B328,Entradas!$B:$B,Entradas!C:C,,0,1)</f>
        <v>000922/23</v>
      </c>
      <c r="D328" t="str">
        <f>_xlfn.XLOOKUP($B328,Entradas!$B:$B,Entradas!D:D,,0,1)</f>
        <v/>
      </c>
      <c r="E328" t="str">
        <f>_xlfn.XLOOKUP($B328,Entradas!$B:$B,Entradas!E:E,,0,1)</f>
        <v>BRUNNA HELLEN SARAIVA COSTA</v>
      </c>
      <c r="F328" t="str">
        <f>_xlfn.XLOOKUP($B328,Entradas!$B:$B,Entradas!F:F,,0,1)</f>
        <v/>
      </c>
      <c r="G328" t="str">
        <f>_xlfn.XLOOKUP($B328,Entradas!$B:$B,Entradas!G:G,,0,1)</f>
        <v>-1</v>
      </c>
      <c r="H328" t="str">
        <f>_xlfn.XLOOKUP($B328,Entradas!$B:$B,Entradas!H:H,,0,1)</f>
        <v>Sem informação</v>
      </c>
      <c r="I328" s="49">
        <f>_xlfn.XLOOKUP($B328,Entradas!$B:$B,Entradas!I:I,,0,1)</f>
        <v>45252</v>
      </c>
      <c r="J328" s="49">
        <f>_xlfn.XLOOKUP($B328,Entradas!$B:$B,Entradas!J:J,,0,1)</f>
        <v>45256</v>
      </c>
      <c r="K328" t="str">
        <f>_xlfn.XLOOKUP($B328,Entradas!$B:$B,Entradas!K:K,,0,1)</f>
        <v>Participação e apresentação de trabalho no evento IV Congresso Paulista de Cuidados Paliativos e III Congresso Paulista de cuidados Paliativos</v>
      </c>
      <c r="L328">
        <f>SUMIF(Entradas!$B:$B,'Entrada Lvl 5-4 qt'!$B328,Entradas!S:S)</f>
        <v>4379.9484839999996</v>
      </c>
      <c r="M328" t="str">
        <f>_xlfn.XLOOKUP($B328,Entradas!$B:$B,Entradas!T:T,,0,1)</f>
        <v>Aéreo</v>
      </c>
      <c r="N328" t="str">
        <f>_xlfn.XLOOKUP($B328,Entradas!$B:$B,Entradas!U:U,,0,1)</f>
        <v>Sim</v>
      </c>
      <c r="O328" t="str">
        <f>_xlfn.XLOOKUP($B328,Entradas!$B:$B,Entradas!V:V,,0,1)</f>
        <v>Realizada</v>
      </c>
      <c r="P328" t="str">
        <f>_xlfn.XLOOKUP($B328,Entradas!$B:$B,Entradas!W:W,,0,1)</f>
        <v>NÃO</v>
      </c>
      <c r="Q328" t="str">
        <f>_xlfn.XLOOKUP($B328,Entradas!$B:$B,Entradas!X:X,,0,1)</f>
        <v>Sem informação</v>
      </c>
      <c r="R328" s="36">
        <f>SUMIF(Entradas!$B:$B,'Entrada Lvl 5-4 qt'!$B328,Entradas!Y:Y)</f>
        <v>0</v>
      </c>
      <c r="S328" s="36">
        <f>SUMIF(Entradas!$B:$B,'Entrada Lvl 5-4 qt'!$B328,Entradas!Z:Z)</f>
        <v>0</v>
      </c>
      <c r="T328" s="36">
        <f>SUMIF(Entradas!$B:$B,'Entrada Lvl 5-4 qt'!$B328,Entradas!AA:AA)</f>
        <v>1737.34</v>
      </c>
      <c r="U328" s="36">
        <f>SUMIF(Entradas!$B:$B,'Entrada Lvl 5-4 qt'!$B328,Entradas!AB:AB)</f>
        <v>0</v>
      </c>
      <c r="V328" s="49">
        <f>_xlfn.XLOOKUP($B328,Entradas!$B:$B,Entradas!AC:AC,,0,1)</f>
        <v>45167</v>
      </c>
      <c r="W328" s="58">
        <f t="shared" si="29"/>
        <v>4</v>
      </c>
      <c r="X328" s="28" t="s">
        <v>10</v>
      </c>
      <c r="Y328" s="32">
        <f t="shared" si="25"/>
        <v>0</v>
      </c>
      <c r="Z328" s="33">
        <f t="shared" si="26"/>
        <v>1737.34</v>
      </c>
      <c r="AA328" s="34">
        <f t="shared" si="27"/>
        <v>0</v>
      </c>
      <c r="AB328" s="28" t="s">
        <v>1814</v>
      </c>
      <c r="AC328" s="28" t="s">
        <v>1822</v>
      </c>
      <c r="AD328" s="29" t="str" cm="1">
        <f t="array" ref="AD328">_xlfn.IFS(L328&lt;=Constantes!$G$2,"Muito Curta (evitável)",L328&lt;=Constantes!$H$2,"Curta Distância",L328&gt;Constantes!$H$2,"Longa Distância")</f>
        <v>Longa Distância</v>
      </c>
      <c r="AE328" s="30" t="str">
        <f t="shared" si="28"/>
        <v>NÃO</v>
      </c>
      <c r="AF328" s="30">
        <f>SUMIF(Entradas!$B:$B,'Entrada Lvl 5-4 qt'!$B328,Entradas!$AG:$AG)</f>
        <v>800.95835140972315</v>
      </c>
      <c r="AG328" s="30"/>
      <c r="BD328" s="49"/>
      <c r="BE328" s="49"/>
    </row>
    <row r="329" spans="1:57" x14ac:dyDescent="0.3">
      <c r="A329">
        <f>_xlfn.XLOOKUP(B329,Entradas!B:B,Entradas!A:A,,0,-1)</f>
        <v>2</v>
      </c>
      <c r="B329">
        <v>19223661</v>
      </c>
      <c r="C329" t="str">
        <f>_xlfn.XLOOKUP($B329,Entradas!$B:$B,Entradas!C:C,,0,1)</f>
        <v>000923/23</v>
      </c>
      <c r="D329" t="str">
        <f>_xlfn.XLOOKUP($B329,Entradas!$B:$B,Entradas!D:D,,0,1)</f>
        <v/>
      </c>
      <c r="E329" t="str">
        <f>_xlfn.XLOOKUP($B329,Entradas!$B:$B,Entradas!E:E,,0,1)</f>
        <v>THAINA KAROLINE COSTA DIAS</v>
      </c>
      <c r="F329" t="str">
        <f>_xlfn.XLOOKUP($B329,Entradas!$B:$B,Entradas!F:F,,0,1)</f>
        <v/>
      </c>
      <c r="G329" t="str">
        <f>_xlfn.XLOOKUP($B329,Entradas!$B:$B,Entradas!G:G,,0,1)</f>
        <v>-1</v>
      </c>
      <c r="H329" t="str">
        <f>_xlfn.XLOOKUP($B329,Entradas!$B:$B,Entradas!H:H,,0,1)</f>
        <v>Sem informação</v>
      </c>
      <c r="I329" s="49">
        <f>_xlfn.XLOOKUP($B329,Entradas!$B:$B,Entradas!I:I,,0,1)</f>
        <v>45252</v>
      </c>
      <c r="J329" s="49">
        <f>_xlfn.XLOOKUP($B329,Entradas!$B:$B,Entradas!J:J,,0,1)</f>
        <v>45256</v>
      </c>
      <c r="K329" t="str">
        <f>_xlfn.XLOOKUP($B329,Entradas!$B:$B,Entradas!K:K,,0,1)</f>
        <v>Participação e apresentação de trabalho no evento IV Congresso Paulista de Cuidados Paliativos e III Congresso Paulista de cuidados paliativos</v>
      </c>
      <c r="L329">
        <f>SUMIF(Entradas!$B:$B,'Entrada Lvl 5-4 qt'!$B329,Entradas!S:S)</f>
        <v>4379.9484839999996</v>
      </c>
      <c r="M329" t="str">
        <f>_xlfn.XLOOKUP($B329,Entradas!$B:$B,Entradas!T:T,,0,1)</f>
        <v>Aéreo</v>
      </c>
      <c r="N329" t="str">
        <f>_xlfn.XLOOKUP($B329,Entradas!$B:$B,Entradas!U:U,,0,1)</f>
        <v>Não</v>
      </c>
      <c r="O329" t="str">
        <f>_xlfn.XLOOKUP($B329,Entradas!$B:$B,Entradas!V:V,,0,1)</f>
        <v>Realizada</v>
      </c>
      <c r="P329" t="str">
        <f>_xlfn.XLOOKUP($B329,Entradas!$B:$B,Entradas!W:W,,0,1)</f>
        <v>NÃO</v>
      </c>
      <c r="Q329" t="str">
        <f>_xlfn.XLOOKUP($B329,Entradas!$B:$B,Entradas!X:X,,0,1)</f>
        <v>Sem informação</v>
      </c>
      <c r="R329" s="36">
        <f>SUMIF(Entradas!$B:$B,'Entrada Lvl 5-4 qt'!$B329,Entradas!Y:Y)</f>
        <v>0</v>
      </c>
      <c r="S329" s="36">
        <f>SUMIF(Entradas!$B:$B,'Entrada Lvl 5-4 qt'!$B329,Entradas!Z:Z)</f>
        <v>0</v>
      </c>
      <c r="T329" s="36">
        <f>SUMIF(Entradas!$B:$B,'Entrada Lvl 5-4 qt'!$B329,Entradas!AA:AA)</f>
        <v>1737.34</v>
      </c>
      <c r="U329" s="36">
        <f>SUMIF(Entradas!$B:$B,'Entrada Lvl 5-4 qt'!$B329,Entradas!AB:AB)</f>
        <v>0</v>
      </c>
      <c r="V329" s="49">
        <f>_xlfn.XLOOKUP($B329,Entradas!$B:$B,Entradas!AC:AC,,0,1)</f>
        <v>45167</v>
      </c>
      <c r="W329" s="58">
        <f t="shared" si="29"/>
        <v>4</v>
      </c>
      <c r="X329" s="28" t="s">
        <v>10</v>
      </c>
      <c r="Y329" s="32">
        <f t="shared" si="25"/>
        <v>0</v>
      </c>
      <c r="Z329" s="33">
        <f t="shared" si="26"/>
        <v>1737.34</v>
      </c>
      <c r="AA329" s="34">
        <f t="shared" si="27"/>
        <v>0</v>
      </c>
      <c r="AB329" s="28" t="s">
        <v>1814</v>
      </c>
      <c r="AC329" s="28" t="s">
        <v>1822</v>
      </c>
      <c r="AD329" s="29" t="str" cm="1">
        <f t="array" ref="AD329">_xlfn.IFS(L329&lt;=Constantes!$G$2,"Muito Curta (evitável)",L329&lt;=Constantes!$H$2,"Curta Distância",L329&gt;Constantes!$H$2,"Longa Distância")</f>
        <v>Longa Distância</v>
      </c>
      <c r="AE329" s="30" t="str">
        <f t="shared" si="28"/>
        <v>NÃO</v>
      </c>
      <c r="AF329" s="30">
        <f>SUMIF(Entradas!$B:$B,'Entrada Lvl 5-4 qt'!$B329,Entradas!$AG:$AG)</f>
        <v>800.95835140972315</v>
      </c>
      <c r="AG329" s="30"/>
      <c r="BD329" s="49"/>
      <c r="BE329" s="49"/>
    </row>
    <row r="330" spans="1:57" x14ac:dyDescent="0.3">
      <c r="A330">
        <f>_xlfn.XLOOKUP(B330,Entradas!B:B,Entradas!A:A,,0,-1)</f>
        <v>2</v>
      </c>
      <c r="B330">
        <v>19341809</v>
      </c>
      <c r="C330" t="str">
        <f>_xlfn.XLOOKUP($B330,Entradas!$B:$B,Entradas!C:C,,0,1)</f>
        <v>001281/23</v>
      </c>
      <c r="D330" t="str">
        <f>_xlfn.XLOOKUP($B330,Entradas!$B:$B,Entradas!D:D,,0,1)</f>
        <v>***.211.068-**</v>
      </c>
      <c r="E330" t="str">
        <f>_xlfn.XLOOKUP($B330,Entradas!$B:$B,Entradas!E:E,,0,1)</f>
        <v>OSWALDO MARTINS ESTANISLAU DO AMARAL</v>
      </c>
      <c r="F330" t="str">
        <f>_xlfn.XLOOKUP($B330,Entradas!$B:$B,Entradas!F:F,,0,1)</f>
        <v/>
      </c>
      <c r="G330" t="str">
        <f>_xlfn.XLOOKUP($B330,Entradas!$B:$B,Entradas!G:G,,0,1)</f>
        <v>-1</v>
      </c>
      <c r="H330" t="str">
        <f>_xlfn.XLOOKUP($B330,Entradas!$B:$B,Entradas!H:H,,0,1)</f>
        <v>Sem informação</v>
      </c>
      <c r="I330" s="49">
        <f>_xlfn.XLOOKUP($B330,Entradas!$B:$B,Entradas!I:I,,0,1)</f>
        <v>45252</v>
      </c>
      <c r="J330" s="49">
        <f>_xlfn.XLOOKUP($B330,Entradas!$B:$B,Entradas!J:J,,0,1)</f>
        <v>45254</v>
      </c>
      <c r="K330" t="str">
        <f>_xlfn.XLOOKUP($B330,Entradas!$B:$B,Entradas!K:K,,0,1)</f>
        <v>Trata-se de convite ao professor Dr. Oswaldo Martins E. do Amaral, vinculado ao programa de pós-graduação em Ciência Política da Universidade Estadual de Campinas (Unicamp), para participar de atividades institucionais e acadêmicas junto ao programa de pós-graduação em Ciência Política e Relações Internacionais da Universidade Federal da Paraíba (PPGCPRI). a)Reunião com o Colegiado do Programa de pós-graduação em Ciência Política e Relações Internacionais: dia 23/11 das 9h00 às 11h00 b)Palestra aberta aos discentes e público em geral: dia 23/11 às 15h00 Reunião de trabalho com Grupo de Estudos e Pesquisas em Pensamento Social e Político Brasileiro (ARIADNE), em razão de projeto de pesquisa CNPq 'Democracia, Desenvolvimento e Direitos': dia 24/11 das 9h00 às 12h00.</v>
      </c>
      <c r="L330">
        <f>SUMIF(Entradas!$B:$B,'Entrada Lvl 5-4 qt'!$B330,Entradas!S:S)</f>
        <v>4379.9484839999996</v>
      </c>
      <c r="M330" t="str">
        <f>_xlfn.XLOOKUP($B330,Entradas!$B:$B,Entradas!T:T,,0,1)</f>
        <v>Aéreo</v>
      </c>
      <c r="N330" t="str">
        <f>_xlfn.XLOOKUP($B330,Entradas!$B:$B,Entradas!U:U,,0,1)</f>
        <v>Sim</v>
      </c>
      <c r="O330" t="str">
        <f>_xlfn.XLOOKUP($B330,Entradas!$B:$B,Entradas!V:V,,0,1)</f>
        <v>Realizada</v>
      </c>
      <c r="P330" t="str">
        <f>_xlfn.XLOOKUP($B330,Entradas!$B:$B,Entradas!W:W,,0,1)</f>
        <v>NÃO</v>
      </c>
      <c r="Q330" t="str">
        <f>_xlfn.XLOOKUP($B330,Entradas!$B:$B,Entradas!X:X,,0,1)</f>
        <v>Sem informação</v>
      </c>
      <c r="R330" s="36">
        <f>SUMIF(Entradas!$B:$B,'Entrada Lvl 5-4 qt'!$B330,Entradas!Y:Y)</f>
        <v>947.55</v>
      </c>
      <c r="S330" s="36">
        <f>SUMIF(Entradas!$B:$B,'Entrada Lvl 5-4 qt'!$B330,Entradas!Z:Z)</f>
        <v>0</v>
      </c>
      <c r="T330" s="36">
        <f>SUMIF(Entradas!$B:$B,'Entrada Lvl 5-4 qt'!$B330,Entradas!AA:AA)</f>
        <v>1728.94</v>
      </c>
      <c r="U330" s="36">
        <f>SUMIF(Entradas!$B:$B,'Entrada Lvl 5-4 qt'!$B330,Entradas!AB:AB)</f>
        <v>0</v>
      </c>
      <c r="V330" s="49">
        <f>_xlfn.XLOOKUP($B330,Entradas!$B:$B,Entradas!AC:AC,,0,1)</f>
        <v>45201</v>
      </c>
      <c r="W330" s="58">
        <f t="shared" si="29"/>
        <v>2</v>
      </c>
      <c r="X330" s="28" t="s">
        <v>10</v>
      </c>
      <c r="Y330" s="32">
        <f t="shared" si="25"/>
        <v>0</v>
      </c>
      <c r="Z330" s="33">
        <f t="shared" si="26"/>
        <v>1728.94</v>
      </c>
      <c r="AA330" s="34">
        <f t="shared" si="27"/>
        <v>947.55</v>
      </c>
      <c r="AB330" s="28" t="s">
        <v>1814</v>
      </c>
      <c r="AC330" s="28" t="s">
        <v>1821</v>
      </c>
      <c r="AD330" s="29" t="str" cm="1">
        <f t="array" ref="AD330">_xlfn.IFS(L330&lt;=Constantes!$G$2,"Muito Curta (evitável)",L330&lt;=Constantes!$H$2,"Curta Distância",L330&gt;Constantes!$H$2,"Longa Distância")</f>
        <v>Longa Distância</v>
      </c>
      <c r="AE330" s="30" t="str">
        <f t="shared" si="28"/>
        <v>NÃO</v>
      </c>
      <c r="AF330" s="30">
        <f>SUMIF(Entradas!$B:$B,'Entrada Lvl 5-4 qt'!$B330,Entradas!$AG:$AG)</f>
        <v>800.95835140972315</v>
      </c>
      <c r="AG330" s="30"/>
      <c r="BD330" s="49"/>
      <c r="BE330" s="49"/>
    </row>
    <row r="331" spans="1:57" x14ac:dyDescent="0.3">
      <c r="A331">
        <f>_xlfn.XLOOKUP(B331,Entradas!B:B,Entradas!A:A,,0,-1)</f>
        <v>2</v>
      </c>
      <c r="B331">
        <v>19430980</v>
      </c>
      <c r="C331" t="str">
        <f>_xlfn.XLOOKUP($B331,Entradas!$B:$B,Entradas!C:C,,0,1)</f>
        <v>001536/23</v>
      </c>
      <c r="D331" t="str">
        <f>_xlfn.XLOOKUP($B331,Entradas!$B:$B,Entradas!D:D,,0,1)</f>
        <v>***.344.524-**</v>
      </c>
      <c r="E331" t="str">
        <f>_xlfn.XLOOKUP($B331,Entradas!$B:$B,Entradas!E:E,,0,1)</f>
        <v>RENATE MARIA RAMOS WELLEN</v>
      </c>
      <c r="F331" t="str">
        <f>_xlfn.XLOOKUP($B331,Entradas!$B:$B,Entradas!F:F,,0,1)</f>
        <v>PROFESSOR DO MAGISTERIO SUPERIOR</v>
      </c>
      <c r="G331" t="str">
        <f>_xlfn.XLOOKUP($B331,Entradas!$B:$B,Entradas!G:G,,0,1)</f>
        <v>CD-0004</v>
      </c>
      <c r="H331" t="str">
        <f>_xlfn.XLOOKUP($B331,Entradas!$B:$B,Entradas!H:H,,0,1)</f>
        <v>Cargo Comissionado de Direção</v>
      </c>
      <c r="I331" s="49">
        <f>_xlfn.XLOOKUP($B331,Entradas!$B:$B,Entradas!I:I,,0,1)</f>
        <v>45252</v>
      </c>
      <c r="J331" s="49">
        <f>_xlfn.XLOOKUP($B331,Entradas!$B:$B,Entradas!J:J,,0,1)</f>
        <v>45255</v>
      </c>
      <c r="K331" t="str">
        <f>_xlfn.XLOOKUP($B331,Entradas!$B:$B,Entradas!K:K,,0,1)</f>
        <v>Reuniões com técnicos, gerentes e diretores da Finep sobre os convênios da UFPB</v>
      </c>
      <c r="L331">
        <f>SUMIF(Entradas!$B:$B,'Entrada Lvl 5-4 qt'!$B331,Entradas!S:S)</f>
        <v>3923.0015720000001</v>
      </c>
      <c r="M331" t="str">
        <f>_xlfn.XLOOKUP($B331,Entradas!$B:$B,Entradas!T:T,,0,1)</f>
        <v>Aéreo</v>
      </c>
      <c r="N331" t="str">
        <f>_xlfn.XLOOKUP($B331,Entradas!$B:$B,Entradas!U:U,,0,1)</f>
        <v>Não</v>
      </c>
      <c r="O331" t="str">
        <f>_xlfn.XLOOKUP($B331,Entradas!$B:$B,Entradas!V:V,,0,1)</f>
        <v>Realizada</v>
      </c>
      <c r="P331" t="str">
        <f>_xlfn.XLOOKUP($B331,Entradas!$B:$B,Entradas!W:W,,0,1)</f>
        <v>NÃO</v>
      </c>
      <c r="Q331" t="str">
        <f>_xlfn.XLOOKUP($B331,Entradas!$B:$B,Entradas!X:X,,0,1)</f>
        <v>Sem informação</v>
      </c>
      <c r="R331" s="36">
        <f>SUMIF(Entradas!$B:$B,'Entrada Lvl 5-4 qt'!$B331,Entradas!Y:Y)</f>
        <v>1339.26</v>
      </c>
      <c r="S331" s="36">
        <f>SUMIF(Entradas!$B:$B,'Entrada Lvl 5-4 qt'!$B331,Entradas!Z:Z)</f>
        <v>0</v>
      </c>
      <c r="T331" s="36">
        <f>SUMIF(Entradas!$B:$B,'Entrada Lvl 5-4 qt'!$B331,Entradas!AA:AA)</f>
        <v>1650.49</v>
      </c>
      <c r="U331" s="36">
        <f>SUMIF(Entradas!$B:$B,'Entrada Lvl 5-4 qt'!$B331,Entradas!AB:AB)</f>
        <v>0</v>
      </c>
      <c r="V331" s="49">
        <f>_xlfn.XLOOKUP($B331,Entradas!$B:$B,Entradas!AC:AC,,0,1)</f>
        <v>45225</v>
      </c>
      <c r="W331" s="58">
        <f t="shared" si="29"/>
        <v>3</v>
      </c>
      <c r="X331" s="28" t="s">
        <v>10</v>
      </c>
      <c r="Y331" s="32">
        <f t="shared" si="25"/>
        <v>0</v>
      </c>
      <c r="Z331" s="33">
        <f t="shared" si="26"/>
        <v>1650.49</v>
      </c>
      <c r="AA331" s="34">
        <f t="shared" si="27"/>
        <v>1339.26</v>
      </c>
      <c r="AB331" s="28" t="s">
        <v>1815</v>
      </c>
      <c r="AC331" s="28" t="s">
        <v>1784</v>
      </c>
      <c r="AD331" s="29" t="str" cm="1">
        <f t="array" ref="AD331">_xlfn.IFS(L331&lt;=Constantes!$G$2,"Muito Curta (evitável)",L331&lt;=Constantes!$H$2,"Curta Distância",L331&gt;Constantes!$H$2,"Longa Distância")</f>
        <v>Longa Distância</v>
      </c>
      <c r="AE331" s="30" t="str">
        <f t="shared" si="28"/>
        <v>NÃO</v>
      </c>
      <c r="AF331" s="30">
        <f>SUMIF(Entradas!$B:$B,'Entrada Lvl 5-4 qt'!$B331,Entradas!$AG:$AG)</f>
        <v>717.39676463438343</v>
      </c>
      <c r="AG331" s="30"/>
      <c r="BD331" s="49"/>
      <c r="BE331" s="49"/>
    </row>
    <row r="332" spans="1:57" x14ac:dyDescent="0.3">
      <c r="A332">
        <f>_xlfn.XLOOKUP(B332,Entradas!B:B,Entradas!A:A,,0,-1)</f>
        <v>2</v>
      </c>
      <c r="B332">
        <v>19340929</v>
      </c>
      <c r="C332" t="str">
        <f>_xlfn.XLOOKUP($B332,Entradas!$B:$B,Entradas!C:C,,0,1)</f>
        <v>001226/23</v>
      </c>
      <c r="D332" t="str">
        <f>_xlfn.XLOOKUP($B332,Entradas!$B:$B,Entradas!D:D,,0,1)</f>
        <v>***.583.405-**</v>
      </c>
      <c r="E332" t="str">
        <f>_xlfn.XLOOKUP($B332,Entradas!$B:$B,Entradas!E:E,,0,1)</f>
        <v>ROBSON DA FONSECA NEVES</v>
      </c>
      <c r="F332" t="str">
        <f>_xlfn.XLOOKUP($B332,Entradas!$B:$B,Entradas!F:F,,0,1)</f>
        <v>PROFESSOR DO MAGISTERIO SUPERIOR</v>
      </c>
      <c r="G332" t="str">
        <f>_xlfn.XLOOKUP($B332,Entradas!$B:$B,Entradas!G:G,,0,1)</f>
        <v>-1</v>
      </c>
      <c r="H332" t="str">
        <f>_xlfn.XLOOKUP($B332,Entradas!$B:$B,Entradas!H:H,,0,1)</f>
        <v>Sem informação</v>
      </c>
      <c r="I332" s="49">
        <f>_xlfn.XLOOKUP($B332,Entradas!$B:$B,Entradas!I:I,,0,1)</f>
        <v>45253</v>
      </c>
      <c r="J332" s="49">
        <f>_xlfn.XLOOKUP($B332,Entradas!$B:$B,Entradas!J:J,,0,1)</f>
        <v>45256</v>
      </c>
      <c r="K332" t="str">
        <f>_xlfn.XLOOKUP($B332,Entradas!$B:$B,Entradas!K:K,,0,1)</f>
        <v>O requerente é co-lider do grupo de pesquisa CNPq: Atenção Integral à Saúde: Saúde, trabalho e funcionalidade, grupo este que está comemorando 18 anos de existência com o qual temos desenvolvido pesquisas ao longo desses anos e extensa produção científica. Estou indo em missão, pois esse evento está relacionado ao planejamento do grupo para o ano de 2024 e mostra de trabalhos e projetos dos 18 anos do grupo.</v>
      </c>
      <c r="L332">
        <f>SUMIF(Entradas!$B:$B,'Entrada Lvl 5-4 qt'!$B332,Entradas!S:S)</f>
        <v>1482.2388261999999</v>
      </c>
      <c r="M332" t="str">
        <f>_xlfn.XLOOKUP($B332,Entradas!$B:$B,Entradas!T:T,,0,1)</f>
        <v>Aéreo</v>
      </c>
      <c r="N332" t="str">
        <f>_xlfn.XLOOKUP($B332,Entradas!$B:$B,Entradas!U:U,,0,1)</f>
        <v>Sim</v>
      </c>
      <c r="O332" t="str">
        <f>_xlfn.XLOOKUP($B332,Entradas!$B:$B,Entradas!V:V,,0,1)</f>
        <v>Realizada</v>
      </c>
      <c r="P332" t="str">
        <f>_xlfn.XLOOKUP($B332,Entradas!$B:$B,Entradas!W:W,,0,1)</f>
        <v>NÃO</v>
      </c>
      <c r="Q332" t="str">
        <f>_xlfn.XLOOKUP($B332,Entradas!$B:$B,Entradas!X:X,,0,1)</f>
        <v>Sem informação</v>
      </c>
      <c r="R332" s="36">
        <f>SUMIF(Entradas!$B:$B,'Entrada Lvl 5-4 qt'!$B332,Entradas!Y:Y)</f>
        <v>1228.75</v>
      </c>
      <c r="S332" s="36">
        <f>SUMIF(Entradas!$B:$B,'Entrada Lvl 5-4 qt'!$B332,Entradas!Z:Z)</f>
        <v>0</v>
      </c>
      <c r="T332" s="36">
        <f>SUMIF(Entradas!$B:$B,'Entrada Lvl 5-4 qt'!$B332,Entradas!AA:AA)</f>
        <v>1140.28</v>
      </c>
      <c r="U332" s="36">
        <f>SUMIF(Entradas!$B:$B,'Entrada Lvl 5-4 qt'!$B332,Entradas!AB:AB)</f>
        <v>0</v>
      </c>
      <c r="V332" s="49">
        <f>_xlfn.XLOOKUP($B332,Entradas!$B:$B,Entradas!AC:AC,,0,1)</f>
        <v>45217</v>
      </c>
      <c r="W332" s="58">
        <f t="shared" si="29"/>
        <v>3</v>
      </c>
      <c r="X332" s="28" t="s">
        <v>10</v>
      </c>
      <c r="Y332" s="32">
        <f t="shared" si="25"/>
        <v>0</v>
      </c>
      <c r="Z332" s="33">
        <f t="shared" si="26"/>
        <v>1140.28</v>
      </c>
      <c r="AA332" s="34">
        <f t="shared" si="27"/>
        <v>1228.75</v>
      </c>
      <c r="AB332" s="28" t="s">
        <v>1814</v>
      </c>
      <c r="AC332" s="28" t="s">
        <v>1820</v>
      </c>
      <c r="AD332" s="29" t="str" cm="1">
        <f t="array" ref="AD332">_xlfn.IFS(L332&lt;=Constantes!$G$2,"Muito Curta (evitável)",L332&lt;=Constantes!$H$2,"Curta Distância",L332&gt;Constantes!$H$2,"Longa Distância")</f>
        <v>Curta Distância</v>
      </c>
      <c r="AE332" s="30" t="str">
        <f t="shared" si="28"/>
        <v>NÃO</v>
      </c>
      <c r="AF332" s="30">
        <f>SUMIF(Entradas!$B:$B,'Entrada Lvl 5-4 qt'!$B332,Entradas!$AG:$AG)</f>
        <v>271.05605715809952</v>
      </c>
      <c r="AG332" s="30"/>
      <c r="BD332" s="49"/>
      <c r="BE332" s="49"/>
    </row>
    <row r="333" spans="1:57" x14ac:dyDescent="0.3">
      <c r="A333">
        <f>_xlfn.XLOOKUP(B333,Entradas!B:B,Entradas!A:A,,0,-1)</f>
        <v>2</v>
      </c>
      <c r="B333">
        <v>19574908</v>
      </c>
      <c r="C333" t="str">
        <f>_xlfn.XLOOKUP($B333,Entradas!$B:$B,Entradas!C:C,,0,1)</f>
        <v>001828/23</v>
      </c>
      <c r="D333" t="str">
        <f>_xlfn.XLOOKUP($B333,Entradas!$B:$B,Entradas!D:D,,0,1)</f>
        <v/>
      </c>
      <c r="E333" t="str">
        <f>_xlfn.XLOOKUP($B333,Entradas!$B:$B,Entradas!E:E,,0,1)</f>
        <v>JULIANA CAMACHO AGUIAR</v>
      </c>
      <c r="F333" t="str">
        <f>_xlfn.XLOOKUP($B333,Entradas!$B:$B,Entradas!F:F,,0,1)</f>
        <v/>
      </c>
      <c r="G333" t="str">
        <f>_xlfn.XLOOKUP($B333,Entradas!$B:$B,Entradas!G:G,,0,1)</f>
        <v>-1</v>
      </c>
      <c r="H333" t="str">
        <f>_xlfn.XLOOKUP($B333,Entradas!$B:$B,Entradas!H:H,,0,1)</f>
        <v>Sem informação</v>
      </c>
      <c r="I333" s="49">
        <f>_xlfn.XLOOKUP($B333,Entradas!$B:$B,Entradas!I:I,,0,1)</f>
        <v>45254</v>
      </c>
      <c r="J333" s="49">
        <f>_xlfn.XLOOKUP($B333,Entradas!$B:$B,Entradas!J:J,,0,1)</f>
        <v>45267</v>
      </c>
      <c r="K333" t="str">
        <f>_xlfn.XLOOKUP($B333,Entradas!$B:$B,Entradas!K:K,,0,1)</f>
        <v>Participar do 18° Fest-Aruanda fazendo cobertura jornalística para o Guia do Cinéfilo.</v>
      </c>
      <c r="L333">
        <f>SUMIF(Entradas!$B:$B,'Entrada Lvl 5-4 qt'!$B333,Entradas!S:S)</f>
        <v>4043.8376630000002</v>
      </c>
      <c r="M333" t="str">
        <f>_xlfn.XLOOKUP($B333,Entradas!$B:$B,Entradas!T:T,,0,1)</f>
        <v>Aéreo</v>
      </c>
      <c r="N333" t="str">
        <f>_xlfn.XLOOKUP($B333,Entradas!$B:$B,Entradas!U:U,,0,1)</f>
        <v>Não</v>
      </c>
      <c r="O333" t="str">
        <f>_xlfn.XLOOKUP($B333,Entradas!$B:$B,Entradas!V:V,,0,1)</f>
        <v>Realizada</v>
      </c>
      <c r="P333" t="str">
        <f>_xlfn.XLOOKUP($B333,Entradas!$B:$B,Entradas!W:W,,0,1)</f>
        <v>SIM</v>
      </c>
      <c r="Q333" t="str">
        <f>_xlfn.XLOOKUP($B333,Entradas!$B:$B,Entradas!X:X,,0,1)</f>
        <v>A PCDP foi cadastrada com atraso devido grande número de processos no setor.</v>
      </c>
      <c r="R333" s="36">
        <f>SUMIF(Entradas!$B:$B,'Entrada Lvl 5-4 qt'!$B333,Entradas!Y:Y)</f>
        <v>0</v>
      </c>
      <c r="S333" s="36">
        <f>SUMIF(Entradas!$B:$B,'Entrada Lvl 5-4 qt'!$B333,Entradas!Z:Z)</f>
        <v>0</v>
      </c>
      <c r="T333" s="36">
        <f>SUMIF(Entradas!$B:$B,'Entrada Lvl 5-4 qt'!$B333,Entradas!AA:AA)</f>
        <v>1431.79</v>
      </c>
      <c r="U333" s="36">
        <f>SUMIF(Entradas!$B:$B,'Entrada Lvl 5-4 qt'!$B333,Entradas!AB:AB)</f>
        <v>0</v>
      </c>
      <c r="V333" s="49">
        <f>_xlfn.XLOOKUP($B333,Entradas!$B:$B,Entradas!AC:AC,,0,1)</f>
        <v>45257</v>
      </c>
      <c r="W333" s="58">
        <f t="shared" si="29"/>
        <v>13</v>
      </c>
      <c r="X333" s="28" t="s">
        <v>10</v>
      </c>
      <c r="Y333" s="32">
        <f t="shared" si="25"/>
        <v>0</v>
      </c>
      <c r="Z333" s="33">
        <f t="shared" si="26"/>
        <v>1431.79</v>
      </c>
      <c r="AA333" s="34">
        <f t="shared" si="27"/>
        <v>0</v>
      </c>
      <c r="AB333" s="28" t="s">
        <v>1813</v>
      </c>
      <c r="AC333" s="28" t="s">
        <v>1821</v>
      </c>
      <c r="AD333" s="29" t="str" cm="1">
        <f t="array" ref="AD333">_xlfn.IFS(L333&lt;=Constantes!$G$2,"Muito Curta (evitável)",L333&lt;=Constantes!$H$2,"Curta Distância",L333&gt;Constantes!$H$2,"Longa Distância")</f>
        <v>Longa Distância</v>
      </c>
      <c r="AE333" s="30" t="str">
        <f t="shared" si="28"/>
        <v>NÃO</v>
      </c>
      <c r="AF333" s="30">
        <f>SUMIF(Entradas!$B:$B,'Entrada Lvl 5-4 qt'!$B333,Entradas!$AG:$AG)</f>
        <v>739.49398257923167</v>
      </c>
      <c r="AG333" s="30"/>
      <c r="BD333" s="49"/>
      <c r="BE333" s="49"/>
    </row>
    <row r="334" spans="1:57" x14ac:dyDescent="0.3">
      <c r="A334">
        <f>_xlfn.XLOOKUP(B334,Entradas!B:B,Entradas!A:A,,0,-1)</f>
        <v>2</v>
      </c>
      <c r="B334">
        <v>19584704</v>
      </c>
      <c r="C334" t="str">
        <f>_xlfn.XLOOKUP($B334,Entradas!$B:$B,Entradas!C:C,,0,1)</f>
        <v>001849/23</v>
      </c>
      <c r="D334" t="str">
        <f>_xlfn.XLOOKUP($B334,Entradas!$B:$B,Entradas!D:D,,0,1)</f>
        <v>***.547.408-**</v>
      </c>
      <c r="E334" t="str">
        <f>_xlfn.XLOOKUP($B334,Entradas!$B:$B,Entradas!E:E,,0,1)</f>
        <v>LUIZ FERNANDO ZANIN ORICCHIO</v>
      </c>
      <c r="F334" t="str">
        <f>_xlfn.XLOOKUP($B334,Entradas!$B:$B,Entradas!F:F,,0,1)</f>
        <v/>
      </c>
      <c r="G334" t="str">
        <f>_xlfn.XLOOKUP($B334,Entradas!$B:$B,Entradas!G:G,,0,1)</f>
        <v>-1</v>
      </c>
      <c r="H334" t="str">
        <f>_xlfn.XLOOKUP($B334,Entradas!$B:$B,Entradas!H:H,,0,1)</f>
        <v>Sem informação</v>
      </c>
      <c r="I334" s="49">
        <f>_xlfn.XLOOKUP($B334,Entradas!$B:$B,Entradas!I:I,,0,1)</f>
        <v>45254</v>
      </c>
      <c r="J334" s="49">
        <f>_xlfn.XLOOKUP($B334,Entradas!$B:$B,Entradas!J:J,,0,1)</f>
        <v>45267</v>
      </c>
      <c r="K334" t="str">
        <f>_xlfn.XLOOKUP($B334,Entradas!$B:$B,Entradas!K:K,,0,1)</f>
        <v>Participar do 18° Fest-Aruanda fazendo cobertura jornalistica para o Estado de São Paulo</v>
      </c>
      <c r="L334">
        <f>SUMIF(Entradas!$B:$B,'Entrada Lvl 5-4 qt'!$B334,Entradas!S:S)</f>
        <v>4486.6228709999996</v>
      </c>
      <c r="M334" t="str">
        <f>_xlfn.XLOOKUP($B334,Entradas!$B:$B,Entradas!T:T,,0,1)</f>
        <v>Aéreo</v>
      </c>
      <c r="N334" t="str">
        <f>_xlfn.XLOOKUP($B334,Entradas!$B:$B,Entradas!U:U,,0,1)</f>
        <v>Não</v>
      </c>
      <c r="O334" t="str">
        <f>_xlfn.XLOOKUP($B334,Entradas!$B:$B,Entradas!V:V,,0,1)</f>
        <v>Realizada</v>
      </c>
      <c r="P334" t="str">
        <f>_xlfn.XLOOKUP($B334,Entradas!$B:$B,Entradas!W:W,,0,1)</f>
        <v>SIM</v>
      </c>
      <c r="Q334" t="str">
        <f>_xlfn.XLOOKUP($B334,Entradas!$B:$B,Entradas!X:X,,0,1)</f>
        <v>Atraso no cadastro no SCDP.</v>
      </c>
      <c r="R334" s="36">
        <f>SUMIF(Entradas!$B:$B,'Entrada Lvl 5-4 qt'!$B334,Entradas!Y:Y)</f>
        <v>0</v>
      </c>
      <c r="S334" s="36">
        <f>SUMIF(Entradas!$B:$B,'Entrada Lvl 5-4 qt'!$B334,Entradas!Z:Z)</f>
        <v>0</v>
      </c>
      <c r="T334" s="36">
        <f>SUMIF(Entradas!$B:$B,'Entrada Lvl 5-4 qt'!$B334,Entradas!AA:AA)</f>
        <v>1072.99</v>
      </c>
      <c r="U334" s="36">
        <f>SUMIF(Entradas!$B:$B,'Entrada Lvl 5-4 qt'!$B334,Entradas!AB:AB)</f>
        <v>0</v>
      </c>
      <c r="V334" s="49">
        <f>_xlfn.XLOOKUP($B334,Entradas!$B:$B,Entradas!AC:AC,,0,1)</f>
        <v>45259</v>
      </c>
      <c r="W334" s="58">
        <f t="shared" si="29"/>
        <v>13</v>
      </c>
      <c r="X334" s="28" t="s">
        <v>10</v>
      </c>
      <c r="Y334" s="32">
        <f t="shared" si="25"/>
        <v>0</v>
      </c>
      <c r="Z334" s="33">
        <f t="shared" si="26"/>
        <v>1072.99</v>
      </c>
      <c r="AA334" s="34">
        <f t="shared" si="27"/>
        <v>0</v>
      </c>
      <c r="AB334" s="28" t="s">
        <v>1817</v>
      </c>
      <c r="AC334" s="28" t="s">
        <v>1821</v>
      </c>
      <c r="AD334" s="29" t="str" cm="1">
        <f t="array" ref="AD334">_xlfn.IFS(L334&lt;=Constantes!$G$2,"Muito Curta (evitável)",L334&lt;=Constantes!$H$2,"Curta Distância",L334&gt;Constantes!$H$2,"Longa Distância")</f>
        <v>Longa Distância</v>
      </c>
      <c r="AE334" s="30" t="str">
        <f t="shared" si="28"/>
        <v>NÃO</v>
      </c>
      <c r="AF334" s="30">
        <f>SUMIF(Entradas!$B:$B,'Entrada Lvl 5-4 qt'!$B334,Entradas!$AG:$AG)</f>
        <v>820.46582768741973</v>
      </c>
      <c r="AG334" s="30"/>
      <c r="BD334" s="49"/>
      <c r="BE334" s="49"/>
    </row>
    <row r="335" spans="1:57" x14ac:dyDescent="0.3">
      <c r="A335">
        <f>_xlfn.XLOOKUP(B335,Entradas!B:B,Entradas!A:A,,0,-1)</f>
        <v>2</v>
      </c>
      <c r="B335">
        <v>19318403</v>
      </c>
      <c r="C335" t="str">
        <f>_xlfn.XLOOKUP($B335,Entradas!$B:$B,Entradas!C:C,,0,1)</f>
        <v>001173/23</v>
      </c>
      <c r="D335" t="str">
        <f>_xlfn.XLOOKUP($B335,Entradas!$B:$B,Entradas!D:D,,0,1)</f>
        <v/>
      </c>
      <c r="E335" t="str">
        <f>_xlfn.XLOOKUP($B335,Entradas!$B:$B,Entradas!E:E,,0,1)</f>
        <v>THALES MARTINS BEZERRA</v>
      </c>
      <c r="F335" t="str">
        <f>_xlfn.XLOOKUP($B335,Entradas!$B:$B,Entradas!F:F,,0,1)</f>
        <v/>
      </c>
      <c r="G335" t="str">
        <f>_xlfn.XLOOKUP($B335,Entradas!$B:$B,Entradas!G:G,,0,1)</f>
        <v>-1</v>
      </c>
      <c r="H335" t="str">
        <f>_xlfn.XLOOKUP($B335,Entradas!$B:$B,Entradas!H:H,,0,1)</f>
        <v>Sem informação</v>
      </c>
      <c r="I335" s="49">
        <f>_xlfn.XLOOKUP($B335,Entradas!$B:$B,Entradas!I:I,,0,1)</f>
        <v>45255</v>
      </c>
      <c r="J335" s="49">
        <f>_xlfn.XLOOKUP($B335,Entradas!$B:$B,Entradas!J:J,,0,1)</f>
        <v>45260</v>
      </c>
      <c r="K335" t="str">
        <f>_xlfn.XLOOKUP($B335,Entradas!$B:$B,Entradas!K:K,,0,1)</f>
        <v>Participação e apresentação de trabalho no Congresso Brasileiro de Eletrônica de Potência - COBEP 2023, que ocorrerá no período de 26 a 29/11/2023, em Florianópolis/SC.</v>
      </c>
      <c r="L335">
        <f>SUMIF(Entradas!$B:$B,'Entrada Lvl 5-4 qt'!$B335,Entradas!S:S)</f>
        <v>5391.1646700000001</v>
      </c>
      <c r="M335" t="str">
        <f>_xlfn.XLOOKUP($B335,Entradas!$B:$B,Entradas!T:T,,0,1)</f>
        <v>Aéreo</v>
      </c>
      <c r="N335" t="str">
        <f>_xlfn.XLOOKUP($B335,Entradas!$B:$B,Entradas!U:U,,0,1)</f>
        <v>Não</v>
      </c>
      <c r="O335" t="str">
        <f>_xlfn.XLOOKUP($B335,Entradas!$B:$B,Entradas!V:V,,0,1)</f>
        <v>Realizada</v>
      </c>
      <c r="P335" t="str">
        <f>_xlfn.XLOOKUP($B335,Entradas!$B:$B,Entradas!W:W,,0,1)</f>
        <v>SIM</v>
      </c>
      <c r="Q335" t="str">
        <f>_xlfn.XLOOKUP($B335,Entradas!$B:$B,Entradas!X:X,,0,1)</f>
        <v>As passagens foram emitidas e o proposto já realizou a viagem, no entanto, foi necessário retificar as informações referentes as tarifas e taxas de embarque por não terem sido descritas separadamente para o voo de ida e de volta</v>
      </c>
      <c r="R335" s="36">
        <f>SUMIF(Entradas!$B:$B,'Entrada Lvl 5-4 qt'!$B335,Entradas!Y:Y)</f>
        <v>95</v>
      </c>
      <c r="S335" s="36">
        <f>SUMIF(Entradas!$B:$B,'Entrada Lvl 5-4 qt'!$B335,Entradas!Z:Z)</f>
        <v>0</v>
      </c>
      <c r="T335" s="36">
        <f>SUMIF(Entradas!$B:$B,'Entrada Lvl 5-4 qt'!$B335,Entradas!AA:AA)</f>
        <v>2378.29</v>
      </c>
      <c r="U335" s="36">
        <f>SUMIF(Entradas!$B:$B,'Entrada Lvl 5-4 qt'!$B335,Entradas!AB:AB)</f>
        <v>0</v>
      </c>
      <c r="V335" s="49">
        <f>_xlfn.XLOOKUP($B335,Entradas!$B:$B,Entradas!AC:AC,,0,1)</f>
        <v>45190</v>
      </c>
      <c r="W335" s="58">
        <f t="shared" si="29"/>
        <v>5</v>
      </c>
      <c r="X335" s="28" t="s">
        <v>10</v>
      </c>
      <c r="Y335" s="32">
        <f t="shared" si="25"/>
        <v>0</v>
      </c>
      <c r="Z335" s="33">
        <f t="shared" si="26"/>
        <v>2378.29</v>
      </c>
      <c r="AA335" s="34">
        <f t="shared" si="27"/>
        <v>95</v>
      </c>
      <c r="AB335" s="28" t="s">
        <v>1814</v>
      </c>
      <c r="AC335" s="28" t="s">
        <v>1822</v>
      </c>
      <c r="AD335" s="29" t="str" cm="1">
        <f t="array" ref="AD335">_xlfn.IFS(L335&lt;=Constantes!$G$2,"Muito Curta (evitável)",L335&lt;=Constantes!$H$2,"Curta Distância",L335&gt;Constantes!$H$2,"Longa Distância")</f>
        <v>Longa Distância</v>
      </c>
      <c r="AE335" s="30" t="str">
        <f t="shared" si="28"/>
        <v>NÃO</v>
      </c>
      <c r="AF335" s="30">
        <f>SUMIF(Entradas!$B:$B,'Entrada Lvl 5-4 qt'!$B335,Entradas!$AG:$AG)</f>
        <v>985.87880246436816</v>
      </c>
      <c r="AG335" s="30"/>
      <c r="BD335" s="49"/>
      <c r="BE335" s="49"/>
    </row>
    <row r="336" spans="1:57" x14ac:dyDescent="0.3">
      <c r="A336">
        <f>_xlfn.XLOOKUP(B336,Entradas!B:B,Entradas!A:A,,0,-1)</f>
        <v>2</v>
      </c>
      <c r="B336">
        <v>19429781</v>
      </c>
      <c r="C336" t="str">
        <f>_xlfn.XLOOKUP($B336,Entradas!$B:$B,Entradas!C:C,,0,1)</f>
        <v>001597/23</v>
      </c>
      <c r="D336" t="str">
        <f>_xlfn.XLOOKUP($B336,Entradas!$B:$B,Entradas!D:D,,0,1)</f>
        <v/>
      </c>
      <c r="E336" t="str">
        <f>_xlfn.XLOOKUP($B336,Entradas!$B:$B,Entradas!E:E,,0,1)</f>
        <v>RUBEN DA CRUZ FERREIRA</v>
      </c>
      <c r="F336" t="str">
        <f>_xlfn.XLOOKUP($B336,Entradas!$B:$B,Entradas!F:F,,0,1)</f>
        <v/>
      </c>
      <c r="G336" t="str">
        <f>_xlfn.XLOOKUP($B336,Entradas!$B:$B,Entradas!G:G,,0,1)</f>
        <v>-1</v>
      </c>
      <c r="H336" t="str">
        <f>_xlfn.XLOOKUP($B336,Entradas!$B:$B,Entradas!H:H,,0,1)</f>
        <v>Sem informação</v>
      </c>
      <c r="I336" s="49">
        <f>_xlfn.XLOOKUP($B336,Entradas!$B:$B,Entradas!I:I,,0,1)</f>
        <v>45255</v>
      </c>
      <c r="J336" s="49">
        <f>_xlfn.XLOOKUP($B336,Entradas!$B:$B,Entradas!J:J,,0,1)</f>
        <v>45260</v>
      </c>
      <c r="K336" t="str">
        <f>_xlfn.XLOOKUP($B336,Entradas!$B:$B,Entradas!K:K,,0,1)</f>
        <v>PROPOSTO IRÁ PARTICIPAR DO CONGRESSO BRASILEIRO DE ELETRÔNICA DE POTÊNCIA - COBEP 2023, APRESENTANDO TRABALHOS DE PESQUISA REFERENTE AO SEU CURSO DE GRADUAÇÃO NA UFPB.</v>
      </c>
      <c r="L336">
        <f>SUMIF(Entradas!$B:$B,'Entrada Lvl 5-4 qt'!$B336,Entradas!S:S)</f>
        <v>5391.1646700000001</v>
      </c>
      <c r="M336" t="str">
        <f>_xlfn.XLOOKUP($B336,Entradas!$B:$B,Entradas!T:T,,0,1)</f>
        <v>Aéreo</v>
      </c>
      <c r="N336" t="str">
        <f>_xlfn.XLOOKUP($B336,Entradas!$B:$B,Entradas!U:U,,0,1)</f>
        <v>Não</v>
      </c>
      <c r="O336" t="str">
        <f>_xlfn.XLOOKUP($B336,Entradas!$B:$B,Entradas!V:V,,0,1)</f>
        <v>Realizada</v>
      </c>
      <c r="P336" t="str">
        <f>_xlfn.XLOOKUP($B336,Entradas!$B:$B,Entradas!W:W,,0,1)</f>
        <v>NÃO</v>
      </c>
      <c r="Q336" t="str">
        <f>_xlfn.XLOOKUP($B336,Entradas!$B:$B,Entradas!X:X,,0,1)</f>
        <v>Sem informação</v>
      </c>
      <c r="R336" s="36">
        <f>SUMIF(Entradas!$B:$B,'Entrada Lvl 5-4 qt'!$B336,Entradas!Y:Y)</f>
        <v>0</v>
      </c>
      <c r="S336" s="36">
        <f>SUMIF(Entradas!$B:$B,'Entrada Lvl 5-4 qt'!$B336,Entradas!Z:Z)</f>
        <v>0</v>
      </c>
      <c r="T336" s="36">
        <f>SUMIF(Entradas!$B:$B,'Entrada Lvl 5-4 qt'!$B336,Entradas!AA:AA)</f>
        <v>2956.59</v>
      </c>
      <c r="U336" s="36">
        <f>SUMIF(Entradas!$B:$B,'Entrada Lvl 5-4 qt'!$B336,Entradas!AB:AB)</f>
        <v>0</v>
      </c>
      <c r="V336" s="49">
        <f>_xlfn.XLOOKUP($B336,Entradas!$B:$B,Entradas!AC:AC,,0,1)</f>
        <v>45225</v>
      </c>
      <c r="W336" s="58">
        <f t="shared" si="29"/>
        <v>5</v>
      </c>
      <c r="X336" s="28" t="s">
        <v>10</v>
      </c>
      <c r="Y336" s="32">
        <f t="shared" si="25"/>
        <v>0</v>
      </c>
      <c r="Z336" s="33">
        <f t="shared" si="26"/>
        <v>2956.59</v>
      </c>
      <c r="AA336" s="34">
        <f t="shared" si="27"/>
        <v>0</v>
      </c>
      <c r="AB336" s="28" t="s">
        <v>1814</v>
      </c>
      <c r="AC336" s="28" t="s">
        <v>1822</v>
      </c>
      <c r="AD336" s="29" t="str" cm="1">
        <f t="array" ref="AD336">_xlfn.IFS(L336&lt;=Constantes!$G$2,"Muito Curta (evitável)",L336&lt;=Constantes!$H$2,"Curta Distância",L336&gt;Constantes!$H$2,"Longa Distância")</f>
        <v>Longa Distância</v>
      </c>
      <c r="AE336" s="30" t="str">
        <f t="shared" si="28"/>
        <v>NÃO</v>
      </c>
      <c r="AF336" s="30">
        <f>SUMIF(Entradas!$B:$B,'Entrada Lvl 5-4 qt'!$B336,Entradas!$AG:$AG)</f>
        <v>985.87880246436816</v>
      </c>
      <c r="AG336" s="30"/>
      <c r="BD336" s="49"/>
      <c r="BE336" s="49"/>
    </row>
    <row r="337" spans="1:57" x14ac:dyDescent="0.3">
      <c r="A337">
        <f>_xlfn.XLOOKUP(B337,Entradas!B:B,Entradas!A:A,,0,-1)</f>
        <v>2</v>
      </c>
      <c r="B337">
        <v>19431948</v>
      </c>
      <c r="C337" t="str">
        <f>_xlfn.XLOOKUP($B337,Entradas!$B:$B,Entradas!C:C,,0,1)</f>
        <v>001556/23</v>
      </c>
      <c r="D337" t="str">
        <f>_xlfn.XLOOKUP($B337,Entradas!$B:$B,Entradas!D:D,,0,1)</f>
        <v>***.966.854-**</v>
      </c>
      <c r="E337" t="str">
        <f>_xlfn.XLOOKUP($B337,Entradas!$B:$B,Entradas!E:E,,0,1)</f>
        <v>GILIELSON FIGUEREDO DA PAZ</v>
      </c>
      <c r="F337" t="str">
        <f>_xlfn.XLOOKUP($B337,Entradas!$B:$B,Entradas!F:F,,0,1)</f>
        <v>TECNICO EM ELETROTECNICA</v>
      </c>
      <c r="G337" t="str">
        <f>_xlfn.XLOOKUP($B337,Entradas!$B:$B,Entradas!G:G,,0,1)</f>
        <v>-1</v>
      </c>
      <c r="H337" t="str">
        <f>_xlfn.XLOOKUP($B337,Entradas!$B:$B,Entradas!H:H,,0,1)</f>
        <v>Sem informação</v>
      </c>
      <c r="I337" s="49">
        <f>_xlfn.XLOOKUP($B337,Entradas!$B:$B,Entradas!I:I,,0,1)</f>
        <v>45255</v>
      </c>
      <c r="J337" s="49">
        <f>_xlfn.XLOOKUP($B337,Entradas!$B:$B,Entradas!J:J,,0,1)</f>
        <v>45260</v>
      </c>
      <c r="K337" t="str">
        <f>_xlfn.XLOOKUP($B337,Entradas!$B:$B,Entradas!K:K,,0,1)</f>
        <v>Apresentação de três artigos científicos que foram aprovados no 17º Congresso Brasileiro de Eletrônica de Potência e 8º IEEE SOUTHERN POWER ELETRONICS conferência que ocorrerá entre os dias 26 e 29 de novembro de 2023, na cidade de Florianópolis/SC</v>
      </c>
      <c r="L337">
        <f>SUMIF(Entradas!$B:$B,'Entrada Lvl 5-4 qt'!$B337,Entradas!S:S)</f>
        <v>5391.1646700000001</v>
      </c>
      <c r="M337" t="str">
        <f>_xlfn.XLOOKUP($B337,Entradas!$B:$B,Entradas!T:T,,0,1)</f>
        <v>Aéreo</v>
      </c>
      <c r="N337" t="str">
        <f>_xlfn.XLOOKUP($B337,Entradas!$B:$B,Entradas!U:U,,0,1)</f>
        <v>Sim</v>
      </c>
      <c r="O337" t="str">
        <f>_xlfn.XLOOKUP($B337,Entradas!$B:$B,Entradas!V:V,,0,1)</f>
        <v>Realizada</v>
      </c>
      <c r="P337" t="str">
        <f>_xlfn.XLOOKUP($B337,Entradas!$B:$B,Entradas!W:W,,0,1)</f>
        <v>NÃO</v>
      </c>
      <c r="Q337" t="str">
        <f>_xlfn.XLOOKUP($B337,Entradas!$B:$B,Entradas!X:X,,0,1)</f>
        <v>Sem informação</v>
      </c>
      <c r="R337" s="36">
        <f>SUMIF(Entradas!$B:$B,'Entrada Lvl 5-4 qt'!$B337,Entradas!Y:Y)</f>
        <v>95</v>
      </c>
      <c r="S337" s="36">
        <f>SUMIF(Entradas!$B:$B,'Entrada Lvl 5-4 qt'!$B337,Entradas!Z:Z)</f>
        <v>0</v>
      </c>
      <c r="T337" s="36">
        <f>SUMIF(Entradas!$B:$B,'Entrada Lvl 5-4 qt'!$B337,Entradas!AA:AA)</f>
        <v>2693.19</v>
      </c>
      <c r="U337" s="36">
        <f>SUMIF(Entradas!$B:$B,'Entrada Lvl 5-4 qt'!$B337,Entradas!AB:AB)</f>
        <v>0</v>
      </c>
      <c r="V337" s="49">
        <f>_xlfn.XLOOKUP($B337,Entradas!$B:$B,Entradas!AC:AC,,0,1)</f>
        <v>45223</v>
      </c>
      <c r="W337" s="58">
        <f t="shared" si="29"/>
        <v>5</v>
      </c>
      <c r="X337" s="28" t="s">
        <v>10</v>
      </c>
      <c r="Y337" s="32">
        <f t="shared" si="25"/>
        <v>0</v>
      </c>
      <c r="Z337" s="33">
        <f t="shared" si="26"/>
        <v>2693.19</v>
      </c>
      <c r="AA337" s="34">
        <f t="shared" si="27"/>
        <v>95</v>
      </c>
      <c r="AB337" s="28" t="s">
        <v>1814</v>
      </c>
      <c r="AC337" s="28" t="s">
        <v>1822</v>
      </c>
      <c r="AD337" s="29" t="str" cm="1">
        <f t="array" ref="AD337">_xlfn.IFS(L337&lt;=Constantes!$G$2,"Muito Curta (evitável)",L337&lt;=Constantes!$H$2,"Curta Distância",L337&gt;Constantes!$H$2,"Longa Distância")</f>
        <v>Longa Distância</v>
      </c>
      <c r="AE337" s="30" t="str">
        <f t="shared" si="28"/>
        <v>NÃO</v>
      </c>
      <c r="AF337" s="30">
        <f>SUMIF(Entradas!$B:$B,'Entrada Lvl 5-4 qt'!$B337,Entradas!$AG:$AG)</f>
        <v>985.87880246436816</v>
      </c>
      <c r="AG337" s="30"/>
      <c r="BD337" s="49"/>
      <c r="BE337" s="49"/>
    </row>
    <row r="338" spans="1:57" x14ac:dyDescent="0.3">
      <c r="A338">
        <f>_xlfn.XLOOKUP(B338,Entradas!B:B,Entradas!A:A,,0,-1)</f>
        <v>2</v>
      </c>
      <c r="B338">
        <v>19330579</v>
      </c>
      <c r="C338" t="str">
        <f>_xlfn.XLOOKUP($B338,Entradas!$B:$B,Entradas!C:C,,0,1)</f>
        <v>001655/23</v>
      </c>
      <c r="D338" t="str">
        <f>_xlfn.XLOOKUP($B338,Entradas!$B:$B,Entradas!D:D,,0,1)</f>
        <v>***.078.334-**</v>
      </c>
      <c r="E338" t="str">
        <f>_xlfn.XLOOKUP($B338,Entradas!$B:$B,Entradas!E:E,,0,1)</f>
        <v>JESSICA DA SILVA GADELHA</v>
      </c>
      <c r="F338" t="str">
        <f>_xlfn.XLOOKUP($B338,Entradas!$B:$B,Entradas!F:F,,0,1)</f>
        <v>BIBLIOTECARIO-DOCUMENTALISTA</v>
      </c>
      <c r="G338" t="str">
        <f>_xlfn.XLOOKUP($B338,Entradas!$B:$B,Entradas!G:G,,0,1)</f>
        <v>-1</v>
      </c>
      <c r="H338" t="str">
        <f>_xlfn.XLOOKUP($B338,Entradas!$B:$B,Entradas!H:H,,0,1)</f>
        <v>Sem informação</v>
      </c>
      <c r="I338" s="49">
        <f>_xlfn.XLOOKUP($B338,Entradas!$B:$B,Entradas!I:I,,0,1)</f>
        <v>45256</v>
      </c>
      <c r="J338" s="49">
        <f>_xlfn.XLOOKUP($B338,Entradas!$B:$B,Entradas!J:J,,0,1)</f>
        <v>45262</v>
      </c>
      <c r="K338" t="str">
        <f>_xlfn.XLOOKUP($B338,Entradas!$B:$B,Entradas!K:K,,0,1)</f>
        <v>Considerando a importância do evento científico para o aprimoramento profissional, venho, respeitosamente, solicitar a concessão de passagens aéreas ida/volta (João Pessoa/Florianópolis/João Pessoa) e diárias para o XXII SEMINÁRIO NACIONAL DE BIBLIOTECAS UNIVERSITÁRIAS (SNBU), evento específico e extremamente relevante para a área de Biblioteconomia, que acontecerá em FLORIANÓPOLIS - SC, no período de 28 DE NOVEMBRO A 01 DE DEZEMBRO DE 2023, e que tem como tema central 'BIBLIOTECAS E SUSTENTABILIDADE: INOVAÇÃO, CIÊNCIA E SOCIEDADE'.</v>
      </c>
      <c r="L338">
        <f>SUMIF(Entradas!$B:$B,'Entrada Lvl 5-4 qt'!$B338,Entradas!S:S)</f>
        <v>5391.1646700000001</v>
      </c>
      <c r="M338" t="str">
        <f>_xlfn.XLOOKUP($B338,Entradas!$B:$B,Entradas!T:T,,0,1)</f>
        <v>Aéreo</v>
      </c>
      <c r="N338" t="str">
        <f>_xlfn.XLOOKUP($B338,Entradas!$B:$B,Entradas!U:U,,0,1)</f>
        <v>Não</v>
      </c>
      <c r="O338" t="str">
        <f>_xlfn.XLOOKUP($B338,Entradas!$B:$B,Entradas!V:V,,0,1)</f>
        <v>Realizada</v>
      </c>
      <c r="P338" t="str">
        <f>_xlfn.XLOOKUP($B338,Entradas!$B:$B,Entradas!W:W,,0,1)</f>
        <v>NÃO</v>
      </c>
      <c r="Q338" t="str">
        <f>_xlfn.XLOOKUP($B338,Entradas!$B:$B,Entradas!X:X,,0,1)</f>
        <v>Sem informação</v>
      </c>
      <c r="R338" s="36">
        <f>SUMIF(Entradas!$B:$B,'Entrada Lvl 5-4 qt'!$B338,Entradas!Y:Y)</f>
        <v>2162.08</v>
      </c>
      <c r="S338" s="36">
        <f>SUMIF(Entradas!$B:$B,'Entrada Lvl 5-4 qt'!$B338,Entradas!Z:Z)</f>
        <v>0</v>
      </c>
      <c r="T338" s="36">
        <f>SUMIF(Entradas!$B:$B,'Entrada Lvl 5-4 qt'!$B338,Entradas!AA:AA)</f>
        <v>3000.49</v>
      </c>
      <c r="U338" s="36">
        <f>SUMIF(Entradas!$B:$B,'Entrada Lvl 5-4 qt'!$B338,Entradas!AB:AB)</f>
        <v>0</v>
      </c>
      <c r="V338" s="49">
        <f>_xlfn.XLOOKUP($B338,Entradas!$B:$B,Entradas!AC:AC,,0,1)</f>
        <v>45239</v>
      </c>
      <c r="W338" s="58">
        <f t="shared" si="29"/>
        <v>6</v>
      </c>
      <c r="X338" s="28" t="s">
        <v>10</v>
      </c>
      <c r="Y338" s="32">
        <f t="shared" si="25"/>
        <v>0</v>
      </c>
      <c r="Z338" s="33">
        <f t="shared" si="26"/>
        <v>3000.49</v>
      </c>
      <c r="AA338" s="34">
        <f t="shared" si="27"/>
        <v>2162.08</v>
      </c>
      <c r="AB338" s="28" t="s">
        <v>1814</v>
      </c>
      <c r="AC338" s="28" t="s">
        <v>1784</v>
      </c>
      <c r="AD338" s="29" t="str" cm="1">
        <f t="array" ref="AD338">_xlfn.IFS(L338&lt;=Constantes!$G$2,"Muito Curta (evitável)",L338&lt;=Constantes!$H$2,"Curta Distância",L338&gt;Constantes!$H$2,"Longa Distância")</f>
        <v>Longa Distância</v>
      </c>
      <c r="AE338" s="30" t="str">
        <f t="shared" si="28"/>
        <v>NÃO</v>
      </c>
      <c r="AF338" s="30">
        <f>SUMIF(Entradas!$B:$B,'Entrada Lvl 5-4 qt'!$B338,Entradas!$AG:$AG)</f>
        <v>985.87880246436816</v>
      </c>
      <c r="AG338" s="30"/>
      <c r="BD338" s="49"/>
      <c r="BE338" s="49"/>
    </row>
    <row r="339" spans="1:57" x14ac:dyDescent="0.3">
      <c r="A339">
        <f>_xlfn.XLOOKUP(B339,Entradas!B:B,Entradas!A:A,,0,-1)</f>
        <v>2</v>
      </c>
      <c r="B339">
        <v>19342982</v>
      </c>
      <c r="C339" t="str">
        <f>_xlfn.XLOOKUP($B339,Entradas!$B:$B,Entradas!C:C,,0,1)</f>
        <v>001654/23</v>
      </c>
      <c r="D339" t="str">
        <f>_xlfn.XLOOKUP($B339,Entradas!$B:$B,Entradas!D:D,,0,1)</f>
        <v>***.638.174-**</v>
      </c>
      <c r="E339" t="str">
        <f>_xlfn.XLOOKUP($B339,Entradas!$B:$B,Entradas!E:E,,0,1)</f>
        <v>ANNA REGINA DA SILVA RIBEIRO</v>
      </c>
      <c r="F339" t="str">
        <f>_xlfn.XLOOKUP($B339,Entradas!$B:$B,Entradas!F:F,,0,1)</f>
        <v>BIBLIOTECARIO-DOCUMENTALISTA</v>
      </c>
      <c r="G339" t="str">
        <f>_xlfn.XLOOKUP($B339,Entradas!$B:$B,Entradas!G:G,,0,1)</f>
        <v>-1</v>
      </c>
      <c r="H339" t="str">
        <f>_xlfn.XLOOKUP($B339,Entradas!$B:$B,Entradas!H:H,,0,1)</f>
        <v>Sem informação</v>
      </c>
      <c r="I339" s="49">
        <f>_xlfn.XLOOKUP($B339,Entradas!$B:$B,Entradas!I:I,,0,1)</f>
        <v>45256</v>
      </c>
      <c r="J339" s="49">
        <f>_xlfn.XLOOKUP($B339,Entradas!$B:$B,Entradas!J:J,,0,1)</f>
        <v>45262</v>
      </c>
      <c r="K339" t="str">
        <f>_xlfn.XLOOKUP($B339,Entradas!$B:$B,Entradas!K:K,,0,1)</f>
        <v>Solicita a concessão de passagens aéreas ida/volta (João Pessoa/Florianópolis/João Pessoa) e diárias para participar do evento XXII SEMINÁRIO NACIONAL DE BIBLIOTECAS UNIVERSITÁRIAS (SNBU), que acontecerá em FLORIANÓPOLIS - SC, no período de 27 DE NOVEMBRO A 01 DE DEZEMBRO DE 2023, que tem como tema central 'BIBLIOTECAS E SUSTENTABILIDADE: INOVAÇÃO, CIÊNCIA E SOCIEDADE'.</v>
      </c>
      <c r="L339">
        <f>SUMIF(Entradas!$B:$B,'Entrada Lvl 5-4 qt'!$B339,Entradas!S:S)</f>
        <v>5391.1646700000001</v>
      </c>
      <c r="M339" t="str">
        <f>_xlfn.XLOOKUP($B339,Entradas!$B:$B,Entradas!T:T,,0,1)</f>
        <v>Aéreo</v>
      </c>
      <c r="N339" t="str">
        <f>_xlfn.XLOOKUP($B339,Entradas!$B:$B,Entradas!U:U,,0,1)</f>
        <v>Sim</v>
      </c>
      <c r="O339" t="str">
        <f>_xlfn.XLOOKUP($B339,Entradas!$B:$B,Entradas!V:V,,0,1)</f>
        <v>Realizada</v>
      </c>
      <c r="P339" t="str">
        <f>_xlfn.XLOOKUP($B339,Entradas!$B:$B,Entradas!W:W,,0,1)</f>
        <v>NÃO</v>
      </c>
      <c r="Q339" t="str">
        <f>_xlfn.XLOOKUP($B339,Entradas!$B:$B,Entradas!X:X,,0,1)</f>
        <v>Sem informação</v>
      </c>
      <c r="R339" s="36">
        <f>SUMIF(Entradas!$B:$B,'Entrada Lvl 5-4 qt'!$B339,Entradas!Y:Y)</f>
        <v>2162.08</v>
      </c>
      <c r="S339" s="36">
        <f>SUMIF(Entradas!$B:$B,'Entrada Lvl 5-4 qt'!$B339,Entradas!Z:Z)</f>
        <v>0</v>
      </c>
      <c r="T339" s="36">
        <f>SUMIF(Entradas!$B:$B,'Entrada Lvl 5-4 qt'!$B339,Entradas!AA:AA)</f>
        <v>2976.09</v>
      </c>
      <c r="U339" s="36">
        <f>SUMIF(Entradas!$B:$B,'Entrada Lvl 5-4 qt'!$B339,Entradas!AB:AB)</f>
        <v>0</v>
      </c>
      <c r="V339" s="49">
        <f>_xlfn.XLOOKUP($B339,Entradas!$B:$B,Entradas!AC:AC,,0,1)</f>
        <v>45239</v>
      </c>
      <c r="W339" s="58">
        <f t="shared" si="29"/>
        <v>6</v>
      </c>
      <c r="X339" s="28" t="s">
        <v>10</v>
      </c>
      <c r="Y339" s="32">
        <f t="shared" si="25"/>
        <v>0</v>
      </c>
      <c r="Z339" s="33">
        <f t="shared" si="26"/>
        <v>2976.09</v>
      </c>
      <c r="AA339" s="34">
        <f t="shared" si="27"/>
        <v>2162.08</v>
      </c>
      <c r="AB339" s="28" t="s">
        <v>1813</v>
      </c>
      <c r="AC339" s="28" t="s">
        <v>1784</v>
      </c>
      <c r="AD339" s="29" t="str" cm="1">
        <f t="array" ref="AD339">_xlfn.IFS(L339&lt;=Constantes!$G$2,"Muito Curta (evitável)",L339&lt;=Constantes!$H$2,"Curta Distância",L339&gt;Constantes!$H$2,"Longa Distância")</f>
        <v>Longa Distância</v>
      </c>
      <c r="AE339" s="30" t="str">
        <f t="shared" si="28"/>
        <v>NÃO</v>
      </c>
      <c r="AF339" s="30">
        <f>SUMIF(Entradas!$B:$B,'Entrada Lvl 5-4 qt'!$B339,Entradas!$AG:$AG)</f>
        <v>985.87880246436816</v>
      </c>
      <c r="AG339" s="30"/>
      <c r="BD339" s="49"/>
      <c r="BE339" s="49"/>
    </row>
    <row r="340" spans="1:57" x14ac:dyDescent="0.3">
      <c r="A340">
        <f>_xlfn.XLOOKUP(B340,Entradas!B:B,Entradas!A:A,,0,-1)</f>
        <v>2</v>
      </c>
      <c r="B340">
        <v>19344229</v>
      </c>
      <c r="C340" t="str">
        <f>_xlfn.XLOOKUP($B340,Entradas!$B:$B,Entradas!C:C,,0,1)</f>
        <v>001656/23</v>
      </c>
      <c r="D340" t="str">
        <f>_xlfn.XLOOKUP($B340,Entradas!$B:$B,Entradas!D:D,,0,1)</f>
        <v/>
      </c>
      <c r="E340" t="str">
        <f>_xlfn.XLOOKUP($B340,Entradas!$B:$B,Entradas!E:E,,0,1)</f>
        <v>LUIZA PEREIRA NUNES</v>
      </c>
      <c r="F340" t="str">
        <f>_xlfn.XLOOKUP($B340,Entradas!$B:$B,Entradas!F:F,,0,1)</f>
        <v>BIBLIOTECARIO-DOCUMENTALISTA</v>
      </c>
      <c r="G340" t="str">
        <f>_xlfn.XLOOKUP($B340,Entradas!$B:$B,Entradas!G:G,,0,1)</f>
        <v>-1</v>
      </c>
      <c r="H340" t="str">
        <f>_xlfn.XLOOKUP($B340,Entradas!$B:$B,Entradas!H:H,,0,1)</f>
        <v>Sem informação</v>
      </c>
      <c r="I340" s="49">
        <f>_xlfn.XLOOKUP($B340,Entradas!$B:$B,Entradas!I:I,,0,1)</f>
        <v>45256</v>
      </c>
      <c r="J340" s="49">
        <f>_xlfn.XLOOKUP($B340,Entradas!$B:$B,Entradas!J:J,,0,1)</f>
        <v>45262</v>
      </c>
      <c r="K340" t="str">
        <f>_xlfn.XLOOKUP($B340,Entradas!$B:$B,Entradas!K:K,,0,1)</f>
        <v>A servidora atualmente desenvolve a função de diretora da Divisão de Serviços ao Usuário da Biblioteca Central da UFPB. O Seminário Nacional de Bibliotecas Universitárias é um evento que ressalta a importância das bibliotecas universitárias estarem inseridas ativamente nas discussões acerca do desenvolvimento sustentável, promovendo o seu protagonismo ativo, dinâmico e flexível e se engajando continuamente em práticas, serviços e ações norteadas para o desenvolvimento sustentável e a 'não deixar ninguém para trás' - tal como a Agenda 2030 e os seus ODS destacam. Desse modo, o SNBU se apresenta como uma oportunidade de atualização profissional, bem como de adquirir novos conhecimentos e contatos pertinentes aos serviços oferecidos pela Biblioteca Central da UFPB.</v>
      </c>
      <c r="L340">
        <f>SUMIF(Entradas!$B:$B,'Entrada Lvl 5-4 qt'!$B340,Entradas!S:S)</f>
        <v>5391.1646700000001</v>
      </c>
      <c r="M340" t="str">
        <f>_xlfn.XLOOKUP($B340,Entradas!$B:$B,Entradas!T:T,,0,1)</f>
        <v>Aéreo</v>
      </c>
      <c r="N340" t="str">
        <f>_xlfn.XLOOKUP($B340,Entradas!$B:$B,Entradas!U:U,,0,1)</f>
        <v>Não</v>
      </c>
      <c r="O340" t="str">
        <f>_xlfn.XLOOKUP($B340,Entradas!$B:$B,Entradas!V:V,,0,1)</f>
        <v>Realizada</v>
      </c>
      <c r="P340" t="str">
        <f>_xlfn.XLOOKUP($B340,Entradas!$B:$B,Entradas!W:W,,0,1)</f>
        <v>NÃO</v>
      </c>
      <c r="Q340" t="str">
        <f>_xlfn.XLOOKUP($B340,Entradas!$B:$B,Entradas!X:X,,0,1)</f>
        <v>Sem informação</v>
      </c>
      <c r="R340" s="36">
        <f>SUMIF(Entradas!$B:$B,'Entrada Lvl 5-4 qt'!$B340,Entradas!Y:Y)</f>
        <v>2162.08</v>
      </c>
      <c r="S340" s="36">
        <f>SUMIF(Entradas!$B:$B,'Entrada Lvl 5-4 qt'!$B340,Entradas!Z:Z)</f>
        <v>0</v>
      </c>
      <c r="T340" s="36">
        <f>SUMIF(Entradas!$B:$B,'Entrada Lvl 5-4 qt'!$B340,Entradas!AA:AA)</f>
        <v>3000.49</v>
      </c>
      <c r="U340" s="36">
        <f>SUMIF(Entradas!$B:$B,'Entrada Lvl 5-4 qt'!$B340,Entradas!AB:AB)</f>
        <v>0</v>
      </c>
      <c r="V340" s="49">
        <f>_xlfn.XLOOKUP($B340,Entradas!$B:$B,Entradas!AC:AC,,0,1)</f>
        <v>45239</v>
      </c>
      <c r="W340" s="58">
        <f t="shared" si="29"/>
        <v>6</v>
      </c>
      <c r="X340" s="28" t="s">
        <v>10</v>
      </c>
      <c r="Y340" s="32">
        <f t="shared" si="25"/>
        <v>0</v>
      </c>
      <c r="Z340" s="33">
        <f t="shared" si="26"/>
        <v>3000.49</v>
      </c>
      <c r="AA340" s="34">
        <f t="shared" si="27"/>
        <v>2162.08</v>
      </c>
      <c r="AB340" s="28" t="s">
        <v>1813</v>
      </c>
      <c r="AC340" s="28" t="s">
        <v>1784</v>
      </c>
      <c r="AD340" s="29" t="str" cm="1">
        <f t="array" ref="AD340">_xlfn.IFS(L340&lt;=Constantes!$G$2,"Muito Curta (evitável)",L340&lt;=Constantes!$H$2,"Curta Distância",L340&gt;Constantes!$H$2,"Longa Distância")</f>
        <v>Longa Distância</v>
      </c>
      <c r="AE340" s="30" t="str">
        <f t="shared" si="28"/>
        <v>NÃO</v>
      </c>
      <c r="AF340" s="30">
        <f>SUMIF(Entradas!$B:$B,'Entrada Lvl 5-4 qt'!$B340,Entradas!$AG:$AG)</f>
        <v>985.87880246436816</v>
      </c>
      <c r="AG340" s="30"/>
      <c r="BD340" s="49"/>
      <c r="BE340" s="49"/>
    </row>
    <row r="341" spans="1:57" x14ac:dyDescent="0.3">
      <c r="A341">
        <f>_xlfn.XLOOKUP(B341,Entradas!B:B,Entradas!A:A,,0,-1)</f>
        <v>2</v>
      </c>
      <c r="B341">
        <v>19349153</v>
      </c>
      <c r="C341" t="str">
        <f>_xlfn.XLOOKUP($B341,Entradas!$B:$B,Entradas!C:C,,0,1)</f>
        <v>001277/23</v>
      </c>
      <c r="D341" t="str">
        <f>_xlfn.XLOOKUP($B341,Entradas!$B:$B,Entradas!D:D,,0,1)</f>
        <v>***.979.934-**</v>
      </c>
      <c r="E341" t="str">
        <f>_xlfn.XLOOKUP($B341,Entradas!$B:$B,Entradas!E:E,,0,1)</f>
        <v>EDILSON TARGINO DE MELO FILHO</v>
      </c>
      <c r="F341" t="str">
        <f>_xlfn.XLOOKUP($B341,Entradas!$B:$B,Entradas!F:F,,0,1)</f>
        <v>BIBLIOTECARIO-DOCUMENTALISTA</v>
      </c>
      <c r="G341" t="str">
        <f>_xlfn.XLOOKUP($B341,Entradas!$B:$B,Entradas!G:G,,0,1)</f>
        <v>-1</v>
      </c>
      <c r="H341" t="str">
        <f>_xlfn.XLOOKUP($B341,Entradas!$B:$B,Entradas!H:H,,0,1)</f>
        <v>Sem informação</v>
      </c>
      <c r="I341" s="49">
        <f>_xlfn.XLOOKUP($B341,Entradas!$B:$B,Entradas!I:I,,0,1)</f>
        <v>45256</v>
      </c>
      <c r="J341" s="49">
        <f>_xlfn.XLOOKUP($B341,Entradas!$B:$B,Entradas!J:J,,0,1)</f>
        <v>45262</v>
      </c>
      <c r="K341" t="str">
        <f>_xlfn.XLOOKUP($B341,Entradas!$B:$B,Entradas!K:K,,0,1)</f>
        <v>Participação no Seminário Nacional de Bibliotecas Universitárias.</v>
      </c>
      <c r="L341">
        <f>SUMIF(Entradas!$B:$B,'Entrada Lvl 5-4 qt'!$B341,Entradas!S:S)</f>
        <v>5391.1646700000001</v>
      </c>
      <c r="M341" t="str">
        <f>_xlfn.XLOOKUP($B341,Entradas!$B:$B,Entradas!T:T,,0,1)</f>
        <v>Aéreo</v>
      </c>
      <c r="N341" t="str">
        <f>_xlfn.XLOOKUP($B341,Entradas!$B:$B,Entradas!U:U,,0,1)</f>
        <v>Não</v>
      </c>
      <c r="O341" t="str">
        <f>_xlfn.XLOOKUP($B341,Entradas!$B:$B,Entradas!V:V,,0,1)</f>
        <v>Realizada</v>
      </c>
      <c r="P341" t="str">
        <f>_xlfn.XLOOKUP($B341,Entradas!$B:$B,Entradas!W:W,,0,1)</f>
        <v>NÃO</v>
      </c>
      <c r="Q341" t="str">
        <f>_xlfn.XLOOKUP($B341,Entradas!$B:$B,Entradas!X:X,,0,1)</f>
        <v>Sem informação</v>
      </c>
      <c r="R341" s="36">
        <f>SUMIF(Entradas!$B:$B,'Entrada Lvl 5-4 qt'!$B341,Entradas!Y:Y)</f>
        <v>2162.08</v>
      </c>
      <c r="S341" s="36">
        <f>SUMIF(Entradas!$B:$B,'Entrada Lvl 5-4 qt'!$B341,Entradas!Z:Z)</f>
        <v>0</v>
      </c>
      <c r="T341" s="36">
        <f>SUMIF(Entradas!$B:$B,'Entrada Lvl 5-4 qt'!$B341,Entradas!AA:AA)</f>
        <v>2150.09</v>
      </c>
      <c r="U341" s="36">
        <f>SUMIF(Entradas!$B:$B,'Entrada Lvl 5-4 qt'!$B341,Entradas!AB:AB)</f>
        <v>0</v>
      </c>
      <c r="V341" s="49">
        <f>_xlfn.XLOOKUP($B341,Entradas!$B:$B,Entradas!AC:AC,,0,1)</f>
        <v>45198</v>
      </c>
      <c r="W341" s="58">
        <f t="shared" si="29"/>
        <v>6</v>
      </c>
      <c r="X341" s="28" t="s">
        <v>10</v>
      </c>
      <c r="Y341" s="32">
        <f t="shared" si="25"/>
        <v>0</v>
      </c>
      <c r="Z341" s="33">
        <f t="shared" si="26"/>
        <v>2150.09</v>
      </c>
      <c r="AA341" s="34">
        <f t="shared" si="27"/>
        <v>2162.08</v>
      </c>
      <c r="AB341" s="28" t="s">
        <v>1813</v>
      </c>
      <c r="AC341" s="28" t="s">
        <v>1784</v>
      </c>
      <c r="AD341" s="29" t="str" cm="1">
        <f t="array" ref="AD341">_xlfn.IFS(L341&lt;=Constantes!$G$2,"Muito Curta (evitável)",L341&lt;=Constantes!$H$2,"Curta Distância",L341&gt;Constantes!$H$2,"Longa Distância")</f>
        <v>Longa Distância</v>
      </c>
      <c r="AE341" s="30" t="str">
        <f t="shared" si="28"/>
        <v>NÃO</v>
      </c>
      <c r="AF341" s="30">
        <f>SUMIF(Entradas!$B:$B,'Entrada Lvl 5-4 qt'!$B341,Entradas!$AG:$AG)</f>
        <v>985.87880246436816</v>
      </c>
      <c r="AG341" s="30"/>
      <c r="BD341" s="49"/>
      <c r="BE341" s="49"/>
    </row>
    <row r="342" spans="1:57" x14ac:dyDescent="0.3">
      <c r="A342">
        <f>_xlfn.XLOOKUP(B342,Entradas!B:B,Entradas!A:A,,0,-1)</f>
        <v>2</v>
      </c>
      <c r="B342">
        <v>19350753</v>
      </c>
      <c r="C342" t="str">
        <f>_xlfn.XLOOKUP($B342,Entradas!$B:$B,Entradas!C:C,,0,1)</f>
        <v>001279/23</v>
      </c>
      <c r="D342" t="str">
        <f>_xlfn.XLOOKUP($B342,Entradas!$B:$B,Entradas!D:D,,0,1)</f>
        <v/>
      </c>
      <c r="E342" t="str">
        <f>_xlfn.XLOOKUP($B342,Entradas!$B:$B,Entradas!E:E,,0,1)</f>
        <v>LUCIANNA SILVESTRE DE CASTRO AZEVEDO</v>
      </c>
      <c r="F342" t="str">
        <f>_xlfn.XLOOKUP($B342,Entradas!$B:$B,Entradas!F:F,,0,1)</f>
        <v>BIBLIOTECARIO-DOCUMENTALISTA</v>
      </c>
      <c r="G342" t="str">
        <f>_xlfn.XLOOKUP($B342,Entradas!$B:$B,Entradas!G:G,,0,1)</f>
        <v>-1</v>
      </c>
      <c r="H342" t="str">
        <f>_xlfn.XLOOKUP($B342,Entradas!$B:$B,Entradas!H:H,,0,1)</f>
        <v>Sem informação</v>
      </c>
      <c r="I342" s="49">
        <f>_xlfn.XLOOKUP($B342,Entradas!$B:$B,Entradas!I:I,,0,1)</f>
        <v>45256</v>
      </c>
      <c r="J342" s="49">
        <f>_xlfn.XLOOKUP($B342,Entradas!$B:$B,Entradas!J:J,,0,1)</f>
        <v>45262</v>
      </c>
      <c r="K342" t="str">
        <f>_xlfn.XLOOKUP($B342,Entradas!$B:$B,Entradas!K:K,,0,1)</f>
        <v>Participação no Seminário Nacional de Bibliotecas Universitárias.</v>
      </c>
      <c r="L342">
        <f>SUMIF(Entradas!$B:$B,'Entrada Lvl 5-4 qt'!$B342,Entradas!S:S)</f>
        <v>5391.1646700000001</v>
      </c>
      <c r="M342" t="str">
        <f>_xlfn.XLOOKUP($B342,Entradas!$B:$B,Entradas!T:T,,0,1)</f>
        <v>Aéreo</v>
      </c>
      <c r="N342" t="str">
        <f>_xlfn.XLOOKUP($B342,Entradas!$B:$B,Entradas!U:U,,0,1)</f>
        <v>Sim</v>
      </c>
      <c r="O342" t="str">
        <f>_xlfn.XLOOKUP($B342,Entradas!$B:$B,Entradas!V:V,,0,1)</f>
        <v>Realizada</v>
      </c>
      <c r="P342" t="str">
        <f>_xlfn.XLOOKUP($B342,Entradas!$B:$B,Entradas!W:W,,0,1)</f>
        <v>NÃO</v>
      </c>
      <c r="Q342" t="str">
        <f>_xlfn.XLOOKUP($B342,Entradas!$B:$B,Entradas!X:X,,0,1)</f>
        <v>Sem informação</v>
      </c>
      <c r="R342" s="36">
        <f>SUMIF(Entradas!$B:$B,'Entrada Lvl 5-4 qt'!$B342,Entradas!Y:Y)</f>
        <v>2162.08</v>
      </c>
      <c r="S342" s="36">
        <f>SUMIF(Entradas!$B:$B,'Entrada Lvl 5-4 qt'!$B342,Entradas!Z:Z)</f>
        <v>0</v>
      </c>
      <c r="T342" s="36">
        <f>SUMIF(Entradas!$B:$B,'Entrada Lvl 5-4 qt'!$B342,Entradas!AA:AA)</f>
        <v>2150.09</v>
      </c>
      <c r="U342" s="36">
        <f>SUMIF(Entradas!$B:$B,'Entrada Lvl 5-4 qt'!$B342,Entradas!AB:AB)</f>
        <v>0</v>
      </c>
      <c r="V342" s="49">
        <f>_xlfn.XLOOKUP($B342,Entradas!$B:$B,Entradas!AC:AC,,0,1)</f>
        <v>45198</v>
      </c>
      <c r="W342" s="58">
        <f t="shared" si="29"/>
        <v>6</v>
      </c>
      <c r="X342" s="28" t="s">
        <v>10</v>
      </c>
      <c r="Y342" s="32">
        <f t="shared" si="25"/>
        <v>0</v>
      </c>
      <c r="Z342" s="33">
        <f t="shared" si="26"/>
        <v>2150.09</v>
      </c>
      <c r="AA342" s="34">
        <f t="shared" si="27"/>
        <v>2162.08</v>
      </c>
      <c r="AB342" s="28" t="s">
        <v>1813</v>
      </c>
      <c r="AC342" s="28" t="s">
        <v>1784</v>
      </c>
      <c r="AD342" s="29" t="str" cm="1">
        <f t="array" ref="AD342">_xlfn.IFS(L342&lt;=Constantes!$G$2,"Muito Curta (evitável)",L342&lt;=Constantes!$H$2,"Curta Distância",L342&gt;Constantes!$H$2,"Longa Distância")</f>
        <v>Longa Distância</v>
      </c>
      <c r="AE342" s="30" t="str">
        <f t="shared" si="28"/>
        <v>NÃO</v>
      </c>
      <c r="AF342" s="30">
        <f>SUMIF(Entradas!$B:$B,'Entrada Lvl 5-4 qt'!$B342,Entradas!$AG:$AG)</f>
        <v>985.87880246436816</v>
      </c>
      <c r="AG342" s="30"/>
      <c r="BD342" s="49"/>
      <c r="BE342" s="49"/>
    </row>
    <row r="343" spans="1:57" x14ac:dyDescent="0.3">
      <c r="A343">
        <f>_xlfn.XLOOKUP(B343,Entradas!B:B,Entradas!A:A,,0,-1)</f>
        <v>2</v>
      </c>
      <c r="B343">
        <v>19409465</v>
      </c>
      <c r="C343" t="str">
        <f>_xlfn.XLOOKUP($B343,Entradas!$B:$B,Entradas!C:C,,0,1)</f>
        <v>001482/23</v>
      </c>
      <c r="D343" t="str">
        <f>_xlfn.XLOOKUP($B343,Entradas!$B:$B,Entradas!D:D,,0,1)</f>
        <v>***.539.694-**</v>
      </c>
      <c r="E343" t="str">
        <f>_xlfn.XLOOKUP($B343,Entradas!$B:$B,Entradas!E:E,,0,1)</f>
        <v>KATIANE DA CUNHA SOUZA</v>
      </c>
      <c r="F343" t="str">
        <f>_xlfn.XLOOKUP($B343,Entradas!$B:$B,Entradas!F:F,,0,1)</f>
        <v>BIBLIOTECARIO-DOCUMENTALISTA</v>
      </c>
      <c r="G343" t="str">
        <f>_xlfn.XLOOKUP($B343,Entradas!$B:$B,Entradas!G:G,,0,1)</f>
        <v>-1</v>
      </c>
      <c r="H343" t="str">
        <f>_xlfn.XLOOKUP($B343,Entradas!$B:$B,Entradas!H:H,,0,1)</f>
        <v>Sem informação</v>
      </c>
      <c r="I343" s="49">
        <f>_xlfn.XLOOKUP($B343,Entradas!$B:$B,Entradas!I:I,,0,1)</f>
        <v>45256</v>
      </c>
      <c r="J343" s="49">
        <f>_xlfn.XLOOKUP($B343,Entradas!$B:$B,Entradas!J:J,,0,1)</f>
        <v>45262</v>
      </c>
      <c r="K343" t="str">
        <f>_xlfn.XLOOKUP($B343,Entradas!$B:$B,Entradas!K:K,,0,1)</f>
        <v>Participação e apresentação de trabalho no XXII Seminário Nacional de Bibliotecas Universitárias.</v>
      </c>
      <c r="L343">
        <f>SUMIF(Entradas!$B:$B,'Entrada Lvl 5-4 qt'!$B343,Entradas!S:S)</f>
        <v>5391.1646700000001</v>
      </c>
      <c r="M343" t="str">
        <f>_xlfn.XLOOKUP($B343,Entradas!$B:$B,Entradas!T:T,,0,1)</f>
        <v>Aéreo</v>
      </c>
      <c r="N343" t="str">
        <f>_xlfn.XLOOKUP($B343,Entradas!$B:$B,Entradas!U:U,,0,1)</f>
        <v>Sim</v>
      </c>
      <c r="O343" t="str">
        <f>_xlfn.XLOOKUP($B343,Entradas!$B:$B,Entradas!V:V,,0,1)</f>
        <v>Realizada</v>
      </c>
      <c r="P343" t="str">
        <f>_xlfn.XLOOKUP($B343,Entradas!$B:$B,Entradas!W:W,,0,1)</f>
        <v>NÃO</v>
      </c>
      <c r="Q343" t="str">
        <f>_xlfn.XLOOKUP($B343,Entradas!$B:$B,Entradas!X:X,,0,1)</f>
        <v>Sem informação</v>
      </c>
      <c r="R343" s="36">
        <f>SUMIF(Entradas!$B:$B,'Entrada Lvl 5-4 qt'!$B343,Entradas!Y:Y)</f>
        <v>0</v>
      </c>
      <c r="S343" s="36">
        <f>SUMIF(Entradas!$B:$B,'Entrada Lvl 5-4 qt'!$B343,Entradas!Z:Z)</f>
        <v>0</v>
      </c>
      <c r="T343" s="36">
        <f>SUMIF(Entradas!$B:$B,'Entrada Lvl 5-4 qt'!$B343,Entradas!AA:AA)</f>
        <v>2294.69</v>
      </c>
      <c r="U343" s="36">
        <f>SUMIF(Entradas!$B:$B,'Entrada Lvl 5-4 qt'!$B343,Entradas!AB:AB)</f>
        <v>0</v>
      </c>
      <c r="V343" s="49">
        <f>_xlfn.XLOOKUP($B343,Entradas!$B:$B,Entradas!AC:AC,,0,1)</f>
        <v>45217</v>
      </c>
      <c r="W343" s="58">
        <f t="shared" si="29"/>
        <v>6</v>
      </c>
      <c r="X343" s="28" t="s">
        <v>10</v>
      </c>
      <c r="Y343" s="32">
        <f t="shared" si="25"/>
        <v>0</v>
      </c>
      <c r="Z343" s="33">
        <f t="shared" si="26"/>
        <v>2294.69</v>
      </c>
      <c r="AA343" s="34">
        <f t="shared" si="27"/>
        <v>0</v>
      </c>
      <c r="AB343" s="28" t="s">
        <v>1813</v>
      </c>
      <c r="AC343" s="28" t="s">
        <v>1784</v>
      </c>
      <c r="AD343" s="29" t="str" cm="1">
        <f t="array" ref="AD343">_xlfn.IFS(L343&lt;=Constantes!$G$2,"Muito Curta (evitável)",L343&lt;=Constantes!$H$2,"Curta Distância",L343&gt;Constantes!$H$2,"Longa Distância")</f>
        <v>Longa Distância</v>
      </c>
      <c r="AE343" s="30" t="str">
        <f t="shared" si="28"/>
        <v>NÃO</v>
      </c>
      <c r="AF343" s="30">
        <f>SUMIF(Entradas!$B:$B,'Entrada Lvl 5-4 qt'!$B343,Entradas!$AG:$AG)</f>
        <v>985.87880246436816</v>
      </c>
      <c r="AG343" s="30"/>
      <c r="BD343" s="49"/>
      <c r="BE343" s="49"/>
    </row>
    <row r="344" spans="1:57" x14ac:dyDescent="0.3">
      <c r="A344">
        <f>_xlfn.XLOOKUP(B344,Entradas!B:B,Entradas!A:A,,0,-1)</f>
        <v>2</v>
      </c>
      <c r="B344">
        <v>19414264</v>
      </c>
      <c r="C344" t="str">
        <f>_xlfn.XLOOKUP($B344,Entradas!$B:$B,Entradas!C:C,,0,1)</f>
        <v>001523/23</v>
      </c>
      <c r="D344" t="str">
        <f>_xlfn.XLOOKUP($B344,Entradas!$B:$B,Entradas!D:D,,0,1)</f>
        <v>***.869.694-**</v>
      </c>
      <c r="E344" t="str">
        <f>_xlfn.XLOOKUP($B344,Entradas!$B:$B,Entradas!E:E,,0,1)</f>
        <v>DANIEL PERICLES SANTOS CANUTO</v>
      </c>
      <c r="F344" t="str">
        <f>_xlfn.XLOOKUP($B344,Entradas!$B:$B,Entradas!F:F,,0,1)</f>
        <v>TECNICO EM ARQUIVO</v>
      </c>
      <c r="G344" t="str">
        <f>_xlfn.XLOOKUP($B344,Entradas!$B:$B,Entradas!G:G,,0,1)</f>
        <v>FG-0001</v>
      </c>
      <c r="H344" t="str">
        <f>_xlfn.XLOOKUP($B344,Entradas!$B:$B,Entradas!H:H,,0,1)</f>
        <v>FG-0001</v>
      </c>
      <c r="I344" s="49">
        <f>_xlfn.XLOOKUP($B344,Entradas!$B:$B,Entradas!I:I,,0,1)</f>
        <v>45256</v>
      </c>
      <c r="J344" s="49">
        <f>_xlfn.XLOOKUP($B344,Entradas!$B:$B,Entradas!J:J,,0,1)</f>
        <v>45262</v>
      </c>
      <c r="K344" t="str">
        <f>_xlfn.XLOOKUP($B344,Entradas!$B:$B,Entradas!K:K,,0,1)</f>
        <v>Participação de Curso de Cenários de Uso de Sistemas Informatizados no Contexto da Gestão de Documentos do dia 26/11/2023 a 02/12/2023 no Rio de Janeiro/RJ.</v>
      </c>
      <c r="L344">
        <f>SUMIF(Entradas!$B:$B,'Entrada Lvl 5-4 qt'!$B344,Entradas!S:S)</f>
        <v>3923.0015720000001</v>
      </c>
      <c r="M344" t="str">
        <f>_xlfn.XLOOKUP($B344,Entradas!$B:$B,Entradas!T:T,,0,1)</f>
        <v>Aéreo</v>
      </c>
      <c r="N344" t="str">
        <f>_xlfn.XLOOKUP($B344,Entradas!$B:$B,Entradas!U:U,,0,1)</f>
        <v>Não</v>
      </c>
      <c r="O344" t="str">
        <f>_xlfn.XLOOKUP($B344,Entradas!$B:$B,Entradas!V:V,,0,1)</f>
        <v>Realizada</v>
      </c>
      <c r="P344" t="str">
        <f>_xlfn.XLOOKUP($B344,Entradas!$B:$B,Entradas!W:W,,0,1)</f>
        <v>NÃO</v>
      </c>
      <c r="Q344" t="str">
        <f>_xlfn.XLOOKUP($B344,Entradas!$B:$B,Entradas!X:X,,0,1)</f>
        <v>Sem informação</v>
      </c>
      <c r="R344" s="36">
        <f>SUMIF(Entradas!$B:$B,'Entrada Lvl 5-4 qt'!$B344,Entradas!Y:Y)</f>
        <v>2422.86</v>
      </c>
      <c r="S344" s="36">
        <f>SUMIF(Entradas!$B:$B,'Entrada Lvl 5-4 qt'!$B344,Entradas!Z:Z)</f>
        <v>0</v>
      </c>
      <c r="T344" s="36">
        <f>SUMIF(Entradas!$B:$B,'Entrada Lvl 5-4 qt'!$B344,Entradas!AA:AA)</f>
        <v>1794.69</v>
      </c>
      <c r="U344" s="36">
        <f>SUMIF(Entradas!$B:$B,'Entrada Lvl 5-4 qt'!$B344,Entradas!AB:AB)</f>
        <v>0</v>
      </c>
      <c r="V344" s="49">
        <f>_xlfn.XLOOKUP($B344,Entradas!$B:$B,Entradas!AC:AC,,0,1)</f>
        <v>45219</v>
      </c>
      <c r="W344" s="58">
        <f t="shared" si="29"/>
        <v>6</v>
      </c>
      <c r="X344" s="28" t="s">
        <v>10</v>
      </c>
      <c r="Y344" s="32">
        <f t="shared" si="25"/>
        <v>0</v>
      </c>
      <c r="Z344" s="33">
        <f t="shared" si="26"/>
        <v>1794.69</v>
      </c>
      <c r="AA344" s="34">
        <f t="shared" si="27"/>
        <v>2422.86</v>
      </c>
      <c r="AB344" s="28" t="s">
        <v>1816</v>
      </c>
      <c r="AC344" s="28" t="s">
        <v>1784</v>
      </c>
      <c r="AD344" s="29" t="str" cm="1">
        <f t="array" ref="AD344">_xlfn.IFS(L344&lt;=Constantes!$G$2,"Muito Curta (evitável)",L344&lt;=Constantes!$H$2,"Curta Distância",L344&gt;Constantes!$H$2,"Longa Distância")</f>
        <v>Longa Distância</v>
      </c>
      <c r="AE344" s="30" t="str">
        <f t="shared" si="28"/>
        <v>NÃO</v>
      </c>
      <c r="AF344" s="30">
        <f>SUMIF(Entradas!$B:$B,'Entrada Lvl 5-4 qt'!$B344,Entradas!$AG:$AG)</f>
        <v>717.39676463438343</v>
      </c>
      <c r="AG344" s="30"/>
      <c r="BD344" s="49"/>
      <c r="BE344" s="49"/>
    </row>
    <row r="345" spans="1:57" x14ac:dyDescent="0.3">
      <c r="A345">
        <f>_xlfn.XLOOKUP(B345,Entradas!B:B,Entradas!A:A,,0,-1)</f>
        <v>2</v>
      </c>
      <c r="B345">
        <v>19435803</v>
      </c>
      <c r="C345" t="str">
        <f>_xlfn.XLOOKUP($B345,Entradas!$B:$B,Entradas!C:C,,0,1)</f>
        <v>001592/23</v>
      </c>
      <c r="D345" t="str">
        <f>_xlfn.XLOOKUP($B345,Entradas!$B:$B,Entradas!D:D,,0,1)</f>
        <v/>
      </c>
      <c r="E345" t="str">
        <f>_xlfn.XLOOKUP($B345,Entradas!$B:$B,Entradas!E:E,,0,1)</f>
        <v>GESSIANE CIPRIANO GALDINO DA SILVA</v>
      </c>
      <c r="F345" t="str">
        <f>_xlfn.XLOOKUP($B345,Entradas!$B:$B,Entradas!F:F,,0,1)</f>
        <v/>
      </c>
      <c r="G345" t="str">
        <f>_xlfn.XLOOKUP($B345,Entradas!$B:$B,Entradas!G:G,,0,1)</f>
        <v>-1</v>
      </c>
      <c r="H345" t="str">
        <f>_xlfn.XLOOKUP($B345,Entradas!$B:$B,Entradas!H:H,,0,1)</f>
        <v>Sem informação</v>
      </c>
      <c r="I345" s="49">
        <f>_xlfn.XLOOKUP($B345,Entradas!$B:$B,Entradas!I:I,,0,1)</f>
        <v>45256</v>
      </c>
      <c r="J345" s="49">
        <f>_xlfn.XLOOKUP($B345,Entradas!$B:$B,Entradas!J:J,,0,1)</f>
        <v>45260</v>
      </c>
      <c r="K345" t="str">
        <f>_xlfn.XLOOKUP($B345,Entradas!$B:$B,Entradas!K:K,,0,1)</f>
        <v>Proposto irá atuar no Congresso XXXVII EFNNE, na função de apresentadora de trabalho de iniciação científica e assistir as palestras ofertadas, para seu curso de graduação.</v>
      </c>
      <c r="L345">
        <f>SUMIF(Entradas!$B:$B,'Entrada Lvl 5-4 qt'!$B345,Entradas!S:S)</f>
        <v>1482.2388261999999</v>
      </c>
      <c r="M345" t="str">
        <f>_xlfn.XLOOKUP($B345,Entradas!$B:$B,Entradas!T:T,,0,1)</f>
        <v>Aéreo</v>
      </c>
      <c r="N345" t="str">
        <f>_xlfn.XLOOKUP($B345,Entradas!$B:$B,Entradas!U:U,,0,1)</f>
        <v>Sim</v>
      </c>
      <c r="O345" t="str">
        <f>_xlfn.XLOOKUP($B345,Entradas!$B:$B,Entradas!V:V,,0,1)</f>
        <v>Realizada</v>
      </c>
      <c r="P345" t="str">
        <f>_xlfn.XLOOKUP($B345,Entradas!$B:$B,Entradas!W:W,,0,1)</f>
        <v>NÃO</v>
      </c>
      <c r="Q345" t="str">
        <f>_xlfn.XLOOKUP($B345,Entradas!$B:$B,Entradas!X:X,,0,1)</f>
        <v>Sem informação</v>
      </c>
      <c r="R345" s="36">
        <f>SUMIF(Entradas!$B:$B,'Entrada Lvl 5-4 qt'!$B345,Entradas!Y:Y)</f>
        <v>0</v>
      </c>
      <c r="S345" s="36">
        <f>SUMIF(Entradas!$B:$B,'Entrada Lvl 5-4 qt'!$B345,Entradas!Z:Z)</f>
        <v>0</v>
      </c>
      <c r="T345" s="36">
        <f>SUMIF(Entradas!$B:$B,'Entrada Lvl 5-4 qt'!$B345,Entradas!AA:AA)</f>
        <v>1287.18</v>
      </c>
      <c r="U345" s="36">
        <f>SUMIF(Entradas!$B:$B,'Entrada Lvl 5-4 qt'!$B345,Entradas!AB:AB)</f>
        <v>0</v>
      </c>
      <c r="V345" s="49">
        <f>_xlfn.XLOOKUP($B345,Entradas!$B:$B,Entradas!AC:AC,,0,1)</f>
        <v>45225</v>
      </c>
      <c r="W345" s="58">
        <f t="shared" si="29"/>
        <v>4</v>
      </c>
      <c r="X345" s="28" t="s">
        <v>10</v>
      </c>
      <c r="Y345" s="32">
        <f t="shared" si="25"/>
        <v>0</v>
      </c>
      <c r="Z345" s="33">
        <f t="shared" si="26"/>
        <v>1287.18</v>
      </c>
      <c r="AA345" s="34">
        <f t="shared" si="27"/>
        <v>0</v>
      </c>
      <c r="AB345" s="28" t="s">
        <v>1814</v>
      </c>
      <c r="AC345" s="28" t="s">
        <v>1822</v>
      </c>
      <c r="AD345" s="29" t="str" cm="1">
        <f t="array" ref="AD345">_xlfn.IFS(L345&lt;=Constantes!$G$2,"Muito Curta (evitável)",L345&lt;=Constantes!$H$2,"Curta Distância",L345&gt;Constantes!$H$2,"Longa Distância")</f>
        <v>Curta Distância</v>
      </c>
      <c r="AE345" s="30" t="str">
        <f t="shared" si="28"/>
        <v>NÃO</v>
      </c>
      <c r="AF345" s="30">
        <f>SUMIF(Entradas!$B:$B,'Entrada Lvl 5-4 qt'!$B345,Entradas!$AG:$AG)</f>
        <v>271.05605715809952</v>
      </c>
      <c r="AG345" s="30"/>
      <c r="BD345" s="49"/>
      <c r="BE345" s="49"/>
    </row>
    <row r="346" spans="1:57" x14ac:dyDescent="0.3">
      <c r="A346">
        <f>_xlfn.XLOOKUP(B346,Entradas!B:B,Entradas!A:A,,0,-1)</f>
        <v>2</v>
      </c>
      <c r="B346">
        <v>19072200</v>
      </c>
      <c r="C346" t="str">
        <f>_xlfn.XLOOKUP($B346,Entradas!$B:$B,Entradas!C:C,,0,1)</f>
        <v>000543/23</v>
      </c>
      <c r="D346" t="str">
        <f>_xlfn.XLOOKUP($B346,Entradas!$B:$B,Entradas!D:D,,0,1)</f>
        <v>***.338.008-**</v>
      </c>
      <c r="E346" t="str">
        <f>_xlfn.XLOOKUP($B346,Entradas!$B:$B,Entradas!E:E,,0,1)</f>
        <v>RAFAEL AIELLO BOMFIM</v>
      </c>
      <c r="F346" t="str">
        <f>_xlfn.XLOOKUP($B346,Entradas!$B:$B,Entradas!F:F,,0,1)</f>
        <v>PROFESSOR DO MAGISTERIO SUPERIOR</v>
      </c>
      <c r="G346" t="str">
        <f>_xlfn.XLOOKUP($B346,Entradas!$B:$B,Entradas!G:G,,0,1)</f>
        <v>-1</v>
      </c>
      <c r="H346" t="str">
        <f>_xlfn.XLOOKUP($B346,Entradas!$B:$B,Entradas!H:H,,0,1)</f>
        <v>Sem informação</v>
      </c>
      <c r="I346" s="49">
        <f>_xlfn.XLOOKUP($B346,Entradas!$B:$B,Entradas!I:I,,0,1)</f>
        <v>45257</v>
      </c>
      <c r="J346" s="49">
        <f>_xlfn.XLOOKUP($B346,Entradas!$B:$B,Entradas!J:J,,0,1)</f>
        <v>45261</v>
      </c>
      <c r="K346" t="str">
        <f>_xlfn.XLOOKUP($B346,Entradas!$B:$B,Entradas!K:K,,0,1)</f>
        <v>Docente ministrará curso acerca de Ciência da Implementação. Além disso, participará de atividades do programa de pós-graduação em Odontologia (disciplinas de Seminários em Saúde Bucal Coletiva, e Seminários Avançados em Saúde Bucal Coletiva). Ministrará palestra em evento a ser realizado no dia 01/12.</v>
      </c>
      <c r="L346">
        <f>SUMIF(Entradas!$B:$B,'Entrada Lvl 5-4 qt'!$B346,Entradas!S:S)</f>
        <v>5177.7978640000001</v>
      </c>
      <c r="M346" t="str">
        <f>_xlfn.XLOOKUP($B346,Entradas!$B:$B,Entradas!T:T,,0,1)</f>
        <v>Aéreo</v>
      </c>
      <c r="N346" t="str">
        <f>_xlfn.XLOOKUP($B346,Entradas!$B:$B,Entradas!U:U,,0,1)</f>
        <v>Sim</v>
      </c>
      <c r="O346" t="str">
        <f>_xlfn.XLOOKUP($B346,Entradas!$B:$B,Entradas!V:V,,0,1)</f>
        <v>Realizada</v>
      </c>
      <c r="P346" t="str">
        <f>_xlfn.XLOOKUP($B346,Entradas!$B:$B,Entradas!W:W,,0,1)</f>
        <v>NÃO</v>
      </c>
      <c r="Q346" t="str">
        <f>_xlfn.XLOOKUP($B346,Entradas!$B:$B,Entradas!X:X,,0,1)</f>
        <v>Sem informação</v>
      </c>
      <c r="R346" s="36">
        <f>SUMIF(Entradas!$B:$B,'Entrada Lvl 5-4 qt'!$B346,Entradas!Y:Y)</f>
        <v>1480.04</v>
      </c>
      <c r="S346" s="36">
        <f>SUMIF(Entradas!$B:$B,'Entrada Lvl 5-4 qt'!$B346,Entradas!Z:Z)</f>
        <v>0</v>
      </c>
      <c r="T346" s="36">
        <f>SUMIF(Entradas!$B:$B,'Entrada Lvl 5-4 qt'!$B346,Entradas!AA:AA)</f>
        <v>1768.7600000000002</v>
      </c>
      <c r="U346" s="36">
        <f>SUMIF(Entradas!$B:$B,'Entrada Lvl 5-4 qt'!$B346,Entradas!AB:AB)</f>
        <v>0</v>
      </c>
      <c r="V346" s="49">
        <f>_xlfn.XLOOKUP($B346,Entradas!$B:$B,Entradas!AC:AC,,0,1)</f>
        <v>45114</v>
      </c>
      <c r="W346" s="58">
        <f t="shared" si="29"/>
        <v>4</v>
      </c>
      <c r="X346" s="28" t="s">
        <v>10</v>
      </c>
      <c r="Y346" s="32">
        <f t="shared" si="25"/>
        <v>0</v>
      </c>
      <c r="Z346" s="33">
        <f t="shared" si="26"/>
        <v>1768.7600000000002</v>
      </c>
      <c r="AA346" s="34">
        <f t="shared" si="27"/>
        <v>1480.04</v>
      </c>
      <c r="AB346" s="28" t="s">
        <v>1814</v>
      </c>
      <c r="AC346" s="28" t="s">
        <v>1820</v>
      </c>
      <c r="AD346" s="29" t="str" cm="1">
        <f t="array" ref="AD346">_xlfn.IFS(L346&lt;=Constantes!$G$2,"Muito Curta (evitável)",L346&lt;=Constantes!$H$2,"Curta Distância",L346&gt;Constantes!$H$2,"Longa Distância")</f>
        <v>Longa Distância</v>
      </c>
      <c r="AE346" s="30" t="str">
        <f t="shared" si="28"/>
        <v>NÃO</v>
      </c>
      <c r="AF346" s="30">
        <f>SUMIF(Entradas!$B:$B,'Entrada Lvl 5-4 qt'!$B346,Entradas!$AG:$AG)</f>
        <v>946.86055240877727</v>
      </c>
      <c r="AG346" s="30"/>
      <c r="BD346" s="49"/>
      <c r="BE346" s="49"/>
    </row>
    <row r="347" spans="1:57" x14ac:dyDescent="0.3">
      <c r="A347">
        <f>_xlfn.XLOOKUP(B347,Entradas!B:B,Entradas!A:A,,0,-1)</f>
        <v>2</v>
      </c>
      <c r="B347">
        <v>19110466</v>
      </c>
      <c r="C347" t="str">
        <f>_xlfn.XLOOKUP($B347,Entradas!$B:$B,Entradas!C:C,,0,1)</f>
        <v>000651/23</v>
      </c>
      <c r="D347" t="str">
        <f>_xlfn.XLOOKUP($B347,Entradas!$B:$B,Entradas!D:D,,0,1)</f>
        <v>***.472.650-**</v>
      </c>
      <c r="E347" t="str">
        <f>_xlfn.XLOOKUP($B347,Entradas!$B:$B,Entradas!E:E,,0,1)</f>
        <v>VANESSA NEVES RIAMBAU PINHEIRO</v>
      </c>
      <c r="F347" t="str">
        <f>_xlfn.XLOOKUP($B347,Entradas!$B:$B,Entradas!F:F,,0,1)</f>
        <v>PROFESSOR DO MAGISTERIO SUPERIOR</v>
      </c>
      <c r="G347" t="str">
        <f>_xlfn.XLOOKUP($B347,Entradas!$B:$B,Entradas!G:G,,0,1)</f>
        <v>-1</v>
      </c>
      <c r="H347" t="str">
        <f>_xlfn.XLOOKUP($B347,Entradas!$B:$B,Entradas!H:H,,0,1)</f>
        <v>Sem informação</v>
      </c>
      <c r="I347" s="49">
        <f>_xlfn.XLOOKUP($B347,Entradas!$B:$B,Entradas!I:I,,0,1)</f>
        <v>45257</v>
      </c>
      <c r="J347" s="49">
        <f>_xlfn.XLOOKUP($B347,Entradas!$B:$B,Entradas!J:J,,0,1)</f>
        <v>45261</v>
      </c>
      <c r="K347" t="str">
        <f>_xlfn.XLOOKUP($B347,Entradas!$B:$B,Entradas!K:K,,0,1)</f>
        <v>Participar da IV Congresso Internacional da AFROLIC.</v>
      </c>
      <c r="L347">
        <f>SUMIF(Entradas!$B:$B,'Entrada Lvl 5-4 qt'!$B347,Entradas!S:S)</f>
        <v>3136.7788519999999</v>
      </c>
      <c r="M347" t="str">
        <f>_xlfn.XLOOKUP($B347,Entradas!$B:$B,Entradas!T:T,,0,1)</f>
        <v>Aéreo</v>
      </c>
      <c r="N347" t="str">
        <f>_xlfn.XLOOKUP($B347,Entradas!$B:$B,Entradas!U:U,,0,1)</f>
        <v>Não</v>
      </c>
      <c r="O347" t="str">
        <f>_xlfn.XLOOKUP($B347,Entradas!$B:$B,Entradas!V:V,,0,1)</f>
        <v>Realizada</v>
      </c>
      <c r="P347" t="str">
        <f>_xlfn.XLOOKUP($B347,Entradas!$B:$B,Entradas!W:W,,0,1)</f>
        <v>NÃO</v>
      </c>
      <c r="Q347" t="str">
        <f>_xlfn.XLOOKUP($B347,Entradas!$B:$B,Entradas!X:X,,0,1)</f>
        <v>Sem informação</v>
      </c>
      <c r="R347" s="36">
        <f>SUMIF(Entradas!$B:$B,'Entrada Lvl 5-4 qt'!$B347,Entradas!Y:Y)</f>
        <v>1480.04</v>
      </c>
      <c r="S347" s="36">
        <f>SUMIF(Entradas!$B:$B,'Entrada Lvl 5-4 qt'!$B347,Entradas!Z:Z)</f>
        <v>0</v>
      </c>
      <c r="T347" s="36">
        <f>SUMIF(Entradas!$B:$B,'Entrada Lvl 5-4 qt'!$B347,Entradas!AA:AA)</f>
        <v>1868.44</v>
      </c>
      <c r="U347" s="36">
        <f>SUMIF(Entradas!$B:$B,'Entrada Lvl 5-4 qt'!$B347,Entradas!AB:AB)</f>
        <v>0</v>
      </c>
      <c r="V347" s="49">
        <f>_xlfn.XLOOKUP($B347,Entradas!$B:$B,Entradas!AC:AC,,0,1)</f>
        <v>45127</v>
      </c>
      <c r="W347" s="58">
        <f t="shared" si="29"/>
        <v>4</v>
      </c>
      <c r="X347" s="28" t="s">
        <v>10</v>
      </c>
      <c r="Y347" s="32">
        <f t="shared" si="25"/>
        <v>0</v>
      </c>
      <c r="Z347" s="33">
        <f t="shared" si="26"/>
        <v>1868.44</v>
      </c>
      <c r="AA347" s="34">
        <f t="shared" si="27"/>
        <v>1480.04</v>
      </c>
      <c r="AB347" s="28" t="s">
        <v>1814</v>
      </c>
      <c r="AC347" s="28" t="s">
        <v>1820</v>
      </c>
      <c r="AD347" s="29" t="str" cm="1">
        <f t="array" ref="AD347">_xlfn.IFS(L347&lt;=Constantes!$G$2,"Muito Curta (evitável)",L347&lt;=Constantes!$H$2,"Curta Distância",L347&gt;Constantes!$H$2,"Longa Distância")</f>
        <v>Curta Distância</v>
      </c>
      <c r="AE347" s="30" t="str">
        <f t="shared" si="28"/>
        <v>NÃO</v>
      </c>
      <c r="AF347" s="30">
        <f>SUMIF(Entradas!$B:$B,'Entrada Lvl 5-4 qt'!$B347,Entradas!$AG:$AG)</f>
        <v>573.62072344292073</v>
      </c>
      <c r="AG347" s="30"/>
      <c r="BD347" s="49"/>
      <c r="BE347" s="49"/>
    </row>
    <row r="348" spans="1:57" x14ac:dyDescent="0.3">
      <c r="A348">
        <f>_xlfn.XLOOKUP(B348,Entradas!B:B,Entradas!A:A,,0,-1)</f>
        <v>2</v>
      </c>
      <c r="B348">
        <v>19188851</v>
      </c>
      <c r="C348" t="str">
        <f>_xlfn.XLOOKUP($B348,Entradas!$B:$B,Entradas!C:C,,0,1)</f>
        <v>000826/23</v>
      </c>
      <c r="D348" t="str">
        <f>_xlfn.XLOOKUP($B348,Entradas!$B:$B,Entradas!D:D,,0,1)</f>
        <v>***.573.371-**</v>
      </c>
      <c r="E348" t="str">
        <f>_xlfn.XLOOKUP($B348,Entradas!$B:$B,Entradas!E:E,,0,1)</f>
        <v>PEDRO PAULO CHAVES DE SOUZA</v>
      </c>
      <c r="F348" t="str">
        <f>_xlfn.XLOOKUP($B348,Entradas!$B:$B,Entradas!F:F,,0,1)</f>
        <v>PROFESSOR TIT-LIVRE MAGIST SUPERIOR</v>
      </c>
      <c r="G348" t="str">
        <f>_xlfn.XLOOKUP($B348,Entradas!$B:$B,Entradas!G:G,,0,1)</f>
        <v>-1</v>
      </c>
      <c r="H348" t="str">
        <f>_xlfn.XLOOKUP($B348,Entradas!$B:$B,Entradas!H:H,,0,1)</f>
        <v>Sem informação</v>
      </c>
      <c r="I348" s="49">
        <f>_xlfn.XLOOKUP($B348,Entradas!$B:$B,Entradas!I:I,,0,1)</f>
        <v>45257</v>
      </c>
      <c r="J348" s="49">
        <f>_xlfn.XLOOKUP($B348,Entradas!$B:$B,Entradas!J:J,,0,1)</f>
        <v>45261</v>
      </c>
      <c r="K348" t="str">
        <f>_xlfn.XLOOKUP($B348,Entradas!$B:$B,Entradas!K:K,,0,1)</f>
        <v>Professor ministrará curso sobre análise de transcriptoma de doenças bucais, a partir de bancos de dados genéticos. Além disso, participará de oficinas acerca de aconselhamento genético e doenças bucais. Participará de seminários de qualificação de projetos de pesquisa do programa de pós-graduação em odontologia. Ministrará palestra na Mostra de Iniciação Científica em Odontologia.</v>
      </c>
      <c r="L348">
        <f>SUMIF(Entradas!$B:$B,'Entrada Lvl 5-4 qt'!$B348,Entradas!S:S)</f>
        <v>3750.5964819999999</v>
      </c>
      <c r="M348" t="str">
        <f>_xlfn.XLOOKUP($B348,Entradas!$B:$B,Entradas!T:T,,0,1)</f>
        <v>Aéreo</v>
      </c>
      <c r="N348" t="str">
        <f>_xlfn.XLOOKUP($B348,Entradas!$B:$B,Entradas!U:U,,0,1)</f>
        <v>Não</v>
      </c>
      <c r="O348" t="str">
        <f>_xlfn.XLOOKUP($B348,Entradas!$B:$B,Entradas!V:V,,0,1)</f>
        <v>Realizada</v>
      </c>
      <c r="P348" t="str">
        <f>_xlfn.XLOOKUP($B348,Entradas!$B:$B,Entradas!W:W,,0,1)</f>
        <v>SIM</v>
      </c>
      <c r="Q348" t="str">
        <f>_xlfn.XLOOKUP($B348,Entradas!$B:$B,Entradas!X:X,,0,1)</f>
        <v>Viagem realizada</v>
      </c>
      <c r="R348" s="36">
        <f>SUMIF(Entradas!$B:$B,'Entrada Lvl 5-4 qt'!$B348,Entradas!Y:Y)</f>
        <v>1480.04</v>
      </c>
      <c r="S348" s="36">
        <f>SUMIF(Entradas!$B:$B,'Entrada Lvl 5-4 qt'!$B348,Entradas!Z:Z)</f>
        <v>0</v>
      </c>
      <c r="T348" s="36">
        <f>SUMIF(Entradas!$B:$B,'Entrada Lvl 5-4 qt'!$B348,Entradas!AA:AA)</f>
        <v>1225.1199999999999</v>
      </c>
      <c r="U348" s="36">
        <f>SUMIF(Entradas!$B:$B,'Entrada Lvl 5-4 qt'!$B348,Entradas!AB:AB)</f>
        <v>0</v>
      </c>
      <c r="V348" s="49">
        <f>_xlfn.XLOOKUP($B348,Entradas!$B:$B,Entradas!AC:AC,,0,1)</f>
        <v>45154</v>
      </c>
      <c r="W348" s="58">
        <f t="shared" si="29"/>
        <v>4</v>
      </c>
      <c r="X348" s="28" t="s">
        <v>10</v>
      </c>
      <c r="Y348" s="32">
        <f t="shared" si="25"/>
        <v>0</v>
      </c>
      <c r="Z348" s="33">
        <f t="shared" si="26"/>
        <v>1225.1199999999999</v>
      </c>
      <c r="AA348" s="34">
        <f t="shared" si="27"/>
        <v>1480.04</v>
      </c>
      <c r="AB348" s="28" t="s">
        <v>1814</v>
      </c>
      <c r="AC348" s="28" t="s">
        <v>1820</v>
      </c>
      <c r="AD348" s="29" t="str" cm="1">
        <f t="array" ref="AD348">_xlfn.IFS(L348&lt;=Constantes!$G$2,"Muito Curta (evitável)",L348&lt;=Constantes!$H$2,"Curta Distância",L348&gt;Constantes!$H$2,"Longa Distância")</f>
        <v>Longa Distância</v>
      </c>
      <c r="AE348" s="30" t="str">
        <f t="shared" si="28"/>
        <v>NÃO</v>
      </c>
      <c r="AF348" s="30">
        <f>SUMIF(Entradas!$B:$B,'Entrada Lvl 5-4 qt'!$B348,Entradas!$AG:$AG)</f>
        <v>685.86915713728922</v>
      </c>
      <c r="AG348" s="30"/>
      <c r="BD348" s="49"/>
      <c r="BE348" s="49"/>
    </row>
    <row r="349" spans="1:57" x14ac:dyDescent="0.3">
      <c r="A349">
        <f>_xlfn.XLOOKUP(B349,Entradas!B:B,Entradas!A:A,,0,-1)</f>
        <v>2</v>
      </c>
      <c r="B349">
        <v>19218221</v>
      </c>
      <c r="C349" t="str">
        <f>_xlfn.XLOOKUP($B349,Entradas!$B:$B,Entradas!C:C,,0,1)</f>
        <v>001001/23</v>
      </c>
      <c r="D349" t="str">
        <f>_xlfn.XLOOKUP($B349,Entradas!$B:$B,Entradas!D:D,,0,1)</f>
        <v>***.705.284-**</v>
      </c>
      <c r="E349" t="str">
        <f>_xlfn.XLOOKUP($B349,Entradas!$B:$B,Entradas!E:E,,0,1)</f>
        <v>PAULO DE TARSO COSTA HENRIQUES</v>
      </c>
      <c r="F349" t="str">
        <f>_xlfn.XLOOKUP($B349,Entradas!$B:$B,Entradas!F:F,,0,1)</f>
        <v/>
      </c>
      <c r="G349" t="str">
        <f>_xlfn.XLOOKUP($B349,Entradas!$B:$B,Entradas!G:G,,0,1)</f>
        <v>CD-0002</v>
      </c>
      <c r="H349" t="str">
        <f>_xlfn.XLOOKUP($B349,Entradas!$B:$B,Entradas!H:H,,0,1)</f>
        <v>Cargo Comissionado de Direção</v>
      </c>
      <c r="I349" s="49">
        <f>_xlfn.XLOOKUP($B349,Entradas!$B:$B,Entradas!I:I,,0,1)</f>
        <v>45257</v>
      </c>
      <c r="J349" s="49">
        <f>_xlfn.XLOOKUP($B349,Entradas!$B:$B,Entradas!J:J,,0,1)</f>
        <v>45262</v>
      </c>
      <c r="K349" t="str">
        <f>_xlfn.XLOOKUP($B349,Entradas!$B:$B,Entradas!K:K,,0,1)</f>
        <v>Participar da 3ª Reunião Ordinária do Fórum Nacional de Pró-Reitores de Planejamento e Administração das Instituições Federais de Ensino Superior - FORPLAD - 2023 a ser realizada pela Universidade Federal do Sul da Bahia (UFSB) na qualidade Pró-reitor de Planejamento e Desenvolvimento da UFPB.</v>
      </c>
      <c r="L349">
        <f>SUMIF(Entradas!$B:$B,'Entrada Lvl 5-4 qt'!$B349,Entradas!S:S)</f>
        <v>1924.7683431999999</v>
      </c>
      <c r="M349" t="str">
        <f>_xlfn.XLOOKUP($B349,Entradas!$B:$B,Entradas!T:T,,0,1)</f>
        <v>Aéreo</v>
      </c>
      <c r="N349" t="str">
        <f>_xlfn.XLOOKUP($B349,Entradas!$B:$B,Entradas!U:U,,0,1)</f>
        <v>Sim</v>
      </c>
      <c r="O349" t="str">
        <f>_xlfn.XLOOKUP($B349,Entradas!$B:$B,Entradas!V:V,,0,1)</f>
        <v>Realizada</v>
      </c>
      <c r="P349" t="str">
        <f>_xlfn.XLOOKUP($B349,Entradas!$B:$B,Entradas!W:W,,0,1)</f>
        <v>NÃO</v>
      </c>
      <c r="Q349" t="str">
        <f>_xlfn.XLOOKUP($B349,Entradas!$B:$B,Entradas!X:X,,0,1)</f>
        <v>Sem informação</v>
      </c>
      <c r="R349" s="36">
        <f>SUMIF(Entradas!$B:$B,'Entrada Lvl 5-4 qt'!$B349,Entradas!Y:Y)</f>
        <v>1977.27</v>
      </c>
      <c r="S349" s="36">
        <f>SUMIF(Entradas!$B:$B,'Entrada Lvl 5-4 qt'!$B349,Entradas!Z:Z)</f>
        <v>0</v>
      </c>
      <c r="T349" s="36">
        <f>SUMIF(Entradas!$B:$B,'Entrada Lvl 5-4 qt'!$B349,Entradas!AA:AA)</f>
        <v>3320.59</v>
      </c>
      <c r="U349" s="36">
        <f>SUMIF(Entradas!$B:$B,'Entrada Lvl 5-4 qt'!$B349,Entradas!AB:AB)</f>
        <v>0</v>
      </c>
      <c r="V349" s="49">
        <f>_xlfn.XLOOKUP($B349,Entradas!$B:$B,Entradas!AC:AC,,0,1)</f>
        <v>45183</v>
      </c>
      <c r="W349" s="58">
        <f t="shared" si="29"/>
        <v>5</v>
      </c>
      <c r="X349" s="28" t="s">
        <v>10</v>
      </c>
      <c r="Y349" s="32">
        <f t="shared" si="25"/>
        <v>0</v>
      </c>
      <c r="Z349" s="33">
        <f t="shared" si="26"/>
        <v>3320.59</v>
      </c>
      <c r="AA349" s="34">
        <f t="shared" si="27"/>
        <v>1977.27</v>
      </c>
      <c r="AB349" s="28" t="s">
        <v>1813</v>
      </c>
      <c r="AC349" s="28" t="s">
        <v>1784</v>
      </c>
      <c r="AD349" s="29" t="str" cm="1">
        <f t="array" ref="AD349">_xlfn.IFS(L349&lt;=Constantes!$G$2,"Muito Curta (evitável)",L349&lt;=Constantes!$H$2,"Curta Distância",L349&gt;Constantes!$H$2,"Longa Distância")</f>
        <v>Curta Distância</v>
      </c>
      <c r="AE349" s="30" t="str">
        <f t="shared" si="28"/>
        <v>NÃO</v>
      </c>
      <c r="AF349" s="30">
        <f>SUMIF(Entradas!$B:$B,'Entrada Lvl 5-4 qt'!$B349,Entradas!$AG:$AG)</f>
        <v>351.98114421820134</v>
      </c>
      <c r="AG349" s="30"/>
      <c r="BD349" s="49"/>
      <c r="BE349" s="49"/>
    </row>
    <row r="350" spans="1:57" x14ac:dyDescent="0.3">
      <c r="A350">
        <f>_xlfn.XLOOKUP(B350,Entradas!B:B,Entradas!A:A,,0,-1)</f>
        <v>2</v>
      </c>
      <c r="B350">
        <v>19331108</v>
      </c>
      <c r="C350" t="str">
        <f>_xlfn.XLOOKUP($B350,Entradas!$B:$B,Entradas!C:C,,0,1)</f>
        <v>001203/23</v>
      </c>
      <c r="D350" t="str">
        <f>_xlfn.XLOOKUP($B350,Entradas!$B:$B,Entradas!D:D,,0,1)</f>
        <v>***.690.974-**</v>
      </c>
      <c r="E350" t="str">
        <f>_xlfn.XLOOKUP($B350,Entradas!$B:$B,Entradas!E:E,,0,1)</f>
        <v>MARCIO MEDEIROS SOARES</v>
      </c>
      <c r="F350" t="str">
        <f>_xlfn.XLOOKUP($B350,Entradas!$B:$B,Entradas!F:F,,0,1)</f>
        <v>PROFESSOR DO MAGISTERIO SUPERIOR</v>
      </c>
      <c r="G350" t="str">
        <f>_xlfn.XLOOKUP($B350,Entradas!$B:$B,Entradas!G:G,,0,1)</f>
        <v>-1</v>
      </c>
      <c r="H350" t="str">
        <f>_xlfn.XLOOKUP($B350,Entradas!$B:$B,Entradas!H:H,,0,1)</f>
        <v>Sem informação</v>
      </c>
      <c r="I350" s="49">
        <f>_xlfn.XLOOKUP($B350,Entradas!$B:$B,Entradas!I:I,,0,1)</f>
        <v>45257</v>
      </c>
      <c r="J350" s="49">
        <f>_xlfn.XLOOKUP($B350,Entradas!$B:$B,Entradas!J:J,,0,1)</f>
        <v>45259</v>
      </c>
      <c r="K350" t="str">
        <f>_xlfn.XLOOKUP($B350,Entradas!$B:$B,Entradas!K:K,,0,1)</f>
        <v>Participação no XXXVII Encontro de Física do Norte e Nordeste, na cidade de Salvador, de 27 a 29 de novembro de 2023, com apresentação oral aprovada para mostrar pesquisa desenvolvida pelo docente no Departamento de Física. A participação do docente nesse tradicional encontro de Física visa divulgar a pesquisa científica desenvolvida pelo docente na UFPB e possibilita a atualização do docente em temas de fronteira da física e o estabelecimento de colaborações com outros professores/pesquisadores das regiões nordeste e norte. Constitui parte fundamental do trabalho acadêmico na Universidade.</v>
      </c>
      <c r="L350">
        <f>SUMIF(Entradas!$B:$B,'Entrada Lvl 5-4 qt'!$B350,Entradas!S:S)</f>
        <v>1482.2388261999999</v>
      </c>
      <c r="M350" t="str">
        <f>_xlfn.XLOOKUP($B350,Entradas!$B:$B,Entradas!T:T,,0,1)</f>
        <v>Aéreo</v>
      </c>
      <c r="N350" t="str">
        <f>_xlfn.XLOOKUP($B350,Entradas!$B:$B,Entradas!U:U,,0,1)</f>
        <v>Sim</v>
      </c>
      <c r="O350" t="str">
        <f>_xlfn.XLOOKUP($B350,Entradas!$B:$B,Entradas!V:V,,0,1)</f>
        <v>Realizada</v>
      </c>
      <c r="P350" t="str">
        <f>_xlfn.XLOOKUP($B350,Entradas!$B:$B,Entradas!W:W,,0,1)</f>
        <v>NÃO</v>
      </c>
      <c r="Q350" t="str">
        <f>_xlfn.XLOOKUP($B350,Entradas!$B:$B,Entradas!X:X,,0,1)</f>
        <v>Sem informação</v>
      </c>
      <c r="R350" s="36">
        <f>SUMIF(Entradas!$B:$B,'Entrada Lvl 5-4 qt'!$B350,Entradas!Y:Y)</f>
        <v>857.82</v>
      </c>
      <c r="S350" s="36">
        <f>SUMIF(Entradas!$B:$B,'Entrada Lvl 5-4 qt'!$B350,Entradas!Z:Z)</f>
        <v>0</v>
      </c>
      <c r="T350" s="36">
        <f>SUMIF(Entradas!$B:$B,'Entrada Lvl 5-4 qt'!$B350,Entradas!AA:AA)</f>
        <v>1246.68</v>
      </c>
      <c r="U350" s="36">
        <f>SUMIF(Entradas!$B:$B,'Entrada Lvl 5-4 qt'!$B350,Entradas!AB:AB)</f>
        <v>0</v>
      </c>
      <c r="V350" s="49">
        <f>_xlfn.XLOOKUP($B350,Entradas!$B:$B,Entradas!AC:AC,,0,1)</f>
        <v>45195</v>
      </c>
      <c r="W350" s="58">
        <f t="shared" si="29"/>
        <v>2</v>
      </c>
      <c r="X350" s="28" t="s">
        <v>10</v>
      </c>
      <c r="Y350" s="32">
        <f t="shared" si="25"/>
        <v>0</v>
      </c>
      <c r="Z350" s="33">
        <f t="shared" si="26"/>
        <v>1246.68</v>
      </c>
      <c r="AA350" s="34">
        <f t="shared" si="27"/>
        <v>857.82</v>
      </c>
      <c r="AB350" s="28" t="s">
        <v>1814</v>
      </c>
      <c r="AC350" s="28" t="s">
        <v>1820</v>
      </c>
      <c r="AD350" s="29" t="str" cm="1">
        <f t="array" ref="AD350">_xlfn.IFS(L350&lt;=Constantes!$G$2,"Muito Curta (evitável)",L350&lt;=Constantes!$H$2,"Curta Distância",L350&gt;Constantes!$H$2,"Longa Distância")</f>
        <v>Curta Distância</v>
      </c>
      <c r="AE350" s="30" t="str">
        <f t="shared" si="28"/>
        <v>NÃO</v>
      </c>
      <c r="AF350" s="30">
        <f>SUMIF(Entradas!$B:$B,'Entrada Lvl 5-4 qt'!$B350,Entradas!$AG:$AG)</f>
        <v>271.05605715809952</v>
      </c>
      <c r="AG350" s="30"/>
      <c r="BD350" s="49"/>
      <c r="BE350" s="49"/>
    </row>
    <row r="351" spans="1:57" x14ac:dyDescent="0.3">
      <c r="A351">
        <f>_xlfn.XLOOKUP(B351,Entradas!B:B,Entradas!A:A,,0,-1)</f>
        <v>2</v>
      </c>
      <c r="B351">
        <v>19368827</v>
      </c>
      <c r="C351" t="str">
        <f>_xlfn.XLOOKUP($B351,Entradas!$B:$B,Entradas!C:C,,0,1)</f>
        <v>001325/23</v>
      </c>
      <c r="D351" t="str">
        <f>_xlfn.XLOOKUP($B351,Entradas!$B:$B,Entradas!D:D,,0,1)</f>
        <v>***.650.664-**</v>
      </c>
      <c r="E351" t="str">
        <f>_xlfn.XLOOKUP($B351,Entradas!$B:$B,Entradas!E:E,,0,1)</f>
        <v>JOSE BRUNO MALAQUIAS</v>
      </c>
      <c r="F351" t="str">
        <f>_xlfn.XLOOKUP($B351,Entradas!$B:$B,Entradas!F:F,,0,1)</f>
        <v>PROFESSOR DO MAGISTERIO SUPERIOR</v>
      </c>
      <c r="G351" t="str">
        <f>_xlfn.XLOOKUP($B351,Entradas!$B:$B,Entradas!G:G,,0,1)</f>
        <v>-1</v>
      </c>
      <c r="H351" t="str">
        <f>_xlfn.XLOOKUP($B351,Entradas!$B:$B,Entradas!H:H,,0,1)</f>
        <v>Sem informação</v>
      </c>
      <c r="I351" s="49">
        <f>_xlfn.XLOOKUP($B351,Entradas!$B:$B,Entradas!I:I,,0,1)</f>
        <v>45257</v>
      </c>
      <c r="J351" s="49">
        <f>_xlfn.XLOOKUP($B351,Entradas!$B:$B,Entradas!J:J,,0,1)</f>
        <v>45261</v>
      </c>
      <c r="K351" t="str">
        <f>_xlfn.XLOOKUP($B351,Entradas!$B:$B,Entradas!K:K,,0,1)</f>
        <v>Ministrar curso no Workshop 'Métodos Estatísticos Avançados no R'</v>
      </c>
      <c r="L351">
        <f>SUMIF(Entradas!$B:$B,'Entrada Lvl 5-4 qt'!$B351,Entradas!S:S)</f>
        <v>2461.7073220000002</v>
      </c>
      <c r="M351" t="str">
        <f>_xlfn.XLOOKUP($B351,Entradas!$B:$B,Entradas!T:T,,0,1)</f>
        <v>Aéreo</v>
      </c>
      <c r="N351" t="str">
        <f>_xlfn.XLOOKUP($B351,Entradas!$B:$B,Entradas!U:U,,0,1)</f>
        <v>Não</v>
      </c>
      <c r="O351" t="str">
        <f>_xlfn.XLOOKUP($B351,Entradas!$B:$B,Entradas!V:V,,0,1)</f>
        <v>Realizada</v>
      </c>
      <c r="P351" t="str">
        <f>_xlfn.XLOOKUP($B351,Entradas!$B:$B,Entradas!W:W,,0,1)</f>
        <v>NÃO</v>
      </c>
      <c r="Q351" t="str">
        <f>_xlfn.XLOOKUP($B351,Entradas!$B:$B,Entradas!X:X,,0,1)</f>
        <v>Sem informação</v>
      </c>
      <c r="R351" s="36">
        <f>SUMIF(Entradas!$B:$B,'Entrada Lvl 5-4 qt'!$B351,Entradas!Y:Y)</f>
        <v>1299.5</v>
      </c>
      <c r="S351" s="36">
        <f>SUMIF(Entradas!$B:$B,'Entrada Lvl 5-4 qt'!$B351,Entradas!Z:Z)</f>
        <v>0</v>
      </c>
      <c r="T351" s="36">
        <f>SUMIF(Entradas!$B:$B,'Entrada Lvl 5-4 qt'!$B351,Entradas!AA:AA)</f>
        <v>2440.9899999999998</v>
      </c>
      <c r="U351" s="36">
        <f>SUMIF(Entradas!$B:$B,'Entrada Lvl 5-4 qt'!$B351,Entradas!AB:AB)</f>
        <v>0</v>
      </c>
      <c r="V351" s="49">
        <f>_xlfn.XLOOKUP($B351,Entradas!$B:$B,Entradas!AC:AC,,0,1)</f>
        <v>45204</v>
      </c>
      <c r="W351" s="58">
        <f t="shared" si="29"/>
        <v>4</v>
      </c>
      <c r="X351" s="28" t="s">
        <v>10</v>
      </c>
      <c r="Y351" s="32">
        <f t="shared" si="25"/>
        <v>0</v>
      </c>
      <c r="Z351" s="33">
        <f t="shared" si="26"/>
        <v>2440.9899999999998</v>
      </c>
      <c r="AA351" s="34">
        <f t="shared" si="27"/>
        <v>1299.5</v>
      </c>
      <c r="AB351" s="28" t="s">
        <v>1814</v>
      </c>
      <c r="AC351" s="28" t="s">
        <v>1820</v>
      </c>
      <c r="AD351" s="29" t="str" cm="1">
        <f t="array" ref="AD351">_xlfn.IFS(L351&lt;=Constantes!$G$2,"Muito Curta (evitável)",L351&lt;=Constantes!$H$2,"Curta Distância",L351&gt;Constantes!$H$2,"Longa Distância")</f>
        <v>Curta Distância</v>
      </c>
      <c r="AE351" s="30" t="str">
        <f t="shared" si="28"/>
        <v>NÃO</v>
      </c>
      <c r="AF351" s="30">
        <f>SUMIF(Entradas!$B:$B,'Entrada Lvl 5-4 qt'!$B351,Entradas!$AG:$AG)</f>
        <v>450.1708286033724</v>
      </c>
      <c r="AG351" s="30"/>
      <c r="BD351" s="49"/>
      <c r="BE351" s="49"/>
    </row>
    <row r="352" spans="1:57" x14ac:dyDescent="0.3">
      <c r="A352">
        <f>_xlfn.XLOOKUP(B352,Entradas!B:B,Entradas!A:A,,0,-1)</f>
        <v>2</v>
      </c>
      <c r="B352">
        <v>19435994</v>
      </c>
      <c r="C352" t="str">
        <f>_xlfn.XLOOKUP($B352,Entradas!$B:$B,Entradas!C:C,,0,1)</f>
        <v>001591/23</v>
      </c>
      <c r="D352" t="str">
        <f>_xlfn.XLOOKUP($B352,Entradas!$B:$B,Entradas!D:D,,0,1)</f>
        <v/>
      </c>
      <c r="E352" t="str">
        <f>_xlfn.XLOOKUP($B352,Entradas!$B:$B,Entradas!E:E,,0,1)</f>
        <v>CECILIA MORAIS LIRA</v>
      </c>
      <c r="F352" t="str">
        <f>_xlfn.XLOOKUP($B352,Entradas!$B:$B,Entradas!F:F,,0,1)</f>
        <v/>
      </c>
      <c r="G352" t="str">
        <f>_xlfn.XLOOKUP($B352,Entradas!$B:$B,Entradas!G:G,,0,1)</f>
        <v>-1</v>
      </c>
      <c r="H352" t="str">
        <f>_xlfn.XLOOKUP($B352,Entradas!$B:$B,Entradas!H:H,,0,1)</f>
        <v>Sem informação</v>
      </c>
      <c r="I352" s="49">
        <f>_xlfn.XLOOKUP($B352,Entradas!$B:$B,Entradas!I:I,,0,1)</f>
        <v>45257</v>
      </c>
      <c r="J352" s="49">
        <f>_xlfn.XLOOKUP($B352,Entradas!$B:$B,Entradas!J:J,,0,1)</f>
        <v>45262</v>
      </c>
      <c r="K352" t="str">
        <f>_xlfn.XLOOKUP($B352,Entradas!$B:$B,Entradas!K:K,,0,1)</f>
        <v>Proposto irár participar no XXII Seminário Nacional de Bibliotecas Universitárias SNBU. na função de apresentador de trabalhos acadêmicos do seu curso na UFPB.</v>
      </c>
      <c r="L352">
        <f>SUMIF(Entradas!$B:$B,'Entrada Lvl 5-4 qt'!$B352,Entradas!S:S)</f>
        <v>5391.1646700000001</v>
      </c>
      <c r="M352" t="str">
        <f>_xlfn.XLOOKUP($B352,Entradas!$B:$B,Entradas!T:T,,0,1)</f>
        <v>Aéreo</v>
      </c>
      <c r="N352" t="str">
        <f>_xlfn.XLOOKUP($B352,Entradas!$B:$B,Entradas!U:U,,0,1)</f>
        <v>Sim</v>
      </c>
      <c r="O352" t="str">
        <f>_xlfn.XLOOKUP($B352,Entradas!$B:$B,Entradas!V:V,,0,1)</f>
        <v>Realizada</v>
      </c>
      <c r="P352" t="str">
        <f>_xlfn.XLOOKUP($B352,Entradas!$B:$B,Entradas!W:W,,0,1)</f>
        <v>NÃO</v>
      </c>
      <c r="Q352" t="str">
        <f>_xlfn.XLOOKUP($B352,Entradas!$B:$B,Entradas!X:X,,0,1)</f>
        <v>Sem informação</v>
      </c>
      <c r="R352" s="36">
        <f>SUMIF(Entradas!$B:$B,'Entrada Lvl 5-4 qt'!$B352,Entradas!Y:Y)</f>
        <v>0</v>
      </c>
      <c r="S352" s="36">
        <f>SUMIF(Entradas!$B:$B,'Entrada Lvl 5-4 qt'!$B352,Entradas!Z:Z)</f>
        <v>0</v>
      </c>
      <c r="T352" s="36">
        <f>SUMIF(Entradas!$B:$B,'Entrada Lvl 5-4 qt'!$B352,Entradas!AA:AA)</f>
        <v>2749.89</v>
      </c>
      <c r="U352" s="36">
        <f>SUMIF(Entradas!$B:$B,'Entrada Lvl 5-4 qt'!$B352,Entradas!AB:AB)</f>
        <v>0</v>
      </c>
      <c r="V352" s="49">
        <f>_xlfn.XLOOKUP($B352,Entradas!$B:$B,Entradas!AC:AC,,0,1)</f>
        <v>45225</v>
      </c>
      <c r="W352" s="58">
        <f t="shared" si="29"/>
        <v>5</v>
      </c>
      <c r="X352" s="28" t="s">
        <v>10</v>
      </c>
      <c r="Y352" s="32">
        <f t="shared" si="25"/>
        <v>0</v>
      </c>
      <c r="Z352" s="33">
        <f t="shared" si="26"/>
        <v>2749.89</v>
      </c>
      <c r="AA352" s="34">
        <f t="shared" si="27"/>
        <v>0</v>
      </c>
      <c r="AB352" s="28" t="s">
        <v>1814</v>
      </c>
      <c r="AC352" s="28" t="s">
        <v>1822</v>
      </c>
      <c r="AD352" s="29" t="str" cm="1">
        <f t="array" ref="AD352">_xlfn.IFS(L352&lt;=Constantes!$G$2,"Muito Curta (evitável)",L352&lt;=Constantes!$H$2,"Curta Distância",L352&gt;Constantes!$H$2,"Longa Distância")</f>
        <v>Longa Distância</v>
      </c>
      <c r="AE352" s="30" t="str">
        <f t="shared" si="28"/>
        <v>NÃO</v>
      </c>
      <c r="AF352" s="30">
        <f>SUMIF(Entradas!$B:$B,'Entrada Lvl 5-4 qt'!$B352,Entradas!$AG:$AG)</f>
        <v>985.87880246436816</v>
      </c>
      <c r="AG352" s="30"/>
      <c r="BD352" s="49"/>
      <c r="BE352" s="49"/>
    </row>
    <row r="353" spans="1:57" x14ac:dyDescent="0.3">
      <c r="A353">
        <f>_xlfn.XLOOKUP(B353,Entradas!B:B,Entradas!A:A,,0,-1)</f>
        <v>2</v>
      </c>
      <c r="B353">
        <v>19083755</v>
      </c>
      <c r="C353" t="str">
        <f>_xlfn.XLOOKUP($B353,Entradas!$B:$B,Entradas!C:C,,0,1)</f>
        <v>000604/23</v>
      </c>
      <c r="D353" t="str">
        <f>_xlfn.XLOOKUP($B353,Entradas!$B:$B,Entradas!D:D,,0,1)</f>
        <v>***.500.494-**</v>
      </c>
      <c r="E353" t="str">
        <f>_xlfn.XLOOKUP($B353,Entradas!$B:$B,Entradas!E:E,,0,1)</f>
        <v>SAVIO ROBERTO FONSECA DE FREITAS</v>
      </c>
      <c r="F353" t="str">
        <f>_xlfn.XLOOKUP($B353,Entradas!$B:$B,Entradas!F:F,,0,1)</f>
        <v>PROFESSOR DO MAGISTERIO SUPERIOR</v>
      </c>
      <c r="G353" t="str">
        <f>_xlfn.XLOOKUP($B353,Entradas!$B:$B,Entradas!G:G,,0,1)</f>
        <v>FG-0001</v>
      </c>
      <c r="H353" t="str">
        <f>_xlfn.XLOOKUP($B353,Entradas!$B:$B,Entradas!H:H,,0,1)</f>
        <v>FG-0001</v>
      </c>
      <c r="I353" s="49">
        <f>_xlfn.XLOOKUP($B353,Entradas!$B:$B,Entradas!I:I,,0,1)</f>
        <v>45258</v>
      </c>
      <c r="J353" s="49">
        <f>_xlfn.XLOOKUP($B353,Entradas!$B:$B,Entradas!J:J,,0,1)</f>
        <v>45260</v>
      </c>
      <c r="K353" t="str">
        <f>_xlfn.XLOOKUP($B353,Entradas!$B:$B,Entradas!K:K,,0,1)</f>
        <v>Participação, com apresentação de trabalho, no Congresso AFROLIC, na UFES, de 28/11 a 30/11/2023.</v>
      </c>
      <c r="L353">
        <f>SUMIF(Entradas!$B:$B,'Entrada Lvl 5-4 qt'!$B353,Entradas!S:S)</f>
        <v>3136.7788519999999</v>
      </c>
      <c r="M353" t="str">
        <f>_xlfn.XLOOKUP($B353,Entradas!$B:$B,Entradas!T:T,,0,1)</f>
        <v>Aéreo</v>
      </c>
      <c r="N353" t="str">
        <f>_xlfn.XLOOKUP($B353,Entradas!$B:$B,Entradas!U:U,,0,1)</f>
        <v>Sim</v>
      </c>
      <c r="O353" t="str">
        <f>_xlfn.XLOOKUP($B353,Entradas!$B:$B,Entradas!V:V,,0,1)</f>
        <v>Realizada</v>
      </c>
      <c r="P353" t="str">
        <f>_xlfn.XLOOKUP($B353,Entradas!$B:$B,Entradas!W:W,,0,1)</f>
        <v>NÃO</v>
      </c>
      <c r="Q353" t="str">
        <f>_xlfn.XLOOKUP($B353,Entradas!$B:$B,Entradas!X:X,,0,1)</f>
        <v>Sem informação</v>
      </c>
      <c r="R353" s="36">
        <f>SUMIF(Entradas!$B:$B,'Entrada Lvl 5-4 qt'!$B353,Entradas!Y:Y)</f>
        <v>0</v>
      </c>
      <c r="S353" s="36">
        <f>SUMIF(Entradas!$B:$B,'Entrada Lvl 5-4 qt'!$B353,Entradas!Z:Z)</f>
        <v>0</v>
      </c>
      <c r="T353" s="36">
        <f>SUMIF(Entradas!$B:$B,'Entrada Lvl 5-4 qt'!$B353,Entradas!AA:AA)</f>
        <v>1711.44</v>
      </c>
      <c r="U353" s="36">
        <f>SUMIF(Entradas!$B:$B,'Entrada Lvl 5-4 qt'!$B353,Entradas!AB:AB)</f>
        <v>0</v>
      </c>
      <c r="V353" s="49">
        <f>_xlfn.XLOOKUP($B353,Entradas!$B:$B,Entradas!AC:AC,,0,1)</f>
        <v>45125</v>
      </c>
      <c r="W353" s="58">
        <f t="shared" si="29"/>
        <v>2</v>
      </c>
      <c r="X353" s="28" t="s">
        <v>10</v>
      </c>
      <c r="Y353" s="32">
        <f t="shared" si="25"/>
        <v>0</v>
      </c>
      <c r="Z353" s="33">
        <f t="shared" si="26"/>
        <v>1711.44</v>
      </c>
      <c r="AA353" s="34">
        <f t="shared" si="27"/>
        <v>0</v>
      </c>
      <c r="AB353" s="28" t="s">
        <v>1814</v>
      </c>
      <c r="AC353" s="28" t="s">
        <v>1820</v>
      </c>
      <c r="AD353" s="29" t="str" cm="1">
        <f t="array" ref="AD353">_xlfn.IFS(L353&lt;=Constantes!$G$2,"Muito Curta (evitável)",L353&lt;=Constantes!$H$2,"Curta Distância",L353&gt;Constantes!$H$2,"Longa Distância")</f>
        <v>Curta Distância</v>
      </c>
      <c r="AE353" s="30" t="str">
        <f t="shared" si="28"/>
        <v>NÃO</v>
      </c>
      <c r="AF353" s="30">
        <f>SUMIF(Entradas!$B:$B,'Entrada Lvl 5-4 qt'!$B353,Entradas!$AG:$AG)</f>
        <v>573.62072344292073</v>
      </c>
      <c r="AG353" s="30"/>
      <c r="BD353" s="49"/>
      <c r="BE353" s="49"/>
    </row>
    <row r="354" spans="1:57" x14ac:dyDescent="0.3">
      <c r="A354">
        <f>_xlfn.XLOOKUP(B354,Entradas!B:B,Entradas!A:A,,0,-1)</f>
        <v>2</v>
      </c>
      <c r="B354">
        <v>19262936</v>
      </c>
      <c r="C354" t="str">
        <f>_xlfn.XLOOKUP($B354,Entradas!$B:$B,Entradas!C:C,,0,1)</f>
        <v>001027/23</v>
      </c>
      <c r="D354" t="str">
        <f>_xlfn.XLOOKUP($B354,Entradas!$B:$B,Entradas!D:D,,0,1)</f>
        <v>***.219.784-**</v>
      </c>
      <c r="E354" t="str">
        <f>_xlfn.XLOOKUP($B354,Entradas!$B:$B,Entradas!E:E,,0,1)</f>
        <v>WENNER GLAUCIO LOPES LUCENA</v>
      </c>
      <c r="F354" t="str">
        <f>_xlfn.XLOOKUP($B354,Entradas!$B:$B,Entradas!F:F,,0,1)</f>
        <v>PROFESSOR DO MAGISTERIO SUPERIOR</v>
      </c>
      <c r="G354" t="str">
        <f>_xlfn.XLOOKUP($B354,Entradas!$B:$B,Entradas!G:G,,0,1)</f>
        <v>FUC-0001</v>
      </c>
      <c r="H354" t="str">
        <f>_xlfn.XLOOKUP($B354,Entradas!$B:$B,Entradas!H:H,,0,1)</f>
        <v>FUC-0001</v>
      </c>
      <c r="I354" s="49">
        <f>_xlfn.XLOOKUP($B354,Entradas!$B:$B,Entradas!I:I,,0,1)</f>
        <v>45258</v>
      </c>
      <c r="J354" s="49">
        <f>_xlfn.XLOOKUP($B354,Entradas!$B:$B,Entradas!J:J,,0,1)</f>
        <v>45263</v>
      </c>
      <c r="K354" t="str">
        <f>_xlfn.XLOOKUP($B354,Entradas!$B:$B,Entradas!K:K,,0,1)</f>
        <v>Participação com aprovação de artigo científico no XVII Congresso ANPCONT que será realizado nos dias 29 de novembro a 02 de dezembro de 2023. Além de participar da reunião anual dos coordenadores de Pós-graduação.</v>
      </c>
      <c r="L354">
        <f>SUMIF(Entradas!$B:$B,'Entrada Lvl 5-4 qt'!$B354,Entradas!S:S)</f>
        <v>4379.9484839999996</v>
      </c>
      <c r="M354" t="str">
        <f>_xlfn.XLOOKUP($B354,Entradas!$B:$B,Entradas!T:T,,0,1)</f>
        <v>Aéreo</v>
      </c>
      <c r="N354" t="str">
        <f>_xlfn.XLOOKUP($B354,Entradas!$B:$B,Entradas!U:U,,0,1)</f>
        <v>Não</v>
      </c>
      <c r="O354" t="str">
        <f>_xlfn.XLOOKUP($B354,Entradas!$B:$B,Entradas!V:V,,0,1)</f>
        <v>Realizada</v>
      </c>
      <c r="P354" t="str">
        <f>_xlfn.XLOOKUP($B354,Entradas!$B:$B,Entradas!W:W,,0,1)</f>
        <v>NÃO</v>
      </c>
      <c r="Q354" t="str">
        <f>_xlfn.XLOOKUP($B354,Entradas!$B:$B,Entradas!X:X,,0,1)</f>
        <v>Sem informação</v>
      </c>
      <c r="R354" s="36">
        <f>SUMIF(Entradas!$B:$B,'Entrada Lvl 5-4 qt'!$B354,Entradas!Y:Y)</f>
        <v>2071.63</v>
      </c>
      <c r="S354" s="36">
        <f>SUMIF(Entradas!$B:$B,'Entrada Lvl 5-4 qt'!$B354,Entradas!Z:Z)</f>
        <v>0</v>
      </c>
      <c r="T354" s="36">
        <f>SUMIF(Entradas!$B:$B,'Entrada Lvl 5-4 qt'!$B354,Entradas!AA:AA)</f>
        <v>1816.94</v>
      </c>
      <c r="U354" s="36">
        <f>SUMIF(Entradas!$B:$B,'Entrada Lvl 5-4 qt'!$B354,Entradas!AB:AB)</f>
        <v>0</v>
      </c>
      <c r="V354" s="49">
        <f>_xlfn.XLOOKUP($B354,Entradas!$B:$B,Entradas!AC:AC,,0,1)</f>
        <v>45180</v>
      </c>
      <c r="W354" s="58">
        <f t="shared" si="29"/>
        <v>5</v>
      </c>
      <c r="X354" s="28" t="s">
        <v>10</v>
      </c>
      <c r="Y354" s="32">
        <f t="shared" si="25"/>
        <v>0</v>
      </c>
      <c r="Z354" s="33">
        <f t="shared" si="26"/>
        <v>1816.94</v>
      </c>
      <c r="AA354" s="34">
        <f t="shared" si="27"/>
        <v>2071.63</v>
      </c>
      <c r="AB354" s="28" t="s">
        <v>1814</v>
      </c>
      <c r="AC354" s="28" t="s">
        <v>1784</v>
      </c>
      <c r="AD354" s="29" t="str" cm="1">
        <f t="array" ref="AD354">_xlfn.IFS(L354&lt;=Constantes!$G$2,"Muito Curta (evitável)",L354&lt;=Constantes!$H$2,"Curta Distância",L354&gt;Constantes!$H$2,"Longa Distância")</f>
        <v>Longa Distância</v>
      </c>
      <c r="AE354" s="30" t="str">
        <f t="shared" si="28"/>
        <v>NÃO</v>
      </c>
      <c r="AF354" s="30">
        <f>SUMIF(Entradas!$B:$B,'Entrada Lvl 5-4 qt'!$B354,Entradas!$AG:$AG)</f>
        <v>800.95835140972315</v>
      </c>
      <c r="AG354" s="30"/>
      <c r="BD354" s="49"/>
      <c r="BE354" s="49"/>
    </row>
    <row r="355" spans="1:57" x14ac:dyDescent="0.3">
      <c r="A355">
        <f>_xlfn.XLOOKUP(B355,Entradas!B:B,Entradas!A:A,,0,-1)</f>
        <v>2</v>
      </c>
      <c r="B355">
        <v>19274735</v>
      </c>
      <c r="C355" t="str">
        <f>_xlfn.XLOOKUP($B355,Entradas!$B:$B,Entradas!C:C,,0,1)</f>
        <v>001075/23</v>
      </c>
      <c r="D355" t="str">
        <f>_xlfn.XLOOKUP($B355,Entradas!$B:$B,Entradas!D:D,,0,1)</f>
        <v>***.443.314-**</v>
      </c>
      <c r="E355" t="str">
        <f>_xlfn.XLOOKUP($B355,Entradas!$B:$B,Entradas!E:E,,0,1)</f>
        <v>JOSEDILTON ALVES DINIZ</v>
      </c>
      <c r="F355" t="str">
        <f>_xlfn.XLOOKUP($B355,Entradas!$B:$B,Entradas!F:F,,0,1)</f>
        <v>PROFESSOR DO MAGISTERIO SUPERIOR</v>
      </c>
      <c r="G355" t="str">
        <f>_xlfn.XLOOKUP($B355,Entradas!$B:$B,Entradas!G:G,,0,1)</f>
        <v>-1</v>
      </c>
      <c r="H355" t="str">
        <f>_xlfn.XLOOKUP($B355,Entradas!$B:$B,Entradas!H:H,,0,1)</f>
        <v>Sem informação</v>
      </c>
      <c r="I355" s="49">
        <f>_xlfn.XLOOKUP($B355,Entradas!$B:$B,Entradas!I:I,,0,1)</f>
        <v>45258</v>
      </c>
      <c r="J355" s="49">
        <f>_xlfn.XLOOKUP($B355,Entradas!$B:$B,Entradas!J:J,,0,1)</f>
        <v>45263</v>
      </c>
      <c r="K355" t="str">
        <f>_xlfn.XLOOKUP($B355,Entradas!$B:$B,Entradas!K:K,,0,1)</f>
        <v>Participação com aprovação de artigo científico no XVII Congresso ANPCONT que será realizado nos dias 29 de novembro a 02 de dezembro de 2023.</v>
      </c>
      <c r="L355">
        <f>SUMIF(Entradas!$B:$B,'Entrada Lvl 5-4 qt'!$B355,Entradas!S:S)</f>
        <v>4379.9484839999996</v>
      </c>
      <c r="M355" t="str">
        <f>_xlfn.XLOOKUP($B355,Entradas!$B:$B,Entradas!T:T,,0,1)</f>
        <v>Aéreo</v>
      </c>
      <c r="N355" t="str">
        <f>_xlfn.XLOOKUP($B355,Entradas!$B:$B,Entradas!U:U,,0,1)</f>
        <v>Sim</v>
      </c>
      <c r="O355" t="str">
        <f>_xlfn.XLOOKUP($B355,Entradas!$B:$B,Entradas!V:V,,0,1)</f>
        <v>Realizada</v>
      </c>
      <c r="P355" t="str">
        <f>_xlfn.XLOOKUP($B355,Entradas!$B:$B,Entradas!W:W,,0,1)</f>
        <v>NÃO</v>
      </c>
      <c r="Q355" t="str">
        <f>_xlfn.XLOOKUP($B355,Entradas!$B:$B,Entradas!X:X,,0,1)</f>
        <v>Sem informação</v>
      </c>
      <c r="R355" s="36">
        <f>SUMIF(Entradas!$B:$B,'Entrada Lvl 5-4 qt'!$B355,Entradas!Y:Y)</f>
        <v>2071.63</v>
      </c>
      <c r="S355" s="36">
        <f>SUMIF(Entradas!$B:$B,'Entrada Lvl 5-4 qt'!$B355,Entradas!Z:Z)</f>
        <v>0</v>
      </c>
      <c r="T355" s="36">
        <f>SUMIF(Entradas!$B:$B,'Entrada Lvl 5-4 qt'!$B355,Entradas!AA:AA)</f>
        <v>1690.74</v>
      </c>
      <c r="U355" s="36">
        <f>SUMIF(Entradas!$B:$B,'Entrada Lvl 5-4 qt'!$B355,Entradas!AB:AB)</f>
        <v>0</v>
      </c>
      <c r="V355" s="49">
        <f>_xlfn.XLOOKUP($B355,Entradas!$B:$B,Entradas!AC:AC,,0,1)</f>
        <v>45183</v>
      </c>
      <c r="W355" s="58">
        <f t="shared" si="29"/>
        <v>5</v>
      </c>
      <c r="X355" s="28" t="s">
        <v>10</v>
      </c>
      <c r="Y355" s="32">
        <f t="shared" si="25"/>
        <v>0</v>
      </c>
      <c r="Z355" s="33">
        <f t="shared" si="26"/>
        <v>1690.74</v>
      </c>
      <c r="AA355" s="34">
        <f t="shared" si="27"/>
        <v>2071.63</v>
      </c>
      <c r="AB355" s="28" t="s">
        <v>1814</v>
      </c>
      <c r="AC355" s="28" t="s">
        <v>1820</v>
      </c>
      <c r="AD355" s="29" t="str" cm="1">
        <f t="array" ref="AD355">_xlfn.IFS(L355&lt;=Constantes!$G$2,"Muito Curta (evitável)",L355&lt;=Constantes!$H$2,"Curta Distância",L355&gt;Constantes!$H$2,"Longa Distância")</f>
        <v>Longa Distância</v>
      </c>
      <c r="AE355" s="30" t="str">
        <f t="shared" si="28"/>
        <v>NÃO</v>
      </c>
      <c r="AF355" s="30">
        <f>SUMIF(Entradas!$B:$B,'Entrada Lvl 5-4 qt'!$B355,Entradas!$AG:$AG)</f>
        <v>800.95835140972315</v>
      </c>
      <c r="AG355" s="30"/>
      <c r="BD355" s="49"/>
      <c r="BE355" s="49"/>
    </row>
    <row r="356" spans="1:57" x14ac:dyDescent="0.3">
      <c r="A356">
        <f>_xlfn.XLOOKUP(B356,Entradas!B:B,Entradas!A:A,,0,-1)</f>
        <v>2</v>
      </c>
      <c r="B356">
        <v>19366689</v>
      </c>
      <c r="C356" t="str">
        <f>_xlfn.XLOOKUP($B356,Entradas!$B:$B,Entradas!C:C,,0,1)</f>
        <v>001328/23</v>
      </c>
      <c r="D356" t="str">
        <f>_xlfn.XLOOKUP($B356,Entradas!$B:$B,Entradas!D:D,,0,1)</f>
        <v>***.507.878-**</v>
      </c>
      <c r="E356" t="str">
        <f>_xlfn.XLOOKUP($B356,Entradas!$B:$B,Entradas!E:E,,0,1)</f>
        <v>RENATA PAES DE BARROS CAMARA</v>
      </c>
      <c r="F356" t="str">
        <f>_xlfn.XLOOKUP($B356,Entradas!$B:$B,Entradas!F:F,,0,1)</f>
        <v>PROFESSOR DO MAGISTERIO SUPERIOR</v>
      </c>
      <c r="G356" t="str">
        <f>_xlfn.XLOOKUP($B356,Entradas!$B:$B,Entradas!G:G,,0,1)</f>
        <v>CD-0003</v>
      </c>
      <c r="H356" t="str">
        <f>_xlfn.XLOOKUP($B356,Entradas!$B:$B,Entradas!H:H,,0,1)</f>
        <v>Cargo Comissionado de Direção</v>
      </c>
      <c r="I356" s="49">
        <f>_xlfn.XLOOKUP($B356,Entradas!$B:$B,Entradas!I:I,,0,1)</f>
        <v>45258</v>
      </c>
      <c r="J356" s="49">
        <f>_xlfn.XLOOKUP($B356,Entradas!$B:$B,Entradas!J:J,,0,1)</f>
        <v>45262</v>
      </c>
      <c r="K356" t="str">
        <f>_xlfn.XLOOKUP($B356,Entradas!$B:$B,Entradas!K:K,,0,1)</f>
        <v>Participação no XVII Congresso da Associação Nacional dos Programas de Pós-Graduação - Anpcont</v>
      </c>
      <c r="L356">
        <f>SUMIF(Entradas!$B:$B,'Entrada Lvl 5-4 qt'!$B356,Entradas!S:S)</f>
        <v>4379.9484839999996</v>
      </c>
      <c r="M356" t="str">
        <f>_xlfn.XLOOKUP($B356,Entradas!$B:$B,Entradas!T:T,,0,1)</f>
        <v>Aéreo</v>
      </c>
      <c r="N356" t="str">
        <f>_xlfn.XLOOKUP($B356,Entradas!$B:$B,Entradas!U:U,,0,1)</f>
        <v>Sim</v>
      </c>
      <c r="O356" t="str">
        <f>_xlfn.XLOOKUP($B356,Entradas!$B:$B,Entradas!V:V,,0,1)</f>
        <v>Realizada</v>
      </c>
      <c r="P356" t="str">
        <f>_xlfn.XLOOKUP($B356,Entradas!$B:$B,Entradas!W:W,,0,1)</f>
        <v>NÃO</v>
      </c>
      <c r="Q356" t="str">
        <f>_xlfn.XLOOKUP($B356,Entradas!$B:$B,Entradas!X:X,,0,1)</f>
        <v>Sem informação</v>
      </c>
      <c r="R356" s="36">
        <f>SUMIF(Entradas!$B:$B,'Entrada Lvl 5-4 qt'!$B356,Entradas!Y:Y)</f>
        <v>1926.06</v>
      </c>
      <c r="S356" s="36">
        <f>SUMIF(Entradas!$B:$B,'Entrada Lvl 5-4 qt'!$B356,Entradas!Z:Z)</f>
        <v>0</v>
      </c>
      <c r="T356" s="36">
        <f>SUMIF(Entradas!$B:$B,'Entrada Lvl 5-4 qt'!$B356,Entradas!AA:AA)</f>
        <v>2084.6400000000003</v>
      </c>
      <c r="U356" s="36">
        <f>SUMIF(Entradas!$B:$B,'Entrada Lvl 5-4 qt'!$B356,Entradas!AB:AB)</f>
        <v>0</v>
      </c>
      <c r="V356" s="49">
        <f>_xlfn.XLOOKUP($B356,Entradas!$B:$B,Entradas!AC:AC,,0,1)</f>
        <v>45204</v>
      </c>
      <c r="W356" s="58">
        <f t="shared" si="29"/>
        <v>4</v>
      </c>
      <c r="X356" s="28" t="s">
        <v>10</v>
      </c>
      <c r="Y356" s="32">
        <f t="shared" si="25"/>
        <v>0</v>
      </c>
      <c r="Z356" s="33">
        <f t="shared" si="26"/>
        <v>2084.6400000000003</v>
      </c>
      <c r="AA356" s="34">
        <f t="shared" si="27"/>
        <v>1926.06</v>
      </c>
      <c r="AB356" s="28" t="s">
        <v>1813</v>
      </c>
      <c r="AC356" s="28" t="s">
        <v>1784</v>
      </c>
      <c r="AD356" s="29" t="str" cm="1">
        <f t="array" ref="AD356">_xlfn.IFS(L356&lt;=Constantes!$G$2,"Muito Curta (evitável)",L356&lt;=Constantes!$H$2,"Curta Distância",L356&gt;Constantes!$H$2,"Longa Distância")</f>
        <v>Longa Distância</v>
      </c>
      <c r="AE356" s="30" t="str">
        <f t="shared" si="28"/>
        <v>NÃO</v>
      </c>
      <c r="AF356" s="30">
        <f>SUMIF(Entradas!$B:$B,'Entrada Lvl 5-4 qt'!$B356,Entradas!$AG:$AG)</f>
        <v>800.95835140972315</v>
      </c>
      <c r="AG356" s="30"/>
      <c r="BD356" s="49"/>
      <c r="BE356" s="49"/>
    </row>
    <row r="357" spans="1:57" x14ac:dyDescent="0.3">
      <c r="A357">
        <f>_xlfn.XLOOKUP(B357,Entradas!B:B,Entradas!A:A,,0,-1)</f>
        <v>2</v>
      </c>
      <c r="B357">
        <v>19375473</v>
      </c>
      <c r="C357" t="str">
        <f>_xlfn.XLOOKUP($B357,Entradas!$B:$B,Entradas!C:C,,0,1)</f>
        <v>001653/23</v>
      </c>
      <c r="D357" t="str">
        <f>_xlfn.XLOOKUP($B357,Entradas!$B:$B,Entradas!D:D,,0,1)</f>
        <v>***.474.766-**</v>
      </c>
      <c r="E357" t="str">
        <f>_xlfn.XLOOKUP($B357,Entradas!$B:$B,Entradas!E:E,,0,1)</f>
        <v>EDNA GUSMAO DE GOES BRENNAND</v>
      </c>
      <c r="F357" t="str">
        <f>_xlfn.XLOOKUP($B357,Entradas!$B:$B,Entradas!F:F,,0,1)</f>
        <v>PROFESSOR DO MAGISTERIO SUPERIOR</v>
      </c>
      <c r="G357" t="str">
        <f>_xlfn.XLOOKUP($B357,Entradas!$B:$B,Entradas!G:G,,0,1)</f>
        <v>-1</v>
      </c>
      <c r="H357" t="str">
        <f>_xlfn.XLOOKUP($B357,Entradas!$B:$B,Entradas!H:H,,0,1)</f>
        <v>Sem informação</v>
      </c>
      <c r="I357" s="49">
        <f>_xlfn.XLOOKUP($B357,Entradas!$B:$B,Entradas!I:I,,0,1)</f>
        <v>45258</v>
      </c>
      <c r="J357" s="49">
        <f>_xlfn.XLOOKUP($B357,Entradas!$B:$B,Entradas!J:J,,0,1)</f>
        <v>45268</v>
      </c>
      <c r="K357" t="str">
        <f>_xlfn.XLOOKUP($B357,Entradas!$B:$B,Entradas!K:K,,0,1)</f>
        <v>Reuniões do Projeto 'Diálogos Globales de la Teoría Crítica Actual'/desenvolvido em parceria com o PPGE. Discutir diretrizes de mobilidade acadêmica de estudantes e docentes do PPGE e Universidade de València.</v>
      </c>
      <c r="L357">
        <f>SUMIF(Entradas!$B:$B,'Entrada Lvl 5-4 qt'!$B357,Entradas!S:S)</f>
        <v>12563.866672</v>
      </c>
      <c r="M357" t="str">
        <f>_xlfn.XLOOKUP($B357,Entradas!$B:$B,Entradas!T:T,,0,1)</f>
        <v>Aéreo</v>
      </c>
      <c r="N357" t="str">
        <f>_xlfn.XLOOKUP($B357,Entradas!$B:$B,Entradas!U:U,,0,1)</f>
        <v>Sim</v>
      </c>
      <c r="O357" t="str">
        <f>_xlfn.XLOOKUP($B357,Entradas!$B:$B,Entradas!V:V,,0,1)</f>
        <v>Realizada</v>
      </c>
      <c r="P357" t="str">
        <f>_xlfn.XLOOKUP($B357,Entradas!$B:$B,Entradas!W:W,,0,1)</f>
        <v>NÃO</v>
      </c>
      <c r="Q357" t="str">
        <f>_xlfn.XLOOKUP($B357,Entradas!$B:$B,Entradas!X:X,,0,1)</f>
        <v>Sem informação</v>
      </c>
      <c r="R357" s="36">
        <f>SUMIF(Entradas!$B:$B,'Entrada Lvl 5-4 qt'!$B357,Entradas!Y:Y)</f>
        <v>0</v>
      </c>
      <c r="S357" s="36">
        <f>SUMIF(Entradas!$B:$B,'Entrada Lvl 5-4 qt'!$B357,Entradas!Z:Z)</f>
        <v>0</v>
      </c>
      <c r="T357" s="36">
        <f>SUMIF(Entradas!$B:$B,'Entrada Lvl 5-4 qt'!$B357,Entradas!AA:AA)</f>
        <v>6594.1</v>
      </c>
      <c r="U357" s="36">
        <f>SUMIF(Entradas!$B:$B,'Entrada Lvl 5-4 qt'!$B357,Entradas!AB:AB)</f>
        <v>0</v>
      </c>
      <c r="V357" s="49">
        <f>_xlfn.XLOOKUP($B357,Entradas!$B:$B,Entradas!AC:AC,,0,1)</f>
        <v>45241</v>
      </c>
      <c r="W357" s="58">
        <f t="shared" si="29"/>
        <v>10</v>
      </c>
      <c r="X357" s="28" t="s">
        <v>10</v>
      </c>
      <c r="Y357" s="32">
        <f t="shared" si="25"/>
        <v>0</v>
      </c>
      <c r="Z357" s="33">
        <f t="shared" si="26"/>
        <v>6594.1</v>
      </c>
      <c r="AA357" s="34">
        <f t="shared" si="27"/>
        <v>0</v>
      </c>
      <c r="AB357" s="28" t="s">
        <v>1819</v>
      </c>
      <c r="AC357" s="28" t="s">
        <v>1820</v>
      </c>
      <c r="AD357" s="29" t="str" cm="1">
        <f t="array" ref="AD357">_xlfn.IFS(L357&lt;=Constantes!$G$2,"Muito Curta (evitável)",L357&lt;=Constantes!$H$2,"Curta Distância",L357&gt;Constantes!$H$2,"Longa Distância")</f>
        <v>Longa Distância</v>
      </c>
      <c r="AE357" s="30" t="str">
        <f t="shared" si="28"/>
        <v>NÃO</v>
      </c>
      <c r="AF357" s="30">
        <f>SUMIF(Entradas!$B:$B,'Entrada Lvl 5-4 qt'!$B357,Entradas!$AG:$AG)</f>
        <v>2514.1337566289444</v>
      </c>
      <c r="AG357" s="30"/>
      <c r="BD357" s="49"/>
      <c r="BE357" s="49"/>
    </row>
    <row r="358" spans="1:57" x14ac:dyDescent="0.3">
      <c r="A358">
        <f>_xlfn.XLOOKUP(B358,Entradas!B:B,Entradas!A:A,,0,-1)</f>
        <v>2</v>
      </c>
      <c r="B358">
        <v>19570508</v>
      </c>
      <c r="C358" t="str">
        <f>_xlfn.XLOOKUP($B358,Entradas!$B:$B,Entradas!C:C,,0,1)</f>
        <v>001806/23</v>
      </c>
      <c r="D358" t="str">
        <f>_xlfn.XLOOKUP($B358,Entradas!$B:$B,Entradas!D:D,,0,1)</f>
        <v>***.674.814-**</v>
      </c>
      <c r="E358" t="str">
        <f>_xlfn.XLOOKUP($B358,Entradas!$B:$B,Entradas!E:E,,0,1)</f>
        <v>VALGUI DA SILVA BARBOSA</v>
      </c>
      <c r="F358" t="str">
        <f>_xlfn.XLOOKUP($B358,Entradas!$B:$B,Entradas!F:F,,0,1)</f>
        <v>AUX EM ADMINISTRACAO</v>
      </c>
      <c r="G358" t="str">
        <f>_xlfn.XLOOKUP($B358,Entradas!$B:$B,Entradas!G:G,,0,1)</f>
        <v>FG-0001</v>
      </c>
      <c r="H358" t="str">
        <f>_xlfn.XLOOKUP($B358,Entradas!$B:$B,Entradas!H:H,,0,1)</f>
        <v>FG-0001</v>
      </c>
      <c r="I358" s="49">
        <f>_xlfn.XLOOKUP($B358,Entradas!$B:$B,Entradas!I:I,,0,1)</f>
        <v>45258</v>
      </c>
      <c r="J358" s="49">
        <f>_xlfn.XLOOKUP($B358,Entradas!$B:$B,Entradas!J:J,,0,1)</f>
        <v>45262</v>
      </c>
      <c r="K358" t="str">
        <f>_xlfn.XLOOKUP($B358,Entradas!$B:$B,Entradas!K:K,,0,1)</f>
        <v>Capacitação na gestão de materiais e de almoxarifado promovido pela Consultre visando o Planejamento e organização de almoxarifado com enfoque no controle de estoque, do almoxarifado físico e das compras, incluindo inventário, controle, prestação de contas e a estratégia de ressuprimento</v>
      </c>
      <c r="L358">
        <f>SUMIF(Entradas!$B:$B,'Entrada Lvl 5-4 qt'!$B358,Entradas!S:S)</f>
        <v>5834.0911219999998</v>
      </c>
      <c r="M358" t="str">
        <f>_xlfn.XLOOKUP($B358,Entradas!$B:$B,Entradas!T:T,,0,1)</f>
        <v>Aéreo</v>
      </c>
      <c r="N358" t="str">
        <f>_xlfn.XLOOKUP($B358,Entradas!$B:$B,Entradas!U:U,,0,1)</f>
        <v>Não</v>
      </c>
      <c r="O358" t="str">
        <f>_xlfn.XLOOKUP($B358,Entradas!$B:$B,Entradas!V:V,,0,1)</f>
        <v>Realizada</v>
      </c>
      <c r="P358" t="str">
        <f>_xlfn.XLOOKUP($B358,Entradas!$B:$B,Entradas!W:W,,0,1)</f>
        <v>SIM</v>
      </c>
      <c r="Q358" t="str">
        <f>_xlfn.XLOOKUP($B358,Entradas!$B:$B,Entradas!X:X,,0,1)</f>
        <v>Processo urgente devido a falta de recurso que só definido e autorizado a viagem próximo a viagem. Processo: 23074.101562/2023-77</v>
      </c>
      <c r="R358" s="36">
        <f>SUMIF(Entradas!$B:$B,'Entrada Lvl 5-4 qt'!$B358,Entradas!Y:Y)</f>
        <v>1291.57</v>
      </c>
      <c r="S358" s="36">
        <f>SUMIF(Entradas!$B:$B,'Entrada Lvl 5-4 qt'!$B358,Entradas!Z:Z)</f>
        <v>0</v>
      </c>
      <c r="T358" s="36">
        <f>SUMIF(Entradas!$B:$B,'Entrada Lvl 5-4 qt'!$B358,Entradas!AA:AA)</f>
        <v>3438.54</v>
      </c>
      <c r="U358" s="36">
        <f>SUMIF(Entradas!$B:$B,'Entrada Lvl 5-4 qt'!$B358,Entradas!AB:AB)</f>
        <v>0</v>
      </c>
      <c r="V358" s="49">
        <f>_xlfn.XLOOKUP($B358,Entradas!$B:$B,Entradas!AC:AC,,0,1)</f>
        <v>45254</v>
      </c>
      <c r="W358" s="58">
        <f t="shared" si="29"/>
        <v>4</v>
      </c>
      <c r="X358" s="28" t="s">
        <v>10</v>
      </c>
      <c r="Y358" s="32">
        <f t="shared" si="25"/>
        <v>0</v>
      </c>
      <c r="Z358" s="33">
        <f t="shared" si="26"/>
        <v>3438.54</v>
      </c>
      <c r="AA358" s="34">
        <f t="shared" si="27"/>
        <v>1291.57</v>
      </c>
      <c r="AB358" s="28" t="s">
        <v>1816</v>
      </c>
      <c r="AC358" s="28" t="s">
        <v>1784</v>
      </c>
      <c r="AD358" s="29" t="str" cm="1">
        <f t="array" ref="AD358">_xlfn.IFS(L358&lt;=Constantes!$G$2,"Muito Curta (evitável)",L358&lt;=Constantes!$H$2,"Curta Distância",L358&gt;Constantes!$H$2,"Longa Distância")</f>
        <v>Longa Distância</v>
      </c>
      <c r="AE358" s="30" t="str">
        <f t="shared" si="28"/>
        <v>NÃO</v>
      </c>
      <c r="AF358" s="30">
        <f>SUMIF(Entradas!$B:$B,'Entrada Lvl 5-4 qt'!$B358,Entradas!$AG:$AG)</f>
        <v>1066.8764767716439</v>
      </c>
      <c r="AG358" s="30"/>
      <c r="BD358" s="49"/>
      <c r="BE358" s="49"/>
    </row>
    <row r="359" spans="1:57" x14ac:dyDescent="0.3">
      <c r="A359">
        <f>_xlfn.XLOOKUP(B359,Entradas!B:B,Entradas!A:A,,0,-1)</f>
        <v>2</v>
      </c>
      <c r="B359">
        <v>19372630</v>
      </c>
      <c r="C359" t="str">
        <f>_xlfn.XLOOKUP($B359,Entradas!$B:$B,Entradas!C:C,,0,1)</f>
        <v>001419/23</v>
      </c>
      <c r="D359" t="str">
        <f>_xlfn.XLOOKUP($B359,Entradas!$B:$B,Entradas!D:D,,0,1)</f>
        <v>***.791.253-**</v>
      </c>
      <c r="E359" t="str">
        <f>_xlfn.XLOOKUP($B359,Entradas!$B:$B,Entradas!E:E,,0,1)</f>
        <v>NATALIA BEZERRA MOTA</v>
      </c>
      <c r="F359" t="str">
        <f>_xlfn.XLOOKUP($B359,Entradas!$B:$B,Entradas!F:F,,0,1)</f>
        <v/>
      </c>
      <c r="G359" t="str">
        <f>_xlfn.XLOOKUP($B359,Entradas!$B:$B,Entradas!G:G,,0,1)</f>
        <v>-1</v>
      </c>
      <c r="H359" t="str">
        <f>_xlfn.XLOOKUP($B359,Entradas!$B:$B,Entradas!H:H,,0,1)</f>
        <v>Sem informação</v>
      </c>
      <c r="I359" s="49">
        <f>_xlfn.XLOOKUP($B359,Entradas!$B:$B,Entradas!I:I,,0,1)</f>
        <v>45259</v>
      </c>
      <c r="J359" s="49">
        <f>_xlfn.XLOOKUP($B359,Entradas!$B:$B,Entradas!J:J,,0,1)</f>
        <v>45260</v>
      </c>
      <c r="K359" t="str">
        <f>_xlfn.XLOOKUP($B359,Entradas!$B:$B,Entradas!K:K,,0,1)</f>
        <v>Participação na cerimônia de abertura do 13° CCNeC (Curso e Conferência em Neurociências Cognitiva e Comportamento) como palestrante com o tema 'Mapeamento mental por ferramentas computacionais de linguagem: contribuições para desenvolvimento e bem-estar mental', no dia 29 de Novembro de 2023, às 19:00h, no auditório do CCJ da Universidade Federal da Paraíba.</v>
      </c>
      <c r="L359">
        <f>SUMIF(Entradas!$B:$B,'Entrada Lvl 5-4 qt'!$B359,Entradas!S:S)</f>
        <v>3923.0015720000001</v>
      </c>
      <c r="M359" t="str">
        <f>_xlfn.XLOOKUP($B359,Entradas!$B:$B,Entradas!T:T,,0,1)</f>
        <v>Aéreo</v>
      </c>
      <c r="N359" t="str">
        <f>_xlfn.XLOOKUP($B359,Entradas!$B:$B,Entradas!U:U,,0,1)</f>
        <v>Sim</v>
      </c>
      <c r="O359" t="str">
        <f>_xlfn.XLOOKUP($B359,Entradas!$B:$B,Entradas!V:V,,0,1)</f>
        <v>Realizada</v>
      </c>
      <c r="P359" t="str">
        <f>_xlfn.XLOOKUP($B359,Entradas!$B:$B,Entradas!W:W,,0,1)</f>
        <v>NÃO</v>
      </c>
      <c r="Q359" t="str">
        <f>_xlfn.XLOOKUP($B359,Entradas!$B:$B,Entradas!X:X,,0,1)</f>
        <v>Sem informação</v>
      </c>
      <c r="R359" s="36">
        <f>SUMIF(Entradas!$B:$B,'Entrada Lvl 5-4 qt'!$B359,Entradas!Y:Y)</f>
        <v>606.53</v>
      </c>
      <c r="S359" s="36">
        <f>SUMIF(Entradas!$B:$B,'Entrada Lvl 5-4 qt'!$B359,Entradas!Z:Z)</f>
        <v>0</v>
      </c>
      <c r="T359" s="36">
        <f>SUMIF(Entradas!$B:$B,'Entrada Lvl 5-4 qt'!$B359,Entradas!AA:AA)</f>
        <v>2176.4899999999998</v>
      </c>
      <c r="U359" s="36">
        <f>SUMIF(Entradas!$B:$B,'Entrada Lvl 5-4 qt'!$B359,Entradas!AB:AB)</f>
        <v>0</v>
      </c>
      <c r="V359" s="49">
        <f>_xlfn.XLOOKUP($B359,Entradas!$B:$B,Entradas!AC:AC,,0,1)</f>
        <v>45210</v>
      </c>
      <c r="W359" s="58">
        <f t="shared" si="29"/>
        <v>1</v>
      </c>
      <c r="X359" s="28" t="s">
        <v>10</v>
      </c>
      <c r="Y359" s="32">
        <f t="shared" si="25"/>
        <v>0</v>
      </c>
      <c r="Z359" s="33">
        <f t="shared" si="26"/>
        <v>2176.4899999999998</v>
      </c>
      <c r="AA359" s="34">
        <f t="shared" si="27"/>
        <v>606.53</v>
      </c>
      <c r="AB359" s="28" t="s">
        <v>1814</v>
      </c>
      <c r="AC359" s="28" t="s">
        <v>1821</v>
      </c>
      <c r="AD359" s="29" t="str" cm="1">
        <f t="array" ref="AD359">_xlfn.IFS(L359&lt;=Constantes!$G$2,"Muito Curta (evitável)",L359&lt;=Constantes!$H$2,"Curta Distância",L359&gt;Constantes!$H$2,"Longa Distância")</f>
        <v>Longa Distância</v>
      </c>
      <c r="AE359" s="30" t="str">
        <f t="shared" si="28"/>
        <v>NÃO</v>
      </c>
      <c r="AF359" s="30">
        <f>SUMIF(Entradas!$B:$B,'Entrada Lvl 5-4 qt'!$B359,Entradas!$AG:$AG)</f>
        <v>717.39676463438343</v>
      </c>
      <c r="AG359" s="30"/>
      <c r="BD359" s="49"/>
      <c r="BE359" s="49"/>
    </row>
    <row r="360" spans="1:57" x14ac:dyDescent="0.3">
      <c r="A360">
        <f>_xlfn.XLOOKUP(B360,Entradas!B:B,Entradas!A:A,,0,-1)</f>
        <v>2</v>
      </c>
      <c r="B360">
        <v>19562553</v>
      </c>
      <c r="C360" t="str">
        <f>_xlfn.XLOOKUP($B360,Entradas!$B:$B,Entradas!C:C,,0,1)</f>
        <v>001800/23</v>
      </c>
      <c r="D360" t="str">
        <f>_xlfn.XLOOKUP($B360,Entradas!$B:$B,Entradas!D:D,,0,1)</f>
        <v>***.427.207-**</v>
      </c>
      <c r="E360" t="str">
        <f>_xlfn.XLOOKUP($B360,Entradas!$B:$B,Entradas!E:E,,0,1)</f>
        <v>RODRIGO FERNANDES DA FONSECA</v>
      </c>
      <c r="F360" t="str">
        <f>_xlfn.XLOOKUP($B360,Entradas!$B:$B,Entradas!F:F,,0,1)</f>
        <v/>
      </c>
      <c r="G360" t="str">
        <f>_xlfn.XLOOKUP($B360,Entradas!$B:$B,Entradas!G:G,,0,1)</f>
        <v>-1</v>
      </c>
      <c r="H360" t="str">
        <f>_xlfn.XLOOKUP($B360,Entradas!$B:$B,Entradas!H:H,,0,1)</f>
        <v>Sem informação</v>
      </c>
      <c r="I360" s="49">
        <f>_xlfn.XLOOKUP($B360,Entradas!$B:$B,Entradas!I:I,,0,1)</f>
        <v>45261</v>
      </c>
      <c r="J360" s="49">
        <f>_xlfn.XLOOKUP($B360,Entradas!$B:$B,Entradas!J:J,,0,1)</f>
        <v>45264</v>
      </c>
      <c r="K360" t="str">
        <f>_xlfn.XLOOKUP($B360,Entradas!$B:$B,Entradas!K:K,,0,1)</f>
        <v>Participar do 18° Fest-Aruanda fazendo cobertura jornalistica para o Blog de Cinema do Jornal Estado de SP. E como membro do Comitê de Seleção de curtas.</v>
      </c>
      <c r="L360">
        <f>SUMIF(Entradas!$B:$B,'Entrada Lvl 5-4 qt'!$B360,Entradas!S:S)</f>
        <v>3923.0015720000001</v>
      </c>
      <c r="M360" t="str">
        <f>_xlfn.XLOOKUP($B360,Entradas!$B:$B,Entradas!T:T,,0,1)</f>
        <v>Aéreo</v>
      </c>
      <c r="N360" t="str">
        <f>_xlfn.XLOOKUP($B360,Entradas!$B:$B,Entradas!U:U,,0,1)</f>
        <v>Não</v>
      </c>
      <c r="O360" t="str">
        <f>_xlfn.XLOOKUP($B360,Entradas!$B:$B,Entradas!V:V,,0,1)</f>
        <v>Realizada</v>
      </c>
      <c r="P360" t="str">
        <f>_xlfn.XLOOKUP($B360,Entradas!$B:$B,Entradas!W:W,,0,1)</f>
        <v>SIM</v>
      </c>
      <c r="Q360" t="str">
        <f>_xlfn.XLOOKUP($B360,Entradas!$B:$B,Entradas!X:X,,0,1)</f>
        <v>Processo chegou no SIPAC em tempo hábil, o cadastro no SCDP atrasou por conta da grande quantidade de processos.</v>
      </c>
      <c r="R360" s="36">
        <f>SUMIF(Entradas!$B:$B,'Entrada Lvl 5-4 qt'!$B360,Entradas!Y:Y)</f>
        <v>0</v>
      </c>
      <c r="S360" s="36">
        <f>SUMIF(Entradas!$B:$B,'Entrada Lvl 5-4 qt'!$B360,Entradas!Z:Z)</f>
        <v>0</v>
      </c>
      <c r="T360" s="36">
        <f>SUMIF(Entradas!$B:$B,'Entrada Lvl 5-4 qt'!$B360,Entradas!AA:AA)</f>
        <v>3539.99</v>
      </c>
      <c r="U360" s="36">
        <f>SUMIF(Entradas!$B:$B,'Entrada Lvl 5-4 qt'!$B360,Entradas!AB:AB)</f>
        <v>0</v>
      </c>
      <c r="V360" s="49">
        <f>_xlfn.XLOOKUP($B360,Entradas!$B:$B,Entradas!AC:AC,,0,1)</f>
        <v>45253</v>
      </c>
      <c r="W360" s="58">
        <f t="shared" si="29"/>
        <v>3</v>
      </c>
      <c r="X360" s="28" t="s">
        <v>10</v>
      </c>
      <c r="Y360" s="32">
        <f t="shared" si="25"/>
        <v>0</v>
      </c>
      <c r="Z360" s="33">
        <f t="shared" si="26"/>
        <v>3539.99</v>
      </c>
      <c r="AA360" s="34">
        <f t="shared" si="27"/>
        <v>0</v>
      </c>
      <c r="AB360" s="28" t="s">
        <v>1817</v>
      </c>
      <c r="AC360" s="28" t="s">
        <v>1821</v>
      </c>
      <c r="AD360" s="29" t="str" cm="1">
        <f t="array" ref="AD360">_xlfn.IFS(L360&lt;=Constantes!$G$2,"Muito Curta (evitável)",L360&lt;=Constantes!$H$2,"Curta Distância",L360&gt;Constantes!$H$2,"Longa Distância")</f>
        <v>Longa Distância</v>
      </c>
      <c r="AE360" s="30" t="str">
        <f t="shared" si="28"/>
        <v>NÃO</v>
      </c>
      <c r="AF360" s="30">
        <f>SUMIF(Entradas!$B:$B,'Entrada Lvl 5-4 qt'!$B360,Entradas!$AG:$AG)</f>
        <v>717.39676463438343</v>
      </c>
      <c r="AG360" s="30"/>
      <c r="BD360" s="49"/>
      <c r="BE360" s="49"/>
    </row>
    <row r="361" spans="1:57" x14ac:dyDescent="0.3">
      <c r="A361">
        <f>_xlfn.XLOOKUP(B361,Entradas!B:B,Entradas!A:A,,0,-1)</f>
        <v>2</v>
      </c>
      <c r="B361">
        <v>19568546</v>
      </c>
      <c r="C361" t="str">
        <f>_xlfn.XLOOKUP($B361,Entradas!$B:$B,Entradas!C:C,,0,1)</f>
        <v>001803/23</v>
      </c>
      <c r="D361" t="str">
        <f>_xlfn.XLOOKUP($B361,Entradas!$B:$B,Entradas!D:D,,0,1)</f>
        <v/>
      </c>
      <c r="E361" t="str">
        <f>_xlfn.XLOOKUP($B361,Entradas!$B:$B,Entradas!E:E,,0,1)</f>
        <v>PEDRO SOFFER SERRANO</v>
      </c>
      <c r="F361" t="str">
        <f>_xlfn.XLOOKUP($B361,Entradas!$B:$B,Entradas!F:F,,0,1)</f>
        <v/>
      </c>
      <c r="G361" t="str">
        <f>_xlfn.XLOOKUP($B361,Entradas!$B:$B,Entradas!G:G,,0,1)</f>
        <v>-1</v>
      </c>
      <c r="H361" t="str">
        <f>_xlfn.XLOOKUP($B361,Entradas!$B:$B,Entradas!H:H,,0,1)</f>
        <v>Sem informação</v>
      </c>
      <c r="I361" s="49">
        <f>_xlfn.XLOOKUP($B361,Entradas!$B:$B,Entradas!I:I,,0,1)</f>
        <v>45261</v>
      </c>
      <c r="J361" s="49">
        <f>_xlfn.XLOOKUP($B361,Entradas!$B:$B,Entradas!J:J,,0,1)</f>
        <v>45267</v>
      </c>
      <c r="K361" t="str">
        <f>_xlfn.XLOOKUP($B361,Entradas!$B:$B,Entradas!K:K,,0,1)</f>
        <v>Participar do 18° Fest-Aruanda como Diretor do filme 'Saudosa Maloca'.</v>
      </c>
      <c r="L361">
        <f>SUMIF(Entradas!$B:$B,'Entrada Lvl 5-4 qt'!$B361,Entradas!S:S)</f>
        <v>4379.9484839999996</v>
      </c>
      <c r="M361" t="str">
        <f>_xlfn.XLOOKUP($B361,Entradas!$B:$B,Entradas!T:T,,0,1)</f>
        <v>Aéreo</v>
      </c>
      <c r="N361" t="str">
        <f>_xlfn.XLOOKUP($B361,Entradas!$B:$B,Entradas!U:U,,0,1)</f>
        <v>Sim</v>
      </c>
      <c r="O361" t="str">
        <f>_xlfn.XLOOKUP($B361,Entradas!$B:$B,Entradas!V:V,,0,1)</f>
        <v>Realizada</v>
      </c>
      <c r="P361" t="str">
        <f>_xlfn.XLOOKUP($B361,Entradas!$B:$B,Entradas!W:W,,0,1)</f>
        <v>SIM</v>
      </c>
      <c r="Q361" t="str">
        <f>_xlfn.XLOOKUP($B361,Entradas!$B:$B,Entradas!X:X,,0,1)</f>
        <v>Conforme justificativa do formulário, 'Devido ao caráter artístico do evento, as definições / confirmações de presença de filmes, diretores, elencos ,etc, só ocorre 20 dias antes de sua realização, o que impede uma antecipação maior e o cumprimento dos prazos vigentes.'</v>
      </c>
      <c r="R361" s="36">
        <f>SUMIF(Entradas!$B:$B,'Entrada Lvl 5-4 qt'!$B361,Entradas!Y:Y)</f>
        <v>0</v>
      </c>
      <c r="S361" s="36">
        <f>SUMIF(Entradas!$B:$B,'Entrada Lvl 5-4 qt'!$B361,Entradas!Z:Z)</f>
        <v>0</v>
      </c>
      <c r="T361" s="36">
        <f>SUMIF(Entradas!$B:$B,'Entrada Lvl 5-4 qt'!$B361,Entradas!AA:AA)</f>
        <v>2270.7400000000002</v>
      </c>
      <c r="U361" s="36">
        <f>SUMIF(Entradas!$B:$B,'Entrada Lvl 5-4 qt'!$B361,Entradas!AB:AB)</f>
        <v>0</v>
      </c>
      <c r="V361" s="49">
        <f>_xlfn.XLOOKUP($B361,Entradas!$B:$B,Entradas!AC:AC,,0,1)</f>
        <v>45254</v>
      </c>
      <c r="W361" s="58">
        <f t="shared" si="29"/>
        <v>6</v>
      </c>
      <c r="X361" s="28" t="s">
        <v>10</v>
      </c>
      <c r="Y361" s="32">
        <f t="shared" si="25"/>
        <v>0</v>
      </c>
      <c r="Z361" s="33">
        <f t="shared" si="26"/>
        <v>2270.7400000000002</v>
      </c>
      <c r="AA361" s="34">
        <f t="shared" si="27"/>
        <v>0</v>
      </c>
      <c r="AB361" s="28" t="s">
        <v>1817</v>
      </c>
      <c r="AC361" s="28" t="s">
        <v>1821</v>
      </c>
      <c r="AD361" s="29" t="str" cm="1">
        <f t="array" ref="AD361">_xlfn.IFS(L361&lt;=Constantes!$G$2,"Muito Curta (evitável)",L361&lt;=Constantes!$H$2,"Curta Distância",L361&gt;Constantes!$H$2,"Longa Distância")</f>
        <v>Longa Distância</v>
      </c>
      <c r="AE361" s="30" t="str">
        <f t="shared" si="28"/>
        <v>NÃO</v>
      </c>
      <c r="AF361" s="30">
        <f>SUMIF(Entradas!$B:$B,'Entrada Lvl 5-4 qt'!$B361,Entradas!$AG:$AG)</f>
        <v>800.95835140972315</v>
      </c>
      <c r="AG361" s="30"/>
      <c r="BD361" s="49"/>
      <c r="BE361" s="49"/>
    </row>
    <row r="362" spans="1:57" x14ac:dyDescent="0.3">
      <c r="A362">
        <f>_xlfn.XLOOKUP(B362,Entradas!B:B,Entradas!A:A,,0,-1)</f>
        <v>2</v>
      </c>
      <c r="B362">
        <v>19574900</v>
      </c>
      <c r="C362" t="str">
        <f>_xlfn.XLOOKUP($B362,Entradas!$B:$B,Entradas!C:C,,0,1)</f>
        <v>001821/23</v>
      </c>
      <c r="D362" t="str">
        <f>_xlfn.XLOOKUP($B362,Entradas!$B:$B,Entradas!D:D,,0,1)</f>
        <v/>
      </c>
      <c r="E362" t="str">
        <f>_xlfn.XLOOKUP($B362,Entradas!$B:$B,Entradas!E:E,,0,1)</f>
        <v>BIANCA JOY PORTE</v>
      </c>
      <c r="F362" t="str">
        <f>_xlfn.XLOOKUP($B362,Entradas!$B:$B,Entradas!F:F,,0,1)</f>
        <v/>
      </c>
      <c r="G362" t="str">
        <f>_xlfn.XLOOKUP($B362,Entradas!$B:$B,Entradas!G:G,,0,1)</f>
        <v>-1</v>
      </c>
      <c r="H362" t="str">
        <f>_xlfn.XLOOKUP($B362,Entradas!$B:$B,Entradas!H:H,,0,1)</f>
        <v>Sem informação</v>
      </c>
      <c r="I362" s="49">
        <f>_xlfn.XLOOKUP($B362,Entradas!$B:$B,Entradas!I:I,,0,1)</f>
        <v>45261</v>
      </c>
      <c r="J362" s="49">
        <f>_xlfn.XLOOKUP($B362,Entradas!$B:$B,Entradas!J:J,,0,1)</f>
        <v>45265</v>
      </c>
      <c r="K362" t="str">
        <f>_xlfn.XLOOKUP($B362,Entradas!$B:$B,Entradas!K:K,,0,1)</f>
        <v>Participar do 18° Fest-Aruanda como atriz do Filme Citrotroxic</v>
      </c>
      <c r="L362">
        <f>SUMIF(Entradas!$B:$B,'Entrada Lvl 5-4 qt'!$B362,Entradas!S:S)</f>
        <v>3923.0015720000001</v>
      </c>
      <c r="M362" t="str">
        <f>_xlfn.XLOOKUP($B362,Entradas!$B:$B,Entradas!T:T,,0,1)</f>
        <v>Aéreo</v>
      </c>
      <c r="N362" t="str">
        <f>_xlfn.XLOOKUP($B362,Entradas!$B:$B,Entradas!U:U,,0,1)</f>
        <v>Não</v>
      </c>
      <c r="O362" t="str">
        <f>_xlfn.XLOOKUP($B362,Entradas!$B:$B,Entradas!V:V,,0,1)</f>
        <v>Realizada</v>
      </c>
      <c r="P362" t="str">
        <f>_xlfn.XLOOKUP($B362,Entradas!$B:$B,Entradas!W:W,,0,1)</f>
        <v>SIM</v>
      </c>
      <c r="Q362" t="str">
        <f>_xlfn.XLOOKUP($B362,Entradas!$B:$B,Entradas!X:X,,0,1)</f>
        <v>O atraso do cadastro houve com contra da grande quantidade de processos no setor.</v>
      </c>
      <c r="R362" s="36">
        <f>SUMIF(Entradas!$B:$B,'Entrada Lvl 5-4 qt'!$B362,Entradas!Y:Y)</f>
        <v>0</v>
      </c>
      <c r="S362" s="36">
        <f>SUMIF(Entradas!$B:$B,'Entrada Lvl 5-4 qt'!$B362,Entradas!Z:Z)</f>
        <v>0</v>
      </c>
      <c r="T362" s="36">
        <f>SUMIF(Entradas!$B:$B,'Entrada Lvl 5-4 qt'!$B362,Entradas!AA:AA)</f>
        <v>3701.79</v>
      </c>
      <c r="U362" s="36">
        <f>SUMIF(Entradas!$B:$B,'Entrada Lvl 5-4 qt'!$B362,Entradas!AB:AB)</f>
        <v>0</v>
      </c>
      <c r="V362" s="49">
        <f>_xlfn.XLOOKUP($B362,Entradas!$B:$B,Entradas!AC:AC,,0,1)</f>
        <v>45257</v>
      </c>
      <c r="W362" s="58">
        <f t="shared" si="29"/>
        <v>4</v>
      </c>
      <c r="X362" s="28" t="s">
        <v>10</v>
      </c>
      <c r="Y362" s="32">
        <f t="shared" si="25"/>
        <v>0</v>
      </c>
      <c r="Z362" s="33">
        <f t="shared" si="26"/>
        <v>3701.79</v>
      </c>
      <c r="AA362" s="34">
        <f t="shared" si="27"/>
        <v>0</v>
      </c>
      <c r="AB362" s="28" t="s">
        <v>1817</v>
      </c>
      <c r="AC362" s="28" t="s">
        <v>1821</v>
      </c>
      <c r="AD362" s="29" t="str" cm="1">
        <f t="array" ref="AD362">_xlfn.IFS(L362&lt;=Constantes!$G$2,"Muito Curta (evitável)",L362&lt;=Constantes!$H$2,"Curta Distância",L362&gt;Constantes!$H$2,"Longa Distância")</f>
        <v>Longa Distância</v>
      </c>
      <c r="AE362" s="30" t="str">
        <f t="shared" si="28"/>
        <v>NÃO</v>
      </c>
      <c r="AF362" s="30">
        <f>SUMIF(Entradas!$B:$B,'Entrada Lvl 5-4 qt'!$B362,Entradas!$AG:$AG)</f>
        <v>717.39676463438343</v>
      </c>
      <c r="AG362" s="30"/>
      <c r="BD362" s="49"/>
      <c r="BE362" s="49"/>
    </row>
    <row r="363" spans="1:57" x14ac:dyDescent="0.3">
      <c r="A363">
        <f>_xlfn.XLOOKUP(B363,Entradas!B:B,Entradas!A:A,,0,-1)</f>
        <v>2</v>
      </c>
      <c r="B363">
        <v>19519678</v>
      </c>
      <c r="C363" t="str">
        <f>_xlfn.XLOOKUP($B363,Entradas!$B:$B,Entradas!C:C,,0,1)</f>
        <v>001730/23</v>
      </c>
      <c r="D363" t="str">
        <f>_xlfn.XLOOKUP($B363,Entradas!$B:$B,Entradas!D:D,,0,1)</f>
        <v/>
      </c>
      <c r="E363" t="str">
        <f>_xlfn.XLOOKUP($B363,Entradas!$B:$B,Entradas!E:E,,0,1)</f>
        <v>URSULA MARINI RODRIGUES LOPES</v>
      </c>
      <c r="F363" t="str">
        <f>_xlfn.XLOOKUP($B363,Entradas!$B:$B,Entradas!F:F,,0,1)</f>
        <v/>
      </c>
      <c r="G363" t="str">
        <f>_xlfn.XLOOKUP($B363,Entradas!$B:$B,Entradas!G:G,,0,1)</f>
        <v>-1</v>
      </c>
      <c r="H363" t="str">
        <f>_xlfn.XLOOKUP($B363,Entradas!$B:$B,Entradas!H:H,,0,1)</f>
        <v>Sem informação</v>
      </c>
      <c r="I363" s="49">
        <f>_xlfn.XLOOKUP($B363,Entradas!$B:$B,Entradas!I:I,,0,1)</f>
        <v>45262</v>
      </c>
      <c r="J363" s="49">
        <f>_xlfn.XLOOKUP($B363,Entradas!$B:$B,Entradas!J:J,,0,1)</f>
        <v>45267</v>
      </c>
      <c r="K363" t="str">
        <f>_xlfn.XLOOKUP($B363,Entradas!$B:$B,Entradas!K:K,,0,1)</f>
        <v>Participar do 18° Fest-Aruanda como Diretora do filme 'O Presente'.</v>
      </c>
      <c r="L363">
        <f>SUMIF(Entradas!$B:$B,'Entrada Lvl 5-4 qt'!$B363,Entradas!S:S)</f>
        <v>4379.9484839999996</v>
      </c>
      <c r="M363" t="str">
        <f>_xlfn.XLOOKUP($B363,Entradas!$B:$B,Entradas!T:T,,0,1)</f>
        <v>Aéreo</v>
      </c>
      <c r="N363" t="str">
        <f>_xlfn.XLOOKUP($B363,Entradas!$B:$B,Entradas!U:U,,0,1)</f>
        <v>Não</v>
      </c>
      <c r="O363" t="str">
        <f>_xlfn.XLOOKUP($B363,Entradas!$B:$B,Entradas!V:V,,0,1)</f>
        <v>Realizada</v>
      </c>
      <c r="P363" t="str">
        <f>_xlfn.XLOOKUP($B363,Entradas!$B:$B,Entradas!W:W,,0,1)</f>
        <v>SIM</v>
      </c>
      <c r="Q363" t="str">
        <f>_xlfn.XLOOKUP($B363,Entradas!$B:$B,Entradas!X:X,,0,1)</f>
        <v>Solicitação de correção a pedido do proposto.</v>
      </c>
      <c r="R363" s="36">
        <f>SUMIF(Entradas!$B:$B,'Entrada Lvl 5-4 qt'!$B363,Entradas!Y:Y)</f>
        <v>0</v>
      </c>
      <c r="S363" s="36">
        <f>SUMIF(Entradas!$B:$B,'Entrada Lvl 5-4 qt'!$B363,Entradas!Z:Z)</f>
        <v>0</v>
      </c>
      <c r="T363" s="36">
        <f>SUMIF(Entradas!$B:$B,'Entrada Lvl 5-4 qt'!$B363,Entradas!AA:AA)</f>
        <v>3900.9399999999996</v>
      </c>
      <c r="U363" s="36">
        <f>SUMIF(Entradas!$B:$B,'Entrada Lvl 5-4 qt'!$B363,Entradas!AB:AB)</f>
        <v>0</v>
      </c>
      <c r="V363" s="49">
        <f>_xlfn.XLOOKUP($B363,Entradas!$B:$B,Entradas!AC:AC,,0,1)</f>
        <v>45250</v>
      </c>
      <c r="W363" s="58">
        <f t="shared" si="29"/>
        <v>5</v>
      </c>
      <c r="X363" s="28" t="s">
        <v>10</v>
      </c>
      <c r="Y363" s="32">
        <f t="shared" si="25"/>
        <v>0</v>
      </c>
      <c r="Z363" s="33">
        <f t="shared" si="26"/>
        <v>3900.9399999999996</v>
      </c>
      <c r="AA363" s="34">
        <f t="shared" si="27"/>
        <v>0</v>
      </c>
      <c r="AB363" s="28" t="s">
        <v>1817</v>
      </c>
      <c r="AC363" s="28" t="s">
        <v>1821</v>
      </c>
      <c r="AD363" s="29" t="str" cm="1">
        <f t="array" ref="AD363">_xlfn.IFS(L363&lt;=Constantes!$G$2,"Muito Curta (evitável)",L363&lt;=Constantes!$H$2,"Curta Distância",L363&gt;Constantes!$H$2,"Longa Distância")</f>
        <v>Longa Distância</v>
      </c>
      <c r="AE363" s="30" t="str">
        <f t="shared" si="28"/>
        <v>NÃO</v>
      </c>
      <c r="AF363" s="30">
        <f>SUMIF(Entradas!$B:$B,'Entrada Lvl 5-4 qt'!$B363,Entradas!$AG:$AG)</f>
        <v>800.95835140972315</v>
      </c>
      <c r="AG363" s="30"/>
      <c r="BD363" s="49"/>
      <c r="BE363" s="49"/>
    </row>
    <row r="364" spans="1:57" x14ac:dyDescent="0.3">
      <c r="A364">
        <f>_xlfn.XLOOKUP(B364,Entradas!B:B,Entradas!A:A,,0,-1)</f>
        <v>2</v>
      </c>
      <c r="B364">
        <v>19244383</v>
      </c>
      <c r="C364" t="str">
        <f>_xlfn.XLOOKUP($B364,Entradas!$B:$B,Entradas!C:C,,0,1)</f>
        <v>000971/23</v>
      </c>
      <c r="D364" t="str">
        <f>_xlfn.XLOOKUP($B364,Entradas!$B:$B,Entradas!D:D,,0,1)</f>
        <v/>
      </c>
      <c r="E364" t="str">
        <f>_xlfn.XLOOKUP($B364,Entradas!$B:$B,Entradas!E:E,,0,1)</f>
        <v>FRANCIELLE CRISTINE PEREIRA GONCALVES</v>
      </c>
      <c r="F364" t="str">
        <f>_xlfn.XLOOKUP($B364,Entradas!$B:$B,Entradas!F:F,,0,1)</f>
        <v/>
      </c>
      <c r="G364" t="str">
        <f>_xlfn.XLOOKUP($B364,Entradas!$B:$B,Entradas!G:G,,0,1)</f>
        <v>-1</v>
      </c>
      <c r="H364" t="str">
        <f>_xlfn.XLOOKUP($B364,Entradas!$B:$B,Entradas!H:H,,0,1)</f>
        <v>Sem informação</v>
      </c>
      <c r="I364" s="49">
        <f>_xlfn.XLOOKUP($B364,Entradas!$B:$B,Entradas!I:I,,0,1)</f>
        <v>45263</v>
      </c>
      <c r="J364" s="49">
        <f>_xlfn.XLOOKUP($B364,Entradas!$B:$B,Entradas!J:J,,0,1)</f>
        <v>45269</v>
      </c>
      <c r="K364" t="str">
        <f>_xlfn.XLOOKUP($B364,Entradas!$B:$B,Entradas!K:K,,0,1)</f>
        <v>Participação e apresentação de trabalho acadêmico-científico no 27º Congresso Internacional de Engenharia Mecânica (COBEM 2023), a realizar-se no período de 04 a 08 de dezembro de 2023, em Florianópolis - SC.</v>
      </c>
      <c r="L364">
        <f>SUMIF(Entradas!$B:$B,'Entrada Lvl 5-4 qt'!$B364,Entradas!S:S)</f>
        <v>5391.1646700000001</v>
      </c>
      <c r="M364" t="str">
        <f>_xlfn.XLOOKUP($B364,Entradas!$B:$B,Entradas!T:T,,0,1)</f>
        <v>Aéreo</v>
      </c>
      <c r="N364" t="str">
        <f>_xlfn.XLOOKUP($B364,Entradas!$B:$B,Entradas!U:U,,0,1)</f>
        <v>Não</v>
      </c>
      <c r="O364" t="str">
        <f>_xlfn.XLOOKUP($B364,Entradas!$B:$B,Entradas!V:V,,0,1)</f>
        <v>Realizada</v>
      </c>
      <c r="P364" t="str">
        <f>_xlfn.XLOOKUP($B364,Entradas!$B:$B,Entradas!W:W,,0,1)</f>
        <v>NÃO</v>
      </c>
      <c r="Q364" t="str">
        <f>_xlfn.XLOOKUP($B364,Entradas!$B:$B,Entradas!X:X,,0,1)</f>
        <v>Sem informação</v>
      </c>
      <c r="R364" s="36">
        <f>SUMIF(Entradas!$B:$B,'Entrada Lvl 5-4 qt'!$B364,Entradas!Y:Y)</f>
        <v>0</v>
      </c>
      <c r="S364" s="36">
        <f>SUMIF(Entradas!$B:$B,'Entrada Lvl 5-4 qt'!$B364,Entradas!Z:Z)</f>
        <v>0</v>
      </c>
      <c r="T364" s="36">
        <f>SUMIF(Entradas!$B:$B,'Entrada Lvl 5-4 qt'!$B364,Entradas!AA:AA)</f>
        <v>2579.59</v>
      </c>
      <c r="U364" s="36">
        <f>SUMIF(Entradas!$B:$B,'Entrada Lvl 5-4 qt'!$B364,Entradas!AB:AB)</f>
        <v>0</v>
      </c>
      <c r="V364" s="49">
        <f>_xlfn.XLOOKUP($B364,Entradas!$B:$B,Entradas!AC:AC,,0,1)</f>
        <v>45170</v>
      </c>
      <c r="W364" s="58">
        <f t="shared" si="29"/>
        <v>6</v>
      </c>
      <c r="X364" s="28" t="s">
        <v>10</v>
      </c>
      <c r="Y364" s="32">
        <f t="shared" si="25"/>
        <v>0</v>
      </c>
      <c r="Z364" s="33">
        <f t="shared" si="26"/>
        <v>2579.59</v>
      </c>
      <c r="AA364" s="34">
        <f t="shared" si="27"/>
        <v>0</v>
      </c>
      <c r="AB364" s="28" t="s">
        <v>1814</v>
      </c>
      <c r="AC364" s="28" t="s">
        <v>1822</v>
      </c>
      <c r="AD364" s="29" t="str" cm="1">
        <f t="array" ref="AD364">_xlfn.IFS(L364&lt;=Constantes!$G$2,"Muito Curta (evitável)",L364&lt;=Constantes!$H$2,"Curta Distância",L364&gt;Constantes!$H$2,"Longa Distância")</f>
        <v>Longa Distância</v>
      </c>
      <c r="AE364" s="30" t="str">
        <f t="shared" si="28"/>
        <v>NÃO</v>
      </c>
      <c r="AF364" s="30">
        <f>SUMIF(Entradas!$B:$B,'Entrada Lvl 5-4 qt'!$B364,Entradas!$AG:$AG)</f>
        <v>985.87880246436816</v>
      </c>
      <c r="AG364" s="30"/>
      <c r="BD364" s="49"/>
      <c r="BE364" s="49"/>
    </row>
    <row r="365" spans="1:57" x14ac:dyDescent="0.3">
      <c r="A365">
        <f>_xlfn.XLOOKUP(B365,Entradas!B:B,Entradas!A:A,,0,-1)</f>
        <v>2</v>
      </c>
      <c r="B365">
        <v>19244559</v>
      </c>
      <c r="C365" t="str">
        <f>_xlfn.XLOOKUP($B365,Entradas!$B:$B,Entradas!C:C,,0,1)</f>
        <v>000972/23</v>
      </c>
      <c r="D365" t="str">
        <f>_xlfn.XLOOKUP($B365,Entradas!$B:$B,Entradas!D:D,,0,1)</f>
        <v/>
      </c>
      <c r="E365" t="str">
        <f>_xlfn.XLOOKUP($B365,Entradas!$B:$B,Entradas!E:E,,0,1)</f>
        <v>JOSE LUCIANO BATISTA MOREIRA</v>
      </c>
      <c r="F365" t="str">
        <f>_xlfn.XLOOKUP($B365,Entradas!$B:$B,Entradas!F:F,,0,1)</f>
        <v/>
      </c>
      <c r="G365" t="str">
        <f>_xlfn.XLOOKUP($B365,Entradas!$B:$B,Entradas!G:G,,0,1)</f>
        <v>-1</v>
      </c>
      <c r="H365" t="str">
        <f>_xlfn.XLOOKUP($B365,Entradas!$B:$B,Entradas!H:H,,0,1)</f>
        <v>Sem informação</v>
      </c>
      <c r="I365" s="49">
        <f>_xlfn.XLOOKUP($B365,Entradas!$B:$B,Entradas!I:I,,0,1)</f>
        <v>45263</v>
      </c>
      <c r="J365" s="49">
        <f>_xlfn.XLOOKUP($B365,Entradas!$B:$B,Entradas!J:J,,0,1)</f>
        <v>45269</v>
      </c>
      <c r="K365" t="str">
        <f>_xlfn.XLOOKUP($B365,Entradas!$B:$B,Entradas!K:K,,0,1)</f>
        <v>Participação e apresentação de trabalho acadêmico-científico no 27º Congresso Internacional de Engenharia Mecânica (COBEM 2023), a realizar-se no período de 04 a 08 de dezembro de 2023, em Florianópolis - SC.</v>
      </c>
      <c r="L365">
        <f>SUMIF(Entradas!$B:$B,'Entrada Lvl 5-4 qt'!$B365,Entradas!S:S)</f>
        <v>5391.1646700000001</v>
      </c>
      <c r="M365" t="str">
        <f>_xlfn.XLOOKUP($B365,Entradas!$B:$B,Entradas!T:T,,0,1)</f>
        <v>Aéreo</v>
      </c>
      <c r="N365" t="str">
        <f>_xlfn.XLOOKUP($B365,Entradas!$B:$B,Entradas!U:U,,0,1)</f>
        <v>Sim</v>
      </c>
      <c r="O365" t="str">
        <f>_xlfn.XLOOKUP($B365,Entradas!$B:$B,Entradas!V:V,,0,1)</f>
        <v>Realizada</v>
      </c>
      <c r="P365" t="str">
        <f>_xlfn.XLOOKUP($B365,Entradas!$B:$B,Entradas!W:W,,0,1)</f>
        <v>NÃO</v>
      </c>
      <c r="Q365" t="str">
        <f>_xlfn.XLOOKUP($B365,Entradas!$B:$B,Entradas!X:X,,0,1)</f>
        <v>Sem informação</v>
      </c>
      <c r="R365" s="36">
        <f>SUMIF(Entradas!$B:$B,'Entrada Lvl 5-4 qt'!$B365,Entradas!Y:Y)</f>
        <v>0</v>
      </c>
      <c r="S365" s="36">
        <f>SUMIF(Entradas!$B:$B,'Entrada Lvl 5-4 qt'!$B365,Entradas!Z:Z)</f>
        <v>0</v>
      </c>
      <c r="T365" s="36">
        <f>SUMIF(Entradas!$B:$B,'Entrada Lvl 5-4 qt'!$B365,Entradas!AA:AA)</f>
        <v>2579.59</v>
      </c>
      <c r="U365" s="36">
        <f>SUMIF(Entradas!$B:$B,'Entrada Lvl 5-4 qt'!$B365,Entradas!AB:AB)</f>
        <v>0</v>
      </c>
      <c r="V365" s="49">
        <f>_xlfn.XLOOKUP($B365,Entradas!$B:$B,Entradas!AC:AC,,0,1)</f>
        <v>45170</v>
      </c>
      <c r="W365" s="58">
        <f t="shared" si="29"/>
        <v>6</v>
      </c>
      <c r="X365" s="28" t="s">
        <v>10</v>
      </c>
      <c r="Y365" s="32">
        <f t="shared" si="25"/>
        <v>0</v>
      </c>
      <c r="Z365" s="33">
        <f t="shared" si="26"/>
        <v>2579.59</v>
      </c>
      <c r="AA365" s="34">
        <f t="shared" si="27"/>
        <v>0</v>
      </c>
      <c r="AB365" s="28" t="s">
        <v>1814</v>
      </c>
      <c r="AC365" s="28" t="s">
        <v>1822</v>
      </c>
      <c r="AD365" s="29" t="str" cm="1">
        <f t="array" ref="AD365">_xlfn.IFS(L365&lt;=Constantes!$G$2,"Muito Curta (evitável)",L365&lt;=Constantes!$H$2,"Curta Distância",L365&gt;Constantes!$H$2,"Longa Distância")</f>
        <v>Longa Distância</v>
      </c>
      <c r="AE365" s="30" t="str">
        <f t="shared" si="28"/>
        <v>NÃO</v>
      </c>
      <c r="AF365" s="30">
        <f>SUMIF(Entradas!$B:$B,'Entrada Lvl 5-4 qt'!$B365,Entradas!$AG:$AG)</f>
        <v>985.87880246436816</v>
      </c>
      <c r="AG365" s="30"/>
      <c r="BD365" s="49"/>
      <c r="BE365" s="49"/>
    </row>
    <row r="366" spans="1:57" x14ac:dyDescent="0.3">
      <c r="A366">
        <f>_xlfn.XLOOKUP(B366,Entradas!B:B,Entradas!A:A,,0,-1)</f>
        <v>2</v>
      </c>
      <c r="B366">
        <v>19244596</v>
      </c>
      <c r="C366" t="str">
        <f>_xlfn.XLOOKUP($B366,Entradas!$B:$B,Entradas!C:C,,0,1)</f>
        <v>001011/23</v>
      </c>
      <c r="D366" t="str">
        <f>_xlfn.XLOOKUP($B366,Entradas!$B:$B,Entradas!D:D,,0,1)</f>
        <v/>
      </c>
      <c r="E366" t="str">
        <f>_xlfn.XLOOKUP($B366,Entradas!$B:$B,Entradas!E:E,,0,1)</f>
        <v>KALINE VENTURA BATISTA</v>
      </c>
      <c r="F366" t="str">
        <f>_xlfn.XLOOKUP($B366,Entradas!$B:$B,Entradas!F:F,,0,1)</f>
        <v/>
      </c>
      <c r="G366" t="str">
        <f>_xlfn.XLOOKUP($B366,Entradas!$B:$B,Entradas!G:G,,0,1)</f>
        <v>-1</v>
      </c>
      <c r="H366" t="str">
        <f>_xlfn.XLOOKUP($B366,Entradas!$B:$B,Entradas!H:H,,0,1)</f>
        <v>Sem informação</v>
      </c>
      <c r="I366" s="49">
        <f>_xlfn.XLOOKUP($B366,Entradas!$B:$B,Entradas!I:I,,0,1)</f>
        <v>45263</v>
      </c>
      <c r="J366" s="49">
        <f>_xlfn.XLOOKUP($B366,Entradas!$B:$B,Entradas!J:J,,0,1)</f>
        <v>45269</v>
      </c>
      <c r="K366" t="str">
        <f>_xlfn.XLOOKUP($B366,Entradas!$B:$B,Entradas!K:K,,0,1)</f>
        <v>Participação e apresentação de trabalho acadêmico-científico no 27º Congresso Internacional de Engenharia Mecânica (COBEM 2023), a realizar-se no período de 04 a 08 de dezembro de 2023, em Florianópolis - SC.</v>
      </c>
      <c r="L366">
        <f>SUMIF(Entradas!$B:$B,'Entrada Lvl 5-4 qt'!$B366,Entradas!S:S)</f>
        <v>5391.1646700000001</v>
      </c>
      <c r="M366" t="str">
        <f>_xlfn.XLOOKUP($B366,Entradas!$B:$B,Entradas!T:T,,0,1)</f>
        <v>Aéreo</v>
      </c>
      <c r="N366" t="str">
        <f>_xlfn.XLOOKUP($B366,Entradas!$B:$B,Entradas!U:U,,0,1)</f>
        <v>Não</v>
      </c>
      <c r="O366" t="str">
        <f>_xlfn.XLOOKUP($B366,Entradas!$B:$B,Entradas!V:V,,0,1)</f>
        <v>Realizada</v>
      </c>
      <c r="P366" t="str">
        <f>_xlfn.XLOOKUP($B366,Entradas!$B:$B,Entradas!W:W,,0,1)</f>
        <v>NÃO</v>
      </c>
      <c r="Q366" t="str">
        <f>_xlfn.XLOOKUP($B366,Entradas!$B:$B,Entradas!X:X,,0,1)</f>
        <v>Sem informação</v>
      </c>
      <c r="R366" s="36">
        <f>SUMIF(Entradas!$B:$B,'Entrada Lvl 5-4 qt'!$B366,Entradas!Y:Y)</f>
        <v>0</v>
      </c>
      <c r="S366" s="36">
        <f>SUMIF(Entradas!$B:$B,'Entrada Lvl 5-4 qt'!$B366,Entradas!Z:Z)</f>
        <v>0</v>
      </c>
      <c r="T366" s="36">
        <f>SUMIF(Entradas!$B:$B,'Entrada Lvl 5-4 qt'!$B366,Entradas!AA:AA)</f>
        <v>2677.19</v>
      </c>
      <c r="U366" s="36">
        <f>SUMIF(Entradas!$B:$B,'Entrada Lvl 5-4 qt'!$B366,Entradas!AB:AB)</f>
        <v>0</v>
      </c>
      <c r="V366" s="49">
        <f>_xlfn.XLOOKUP($B366,Entradas!$B:$B,Entradas!AC:AC,,0,1)</f>
        <v>45175</v>
      </c>
      <c r="W366" s="58">
        <f t="shared" si="29"/>
        <v>6</v>
      </c>
      <c r="X366" s="28" t="s">
        <v>10</v>
      </c>
      <c r="Y366" s="32">
        <f t="shared" si="25"/>
        <v>0</v>
      </c>
      <c r="Z366" s="33">
        <f t="shared" si="26"/>
        <v>2677.19</v>
      </c>
      <c r="AA366" s="34">
        <f t="shared" si="27"/>
        <v>0</v>
      </c>
      <c r="AB366" s="28" t="s">
        <v>1814</v>
      </c>
      <c r="AC366" s="28" t="s">
        <v>1822</v>
      </c>
      <c r="AD366" s="29" t="str" cm="1">
        <f t="array" ref="AD366">_xlfn.IFS(L366&lt;=Constantes!$G$2,"Muito Curta (evitável)",L366&lt;=Constantes!$H$2,"Curta Distância",L366&gt;Constantes!$H$2,"Longa Distância")</f>
        <v>Longa Distância</v>
      </c>
      <c r="AE366" s="30" t="str">
        <f t="shared" si="28"/>
        <v>NÃO</v>
      </c>
      <c r="AF366" s="30">
        <f>SUMIF(Entradas!$B:$B,'Entrada Lvl 5-4 qt'!$B366,Entradas!$AG:$AG)</f>
        <v>985.87880246436816</v>
      </c>
      <c r="AG366" s="30"/>
      <c r="BD366" s="49"/>
      <c r="BE366" s="49"/>
    </row>
    <row r="367" spans="1:57" x14ac:dyDescent="0.3">
      <c r="A367">
        <f>_xlfn.XLOOKUP(B367,Entradas!B:B,Entradas!A:A,,0,-1)</f>
        <v>2</v>
      </c>
      <c r="B367">
        <v>19247937</v>
      </c>
      <c r="C367" t="str">
        <f>_xlfn.XLOOKUP($B367,Entradas!$B:$B,Entradas!C:C,,0,1)</f>
        <v>001010/23</v>
      </c>
      <c r="D367" t="str">
        <f>_xlfn.XLOOKUP($B367,Entradas!$B:$B,Entradas!D:D,,0,1)</f>
        <v/>
      </c>
      <c r="E367" t="str">
        <f>_xlfn.XLOOKUP($B367,Entradas!$B:$B,Entradas!E:E,,0,1)</f>
        <v>GUSTAVO CESAR PAMPLONA DE SOUSA</v>
      </c>
      <c r="F367" t="str">
        <f>_xlfn.XLOOKUP($B367,Entradas!$B:$B,Entradas!F:F,,0,1)</f>
        <v>PROFESSOR MAGISTERIO SUPERIOR-SUBSTITUTO</v>
      </c>
      <c r="G367" t="str">
        <f>_xlfn.XLOOKUP($B367,Entradas!$B:$B,Entradas!G:G,,0,1)</f>
        <v>-1</v>
      </c>
      <c r="H367" t="str">
        <f>_xlfn.XLOOKUP($B367,Entradas!$B:$B,Entradas!H:H,,0,1)</f>
        <v>Sem informação</v>
      </c>
      <c r="I367" s="49">
        <f>_xlfn.XLOOKUP($B367,Entradas!$B:$B,Entradas!I:I,,0,1)</f>
        <v>45263</v>
      </c>
      <c r="J367" s="49">
        <f>_xlfn.XLOOKUP($B367,Entradas!$B:$B,Entradas!J:J,,0,1)</f>
        <v>45269</v>
      </c>
      <c r="K367" t="str">
        <f>_xlfn.XLOOKUP($B367,Entradas!$B:$B,Entradas!K:K,,0,1)</f>
        <v>Participação e apresentação de trabalho acadêmico-científico no 27º Congresso Internacional de Engenharia Mecânica (COBEM 2023), a realizar-se no período de 04 a 08 de dezembro de 2023, em Florianópolis - SC.</v>
      </c>
      <c r="L367">
        <f>SUMIF(Entradas!$B:$B,'Entrada Lvl 5-4 qt'!$B367,Entradas!S:S)</f>
        <v>5391.1646700000001</v>
      </c>
      <c r="M367" t="str">
        <f>_xlfn.XLOOKUP($B367,Entradas!$B:$B,Entradas!T:T,,0,1)</f>
        <v>Aéreo</v>
      </c>
      <c r="N367" t="str">
        <f>_xlfn.XLOOKUP($B367,Entradas!$B:$B,Entradas!U:U,,0,1)</f>
        <v>Não</v>
      </c>
      <c r="O367" t="str">
        <f>_xlfn.XLOOKUP($B367,Entradas!$B:$B,Entradas!V:V,,0,1)</f>
        <v>Realizada</v>
      </c>
      <c r="P367" t="str">
        <f>_xlfn.XLOOKUP($B367,Entradas!$B:$B,Entradas!W:W,,0,1)</f>
        <v>NÃO</v>
      </c>
      <c r="Q367" t="str">
        <f>_xlfn.XLOOKUP($B367,Entradas!$B:$B,Entradas!X:X,,0,1)</f>
        <v>Sem informação</v>
      </c>
      <c r="R367" s="36">
        <f>SUMIF(Entradas!$B:$B,'Entrada Lvl 5-4 qt'!$B367,Entradas!Y:Y)</f>
        <v>0</v>
      </c>
      <c r="S367" s="36">
        <f>SUMIF(Entradas!$B:$B,'Entrada Lvl 5-4 qt'!$B367,Entradas!Z:Z)</f>
        <v>0</v>
      </c>
      <c r="T367" s="36">
        <f>SUMIF(Entradas!$B:$B,'Entrada Lvl 5-4 qt'!$B367,Entradas!AA:AA)</f>
        <v>2413.69</v>
      </c>
      <c r="U367" s="36">
        <f>SUMIF(Entradas!$B:$B,'Entrada Lvl 5-4 qt'!$B367,Entradas!AB:AB)</f>
        <v>0</v>
      </c>
      <c r="V367" s="49">
        <f>_xlfn.XLOOKUP($B367,Entradas!$B:$B,Entradas!AC:AC,,0,1)</f>
        <v>45175</v>
      </c>
      <c r="W367" s="58">
        <f t="shared" si="29"/>
        <v>6</v>
      </c>
      <c r="X367" s="28" t="s">
        <v>10</v>
      </c>
      <c r="Y367" s="32">
        <f t="shared" si="25"/>
        <v>0</v>
      </c>
      <c r="Z367" s="33">
        <f t="shared" si="26"/>
        <v>2413.69</v>
      </c>
      <c r="AA367" s="34">
        <f t="shared" si="27"/>
        <v>0</v>
      </c>
      <c r="AB367" s="28" t="s">
        <v>1814</v>
      </c>
      <c r="AC367" s="28" t="s">
        <v>1820</v>
      </c>
      <c r="AD367" s="29" t="str" cm="1">
        <f t="array" ref="AD367">_xlfn.IFS(L367&lt;=Constantes!$G$2,"Muito Curta (evitável)",L367&lt;=Constantes!$H$2,"Curta Distância",L367&gt;Constantes!$H$2,"Longa Distância")</f>
        <v>Longa Distância</v>
      </c>
      <c r="AE367" s="30" t="str">
        <f t="shared" si="28"/>
        <v>NÃO</v>
      </c>
      <c r="AF367" s="30">
        <f>SUMIF(Entradas!$B:$B,'Entrada Lvl 5-4 qt'!$B367,Entradas!$AG:$AG)</f>
        <v>985.87880246436816</v>
      </c>
      <c r="AG367" s="30"/>
      <c r="BD367" s="49"/>
      <c r="BE367" s="49"/>
    </row>
    <row r="368" spans="1:57" x14ac:dyDescent="0.3">
      <c r="A368">
        <f>_xlfn.XLOOKUP(B368,Entradas!B:B,Entradas!A:A,,0,-1)</f>
        <v>2</v>
      </c>
      <c r="B368">
        <v>19251260</v>
      </c>
      <c r="C368" t="str">
        <f>_xlfn.XLOOKUP($B368,Entradas!$B:$B,Entradas!C:C,,0,1)</f>
        <v>000995/23</v>
      </c>
      <c r="D368" t="str">
        <f>_xlfn.XLOOKUP($B368,Entradas!$B:$B,Entradas!D:D,,0,1)</f>
        <v>***.236.673-**</v>
      </c>
      <c r="E368" t="str">
        <f>_xlfn.XLOOKUP($B368,Entradas!$B:$B,Entradas!E:E,,0,1)</f>
        <v>VIRGINIA BENTES PINTO</v>
      </c>
      <c r="F368" t="str">
        <f>_xlfn.XLOOKUP($B368,Entradas!$B:$B,Entradas!F:F,,0,1)</f>
        <v>PROFESSOR DO MAGISTERIO SUPERIOR</v>
      </c>
      <c r="G368" t="str">
        <f>_xlfn.XLOOKUP($B368,Entradas!$B:$B,Entradas!G:G,,0,1)</f>
        <v>-1</v>
      </c>
      <c r="H368" t="str">
        <f>_xlfn.XLOOKUP($B368,Entradas!$B:$B,Entradas!H:H,,0,1)</f>
        <v>Sem informação</v>
      </c>
      <c r="I368" s="49">
        <f>_xlfn.XLOOKUP($B368,Entradas!$B:$B,Entradas!I:I,,0,1)</f>
        <v>45263</v>
      </c>
      <c r="J368" s="49">
        <f>_xlfn.XLOOKUP($B368,Entradas!$B:$B,Entradas!J:J,,0,1)</f>
        <v>45270</v>
      </c>
      <c r="K368" t="str">
        <f>_xlfn.XLOOKUP($B368,Entradas!$B:$B,Entradas!K:K,,0,1)</f>
        <v>Ministrar disciplina regular condensada,Tópicos Especiais - Representação da Informação e terminologia, do semestre letivo 2023.2 do PPGCI-UFPB, no período de 04/12/2023 a 09/12/2023</v>
      </c>
      <c r="L368">
        <f>SUMIF(Entradas!$B:$B,'Entrada Lvl 5-4 qt'!$B368,Entradas!S:S)</f>
        <v>1092.4728600000001</v>
      </c>
      <c r="M368" t="str">
        <f>_xlfn.XLOOKUP($B368,Entradas!$B:$B,Entradas!T:T,,0,1)</f>
        <v>Aéreo</v>
      </c>
      <c r="N368" t="str">
        <f>_xlfn.XLOOKUP($B368,Entradas!$B:$B,Entradas!U:U,,0,1)</f>
        <v>Sim</v>
      </c>
      <c r="O368" t="str">
        <f>_xlfn.XLOOKUP($B368,Entradas!$B:$B,Entradas!V:V,,0,1)</f>
        <v>Realizada</v>
      </c>
      <c r="P368" t="str">
        <f>_xlfn.XLOOKUP($B368,Entradas!$B:$B,Entradas!W:W,,0,1)</f>
        <v>NÃO</v>
      </c>
      <c r="Q368" t="str">
        <f>_xlfn.XLOOKUP($B368,Entradas!$B:$B,Entradas!X:X,,0,1)</f>
        <v>Sem informação</v>
      </c>
      <c r="R368" s="36">
        <f>SUMIF(Entradas!$B:$B,'Entrada Lvl 5-4 qt'!$B368,Entradas!Y:Y)</f>
        <v>2503.1</v>
      </c>
      <c r="S368" s="36">
        <f>SUMIF(Entradas!$B:$B,'Entrada Lvl 5-4 qt'!$B368,Entradas!Z:Z)</f>
        <v>0</v>
      </c>
      <c r="T368" s="36">
        <f>SUMIF(Entradas!$B:$B,'Entrada Lvl 5-4 qt'!$B368,Entradas!AA:AA)</f>
        <v>1326.32</v>
      </c>
      <c r="U368" s="36">
        <f>SUMIF(Entradas!$B:$B,'Entrada Lvl 5-4 qt'!$B368,Entradas!AB:AB)</f>
        <v>0</v>
      </c>
      <c r="V368" s="49">
        <f>_xlfn.XLOOKUP($B368,Entradas!$B:$B,Entradas!AC:AC,,0,1)</f>
        <v>45177</v>
      </c>
      <c r="W368" s="58">
        <f t="shared" si="29"/>
        <v>7</v>
      </c>
      <c r="X368" s="28" t="s">
        <v>10</v>
      </c>
      <c r="Y368" s="32">
        <f t="shared" si="25"/>
        <v>0</v>
      </c>
      <c r="Z368" s="33">
        <f t="shared" si="26"/>
        <v>1326.32</v>
      </c>
      <c r="AA368" s="34">
        <f t="shared" si="27"/>
        <v>2503.1</v>
      </c>
      <c r="AB368" s="28" t="s">
        <v>1814</v>
      </c>
      <c r="AC368" s="28" t="s">
        <v>1820</v>
      </c>
      <c r="AD368" s="29" t="str" cm="1">
        <f t="array" ref="AD368">_xlfn.IFS(L368&lt;=Constantes!$G$2,"Muito Curta (evitável)",L368&lt;=Constantes!$H$2,"Curta Distância",L368&gt;Constantes!$H$2,"Longa Distância")</f>
        <v>Curta Distância</v>
      </c>
      <c r="AE368" s="30" t="str">
        <f t="shared" si="28"/>
        <v>NÃO</v>
      </c>
      <c r="AF368" s="30">
        <f>SUMIF(Entradas!$B:$B,'Entrada Lvl 5-4 qt'!$B368,Entradas!$AG:$AG)</f>
        <v>297.78274013517625</v>
      </c>
      <c r="AG368" s="30"/>
      <c r="BD368" s="49"/>
      <c r="BE368" s="49"/>
    </row>
    <row r="369" spans="1:57" x14ac:dyDescent="0.3">
      <c r="A369">
        <f>_xlfn.XLOOKUP(B369,Entradas!B:B,Entradas!A:A,,0,-1)</f>
        <v>2</v>
      </c>
      <c r="B369">
        <v>19304357</v>
      </c>
      <c r="C369" t="str">
        <f>_xlfn.XLOOKUP($B369,Entradas!$B:$B,Entradas!C:C,,0,1)</f>
        <v>001133/23</v>
      </c>
      <c r="D369" t="str">
        <f>_xlfn.XLOOKUP($B369,Entradas!$B:$B,Entradas!D:D,,0,1)</f>
        <v>***.919.655-**</v>
      </c>
      <c r="E369" t="str">
        <f>_xlfn.XLOOKUP($B369,Entradas!$B:$B,Entradas!E:E,,0,1)</f>
        <v>LUAN SODRE DE SOUZA</v>
      </c>
      <c r="F369" t="str">
        <f>_xlfn.XLOOKUP($B369,Entradas!$B:$B,Entradas!F:F,,0,1)</f>
        <v/>
      </c>
      <c r="G369" t="str">
        <f>_xlfn.XLOOKUP($B369,Entradas!$B:$B,Entradas!G:G,,0,1)</f>
        <v>-1</v>
      </c>
      <c r="H369" t="str">
        <f>_xlfn.XLOOKUP($B369,Entradas!$B:$B,Entradas!H:H,,0,1)</f>
        <v>Sem informação</v>
      </c>
      <c r="I369" s="49">
        <f>_xlfn.XLOOKUP($B369,Entradas!$B:$B,Entradas!I:I,,0,1)</f>
        <v>45263</v>
      </c>
      <c r="J369" s="49">
        <f>_xlfn.XLOOKUP($B369,Entradas!$B:$B,Entradas!J:J,,0,1)</f>
        <v>45265</v>
      </c>
      <c r="K369" t="str">
        <f>_xlfn.XLOOKUP($B369,Entradas!$B:$B,Entradas!K:K,,0,1)</f>
        <v>PARTICIPAÇÃO COMO MEMBRO EXTERNO NA DEFESA DE DOUTORADO DE RENATA SIMÕES PELO PROGRAMA DE PÓS-GRADUAÇÃO EM MÚSICA (PPGM/UFPB)</v>
      </c>
      <c r="L369">
        <f>SUMIF(Entradas!$B:$B,'Entrada Lvl 5-4 qt'!$B369,Entradas!S:S)</f>
        <v>1482.2388261999999</v>
      </c>
      <c r="M369" t="str">
        <f>_xlfn.XLOOKUP($B369,Entradas!$B:$B,Entradas!T:T,,0,1)</f>
        <v>Aéreo</v>
      </c>
      <c r="N369" t="str">
        <f>_xlfn.XLOOKUP($B369,Entradas!$B:$B,Entradas!U:U,,0,1)</f>
        <v>Sim</v>
      </c>
      <c r="O369" t="str">
        <f>_xlfn.XLOOKUP($B369,Entradas!$B:$B,Entradas!V:V,,0,1)</f>
        <v>Realizada</v>
      </c>
      <c r="P369" t="str">
        <f>_xlfn.XLOOKUP($B369,Entradas!$B:$B,Entradas!W:W,,0,1)</f>
        <v>NÃO</v>
      </c>
      <c r="Q369" t="str">
        <f>_xlfn.XLOOKUP($B369,Entradas!$B:$B,Entradas!X:X,,0,1)</f>
        <v>Sem informação</v>
      </c>
      <c r="R369" s="36">
        <f>SUMIF(Entradas!$B:$B,'Entrada Lvl 5-4 qt'!$B369,Entradas!Y:Y)</f>
        <v>947.55</v>
      </c>
      <c r="S369" s="36">
        <f>SUMIF(Entradas!$B:$B,'Entrada Lvl 5-4 qt'!$B369,Entradas!Z:Z)</f>
        <v>0</v>
      </c>
      <c r="T369" s="36">
        <f>SUMIF(Entradas!$B:$B,'Entrada Lvl 5-4 qt'!$B369,Entradas!AA:AA)</f>
        <v>1141.3800000000001</v>
      </c>
      <c r="U369" s="36">
        <f>SUMIF(Entradas!$B:$B,'Entrada Lvl 5-4 qt'!$B369,Entradas!AB:AB)</f>
        <v>0</v>
      </c>
      <c r="V369" s="49">
        <f>_xlfn.XLOOKUP($B369,Entradas!$B:$B,Entradas!AC:AC,,0,1)</f>
        <v>45196</v>
      </c>
      <c r="W369" s="58">
        <f t="shared" si="29"/>
        <v>2</v>
      </c>
      <c r="X369" s="28" t="s">
        <v>10</v>
      </c>
      <c r="Y369" s="32">
        <f t="shared" si="25"/>
        <v>0</v>
      </c>
      <c r="Z369" s="33">
        <f t="shared" si="26"/>
        <v>1141.3800000000001</v>
      </c>
      <c r="AA369" s="34">
        <f t="shared" si="27"/>
        <v>947.55</v>
      </c>
      <c r="AB369" s="28" t="s">
        <v>1812</v>
      </c>
      <c r="AC369" s="28" t="s">
        <v>1821</v>
      </c>
      <c r="AD369" s="29" t="str" cm="1">
        <f t="array" ref="AD369">_xlfn.IFS(L369&lt;=Constantes!$G$2,"Muito Curta (evitável)",L369&lt;=Constantes!$H$2,"Curta Distância",L369&gt;Constantes!$H$2,"Longa Distância")</f>
        <v>Curta Distância</v>
      </c>
      <c r="AE369" s="30" t="str">
        <f t="shared" si="28"/>
        <v>NÃO</v>
      </c>
      <c r="AF369" s="30">
        <f>SUMIF(Entradas!$B:$B,'Entrada Lvl 5-4 qt'!$B369,Entradas!$AG:$AG)</f>
        <v>271.05605715809952</v>
      </c>
      <c r="AG369" s="30"/>
      <c r="BD369" s="49"/>
      <c r="BE369" s="49"/>
    </row>
    <row r="370" spans="1:57" x14ac:dyDescent="0.3">
      <c r="A370">
        <f>_xlfn.XLOOKUP(B370,Entradas!B:B,Entradas!A:A,,0,-1)</f>
        <v>2</v>
      </c>
      <c r="B370">
        <v>19304742</v>
      </c>
      <c r="C370" t="str">
        <f>_xlfn.XLOOKUP($B370,Entradas!$B:$B,Entradas!C:C,,0,1)</f>
        <v>001135/23</v>
      </c>
      <c r="D370" t="str">
        <f>_xlfn.XLOOKUP($B370,Entradas!$B:$B,Entradas!D:D,,0,1)</f>
        <v>***.678.325-**</v>
      </c>
      <c r="E370" t="str">
        <f>_xlfn.XLOOKUP($B370,Entradas!$B:$B,Entradas!E:E,,0,1)</f>
        <v>ANGELA ELISABETH LUHNING</v>
      </c>
      <c r="F370" t="str">
        <f>_xlfn.XLOOKUP($B370,Entradas!$B:$B,Entradas!F:F,,0,1)</f>
        <v/>
      </c>
      <c r="G370" t="str">
        <f>_xlfn.XLOOKUP($B370,Entradas!$B:$B,Entradas!G:G,,0,1)</f>
        <v>-1</v>
      </c>
      <c r="H370" t="str">
        <f>_xlfn.XLOOKUP($B370,Entradas!$B:$B,Entradas!H:H,,0,1)</f>
        <v>Sem informação</v>
      </c>
      <c r="I370" s="49">
        <f>_xlfn.XLOOKUP($B370,Entradas!$B:$B,Entradas!I:I,,0,1)</f>
        <v>45263</v>
      </c>
      <c r="J370" s="49">
        <f>_xlfn.XLOOKUP($B370,Entradas!$B:$B,Entradas!J:J,,0,1)</f>
        <v>45265</v>
      </c>
      <c r="K370" t="str">
        <f>_xlfn.XLOOKUP($B370,Entradas!$B:$B,Entradas!K:K,,0,1)</f>
        <v>PARTICIPAÇÃO COMO MEMBRO EXTERNO NA DEFESA DE DOUTORADO DE RENATA SIMOES PELO PROGRAMA DE PÓS-GRADUAÇÃO EM MÚSICA (PPGM/UFPB)</v>
      </c>
      <c r="L370">
        <f>SUMIF(Entradas!$B:$B,'Entrada Lvl 5-4 qt'!$B370,Entradas!S:S)</f>
        <v>1482.2388261999999</v>
      </c>
      <c r="M370" t="str">
        <f>_xlfn.XLOOKUP($B370,Entradas!$B:$B,Entradas!T:T,,0,1)</f>
        <v>Aéreo</v>
      </c>
      <c r="N370" t="str">
        <f>_xlfn.XLOOKUP($B370,Entradas!$B:$B,Entradas!U:U,,0,1)</f>
        <v>Não</v>
      </c>
      <c r="O370" t="str">
        <f>_xlfn.XLOOKUP($B370,Entradas!$B:$B,Entradas!V:V,,0,1)</f>
        <v>Realizada</v>
      </c>
      <c r="P370" t="str">
        <f>_xlfn.XLOOKUP($B370,Entradas!$B:$B,Entradas!W:W,,0,1)</f>
        <v>NÃO</v>
      </c>
      <c r="Q370" t="str">
        <f>_xlfn.XLOOKUP($B370,Entradas!$B:$B,Entradas!X:X,,0,1)</f>
        <v>Sem informação</v>
      </c>
      <c r="R370" s="36">
        <f>SUMIF(Entradas!$B:$B,'Entrada Lvl 5-4 qt'!$B370,Entradas!Y:Y)</f>
        <v>947.55</v>
      </c>
      <c r="S370" s="36">
        <f>SUMIF(Entradas!$B:$B,'Entrada Lvl 5-4 qt'!$B370,Entradas!Z:Z)</f>
        <v>0</v>
      </c>
      <c r="T370" s="36">
        <f>SUMIF(Entradas!$B:$B,'Entrada Lvl 5-4 qt'!$B370,Entradas!AA:AA)</f>
        <v>1141.3800000000001</v>
      </c>
      <c r="U370" s="36">
        <f>SUMIF(Entradas!$B:$B,'Entrada Lvl 5-4 qt'!$B370,Entradas!AB:AB)</f>
        <v>0</v>
      </c>
      <c r="V370" s="49">
        <f>_xlfn.XLOOKUP($B370,Entradas!$B:$B,Entradas!AC:AC,,0,1)</f>
        <v>45196</v>
      </c>
      <c r="W370" s="58">
        <f t="shared" si="29"/>
        <v>2</v>
      </c>
      <c r="X370" s="28" t="s">
        <v>10</v>
      </c>
      <c r="Y370" s="32">
        <f t="shared" si="25"/>
        <v>0</v>
      </c>
      <c r="Z370" s="33">
        <f t="shared" si="26"/>
        <v>1141.3800000000001</v>
      </c>
      <c r="AA370" s="34">
        <f t="shared" si="27"/>
        <v>947.55</v>
      </c>
      <c r="AB370" s="28" t="s">
        <v>1812</v>
      </c>
      <c r="AC370" s="28" t="s">
        <v>1821</v>
      </c>
      <c r="AD370" s="29" t="str" cm="1">
        <f t="array" ref="AD370">_xlfn.IFS(L370&lt;=Constantes!$G$2,"Muito Curta (evitável)",L370&lt;=Constantes!$H$2,"Curta Distância",L370&gt;Constantes!$H$2,"Longa Distância")</f>
        <v>Curta Distância</v>
      </c>
      <c r="AE370" s="30" t="str">
        <f t="shared" si="28"/>
        <v>NÃO</v>
      </c>
      <c r="AF370" s="30">
        <f>SUMIF(Entradas!$B:$B,'Entrada Lvl 5-4 qt'!$B370,Entradas!$AG:$AG)</f>
        <v>271.05605715809952</v>
      </c>
      <c r="AG370" s="30"/>
      <c r="BD370" s="49"/>
      <c r="BE370" s="49"/>
    </row>
    <row r="371" spans="1:57" x14ac:dyDescent="0.3">
      <c r="A371">
        <f>_xlfn.XLOOKUP(B371,Entradas!B:B,Entradas!A:A,,0,-1)</f>
        <v>2</v>
      </c>
      <c r="B371">
        <v>19338578</v>
      </c>
      <c r="C371" t="str">
        <f>_xlfn.XLOOKUP($B371,Entradas!$B:$B,Entradas!C:C,,0,1)</f>
        <v>001222/23</v>
      </c>
      <c r="D371" t="str">
        <f>_xlfn.XLOOKUP($B371,Entradas!$B:$B,Entradas!D:D,,0,1)</f>
        <v>***.142.864-**</v>
      </c>
      <c r="E371" t="str">
        <f>_xlfn.XLOOKUP($B371,Entradas!$B:$B,Entradas!E:E,,0,1)</f>
        <v>JOAO ALVES DE LIMA</v>
      </c>
      <c r="F371" t="str">
        <f>_xlfn.XLOOKUP($B371,Entradas!$B:$B,Entradas!F:F,,0,1)</f>
        <v>PROFESSOR DO MAGISTERIO SUPERIOR</v>
      </c>
      <c r="G371" t="str">
        <f>_xlfn.XLOOKUP($B371,Entradas!$B:$B,Entradas!G:G,,0,1)</f>
        <v>-1</v>
      </c>
      <c r="H371" t="str">
        <f>_xlfn.XLOOKUP($B371,Entradas!$B:$B,Entradas!H:H,,0,1)</f>
        <v>Sem informação</v>
      </c>
      <c r="I371" s="49">
        <f>_xlfn.XLOOKUP($B371,Entradas!$B:$B,Entradas!I:I,,0,1)</f>
        <v>45263</v>
      </c>
      <c r="J371" s="49">
        <f>_xlfn.XLOOKUP($B371,Entradas!$B:$B,Entradas!J:J,,0,1)</f>
        <v>45269</v>
      </c>
      <c r="K371" t="str">
        <f>_xlfn.XLOOKUP($B371,Entradas!$B:$B,Entradas!K:K,,0,1)</f>
        <v>Participação em Congresso Internacional (COBEM 2023), a ser realizado em Florianópolis/SC, de 04 a 08 de dezembro de 2023, com apresentação oral de trabalho científico desenvolvido com aluno do PPGEM/CT/UFPB, sob a orientação do proposto.</v>
      </c>
      <c r="L371">
        <f>SUMIF(Entradas!$B:$B,'Entrada Lvl 5-4 qt'!$B371,Entradas!S:S)</f>
        <v>5391.1646700000001</v>
      </c>
      <c r="M371" t="str">
        <f>_xlfn.XLOOKUP($B371,Entradas!$B:$B,Entradas!T:T,,0,1)</f>
        <v>Aéreo</v>
      </c>
      <c r="N371" t="str">
        <f>_xlfn.XLOOKUP($B371,Entradas!$B:$B,Entradas!U:U,,0,1)</f>
        <v>Não</v>
      </c>
      <c r="O371" t="str">
        <f>_xlfn.XLOOKUP($B371,Entradas!$B:$B,Entradas!V:V,,0,1)</f>
        <v>Realizada</v>
      </c>
      <c r="P371" t="str">
        <f>_xlfn.XLOOKUP($B371,Entradas!$B:$B,Entradas!W:W,,0,1)</f>
        <v>NÃO</v>
      </c>
      <c r="Q371" t="str">
        <f>_xlfn.XLOOKUP($B371,Entradas!$B:$B,Entradas!X:X,,0,1)</f>
        <v>Sem informação</v>
      </c>
      <c r="R371" s="36">
        <f>SUMIF(Entradas!$B:$B,'Entrada Lvl 5-4 qt'!$B371,Entradas!Y:Y)</f>
        <v>2162.08</v>
      </c>
      <c r="S371" s="36">
        <f>SUMIF(Entradas!$B:$B,'Entrada Lvl 5-4 qt'!$B371,Entradas!Z:Z)</f>
        <v>0</v>
      </c>
      <c r="T371" s="36">
        <f>SUMIF(Entradas!$B:$B,'Entrada Lvl 5-4 qt'!$B371,Entradas!AA:AA)</f>
        <v>2271.09</v>
      </c>
      <c r="U371" s="36">
        <f>SUMIF(Entradas!$B:$B,'Entrada Lvl 5-4 qt'!$B371,Entradas!AB:AB)</f>
        <v>0</v>
      </c>
      <c r="V371" s="49">
        <f>_xlfn.XLOOKUP($B371,Entradas!$B:$B,Entradas!AC:AC,,0,1)</f>
        <v>45201</v>
      </c>
      <c r="W371" s="58">
        <f t="shared" si="29"/>
        <v>6</v>
      </c>
      <c r="X371" s="28" t="s">
        <v>10</v>
      </c>
      <c r="Y371" s="32">
        <f t="shared" si="25"/>
        <v>0</v>
      </c>
      <c r="Z371" s="33">
        <f t="shared" si="26"/>
        <v>2271.09</v>
      </c>
      <c r="AA371" s="34">
        <f t="shared" si="27"/>
        <v>2162.08</v>
      </c>
      <c r="AB371" s="28" t="s">
        <v>1814</v>
      </c>
      <c r="AC371" s="28" t="s">
        <v>1820</v>
      </c>
      <c r="AD371" s="29" t="str" cm="1">
        <f t="array" ref="AD371">_xlfn.IFS(L371&lt;=Constantes!$G$2,"Muito Curta (evitável)",L371&lt;=Constantes!$H$2,"Curta Distância",L371&gt;Constantes!$H$2,"Longa Distância")</f>
        <v>Longa Distância</v>
      </c>
      <c r="AE371" s="30" t="str">
        <f t="shared" si="28"/>
        <v>NÃO</v>
      </c>
      <c r="AF371" s="30">
        <f>SUMIF(Entradas!$B:$B,'Entrada Lvl 5-4 qt'!$B371,Entradas!$AG:$AG)</f>
        <v>985.87880246436816</v>
      </c>
      <c r="AG371" s="30"/>
      <c r="BD371" s="49"/>
      <c r="BE371" s="49"/>
    </row>
    <row r="372" spans="1:57" x14ac:dyDescent="0.3">
      <c r="A372">
        <f>_xlfn.XLOOKUP(B372,Entradas!B:B,Entradas!A:A,,0,-1)</f>
        <v>2</v>
      </c>
      <c r="B372">
        <v>19436582</v>
      </c>
      <c r="C372" t="str">
        <f>_xlfn.XLOOKUP($B372,Entradas!$B:$B,Entradas!C:C,,0,1)</f>
        <v>001569/23</v>
      </c>
      <c r="D372" t="str">
        <f>_xlfn.XLOOKUP($B372,Entradas!$B:$B,Entradas!D:D,,0,1)</f>
        <v>***.427.978-**</v>
      </c>
      <c r="E372" t="str">
        <f>_xlfn.XLOOKUP($B372,Entradas!$B:$B,Entradas!E:E,,0,1)</f>
        <v>MARCELO DE SOUZA BISPO</v>
      </c>
      <c r="F372" t="str">
        <f>_xlfn.XLOOKUP($B372,Entradas!$B:$B,Entradas!F:F,,0,1)</f>
        <v>PROFESSOR DO MAGISTERIO SUPERIOR</v>
      </c>
      <c r="G372" t="str">
        <f>_xlfn.XLOOKUP($B372,Entradas!$B:$B,Entradas!G:G,,0,1)</f>
        <v>FUC-0001</v>
      </c>
      <c r="H372" t="str">
        <f>_xlfn.XLOOKUP($B372,Entradas!$B:$B,Entradas!H:H,,0,1)</f>
        <v>FUC-0001</v>
      </c>
      <c r="I372" s="49">
        <f>_xlfn.XLOOKUP($B372,Entradas!$B:$B,Entradas!I:I,,0,1)</f>
        <v>45263</v>
      </c>
      <c r="J372" s="49">
        <f>_xlfn.XLOOKUP($B372,Entradas!$B:$B,Entradas!J:J,,0,1)</f>
        <v>45273</v>
      </c>
      <c r="K372" t="str">
        <f>_xlfn.XLOOKUP($B372,Entradas!$B:$B,Entradas!K:K,,0,1)</f>
        <v>O professor irá ministrar a disciplina Administração e Sociedade do curso de doutorado em administração do Projeto de Cooperação Interinstitucional - PCI firmado entre o Programa de Pós-Graduação em Administração e o Instituto Federal de Educação, Ciências e Tecnologia da Bahia - IFBA.</v>
      </c>
      <c r="L372">
        <f>SUMIF(Entradas!$B:$B,'Entrada Lvl 5-4 qt'!$B372,Entradas!S:S)</f>
        <v>1482.2388261999999</v>
      </c>
      <c r="M372" t="str">
        <f>_xlfn.XLOOKUP($B372,Entradas!$B:$B,Entradas!T:T,,0,1)</f>
        <v>Aéreo</v>
      </c>
      <c r="N372" t="str">
        <f>_xlfn.XLOOKUP($B372,Entradas!$B:$B,Entradas!U:U,,0,1)</f>
        <v>Sim</v>
      </c>
      <c r="O372" t="str">
        <f>_xlfn.XLOOKUP($B372,Entradas!$B:$B,Entradas!V:V,,0,1)</f>
        <v>Realizada</v>
      </c>
      <c r="P372" t="str">
        <f>_xlfn.XLOOKUP($B372,Entradas!$B:$B,Entradas!W:W,,0,1)</f>
        <v>SIM</v>
      </c>
      <c r="Q372" t="str">
        <f>_xlfn.XLOOKUP($B372,Entradas!$B:$B,Entradas!X:X,,0,1)</f>
        <v>A viagem foi solicitada no período correto. Foi preciso fazer uma modificação no valor de recebimento das diárias.</v>
      </c>
      <c r="R372" s="36">
        <f>SUMIF(Entradas!$B:$B,'Entrada Lvl 5-4 qt'!$B372,Entradas!Y:Y)</f>
        <v>3200.83</v>
      </c>
      <c r="S372" s="36">
        <f>SUMIF(Entradas!$B:$B,'Entrada Lvl 5-4 qt'!$B372,Entradas!Z:Z)</f>
        <v>0</v>
      </c>
      <c r="T372" s="36">
        <f>SUMIF(Entradas!$B:$B,'Entrada Lvl 5-4 qt'!$B372,Entradas!AA:AA)</f>
        <v>1217.78</v>
      </c>
      <c r="U372" s="36">
        <f>SUMIF(Entradas!$B:$B,'Entrada Lvl 5-4 qt'!$B372,Entradas!AB:AB)</f>
        <v>0</v>
      </c>
      <c r="V372" s="49">
        <f>_xlfn.XLOOKUP($B372,Entradas!$B:$B,Entradas!AC:AC,,0,1)</f>
        <v>45225</v>
      </c>
      <c r="W372" s="58">
        <f t="shared" si="29"/>
        <v>10</v>
      </c>
      <c r="X372" s="28" t="s">
        <v>10</v>
      </c>
      <c r="Y372" s="32">
        <f t="shared" si="25"/>
        <v>0</v>
      </c>
      <c r="Z372" s="33">
        <f t="shared" si="26"/>
        <v>1217.78</v>
      </c>
      <c r="AA372" s="34">
        <f t="shared" si="27"/>
        <v>3200.83</v>
      </c>
      <c r="AB372" s="28" t="s">
        <v>1814</v>
      </c>
      <c r="AC372" s="28" t="s">
        <v>1820</v>
      </c>
      <c r="AD372" s="29" t="str" cm="1">
        <f t="array" ref="AD372">_xlfn.IFS(L372&lt;=Constantes!$G$2,"Muito Curta (evitável)",L372&lt;=Constantes!$H$2,"Curta Distância",L372&gt;Constantes!$H$2,"Longa Distância")</f>
        <v>Curta Distância</v>
      </c>
      <c r="AE372" s="30" t="str">
        <f t="shared" si="28"/>
        <v>NÃO</v>
      </c>
      <c r="AF372" s="30">
        <f>SUMIF(Entradas!$B:$B,'Entrada Lvl 5-4 qt'!$B372,Entradas!$AG:$AG)</f>
        <v>271.05605715809952</v>
      </c>
      <c r="AG372" s="30"/>
      <c r="BD372" s="49"/>
      <c r="BE372" s="49"/>
    </row>
    <row r="373" spans="1:57" x14ac:dyDescent="0.3">
      <c r="A373">
        <f>_xlfn.XLOOKUP(B373,Entradas!B:B,Entradas!A:A,,0,-1)</f>
        <v>2</v>
      </c>
      <c r="B373">
        <v>19447596</v>
      </c>
      <c r="C373" t="str">
        <f>_xlfn.XLOOKUP($B373,Entradas!$B:$B,Entradas!C:C,,0,1)</f>
        <v>001731/23</v>
      </c>
      <c r="D373" t="str">
        <f>_xlfn.XLOOKUP($B373,Entradas!$B:$B,Entradas!D:D,,0,1)</f>
        <v/>
      </c>
      <c r="E373" t="str">
        <f>_xlfn.XLOOKUP($B373,Entradas!$B:$B,Entradas!E:E,,0,1)</f>
        <v>GISELLY MOURA DE LIMA</v>
      </c>
      <c r="F373" t="str">
        <f>_xlfn.XLOOKUP($B373,Entradas!$B:$B,Entradas!F:F,,0,1)</f>
        <v>ADMINISTRADOR</v>
      </c>
      <c r="G373" t="str">
        <f>_xlfn.XLOOKUP($B373,Entradas!$B:$B,Entradas!G:G,,0,1)</f>
        <v>-1</v>
      </c>
      <c r="H373" t="str">
        <f>_xlfn.XLOOKUP($B373,Entradas!$B:$B,Entradas!H:H,,0,1)</f>
        <v>Sem informação</v>
      </c>
      <c r="I373" s="49">
        <f>_xlfn.XLOOKUP($B373,Entradas!$B:$B,Entradas!I:I,,0,1)</f>
        <v>45263</v>
      </c>
      <c r="J373" s="49">
        <f>_xlfn.XLOOKUP($B373,Entradas!$B:$B,Entradas!J:J,,0,1)</f>
        <v>45269</v>
      </c>
      <c r="K373" t="str">
        <f>_xlfn.XLOOKUP($B373,Entradas!$B:$B,Entradas!K:K,,0,1)</f>
        <v>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v>
      </c>
      <c r="L373">
        <f>SUMIF(Entradas!$B:$B,'Entrada Lvl 5-4 qt'!$B373,Entradas!S:S)</f>
        <v>5834.0911219999998</v>
      </c>
      <c r="M373" t="str">
        <f>_xlfn.XLOOKUP($B373,Entradas!$B:$B,Entradas!T:T,,0,1)</f>
        <v>Aéreo</v>
      </c>
      <c r="N373" t="str">
        <f>_xlfn.XLOOKUP($B373,Entradas!$B:$B,Entradas!U:U,,0,1)</f>
        <v>Sim</v>
      </c>
      <c r="O373" t="str">
        <f>_xlfn.XLOOKUP($B373,Entradas!$B:$B,Entradas!V:V,,0,1)</f>
        <v>Realizada</v>
      </c>
      <c r="P373" t="str">
        <f>_xlfn.XLOOKUP($B373,Entradas!$B:$B,Entradas!W:W,,0,1)</f>
        <v>NÃO</v>
      </c>
      <c r="Q373" t="str">
        <f>_xlfn.XLOOKUP($B373,Entradas!$B:$B,Entradas!X:X,,0,1)</f>
        <v>Sem informação</v>
      </c>
      <c r="R373" s="36">
        <f>SUMIF(Entradas!$B:$B,'Entrada Lvl 5-4 qt'!$B373,Entradas!Y:Y)</f>
        <v>1901.3</v>
      </c>
      <c r="S373" s="36">
        <f>SUMIF(Entradas!$B:$B,'Entrada Lvl 5-4 qt'!$B373,Entradas!Z:Z)</f>
        <v>0</v>
      </c>
      <c r="T373" s="36">
        <f>SUMIF(Entradas!$B:$B,'Entrada Lvl 5-4 qt'!$B373,Entradas!AA:AA)</f>
        <v>3006.54</v>
      </c>
      <c r="U373" s="36">
        <f>SUMIF(Entradas!$B:$B,'Entrada Lvl 5-4 qt'!$B373,Entradas!AB:AB)</f>
        <v>0</v>
      </c>
      <c r="V373" s="49">
        <f>_xlfn.XLOOKUP($B373,Entradas!$B:$B,Entradas!AC:AC,,0,1)</f>
        <v>45244</v>
      </c>
      <c r="W373" s="58">
        <f t="shared" si="29"/>
        <v>6</v>
      </c>
      <c r="X373" s="28" t="s">
        <v>10</v>
      </c>
      <c r="Y373" s="32">
        <f t="shared" si="25"/>
        <v>0</v>
      </c>
      <c r="Z373" s="33">
        <f t="shared" si="26"/>
        <v>3006.54</v>
      </c>
      <c r="AA373" s="34">
        <f t="shared" si="27"/>
        <v>1901.3</v>
      </c>
      <c r="AB373" s="28" t="s">
        <v>1816</v>
      </c>
      <c r="AC373" s="28" t="s">
        <v>1784</v>
      </c>
      <c r="AD373" s="29" t="str" cm="1">
        <f t="array" ref="AD373">_xlfn.IFS(L373&lt;=Constantes!$G$2,"Muito Curta (evitável)",L373&lt;=Constantes!$H$2,"Curta Distância",L373&gt;Constantes!$H$2,"Longa Distância")</f>
        <v>Longa Distância</v>
      </c>
      <c r="AE373" s="30" t="str">
        <f t="shared" si="28"/>
        <v>NÃO</v>
      </c>
      <c r="AF373" s="30">
        <f>SUMIF(Entradas!$B:$B,'Entrada Lvl 5-4 qt'!$B373,Entradas!$AG:$AG)</f>
        <v>1066.8764767716439</v>
      </c>
      <c r="AG373" s="30"/>
      <c r="BD373" s="49"/>
      <c r="BE373" s="49"/>
    </row>
    <row r="374" spans="1:57" x14ac:dyDescent="0.3">
      <c r="A374">
        <f>_xlfn.XLOOKUP(B374,Entradas!B:B,Entradas!A:A,,0,-1)</f>
        <v>2</v>
      </c>
      <c r="B374">
        <v>19522701</v>
      </c>
      <c r="C374" t="str">
        <f>_xlfn.XLOOKUP($B374,Entradas!$B:$B,Entradas!C:C,,0,1)</f>
        <v>001737/23</v>
      </c>
      <c r="D374" t="str">
        <f>_xlfn.XLOOKUP($B374,Entradas!$B:$B,Entradas!D:D,,0,1)</f>
        <v>***.175.884-**</v>
      </c>
      <c r="E374" t="str">
        <f>_xlfn.XLOOKUP($B374,Entradas!$B:$B,Entradas!E:E,,0,1)</f>
        <v>CARLOS EDUARDO CAVALCANTE</v>
      </c>
      <c r="F374" t="str">
        <f>_xlfn.XLOOKUP($B374,Entradas!$B:$B,Entradas!F:F,,0,1)</f>
        <v>PROFESSOR DO MAGISTERIO SUPERIOR</v>
      </c>
      <c r="G374" t="str">
        <f>_xlfn.XLOOKUP($B374,Entradas!$B:$B,Entradas!G:G,,0,1)</f>
        <v>-1</v>
      </c>
      <c r="H374" t="str">
        <f>_xlfn.XLOOKUP($B374,Entradas!$B:$B,Entradas!H:H,,0,1)</f>
        <v>Sem informação</v>
      </c>
      <c r="I374" s="49">
        <f>_xlfn.XLOOKUP($B374,Entradas!$B:$B,Entradas!I:I,,0,1)</f>
        <v>45263</v>
      </c>
      <c r="J374" s="49">
        <f>_xlfn.XLOOKUP($B374,Entradas!$B:$B,Entradas!J:J,,0,1)</f>
        <v>45264</v>
      </c>
      <c r="K374" t="str">
        <f>_xlfn.XLOOKUP($B374,Entradas!$B:$B,Entradas!K:K,,0,1)</f>
        <v>O professor irá participar da abertura do curso de Doutorado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Como Presidente da Comissão do Processo Seletivo, Coordenador do PCI UFPB/IFBA e docente permanente do Programa de Pós-Graduação em Administração da UFPB, estar presente na cerimônia de abertura do supracitado curso é requisito indispensável para que a atividade seja realizada.</v>
      </c>
      <c r="L374">
        <f>SUMIF(Entradas!$B:$B,'Entrada Lvl 5-4 qt'!$B374,Entradas!S:S)</f>
        <v>1365.113145</v>
      </c>
      <c r="M374" t="str">
        <f>_xlfn.XLOOKUP($B374,Entradas!$B:$B,Entradas!T:T,,0,1)</f>
        <v>Aéreo</v>
      </c>
      <c r="N374" t="str">
        <f>_xlfn.XLOOKUP($B374,Entradas!$B:$B,Entradas!U:U,,0,1)</f>
        <v>Não</v>
      </c>
      <c r="O374" t="str">
        <f>_xlfn.XLOOKUP($B374,Entradas!$B:$B,Entradas!V:V,,0,1)</f>
        <v>Realizada</v>
      </c>
      <c r="P374" t="str">
        <f>_xlfn.XLOOKUP($B374,Entradas!$B:$B,Entradas!W:W,,0,1)</f>
        <v>SIM</v>
      </c>
      <c r="Q374" t="str">
        <f>_xlfn.XLOOKUP($B374,Entradas!$B:$B,Entradas!X:X,,0,1)</f>
        <v>A viagem é necessária devido ao início das aulas do projeto começarem dia 04/12.</v>
      </c>
      <c r="R374" s="36">
        <f>SUMIF(Entradas!$B:$B,'Entrada Lvl 5-4 qt'!$B374,Entradas!Y:Y)</f>
        <v>576.62</v>
      </c>
      <c r="S374" s="36">
        <f>SUMIF(Entradas!$B:$B,'Entrada Lvl 5-4 qt'!$B374,Entradas!Z:Z)</f>
        <v>0</v>
      </c>
      <c r="T374" s="36">
        <f>SUMIF(Entradas!$B:$B,'Entrada Lvl 5-4 qt'!$B374,Entradas!AA:AA)</f>
        <v>804.37</v>
      </c>
      <c r="U374" s="36">
        <f>SUMIF(Entradas!$B:$B,'Entrada Lvl 5-4 qt'!$B374,Entradas!AB:AB)</f>
        <v>0</v>
      </c>
      <c r="V374" s="49">
        <f>_xlfn.XLOOKUP($B374,Entradas!$B:$B,Entradas!AC:AC,,0,1)</f>
        <v>45250</v>
      </c>
      <c r="W374" s="58">
        <f t="shared" si="29"/>
        <v>1</v>
      </c>
      <c r="X374" s="28" t="s">
        <v>10</v>
      </c>
      <c r="Y374" s="32">
        <f t="shared" si="25"/>
        <v>0</v>
      </c>
      <c r="Z374" s="33">
        <f t="shared" si="26"/>
        <v>804.37</v>
      </c>
      <c r="AA374" s="34">
        <f t="shared" si="27"/>
        <v>576.62</v>
      </c>
      <c r="AB374" s="28" t="s">
        <v>1814</v>
      </c>
      <c r="AC374" s="28" t="s">
        <v>1820</v>
      </c>
      <c r="AD374" s="29" t="str" cm="1">
        <f t="array" ref="AD374">_xlfn.IFS(L374&lt;=Constantes!$G$2,"Muito Curta (evitável)",L374&lt;=Constantes!$H$2,"Curta Distância",L374&gt;Constantes!$H$2,"Longa Distância")</f>
        <v>Curta Distância</v>
      </c>
      <c r="AE374" s="30" t="str">
        <f t="shared" si="28"/>
        <v>NÃO</v>
      </c>
      <c r="AF374" s="30">
        <f>SUMIF(Entradas!$B:$B,'Entrada Lvl 5-4 qt'!$B374,Entradas!$AG:$AG)</f>
        <v>249.63735945779732</v>
      </c>
      <c r="AG374" s="30"/>
      <c r="BD374" s="49"/>
      <c r="BE374" s="49"/>
    </row>
    <row r="375" spans="1:57" x14ac:dyDescent="0.3">
      <c r="A375">
        <f>_xlfn.XLOOKUP(B375,Entradas!B:B,Entradas!A:A,,0,-1)</f>
        <v>2</v>
      </c>
      <c r="B375">
        <v>19525488</v>
      </c>
      <c r="C375" t="str">
        <f>_xlfn.XLOOKUP($B375,Entradas!$B:$B,Entradas!C:C,,0,1)</f>
        <v>001732/23</v>
      </c>
      <c r="D375" t="str">
        <f>_xlfn.XLOOKUP($B375,Entradas!$B:$B,Entradas!D:D,,0,1)</f>
        <v>***.629.024-**</v>
      </c>
      <c r="E375" t="str">
        <f>_xlfn.XLOOKUP($B375,Entradas!$B:$B,Entradas!E:E,,0,1)</f>
        <v>RENATA AZEVEDO COSTA</v>
      </c>
      <c r="F375" t="str">
        <f>_xlfn.XLOOKUP($B375,Entradas!$B:$B,Entradas!F:F,,0,1)</f>
        <v>ASSISTENTE EM ADMINISTRAçãO</v>
      </c>
      <c r="G375" t="str">
        <f>_xlfn.XLOOKUP($B375,Entradas!$B:$B,Entradas!G:G,,0,1)</f>
        <v>-1</v>
      </c>
      <c r="H375" t="str">
        <f>_xlfn.XLOOKUP($B375,Entradas!$B:$B,Entradas!H:H,,0,1)</f>
        <v>Sem informação</v>
      </c>
      <c r="I375" s="49">
        <f>_xlfn.XLOOKUP($B375,Entradas!$B:$B,Entradas!I:I,,0,1)</f>
        <v>45263</v>
      </c>
      <c r="J375" s="49">
        <f>_xlfn.XLOOKUP($B375,Entradas!$B:$B,Entradas!J:J,,0,1)</f>
        <v>45269</v>
      </c>
      <c r="K375" t="str">
        <f>_xlfn.XLOOKUP($B375,Entradas!$B:$B,Entradas!K:K,,0,1)</f>
        <v>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v>
      </c>
      <c r="L375">
        <f>SUMIF(Entradas!$B:$B,'Entrada Lvl 5-4 qt'!$B375,Entradas!S:S)</f>
        <v>5834.0911219999998</v>
      </c>
      <c r="M375" t="str">
        <f>_xlfn.XLOOKUP($B375,Entradas!$B:$B,Entradas!T:T,,0,1)</f>
        <v>Aéreo</v>
      </c>
      <c r="N375" t="str">
        <f>_xlfn.XLOOKUP($B375,Entradas!$B:$B,Entradas!U:U,,0,1)</f>
        <v>Não</v>
      </c>
      <c r="O375" t="str">
        <f>_xlfn.XLOOKUP($B375,Entradas!$B:$B,Entradas!V:V,,0,1)</f>
        <v>Realizada</v>
      </c>
      <c r="P375" t="str">
        <f>_xlfn.XLOOKUP($B375,Entradas!$B:$B,Entradas!W:W,,0,1)</f>
        <v>NÃO</v>
      </c>
      <c r="Q375" t="str">
        <f>_xlfn.XLOOKUP($B375,Entradas!$B:$B,Entradas!X:X,,0,1)</f>
        <v>Sem informação</v>
      </c>
      <c r="R375" s="36">
        <f>SUMIF(Entradas!$B:$B,'Entrada Lvl 5-4 qt'!$B375,Entradas!Y:Y)</f>
        <v>1901.3</v>
      </c>
      <c r="S375" s="36">
        <f>SUMIF(Entradas!$B:$B,'Entrada Lvl 5-4 qt'!$B375,Entradas!Z:Z)</f>
        <v>0</v>
      </c>
      <c r="T375" s="36">
        <f>SUMIF(Entradas!$B:$B,'Entrada Lvl 5-4 qt'!$B375,Entradas!AA:AA)</f>
        <v>3006.54</v>
      </c>
      <c r="U375" s="36">
        <f>SUMIF(Entradas!$B:$B,'Entrada Lvl 5-4 qt'!$B375,Entradas!AB:AB)</f>
        <v>0</v>
      </c>
      <c r="V375" s="49">
        <f>_xlfn.XLOOKUP($B375,Entradas!$B:$B,Entradas!AC:AC,,0,1)</f>
        <v>45244</v>
      </c>
      <c r="W375" s="58">
        <f t="shared" si="29"/>
        <v>6</v>
      </c>
      <c r="X375" s="28" t="s">
        <v>10</v>
      </c>
      <c r="Y375" s="32">
        <f t="shared" si="25"/>
        <v>0</v>
      </c>
      <c r="Z375" s="33">
        <f t="shared" si="26"/>
        <v>3006.54</v>
      </c>
      <c r="AA375" s="34">
        <f t="shared" si="27"/>
        <v>1901.3</v>
      </c>
      <c r="AB375" s="28" t="s">
        <v>1816</v>
      </c>
      <c r="AC375" s="28" t="s">
        <v>1784</v>
      </c>
      <c r="AD375" s="29" t="str" cm="1">
        <f t="array" ref="AD375">_xlfn.IFS(L375&lt;=Constantes!$G$2,"Muito Curta (evitável)",L375&lt;=Constantes!$H$2,"Curta Distância",L375&gt;Constantes!$H$2,"Longa Distância")</f>
        <v>Longa Distância</v>
      </c>
      <c r="AE375" s="30" t="str">
        <f t="shared" si="28"/>
        <v>NÃO</v>
      </c>
      <c r="AF375" s="30">
        <f>SUMIF(Entradas!$B:$B,'Entrada Lvl 5-4 qt'!$B375,Entradas!$AG:$AG)</f>
        <v>1066.8764767716439</v>
      </c>
      <c r="AG375" s="30"/>
      <c r="BD375" s="49"/>
      <c r="BE375" s="49"/>
    </row>
    <row r="376" spans="1:57" x14ac:dyDescent="0.3">
      <c r="A376">
        <f>_xlfn.XLOOKUP(B376,Entradas!B:B,Entradas!A:A,,0,-1)</f>
        <v>2</v>
      </c>
      <c r="B376">
        <v>19554193</v>
      </c>
      <c r="C376" t="str">
        <f>_xlfn.XLOOKUP($B376,Entradas!$B:$B,Entradas!C:C,,0,1)</f>
        <v>001790/23</v>
      </c>
      <c r="D376" t="str">
        <f>_xlfn.XLOOKUP($B376,Entradas!$B:$B,Entradas!D:D,,0,1)</f>
        <v/>
      </c>
      <c r="E376" t="str">
        <f>_xlfn.XLOOKUP($B376,Entradas!$B:$B,Entradas!E:E,,0,1)</f>
        <v>MAYARA MAGALHAES MARTINS</v>
      </c>
      <c r="F376" t="str">
        <f>_xlfn.XLOOKUP($B376,Entradas!$B:$B,Entradas!F:F,,0,1)</f>
        <v/>
      </c>
      <c r="G376" t="str">
        <f>_xlfn.XLOOKUP($B376,Entradas!$B:$B,Entradas!G:G,,0,1)</f>
        <v>-1</v>
      </c>
      <c r="H376" t="str">
        <f>_xlfn.XLOOKUP($B376,Entradas!$B:$B,Entradas!H:H,,0,1)</f>
        <v>Sem informação</v>
      </c>
      <c r="I376" s="49">
        <f>_xlfn.XLOOKUP($B376,Entradas!$B:$B,Entradas!I:I,,0,1)</f>
        <v>45263</v>
      </c>
      <c r="J376" s="49">
        <f>_xlfn.XLOOKUP($B376,Entradas!$B:$B,Entradas!J:J,,0,1)</f>
        <v>45267</v>
      </c>
      <c r="K376" t="str">
        <f>_xlfn.XLOOKUP($B376,Entradas!$B:$B,Entradas!K:K,,0,1)</f>
        <v>Participar do 18° Fest-Aruanda como produtora e pesquisadora do filme 'Memórias da Chuva'.</v>
      </c>
      <c r="L376">
        <f>SUMIF(Entradas!$B:$B,'Entrada Lvl 5-4 qt'!$B376,Entradas!S:S)</f>
        <v>1092.4728600000001</v>
      </c>
      <c r="M376" t="str">
        <f>_xlfn.XLOOKUP($B376,Entradas!$B:$B,Entradas!T:T,,0,1)</f>
        <v>Aéreo</v>
      </c>
      <c r="N376" t="str">
        <f>_xlfn.XLOOKUP($B376,Entradas!$B:$B,Entradas!U:U,,0,1)</f>
        <v>Não</v>
      </c>
      <c r="O376" t="str">
        <f>_xlfn.XLOOKUP($B376,Entradas!$B:$B,Entradas!V:V,,0,1)</f>
        <v>Realizada</v>
      </c>
      <c r="P376" t="str">
        <f>_xlfn.XLOOKUP($B376,Entradas!$B:$B,Entradas!W:W,,0,1)</f>
        <v>SIM</v>
      </c>
      <c r="Q376" t="str">
        <f>_xlfn.XLOOKUP($B376,Entradas!$B:$B,Entradas!X:X,,0,1)</f>
        <v>Conforme justificativa do formulário 'Devido ao caráter artístico do evento, as definições / confirmações de presença de filmes, diretores, elencos , etc, só ocorre 20 dias antes de sua realização, o que impede uma antecipação maior e o cumprimento dos prazos vigentes'.</v>
      </c>
      <c r="R376" s="36">
        <f>SUMIF(Entradas!$B:$B,'Entrada Lvl 5-4 qt'!$B376,Entradas!Y:Y)</f>
        <v>0</v>
      </c>
      <c r="S376" s="36">
        <f>SUMIF(Entradas!$B:$B,'Entrada Lvl 5-4 qt'!$B376,Entradas!Z:Z)</f>
        <v>0</v>
      </c>
      <c r="T376" s="36">
        <f>SUMIF(Entradas!$B:$B,'Entrada Lvl 5-4 qt'!$B376,Entradas!AA:AA)</f>
        <v>3656.32</v>
      </c>
      <c r="U376" s="36">
        <f>SUMIF(Entradas!$B:$B,'Entrada Lvl 5-4 qt'!$B376,Entradas!AB:AB)</f>
        <v>0</v>
      </c>
      <c r="V376" s="49">
        <f>_xlfn.XLOOKUP($B376,Entradas!$B:$B,Entradas!AC:AC,,0,1)</f>
        <v>45252</v>
      </c>
      <c r="W376" s="58">
        <f t="shared" si="29"/>
        <v>4</v>
      </c>
      <c r="X376" s="28" t="s">
        <v>10</v>
      </c>
      <c r="Y376" s="32">
        <f t="shared" si="25"/>
        <v>0</v>
      </c>
      <c r="Z376" s="33">
        <f t="shared" si="26"/>
        <v>3656.32</v>
      </c>
      <c r="AA376" s="34">
        <f t="shared" si="27"/>
        <v>0</v>
      </c>
      <c r="AB376" s="28" t="s">
        <v>1817</v>
      </c>
      <c r="AC376" s="28" t="s">
        <v>1821</v>
      </c>
      <c r="AD376" s="29" t="str" cm="1">
        <f t="array" ref="AD376">_xlfn.IFS(L376&lt;=Constantes!$G$2,"Muito Curta (evitável)",L376&lt;=Constantes!$H$2,"Curta Distância",L376&gt;Constantes!$H$2,"Longa Distância")</f>
        <v>Curta Distância</v>
      </c>
      <c r="AE376" s="30" t="str">
        <f t="shared" si="28"/>
        <v>NÃO</v>
      </c>
      <c r="AF376" s="30">
        <f>SUMIF(Entradas!$B:$B,'Entrada Lvl 5-4 qt'!$B376,Entradas!$AG:$AG)</f>
        <v>297.78274013517625</v>
      </c>
      <c r="AG376" s="30"/>
      <c r="BD376" s="49"/>
      <c r="BE376" s="49"/>
    </row>
    <row r="377" spans="1:57" x14ac:dyDescent="0.3">
      <c r="A377">
        <f>_xlfn.XLOOKUP(B377,Entradas!B:B,Entradas!A:A,,0,-1)</f>
        <v>2</v>
      </c>
      <c r="B377">
        <v>19554620</v>
      </c>
      <c r="C377" t="str">
        <f>_xlfn.XLOOKUP($B377,Entradas!$B:$B,Entradas!C:C,,0,1)</f>
        <v>001791/23</v>
      </c>
      <c r="D377" t="str">
        <f>_xlfn.XLOOKUP($B377,Entradas!$B:$B,Entradas!D:D,,0,1)</f>
        <v>***.517.663-**</v>
      </c>
      <c r="E377" t="str">
        <f>_xlfn.XLOOKUP($B377,Entradas!$B:$B,Entradas!E:E,,0,1)</f>
        <v>WOLNEY MATTOS OLIVEIRA</v>
      </c>
      <c r="F377" t="str">
        <f>_xlfn.XLOOKUP($B377,Entradas!$B:$B,Entradas!F:F,,0,1)</f>
        <v>PROFESSOR ENS BASICO TECN TECNOLOGICO</v>
      </c>
      <c r="G377" t="str">
        <f>_xlfn.XLOOKUP($B377,Entradas!$B:$B,Entradas!G:G,,0,1)</f>
        <v>FG-0001</v>
      </c>
      <c r="H377" t="str">
        <f>_xlfn.XLOOKUP($B377,Entradas!$B:$B,Entradas!H:H,,0,1)</f>
        <v>FG-0001</v>
      </c>
      <c r="I377" s="49">
        <f>_xlfn.XLOOKUP($B377,Entradas!$B:$B,Entradas!I:I,,0,1)</f>
        <v>45263</v>
      </c>
      <c r="J377" s="49">
        <f>_xlfn.XLOOKUP($B377,Entradas!$B:$B,Entradas!J:J,,0,1)</f>
        <v>45267</v>
      </c>
      <c r="K377" t="str">
        <f>_xlfn.XLOOKUP($B377,Entradas!$B:$B,Entradas!K:K,,0,1)</f>
        <v>Participar do 18° Fest-Aruanda como Diretor do filme 'Memórias da Chuva'.</v>
      </c>
      <c r="L377">
        <f>SUMIF(Entradas!$B:$B,'Entrada Lvl 5-4 qt'!$B377,Entradas!S:S)</f>
        <v>1092.4728600000001</v>
      </c>
      <c r="M377" t="str">
        <f>_xlfn.XLOOKUP($B377,Entradas!$B:$B,Entradas!T:T,,0,1)</f>
        <v>Aéreo</v>
      </c>
      <c r="N377" t="str">
        <f>_xlfn.XLOOKUP($B377,Entradas!$B:$B,Entradas!U:U,,0,1)</f>
        <v>Sim</v>
      </c>
      <c r="O377" t="str">
        <f>_xlfn.XLOOKUP($B377,Entradas!$B:$B,Entradas!V:V,,0,1)</f>
        <v>Realizada</v>
      </c>
      <c r="P377" t="str">
        <f>_xlfn.XLOOKUP($B377,Entradas!$B:$B,Entradas!W:W,,0,1)</f>
        <v>SIM</v>
      </c>
      <c r="Q377" t="str">
        <f>_xlfn.XLOOKUP($B377,Entradas!$B:$B,Entradas!X:X,,0,1)</f>
        <v>Conforme justificativa em formulário 'Devido ao caráter artístico do evento, as definições / confirmações de presença de filmes, diretores, elencos , etc, só ocorre 20 dias antes de sua realização, o que impede uma antecipação maior e o cumprimento dos prazos vigentes'.</v>
      </c>
      <c r="R377" s="36">
        <f>SUMIF(Entradas!$B:$B,'Entrada Lvl 5-4 qt'!$B377,Entradas!Y:Y)</f>
        <v>0</v>
      </c>
      <c r="S377" s="36">
        <f>SUMIF(Entradas!$B:$B,'Entrada Lvl 5-4 qt'!$B377,Entradas!Z:Z)</f>
        <v>0</v>
      </c>
      <c r="T377" s="36">
        <f>SUMIF(Entradas!$B:$B,'Entrada Lvl 5-4 qt'!$B377,Entradas!AA:AA)</f>
        <v>3656.32</v>
      </c>
      <c r="U377" s="36">
        <f>SUMIF(Entradas!$B:$B,'Entrada Lvl 5-4 qt'!$B377,Entradas!AB:AB)</f>
        <v>0</v>
      </c>
      <c r="V377" s="49">
        <f>_xlfn.XLOOKUP($B377,Entradas!$B:$B,Entradas!AC:AC,,0,1)</f>
        <v>45252</v>
      </c>
      <c r="W377" s="58">
        <f t="shared" si="29"/>
        <v>4</v>
      </c>
      <c r="X377" s="28" t="s">
        <v>10</v>
      </c>
      <c r="Y377" s="32">
        <f t="shared" si="25"/>
        <v>0</v>
      </c>
      <c r="Z377" s="33">
        <f t="shared" si="26"/>
        <v>3656.32</v>
      </c>
      <c r="AA377" s="34">
        <f t="shared" si="27"/>
        <v>0</v>
      </c>
      <c r="AB377" s="28" t="s">
        <v>1817</v>
      </c>
      <c r="AC377" s="28" t="s">
        <v>1821</v>
      </c>
      <c r="AD377" s="29" t="str" cm="1">
        <f t="array" ref="AD377">_xlfn.IFS(L377&lt;=Constantes!$G$2,"Muito Curta (evitável)",L377&lt;=Constantes!$H$2,"Curta Distância",L377&gt;Constantes!$H$2,"Longa Distância")</f>
        <v>Curta Distância</v>
      </c>
      <c r="AE377" s="30" t="str">
        <f t="shared" si="28"/>
        <v>NÃO</v>
      </c>
      <c r="AF377" s="30">
        <f>SUMIF(Entradas!$B:$B,'Entrada Lvl 5-4 qt'!$B377,Entradas!$AG:$AG)</f>
        <v>297.78274013517625</v>
      </c>
      <c r="AG377" s="30"/>
      <c r="BD377" s="49"/>
      <c r="BE377" s="49"/>
    </row>
    <row r="378" spans="1:57" x14ac:dyDescent="0.3">
      <c r="A378">
        <f>_xlfn.XLOOKUP(B378,Entradas!B:B,Entradas!A:A,,0,-1)</f>
        <v>2</v>
      </c>
      <c r="B378">
        <v>19571229</v>
      </c>
      <c r="C378" t="str">
        <f>_xlfn.XLOOKUP($B378,Entradas!$B:$B,Entradas!C:C,,0,1)</f>
        <v>001808/23</v>
      </c>
      <c r="D378" t="str">
        <f>_xlfn.XLOOKUP($B378,Entradas!$B:$B,Entradas!D:D,,0,1)</f>
        <v>***.284.574-**</v>
      </c>
      <c r="E378" t="str">
        <f>_xlfn.XLOOKUP($B378,Entradas!$B:$B,Entradas!E:E,,0,1)</f>
        <v>JOAS ALBUQUERQUE SILVA</v>
      </c>
      <c r="F378" t="str">
        <f>_xlfn.XLOOKUP($B378,Entradas!$B:$B,Entradas!F:F,,0,1)</f>
        <v>ADMINISTRADOR</v>
      </c>
      <c r="G378" t="str">
        <f>_xlfn.XLOOKUP($B378,Entradas!$B:$B,Entradas!G:G,,0,1)</f>
        <v>FG-0003</v>
      </c>
      <c r="H378" t="str">
        <f>_xlfn.XLOOKUP($B378,Entradas!$B:$B,Entradas!H:H,,0,1)</f>
        <v>FG-0003</v>
      </c>
      <c r="I378" s="49">
        <f>_xlfn.XLOOKUP($B378,Entradas!$B:$B,Entradas!I:I,,0,1)</f>
        <v>45263</v>
      </c>
      <c r="J378" s="49">
        <f>_xlfn.XLOOKUP($B378,Entradas!$B:$B,Entradas!J:J,,0,1)</f>
        <v>45268</v>
      </c>
      <c r="K378" t="str">
        <f>_xlfn.XLOOKUP($B378,Entradas!$B:$B,Entradas!K:K,,0,1)</f>
        <v>Encontra-se motivado pela necessidade de capacitação do servidor nas atividades relacionadas a função exercida há dois anos pelo servidor na atuação como Gestor Financeiro da UASG 153066.</v>
      </c>
      <c r="L378">
        <f>SUMIF(Entradas!$B:$B,'Entrada Lvl 5-4 qt'!$B378,Entradas!S:S)</f>
        <v>3426.839982</v>
      </c>
      <c r="M378" t="str">
        <f>_xlfn.XLOOKUP($B378,Entradas!$B:$B,Entradas!T:T,,0,1)</f>
        <v>Aéreo</v>
      </c>
      <c r="N378" t="str">
        <f>_xlfn.XLOOKUP($B378,Entradas!$B:$B,Entradas!U:U,,0,1)</f>
        <v>Não</v>
      </c>
      <c r="O378" t="str">
        <f>_xlfn.XLOOKUP($B378,Entradas!$B:$B,Entradas!V:V,,0,1)</f>
        <v>Realizada</v>
      </c>
      <c r="P378" t="str">
        <f>_xlfn.XLOOKUP($B378,Entradas!$B:$B,Entradas!W:W,,0,1)</f>
        <v>SIM</v>
      </c>
      <c r="Q378" t="str">
        <f>_xlfn.XLOOKUP($B378,Entradas!$B:$B,Entradas!X:X,,0,1)</f>
        <v>DESPACHO. Nº 240 / 2023 - SOF - CACC (11.00.46.62) Nº do Protocolo: NÃO PROTOCOLADO João Pessoa-PB, 24 de Novembro de 2023 DESPACHO Ao Gabinete da Superintendência de Orçamento e Finanças - SOF/UFPB Prezada Superintendente/ Ordenadora Encaminho o presente processo com os devidos documentos inseridos para solicitação de diárias e passagens para participação em curso externo presencial a ser realizado de 04 a 08 de Dezembro de 2023 na cidade de Brasília/DF. Reforço que o pedido fora devidamente justificado em relação ao prazo e demais possibilidades. Certo de contar com a presteza no atendimento, fico pronto para demais esclarecimentos. At.te.: (Assinado digitalmente em 24/11/2023 11:53 ) JOAS ALBUQUERQUE SILVA Matrícula: 3054724 Processo Associado: 23074.117668/2023-66</v>
      </c>
      <c r="R378" s="36">
        <f>SUMIF(Entradas!$B:$B,'Entrada Lvl 5-4 qt'!$B378,Entradas!Y:Y)</f>
        <v>2041.72</v>
      </c>
      <c r="S378" s="36">
        <f>SUMIF(Entradas!$B:$B,'Entrada Lvl 5-4 qt'!$B378,Entradas!Z:Z)</f>
        <v>0</v>
      </c>
      <c r="T378" s="36">
        <f>SUMIF(Entradas!$B:$B,'Entrada Lvl 5-4 qt'!$B378,Entradas!AA:AA)</f>
        <v>2583.3000000000002</v>
      </c>
      <c r="U378" s="36">
        <f>SUMIF(Entradas!$B:$B,'Entrada Lvl 5-4 qt'!$B378,Entradas!AB:AB)</f>
        <v>0</v>
      </c>
      <c r="V378" s="49">
        <f>_xlfn.XLOOKUP($B378,Entradas!$B:$B,Entradas!AC:AC,,0,1)</f>
        <v>45257</v>
      </c>
      <c r="W378" s="58">
        <f t="shared" si="29"/>
        <v>5</v>
      </c>
      <c r="X378" s="28" t="s">
        <v>10</v>
      </c>
      <c r="Y378" s="32">
        <f t="shared" si="25"/>
        <v>0</v>
      </c>
      <c r="Z378" s="33">
        <f t="shared" si="26"/>
        <v>2583.3000000000002</v>
      </c>
      <c r="AA378" s="34">
        <f t="shared" si="27"/>
        <v>2041.72</v>
      </c>
      <c r="AB378" s="28" t="s">
        <v>1816</v>
      </c>
      <c r="AC378" s="28" t="s">
        <v>1784</v>
      </c>
      <c r="AD378" s="29" t="str" cm="1">
        <f t="array" ref="AD378">_xlfn.IFS(L378&lt;=Constantes!$G$2,"Muito Curta (evitável)",L378&lt;=Constantes!$H$2,"Curta Distância",L378&gt;Constantes!$H$2,"Longa Distância")</f>
        <v>Curta Distância</v>
      </c>
      <c r="AE378" s="30" t="str">
        <f t="shared" si="28"/>
        <v>NÃO</v>
      </c>
      <c r="AF378" s="30">
        <f>SUMIF(Entradas!$B:$B,'Entrada Lvl 5-4 qt'!$B378,Entradas!$AG:$AG)</f>
        <v>626.66401501165365</v>
      </c>
      <c r="AG378" s="30"/>
      <c r="BD378" s="49"/>
      <c r="BE378" s="49"/>
    </row>
    <row r="379" spans="1:57" x14ac:dyDescent="0.3">
      <c r="A379">
        <f>_xlfn.XLOOKUP(B379,Entradas!B:B,Entradas!A:A,,0,-1)</f>
        <v>2</v>
      </c>
      <c r="B379">
        <v>19574903</v>
      </c>
      <c r="C379" t="str">
        <f>_xlfn.XLOOKUP($B379,Entradas!$B:$B,Entradas!C:C,,0,1)</f>
        <v>001823/23</v>
      </c>
      <c r="D379" t="str">
        <f>_xlfn.XLOOKUP($B379,Entradas!$B:$B,Entradas!D:D,,0,1)</f>
        <v>***.612.717-**</v>
      </c>
      <c r="E379" t="str">
        <f>_xlfn.XLOOKUP($B379,Entradas!$B:$B,Entradas!E:E,,0,1)</f>
        <v>MARCUS VINICIUS ALVES FAUSTINO</v>
      </c>
      <c r="F379" t="str">
        <f>_xlfn.XLOOKUP($B379,Entradas!$B:$B,Entradas!F:F,,0,1)</f>
        <v/>
      </c>
      <c r="G379" t="str">
        <f>_xlfn.XLOOKUP($B379,Entradas!$B:$B,Entradas!G:G,,0,1)</f>
        <v>-1</v>
      </c>
      <c r="H379" t="str">
        <f>_xlfn.XLOOKUP($B379,Entradas!$B:$B,Entradas!H:H,,0,1)</f>
        <v>Sem informação</v>
      </c>
      <c r="I379" s="49">
        <f>_xlfn.XLOOKUP($B379,Entradas!$B:$B,Entradas!I:I,,0,1)</f>
        <v>45263</v>
      </c>
      <c r="J379" s="49">
        <f>_xlfn.XLOOKUP($B379,Entradas!$B:$B,Entradas!J:J,,0,1)</f>
        <v>45267</v>
      </c>
      <c r="K379" t="str">
        <f>_xlfn.XLOOKUP($B379,Entradas!$B:$B,Entradas!K:K,,0,1)</f>
        <v>Participar do 18° Fest-Aruanda como diretor do filme ANA</v>
      </c>
      <c r="L379">
        <f>SUMIF(Entradas!$B:$B,'Entrada Lvl 5-4 qt'!$B379,Entradas!S:S)</f>
        <v>3923.0015720000001</v>
      </c>
      <c r="M379" t="str">
        <f>_xlfn.XLOOKUP($B379,Entradas!$B:$B,Entradas!T:T,,0,1)</f>
        <v>Aéreo</v>
      </c>
      <c r="N379" t="str">
        <f>_xlfn.XLOOKUP($B379,Entradas!$B:$B,Entradas!U:U,,0,1)</f>
        <v>Não</v>
      </c>
      <c r="O379" t="str">
        <f>_xlfn.XLOOKUP($B379,Entradas!$B:$B,Entradas!V:V,,0,1)</f>
        <v>Realizada</v>
      </c>
      <c r="P379" t="str">
        <f>_xlfn.XLOOKUP($B379,Entradas!$B:$B,Entradas!W:W,,0,1)</f>
        <v>SIM</v>
      </c>
      <c r="Q379" t="str">
        <f>_xlfn.XLOOKUP($B379,Entradas!$B:$B,Entradas!X:X,,0,1)</f>
        <v>O atraso no cadastro da PDCP se deu pelo grande volume de processos no setor.</v>
      </c>
      <c r="R379" s="36">
        <f>SUMIF(Entradas!$B:$B,'Entrada Lvl 5-4 qt'!$B379,Entradas!Y:Y)</f>
        <v>0</v>
      </c>
      <c r="S379" s="36">
        <f>SUMIF(Entradas!$B:$B,'Entrada Lvl 5-4 qt'!$B379,Entradas!Z:Z)</f>
        <v>0</v>
      </c>
      <c r="T379" s="36">
        <f>SUMIF(Entradas!$B:$B,'Entrada Lvl 5-4 qt'!$B379,Entradas!AA:AA)</f>
        <v>3413.09</v>
      </c>
      <c r="U379" s="36">
        <f>SUMIF(Entradas!$B:$B,'Entrada Lvl 5-4 qt'!$B379,Entradas!AB:AB)</f>
        <v>0</v>
      </c>
      <c r="V379" s="49">
        <f>_xlfn.XLOOKUP($B379,Entradas!$B:$B,Entradas!AC:AC,,0,1)</f>
        <v>45257</v>
      </c>
      <c r="W379" s="58">
        <f t="shared" si="29"/>
        <v>4</v>
      </c>
      <c r="X379" s="28" t="s">
        <v>10</v>
      </c>
      <c r="Y379" s="32">
        <f t="shared" si="25"/>
        <v>0</v>
      </c>
      <c r="Z379" s="33">
        <f t="shared" si="26"/>
        <v>3413.09</v>
      </c>
      <c r="AA379" s="34">
        <f t="shared" si="27"/>
        <v>0</v>
      </c>
      <c r="AB379" s="28" t="s">
        <v>1817</v>
      </c>
      <c r="AC379" s="28" t="s">
        <v>1821</v>
      </c>
      <c r="AD379" s="29" t="str" cm="1">
        <f t="array" ref="AD379">_xlfn.IFS(L379&lt;=Constantes!$G$2,"Muito Curta (evitável)",L379&lt;=Constantes!$H$2,"Curta Distância",L379&gt;Constantes!$H$2,"Longa Distância")</f>
        <v>Longa Distância</v>
      </c>
      <c r="AE379" s="30" t="str">
        <f t="shared" si="28"/>
        <v>NÃO</v>
      </c>
      <c r="AF379" s="30">
        <f>SUMIF(Entradas!$B:$B,'Entrada Lvl 5-4 qt'!$B379,Entradas!$AG:$AG)</f>
        <v>717.39676463438343</v>
      </c>
      <c r="AG379" s="30"/>
      <c r="BD379" s="49"/>
      <c r="BE379" s="49"/>
    </row>
    <row r="380" spans="1:57" x14ac:dyDescent="0.3">
      <c r="A380">
        <f>_xlfn.XLOOKUP(B380,Entradas!B:B,Entradas!A:A,,0,-1)</f>
        <v>2</v>
      </c>
      <c r="B380">
        <v>19103460</v>
      </c>
      <c r="C380" t="str">
        <f>_xlfn.XLOOKUP($B380,Entradas!$B:$B,Entradas!C:C,,0,1)</f>
        <v>000663/23</v>
      </c>
      <c r="D380" t="str">
        <f>_xlfn.XLOOKUP($B380,Entradas!$B:$B,Entradas!D:D,,0,1)</f>
        <v>***.907.210-**</v>
      </c>
      <c r="E380" t="str">
        <f>_xlfn.XLOOKUP($B380,Entradas!$B:$B,Entradas!E:E,,0,1)</f>
        <v>DANIELA MARIA SEGABINAZI</v>
      </c>
      <c r="F380" t="str">
        <f>_xlfn.XLOOKUP($B380,Entradas!$B:$B,Entradas!F:F,,0,1)</f>
        <v>PROFESSOR DO MAGISTERIO SUPERIOR</v>
      </c>
      <c r="G380" t="str">
        <f>_xlfn.XLOOKUP($B380,Entradas!$B:$B,Entradas!G:G,,0,1)</f>
        <v>-1</v>
      </c>
      <c r="H380" t="str">
        <f>_xlfn.XLOOKUP($B380,Entradas!$B:$B,Entradas!H:H,,0,1)</f>
        <v>Sem informação</v>
      </c>
      <c r="I380" s="49">
        <f>_xlfn.XLOOKUP($B380,Entradas!$B:$B,Entradas!I:I,,0,1)</f>
        <v>45264</v>
      </c>
      <c r="J380" s="49">
        <f>_xlfn.XLOOKUP($B380,Entradas!$B:$B,Entradas!J:J,,0,1)</f>
        <v>45269</v>
      </c>
      <c r="K380" t="str">
        <f>_xlfn.XLOOKUP($B380,Entradas!$B:$B,Entradas!K:K,,0,1)</f>
        <v>Participar do VII Congresso Internacional de Literatura Infantil e Juvenil e organização do evento.</v>
      </c>
      <c r="L380">
        <f>SUMIF(Entradas!$B:$B,'Entrada Lvl 5-4 qt'!$B380,Entradas!S:S)</f>
        <v>3429.6730739999998</v>
      </c>
      <c r="M380" t="str">
        <f>_xlfn.XLOOKUP($B380,Entradas!$B:$B,Entradas!T:T,,0,1)</f>
        <v>Aéreo</v>
      </c>
      <c r="N380" t="str">
        <f>_xlfn.XLOOKUP($B380,Entradas!$B:$B,Entradas!U:U,,0,1)</f>
        <v>Não</v>
      </c>
      <c r="O380" t="str">
        <f>_xlfn.XLOOKUP($B380,Entradas!$B:$B,Entradas!V:V,,0,1)</f>
        <v>Realizada</v>
      </c>
      <c r="P380" t="str">
        <f>_xlfn.XLOOKUP($B380,Entradas!$B:$B,Entradas!W:W,,0,1)</f>
        <v>NÃO</v>
      </c>
      <c r="Q380" t="str">
        <f>_xlfn.XLOOKUP($B380,Entradas!$B:$B,Entradas!X:X,,0,1)</f>
        <v>Sem informação</v>
      </c>
      <c r="R380" s="36">
        <f>SUMIF(Entradas!$B:$B,'Entrada Lvl 5-4 qt'!$B380,Entradas!Y:Y)</f>
        <v>1552.9</v>
      </c>
      <c r="S380" s="36">
        <f>SUMIF(Entradas!$B:$B,'Entrada Lvl 5-4 qt'!$B380,Entradas!Z:Z)</f>
        <v>0</v>
      </c>
      <c r="T380" s="36">
        <f>SUMIF(Entradas!$B:$B,'Entrada Lvl 5-4 qt'!$B380,Entradas!AA:AA)</f>
        <v>1547.49</v>
      </c>
      <c r="U380" s="36">
        <f>SUMIF(Entradas!$B:$B,'Entrada Lvl 5-4 qt'!$B380,Entradas!AB:AB)</f>
        <v>0</v>
      </c>
      <c r="V380" s="49">
        <f>_xlfn.XLOOKUP($B380,Entradas!$B:$B,Entradas!AC:AC,,0,1)</f>
        <v>45135</v>
      </c>
      <c r="W380" s="58">
        <f t="shared" si="29"/>
        <v>5</v>
      </c>
      <c r="X380" s="28" t="s">
        <v>10</v>
      </c>
      <c r="Y380" s="32">
        <f t="shared" si="25"/>
        <v>0</v>
      </c>
      <c r="Z380" s="33">
        <f t="shared" si="26"/>
        <v>1547.49</v>
      </c>
      <c r="AA380" s="34">
        <f t="shared" si="27"/>
        <v>1552.9</v>
      </c>
      <c r="AB380" s="28" t="s">
        <v>1814</v>
      </c>
      <c r="AC380" s="28" t="s">
        <v>1820</v>
      </c>
      <c r="AD380" s="29" t="str" cm="1">
        <f t="array" ref="AD380">_xlfn.IFS(L380&lt;=Constantes!$G$2,"Muito Curta (evitável)",L380&lt;=Constantes!$H$2,"Curta Distância",L380&gt;Constantes!$H$2,"Longa Distância")</f>
        <v>Curta Distância</v>
      </c>
      <c r="AE380" s="30" t="str">
        <f t="shared" si="28"/>
        <v>NÃO</v>
      </c>
      <c r="AF380" s="30">
        <f>SUMIF(Entradas!$B:$B,'Entrada Lvl 5-4 qt'!$B380,Entradas!$AG:$AG)</f>
        <v>627.18210071654289</v>
      </c>
      <c r="AG380" s="30"/>
      <c r="BD380" s="49"/>
      <c r="BE380" s="49"/>
    </row>
    <row r="381" spans="1:57" x14ac:dyDescent="0.3">
      <c r="A381">
        <f>_xlfn.XLOOKUP(B381,Entradas!B:B,Entradas!A:A,,0,-1)</f>
        <v>2</v>
      </c>
      <c r="B381">
        <v>19463948</v>
      </c>
      <c r="C381" t="str">
        <f>_xlfn.XLOOKUP($B381,Entradas!$B:$B,Entradas!C:C,,0,1)</f>
        <v>001632/23</v>
      </c>
      <c r="D381" t="str">
        <f>_xlfn.XLOOKUP($B381,Entradas!$B:$B,Entradas!D:D,,0,1)</f>
        <v>***.290.314-**</v>
      </c>
      <c r="E381" t="str">
        <f>_xlfn.XLOOKUP($B381,Entradas!$B:$B,Entradas!E:E,,0,1)</f>
        <v>KATIA SANTIAGO VENTURA LUCENA</v>
      </c>
      <c r="F381" t="str">
        <f>_xlfn.XLOOKUP($B381,Entradas!$B:$B,Entradas!F:F,,0,1)</f>
        <v>ARQUIVISTA</v>
      </c>
      <c r="G381" t="str">
        <f>_xlfn.XLOOKUP($B381,Entradas!$B:$B,Entradas!G:G,,0,1)</f>
        <v>CD-0004</v>
      </c>
      <c r="H381" t="str">
        <f>_xlfn.XLOOKUP($B381,Entradas!$B:$B,Entradas!H:H,,0,1)</f>
        <v>Cargo Comissionado de Direção</v>
      </c>
      <c r="I381" s="49">
        <f>_xlfn.XLOOKUP($B381,Entradas!$B:$B,Entradas!I:I,,0,1)</f>
        <v>45264</v>
      </c>
      <c r="J381" s="49">
        <f>_xlfn.XLOOKUP($B381,Entradas!$B:$B,Entradas!J:J,,0,1)</f>
        <v>45268</v>
      </c>
      <c r="K381" t="str">
        <f>_xlfn.XLOOKUP($B381,Entradas!$B:$B,Entradas!K:K,,0,1)</f>
        <v>Proposto irá participar do Encontro Nacional do Fórum Nacional de Pró-Reitores(as) de Assuntos Estudantis - FONAPRACE/ANDIFES, que ocorrerá nos dias 5; 6 e 7 de dezembro de 2023 na sede da ANDIFES - (Setor Comercial Sul, Quadra 1, Bloco K, 8º andar, Edifício Denasa - Brasília/DF.</v>
      </c>
      <c r="L381">
        <f>SUMIF(Entradas!$B:$B,'Entrada Lvl 5-4 qt'!$B381,Entradas!S:S)</f>
        <v>3426.839982</v>
      </c>
      <c r="M381" t="str">
        <f>_xlfn.XLOOKUP($B381,Entradas!$B:$B,Entradas!T:T,,0,1)</f>
        <v>Aéreo</v>
      </c>
      <c r="N381" t="str">
        <f>_xlfn.XLOOKUP($B381,Entradas!$B:$B,Entradas!U:U,,0,1)</f>
        <v>Sim</v>
      </c>
      <c r="O381" t="str">
        <f>_xlfn.XLOOKUP($B381,Entradas!$B:$B,Entradas!V:V,,0,1)</f>
        <v>Realizada</v>
      </c>
      <c r="P381" t="str">
        <f>_xlfn.XLOOKUP($B381,Entradas!$B:$B,Entradas!W:W,,0,1)</f>
        <v>NÃO</v>
      </c>
      <c r="Q381" t="str">
        <f>_xlfn.XLOOKUP($B381,Entradas!$B:$B,Entradas!X:X,,0,1)</f>
        <v>Sem informação</v>
      </c>
      <c r="R381" s="36">
        <f>SUMIF(Entradas!$B:$B,'Entrada Lvl 5-4 qt'!$B381,Entradas!Y:Y)</f>
        <v>1660.58</v>
      </c>
      <c r="S381" s="36">
        <f>SUMIF(Entradas!$B:$B,'Entrada Lvl 5-4 qt'!$B381,Entradas!Z:Z)</f>
        <v>0</v>
      </c>
      <c r="T381" s="36">
        <f>SUMIF(Entradas!$B:$B,'Entrada Lvl 5-4 qt'!$B381,Entradas!AA:AA)</f>
        <v>1608.4</v>
      </c>
      <c r="U381" s="36">
        <f>SUMIF(Entradas!$B:$B,'Entrada Lvl 5-4 qt'!$B381,Entradas!AB:AB)</f>
        <v>0</v>
      </c>
      <c r="V381" s="49">
        <f>_xlfn.XLOOKUP($B381,Entradas!$B:$B,Entradas!AC:AC,,0,1)</f>
        <v>45230</v>
      </c>
      <c r="W381" s="58">
        <f t="shared" si="29"/>
        <v>4</v>
      </c>
      <c r="X381" s="28" t="s">
        <v>10</v>
      </c>
      <c r="Y381" s="32">
        <f t="shared" si="25"/>
        <v>0</v>
      </c>
      <c r="Z381" s="33">
        <f t="shared" si="26"/>
        <v>1608.4</v>
      </c>
      <c r="AA381" s="34">
        <f t="shared" si="27"/>
        <v>1660.58</v>
      </c>
      <c r="AB381" s="28" t="s">
        <v>1813</v>
      </c>
      <c r="AC381" s="28" t="s">
        <v>1784</v>
      </c>
      <c r="AD381" s="29" t="str" cm="1">
        <f t="array" ref="AD381">_xlfn.IFS(L381&lt;=Constantes!$G$2,"Muito Curta (evitável)",L381&lt;=Constantes!$H$2,"Curta Distância",L381&gt;Constantes!$H$2,"Longa Distância")</f>
        <v>Curta Distância</v>
      </c>
      <c r="AE381" s="30" t="str">
        <f t="shared" si="28"/>
        <v>NÃO</v>
      </c>
      <c r="AF381" s="30">
        <f>SUMIF(Entradas!$B:$B,'Entrada Lvl 5-4 qt'!$B381,Entradas!$AG:$AG)</f>
        <v>626.66401501165365</v>
      </c>
      <c r="AG381" s="30"/>
      <c r="BD381" s="49"/>
      <c r="BE381" s="49"/>
    </row>
    <row r="382" spans="1:57" x14ac:dyDescent="0.3">
      <c r="A382">
        <f>_xlfn.XLOOKUP(B382,Entradas!B:B,Entradas!A:A,,0,-1)</f>
        <v>2</v>
      </c>
      <c r="B382">
        <v>19464956</v>
      </c>
      <c r="C382" t="str">
        <f>_xlfn.XLOOKUP($B382,Entradas!$B:$B,Entradas!C:C,,0,1)</f>
        <v>001631/23</v>
      </c>
      <c r="D382" t="str">
        <f>_xlfn.XLOOKUP($B382,Entradas!$B:$B,Entradas!D:D,,0,1)</f>
        <v>***.114.604-**</v>
      </c>
      <c r="E382" t="str">
        <f>_xlfn.XLOOKUP($B382,Entradas!$B:$B,Entradas!E:E,,0,1)</f>
        <v>IGOR ARAUJO ALVES</v>
      </c>
      <c r="F382" t="str">
        <f>_xlfn.XLOOKUP($B382,Entradas!$B:$B,Entradas!F:F,,0,1)</f>
        <v>ASSISTENTE EM ADMINISTRAçãO</v>
      </c>
      <c r="G382" t="str">
        <f>_xlfn.XLOOKUP($B382,Entradas!$B:$B,Entradas!G:G,,0,1)</f>
        <v>CD-0002</v>
      </c>
      <c r="H382" t="str">
        <f>_xlfn.XLOOKUP($B382,Entradas!$B:$B,Entradas!H:H,,0,1)</f>
        <v>Cargo Comissionado de Direção</v>
      </c>
      <c r="I382" s="49">
        <f>_xlfn.XLOOKUP($B382,Entradas!$B:$B,Entradas!I:I,,0,1)</f>
        <v>45264</v>
      </c>
      <c r="J382" s="49">
        <f>_xlfn.XLOOKUP($B382,Entradas!$B:$B,Entradas!J:J,,0,1)</f>
        <v>45268</v>
      </c>
      <c r="K382" t="str">
        <f>_xlfn.XLOOKUP($B382,Entradas!$B:$B,Entradas!K:K,,0,1)</f>
        <v>Proposto irá participar do Encontro Nacional do Fórum Nacional de Pró-Reitores(as) de Assuntos Estudantis - FONAPRACE/ANDIFES, que ocorrerá nos dias 5; 6 e 7 de dezembro de 2023 na sede da ANDIFES - (Setor Comercial Sul, Quadra 1, Bloco K, 8º andar, Edifício Denasa - Brasília/DF).</v>
      </c>
      <c r="L382">
        <f>SUMIF(Entradas!$B:$B,'Entrada Lvl 5-4 qt'!$B382,Entradas!S:S)</f>
        <v>3426.839982</v>
      </c>
      <c r="M382" t="str">
        <f>_xlfn.XLOOKUP($B382,Entradas!$B:$B,Entradas!T:T,,0,1)</f>
        <v>Aéreo</v>
      </c>
      <c r="N382" t="str">
        <f>_xlfn.XLOOKUP($B382,Entradas!$B:$B,Entradas!U:U,,0,1)</f>
        <v>Não</v>
      </c>
      <c r="O382" t="str">
        <f>_xlfn.XLOOKUP($B382,Entradas!$B:$B,Entradas!V:V,,0,1)</f>
        <v>Realizada</v>
      </c>
      <c r="P382" t="str">
        <f>_xlfn.XLOOKUP($B382,Entradas!$B:$B,Entradas!W:W,,0,1)</f>
        <v>NÃO</v>
      </c>
      <c r="Q382" t="str">
        <f>_xlfn.XLOOKUP($B382,Entradas!$B:$B,Entradas!X:X,,0,1)</f>
        <v>Sem informação</v>
      </c>
      <c r="R382" s="36">
        <f>SUMIF(Entradas!$B:$B,'Entrada Lvl 5-4 qt'!$B382,Entradas!Y:Y)</f>
        <v>1896.15</v>
      </c>
      <c r="S382" s="36">
        <f>SUMIF(Entradas!$B:$B,'Entrada Lvl 5-4 qt'!$B382,Entradas!Z:Z)</f>
        <v>0</v>
      </c>
      <c r="T382" s="36">
        <f>SUMIF(Entradas!$B:$B,'Entrada Lvl 5-4 qt'!$B382,Entradas!AA:AA)</f>
        <v>1608.4</v>
      </c>
      <c r="U382" s="36">
        <f>SUMIF(Entradas!$B:$B,'Entrada Lvl 5-4 qt'!$B382,Entradas!AB:AB)</f>
        <v>0</v>
      </c>
      <c r="V382" s="49">
        <f>_xlfn.XLOOKUP($B382,Entradas!$B:$B,Entradas!AC:AC,,0,1)</f>
        <v>45230</v>
      </c>
      <c r="W382" s="58">
        <f t="shared" si="29"/>
        <v>4</v>
      </c>
      <c r="X382" s="28" t="s">
        <v>10</v>
      </c>
      <c r="Y382" s="32">
        <f t="shared" si="25"/>
        <v>0</v>
      </c>
      <c r="Z382" s="33">
        <f t="shared" si="26"/>
        <v>1608.4</v>
      </c>
      <c r="AA382" s="34">
        <f t="shared" si="27"/>
        <v>1896.15</v>
      </c>
      <c r="AB382" s="28" t="s">
        <v>1813</v>
      </c>
      <c r="AC382" s="28" t="s">
        <v>1784</v>
      </c>
      <c r="AD382" s="29" t="str" cm="1">
        <f t="array" ref="AD382">_xlfn.IFS(L382&lt;=Constantes!$G$2,"Muito Curta (evitável)",L382&lt;=Constantes!$H$2,"Curta Distância",L382&gt;Constantes!$H$2,"Longa Distância")</f>
        <v>Curta Distância</v>
      </c>
      <c r="AE382" s="30" t="str">
        <f t="shared" si="28"/>
        <v>NÃO</v>
      </c>
      <c r="AF382" s="30">
        <f>SUMIF(Entradas!$B:$B,'Entrada Lvl 5-4 qt'!$B382,Entradas!$AG:$AG)</f>
        <v>626.66401501165365</v>
      </c>
      <c r="AG382" s="30"/>
      <c r="BD382" s="49"/>
      <c r="BE382" s="49"/>
    </row>
    <row r="383" spans="1:57" x14ac:dyDescent="0.3">
      <c r="A383">
        <f>_xlfn.XLOOKUP(B383,Entradas!B:B,Entradas!A:A,,0,-1)</f>
        <v>2</v>
      </c>
      <c r="B383">
        <v>19465035</v>
      </c>
      <c r="C383" t="str">
        <f>_xlfn.XLOOKUP($B383,Entradas!$B:$B,Entradas!C:C,,0,1)</f>
        <v>001636/23</v>
      </c>
      <c r="D383" t="str">
        <f>_xlfn.XLOOKUP($B383,Entradas!$B:$B,Entradas!D:D,,0,1)</f>
        <v>***.441.914-**</v>
      </c>
      <c r="E383" t="str">
        <f>_xlfn.XLOOKUP($B383,Entradas!$B:$B,Entradas!E:E,,0,1)</f>
        <v>DANIELA KARLA MEDEIROS VASCONCELOS</v>
      </c>
      <c r="F383" t="str">
        <f>_xlfn.XLOOKUP($B383,Entradas!$B:$B,Entradas!F:F,,0,1)</f>
        <v>NUTRICIONISTA-HABILITACAO</v>
      </c>
      <c r="G383" t="str">
        <f>_xlfn.XLOOKUP($B383,Entradas!$B:$B,Entradas!G:G,,0,1)</f>
        <v>CD-0004</v>
      </c>
      <c r="H383" t="str">
        <f>_xlfn.XLOOKUP($B383,Entradas!$B:$B,Entradas!H:H,,0,1)</f>
        <v>Cargo Comissionado de Direção</v>
      </c>
      <c r="I383" s="49">
        <f>_xlfn.XLOOKUP($B383,Entradas!$B:$B,Entradas!I:I,,0,1)</f>
        <v>45264</v>
      </c>
      <c r="J383" s="49">
        <f>_xlfn.XLOOKUP($B383,Entradas!$B:$B,Entradas!J:J,,0,1)</f>
        <v>45268</v>
      </c>
      <c r="K383" t="str">
        <f>_xlfn.XLOOKUP($B383,Entradas!$B:$B,Entradas!K:K,,0,1)</f>
        <v>Proposto irá participar do Encontro Nacional do Fórum Nacional de Pró-Reitores(as) de Assuntos Estudantis - FONAPRACE/ANDIFES, que ocorrerá nos dias 5; 6 e 7 de dezembro de 2023 na sede da ANDIFES - (Setor Comercial Sul, Quadra 1, Bloco K, 8º andar, Edifício Denasa - Brasília/DF).</v>
      </c>
      <c r="L383">
        <f>SUMIF(Entradas!$B:$B,'Entrada Lvl 5-4 qt'!$B383,Entradas!S:S)</f>
        <v>3426.839982</v>
      </c>
      <c r="M383" t="str">
        <f>_xlfn.XLOOKUP($B383,Entradas!$B:$B,Entradas!T:T,,0,1)</f>
        <v>Aéreo</v>
      </c>
      <c r="N383" t="str">
        <f>_xlfn.XLOOKUP($B383,Entradas!$B:$B,Entradas!U:U,,0,1)</f>
        <v>Sim</v>
      </c>
      <c r="O383" t="str">
        <f>_xlfn.XLOOKUP($B383,Entradas!$B:$B,Entradas!V:V,,0,1)</f>
        <v>Realizada</v>
      </c>
      <c r="P383" t="str">
        <f>_xlfn.XLOOKUP($B383,Entradas!$B:$B,Entradas!W:W,,0,1)</f>
        <v>NÃO</v>
      </c>
      <c r="Q383" t="str">
        <f>_xlfn.XLOOKUP($B383,Entradas!$B:$B,Entradas!X:X,,0,1)</f>
        <v>Sem informação</v>
      </c>
      <c r="R383" s="36">
        <f>SUMIF(Entradas!$B:$B,'Entrada Lvl 5-4 qt'!$B383,Entradas!Y:Y)</f>
        <v>1660.58</v>
      </c>
      <c r="S383" s="36">
        <f>SUMIF(Entradas!$B:$B,'Entrada Lvl 5-4 qt'!$B383,Entradas!Z:Z)</f>
        <v>0</v>
      </c>
      <c r="T383" s="36">
        <f>SUMIF(Entradas!$B:$B,'Entrada Lvl 5-4 qt'!$B383,Entradas!AA:AA)</f>
        <v>1705.4</v>
      </c>
      <c r="U383" s="36">
        <f>SUMIF(Entradas!$B:$B,'Entrada Lvl 5-4 qt'!$B383,Entradas!AB:AB)</f>
        <v>0</v>
      </c>
      <c r="V383" s="49">
        <f>_xlfn.XLOOKUP($B383,Entradas!$B:$B,Entradas!AC:AC,,0,1)</f>
        <v>45231</v>
      </c>
      <c r="W383" s="58">
        <f t="shared" si="29"/>
        <v>4</v>
      </c>
      <c r="X383" s="28" t="s">
        <v>10</v>
      </c>
      <c r="Y383" s="32">
        <f t="shared" si="25"/>
        <v>0</v>
      </c>
      <c r="Z383" s="33">
        <f t="shared" si="26"/>
        <v>1705.4</v>
      </c>
      <c r="AA383" s="34">
        <f t="shared" si="27"/>
        <v>1660.58</v>
      </c>
      <c r="AB383" s="28" t="s">
        <v>1813</v>
      </c>
      <c r="AC383" s="28" t="s">
        <v>1784</v>
      </c>
      <c r="AD383" s="29" t="str" cm="1">
        <f t="array" ref="AD383">_xlfn.IFS(L383&lt;=Constantes!$G$2,"Muito Curta (evitável)",L383&lt;=Constantes!$H$2,"Curta Distância",L383&gt;Constantes!$H$2,"Longa Distância")</f>
        <v>Curta Distância</v>
      </c>
      <c r="AE383" s="30" t="str">
        <f t="shared" si="28"/>
        <v>NÃO</v>
      </c>
      <c r="AF383" s="30">
        <f>SUMIF(Entradas!$B:$B,'Entrada Lvl 5-4 qt'!$B383,Entradas!$AG:$AG)</f>
        <v>626.66401501165365</v>
      </c>
      <c r="AG383" s="30"/>
      <c r="BD383" s="49"/>
      <c r="BE383" s="49"/>
    </row>
    <row r="384" spans="1:57" x14ac:dyDescent="0.3">
      <c r="A384">
        <f>_xlfn.XLOOKUP(B384,Entradas!B:B,Entradas!A:A,,0,-1)</f>
        <v>2</v>
      </c>
      <c r="B384">
        <v>19519639</v>
      </c>
      <c r="C384" t="str">
        <f>_xlfn.XLOOKUP($B384,Entradas!$B:$B,Entradas!C:C,,0,1)</f>
        <v>001728/23</v>
      </c>
      <c r="D384" t="str">
        <f>_xlfn.XLOOKUP($B384,Entradas!$B:$B,Entradas!D:D,,0,1)</f>
        <v/>
      </c>
      <c r="E384" t="str">
        <f>_xlfn.XLOOKUP($B384,Entradas!$B:$B,Entradas!E:E,,0,1)</f>
        <v>SANTIAGO MACHADO DELLAPE</v>
      </c>
      <c r="F384" t="str">
        <f>_xlfn.XLOOKUP($B384,Entradas!$B:$B,Entradas!F:F,,0,1)</f>
        <v/>
      </c>
      <c r="G384" t="str">
        <f>_xlfn.XLOOKUP($B384,Entradas!$B:$B,Entradas!G:G,,0,1)</f>
        <v>-1</v>
      </c>
      <c r="H384" t="str">
        <f>_xlfn.XLOOKUP($B384,Entradas!$B:$B,Entradas!H:H,,0,1)</f>
        <v>Sem informação</v>
      </c>
      <c r="I384" s="49">
        <f>_xlfn.XLOOKUP($B384,Entradas!$B:$B,Entradas!I:I,,0,1)</f>
        <v>45264</v>
      </c>
      <c r="J384" s="49">
        <f>_xlfn.XLOOKUP($B384,Entradas!$B:$B,Entradas!J:J,,0,1)</f>
        <v>45267</v>
      </c>
      <c r="K384" t="str">
        <f>_xlfn.XLOOKUP($B384,Entradas!$B:$B,Entradas!K:K,,0,1)</f>
        <v>Participar do 18° Fest-Aruanda como Diretor do filme 'Vão das Almas'.</v>
      </c>
      <c r="L384">
        <f>SUMIF(Entradas!$B:$B,'Entrada Lvl 5-4 qt'!$B384,Entradas!S:S)</f>
        <v>3426.839982</v>
      </c>
      <c r="M384" t="str">
        <f>_xlfn.XLOOKUP($B384,Entradas!$B:$B,Entradas!T:T,,0,1)</f>
        <v>Aéreo</v>
      </c>
      <c r="N384" t="str">
        <f>_xlfn.XLOOKUP($B384,Entradas!$B:$B,Entradas!U:U,,0,1)</f>
        <v>Não</v>
      </c>
      <c r="O384" t="str">
        <f>_xlfn.XLOOKUP($B384,Entradas!$B:$B,Entradas!V:V,,0,1)</f>
        <v>Realizada</v>
      </c>
      <c r="P384" t="str">
        <f>_xlfn.XLOOKUP($B384,Entradas!$B:$B,Entradas!W:W,,0,1)</f>
        <v>NÃO</v>
      </c>
      <c r="Q384" t="str">
        <f>_xlfn.XLOOKUP($B384,Entradas!$B:$B,Entradas!X:X,,0,1)</f>
        <v>Sem informação</v>
      </c>
      <c r="R384" s="36">
        <f>SUMIF(Entradas!$B:$B,'Entrada Lvl 5-4 qt'!$B384,Entradas!Y:Y)</f>
        <v>0</v>
      </c>
      <c r="S384" s="36">
        <f>SUMIF(Entradas!$B:$B,'Entrada Lvl 5-4 qt'!$B384,Entradas!Z:Z)</f>
        <v>0</v>
      </c>
      <c r="T384" s="36">
        <f>SUMIF(Entradas!$B:$B,'Entrada Lvl 5-4 qt'!$B384,Entradas!AA:AA)</f>
        <v>2235.5</v>
      </c>
      <c r="U384" s="36">
        <f>SUMIF(Entradas!$B:$B,'Entrada Lvl 5-4 qt'!$B384,Entradas!AB:AB)</f>
        <v>0</v>
      </c>
      <c r="V384" s="49">
        <f>_xlfn.XLOOKUP($B384,Entradas!$B:$B,Entradas!AC:AC,,0,1)</f>
        <v>45244</v>
      </c>
      <c r="W384" s="58">
        <f t="shared" si="29"/>
        <v>3</v>
      </c>
      <c r="X384" s="28" t="s">
        <v>10</v>
      </c>
      <c r="Y384" s="32">
        <f t="shared" si="25"/>
        <v>0</v>
      </c>
      <c r="Z384" s="33">
        <f t="shared" si="26"/>
        <v>2235.5</v>
      </c>
      <c r="AA384" s="34">
        <f t="shared" si="27"/>
        <v>0</v>
      </c>
      <c r="AB384" s="28" t="s">
        <v>1817</v>
      </c>
      <c r="AC384" s="28" t="s">
        <v>1821</v>
      </c>
      <c r="AD384" s="29" t="str" cm="1">
        <f t="array" ref="AD384">_xlfn.IFS(L384&lt;=Constantes!$G$2,"Muito Curta (evitável)",L384&lt;=Constantes!$H$2,"Curta Distância",L384&gt;Constantes!$H$2,"Longa Distância")</f>
        <v>Curta Distância</v>
      </c>
      <c r="AE384" s="30" t="str">
        <f t="shared" si="28"/>
        <v>NÃO</v>
      </c>
      <c r="AF384" s="30">
        <f>SUMIF(Entradas!$B:$B,'Entrada Lvl 5-4 qt'!$B384,Entradas!$AG:$AG)</f>
        <v>626.66401501165365</v>
      </c>
      <c r="AG384" s="30"/>
      <c r="BD384" s="49"/>
      <c r="BE384" s="49"/>
    </row>
    <row r="385" spans="1:57" x14ac:dyDescent="0.3">
      <c r="A385">
        <f>_xlfn.XLOOKUP(B385,Entradas!B:B,Entradas!A:A,,0,-1)</f>
        <v>2</v>
      </c>
      <c r="B385">
        <v>19531654</v>
      </c>
      <c r="C385" t="str">
        <f>_xlfn.XLOOKUP($B385,Entradas!$B:$B,Entradas!C:C,,0,1)</f>
        <v>001740/23</v>
      </c>
      <c r="D385" t="str">
        <f>_xlfn.XLOOKUP($B385,Entradas!$B:$B,Entradas!D:D,,0,1)</f>
        <v/>
      </c>
      <c r="E385" t="str">
        <f>_xlfn.XLOOKUP($B385,Entradas!$B:$B,Entradas!E:E,,0,1)</f>
        <v>LEONA JHOVS JOVIANO DE SOUSA</v>
      </c>
      <c r="F385" t="str">
        <f>_xlfn.XLOOKUP($B385,Entradas!$B:$B,Entradas!F:F,,0,1)</f>
        <v/>
      </c>
      <c r="G385" t="str">
        <f>_xlfn.XLOOKUP($B385,Entradas!$B:$B,Entradas!G:G,,0,1)</f>
        <v>-1</v>
      </c>
      <c r="H385" t="str">
        <f>_xlfn.XLOOKUP($B385,Entradas!$B:$B,Entradas!H:H,,0,1)</f>
        <v>Sem informação</v>
      </c>
      <c r="I385" s="49">
        <f>_xlfn.XLOOKUP($B385,Entradas!$B:$B,Entradas!I:I,,0,1)</f>
        <v>45264</v>
      </c>
      <c r="J385" s="49">
        <f>_xlfn.XLOOKUP($B385,Entradas!$B:$B,Entradas!J:J,,0,1)</f>
        <v>45267</v>
      </c>
      <c r="K385" t="str">
        <f>_xlfn.XLOOKUP($B385,Entradas!$B:$B,Entradas!K:K,,0,1)</f>
        <v>Participar do 18° Fest-Aruanda como Diretora do filme 'Feira da Ladra'.</v>
      </c>
      <c r="L385">
        <f>SUMIF(Entradas!$B:$B,'Entrada Lvl 5-4 qt'!$B385,Entradas!S:S)</f>
        <v>4379.9484839999996</v>
      </c>
      <c r="M385" t="str">
        <f>_xlfn.XLOOKUP($B385,Entradas!$B:$B,Entradas!T:T,,0,1)</f>
        <v>Aéreo</v>
      </c>
      <c r="N385" t="str">
        <f>_xlfn.XLOOKUP($B385,Entradas!$B:$B,Entradas!U:U,,0,1)</f>
        <v>Não</v>
      </c>
      <c r="O385" t="str">
        <f>_xlfn.XLOOKUP($B385,Entradas!$B:$B,Entradas!V:V,,0,1)</f>
        <v>Realizada</v>
      </c>
      <c r="P385" t="str">
        <f>_xlfn.XLOOKUP($B385,Entradas!$B:$B,Entradas!W:W,,0,1)</f>
        <v>NÃO</v>
      </c>
      <c r="Q385" t="str">
        <f>_xlfn.XLOOKUP($B385,Entradas!$B:$B,Entradas!X:X,,0,1)</f>
        <v>Sem informação</v>
      </c>
      <c r="R385" s="36">
        <f>SUMIF(Entradas!$B:$B,'Entrada Lvl 5-4 qt'!$B385,Entradas!Y:Y)</f>
        <v>0</v>
      </c>
      <c r="S385" s="36">
        <f>SUMIF(Entradas!$B:$B,'Entrada Lvl 5-4 qt'!$B385,Entradas!Z:Z)</f>
        <v>0</v>
      </c>
      <c r="T385" s="36">
        <f>SUMIF(Entradas!$B:$B,'Entrada Lvl 5-4 qt'!$B385,Entradas!AA:AA)</f>
        <v>2341.94</v>
      </c>
      <c r="U385" s="36">
        <f>SUMIF(Entradas!$B:$B,'Entrada Lvl 5-4 qt'!$B385,Entradas!AB:AB)</f>
        <v>0</v>
      </c>
      <c r="V385" s="49">
        <f>_xlfn.XLOOKUP($B385,Entradas!$B:$B,Entradas!AC:AC,,0,1)</f>
        <v>45246</v>
      </c>
      <c r="W385" s="58">
        <f t="shared" si="29"/>
        <v>3</v>
      </c>
      <c r="X385" s="28" t="s">
        <v>10</v>
      </c>
      <c r="Y385" s="32">
        <f t="shared" si="25"/>
        <v>0</v>
      </c>
      <c r="Z385" s="33">
        <f t="shared" si="26"/>
        <v>2341.94</v>
      </c>
      <c r="AA385" s="34">
        <f t="shared" si="27"/>
        <v>0</v>
      </c>
      <c r="AB385" s="28" t="s">
        <v>1817</v>
      </c>
      <c r="AC385" s="28" t="s">
        <v>1821</v>
      </c>
      <c r="AD385" s="29" t="str" cm="1">
        <f t="array" ref="AD385">_xlfn.IFS(L385&lt;=Constantes!$G$2,"Muito Curta (evitável)",L385&lt;=Constantes!$H$2,"Curta Distância",L385&gt;Constantes!$H$2,"Longa Distância")</f>
        <v>Longa Distância</v>
      </c>
      <c r="AE385" s="30" t="str">
        <f t="shared" si="28"/>
        <v>NÃO</v>
      </c>
      <c r="AF385" s="30">
        <f>SUMIF(Entradas!$B:$B,'Entrada Lvl 5-4 qt'!$B385,Entradas!$AG:$AG)</f>
        <v>800.95835140972315</v>
      </c>
      <c r="AG385" s="30"/>
      <c r="BD385" s="49"/>
      <c r="BE385" s="49"/>
    </row>
    <row r="386" spans="1:57" x14ac:dyDescent="0.3">
      <c r="A386">
        <f>_xlfn.XLOOKUP(B386,Entradas!B:B,Entradas!A:A,,0,-1)</f>
        <v>2</v>
      </c>
      <c r="B386">
        <v>19531978</v>
      </c>
      <c r="C386" t="str">
        <f>_xlfn.XLOOKUP($B386,Entradas!$B:$B,Entradas!C:C,,0,1)</f>
        <v>001745/23</v>
      </c>
      <c r="D386" t="str">
        <f>_xlfn.XLOOKUP($B386,Entradas!$B:$B,Entradas!D:D,,0,1)</f>
        <v/>
      </c>
      <c r="E386" t="str">
        <f>_xlfn.XLOOKUP($B386,Entradas!$B:$B,Entradas!E:E,,0,1)</f>
        <v>OTAVIO AZEVEDO GARCIA</v>
      </c>
      <c r="F386" t="str">
        <f>_xlfn.XLOOKUP($B386,Entradas!$B:$B,Entradas!F:F,,0,1)</f>
        <v/>
      </c>
      <c r="G386" t="str">
        <f>_xlfn.XLOOKUP($B386,Entradas!$B:$B,Entradas!G:G,,0,1)</f>
        <v>-1</v>
      </c>
      <c r="H386" t="str">
        <f>_xlfn.XLOOKUP($B386,Entradas!$B:$B,Entradas!H:H,,0,1)</f>
        <v>Sem informação</v>
      </c>
      <c r="I386" s="49">
        <f>_xlfn.XLOOKUP($B386,Entradas!$B:$B,Entradas!I:I,,0,1)</f>
        <v>45264</v>
      </c>
      <c r="J386" s="49">
        <f>_xlfn.XLOOKUP($B386,Entradas!$B:$B,Entradas!J:J,,0,1)</f>
        <v>45267</v>
      </c>
      <c r="K386" t="str">
        <f>_xlfn.XLOOKUP($B386,Entradas!$B:$B,Entradas!K:K,,0,1)</f>
        <v>Participar do 18° Fest-Aruanda como Diretor do filme: O Destino da Senhora Adelaide.</v>
      </c>
      <c r="L386">
        <f>SUMIF(Entradas!$B:$B,'Entrada Lvl 5-4 qt'!$B386,Entradas!S:S)</f>
        <v>3429.6730739999998</v>
      </c>
      <c r="M386" t="str">
        <f>_xlfn.XLOOKUP($B386,Entradas!$B:$B,Entradas!T:T,,0,1)</f>
        <v>Aéreo</v>
      </c>
      <c r="N386" t="str">
        <f>_xlfn.XLOOKUP($B386,Entradas!$B:$B,Entradas!U:U,,0,1)</f>
        <v>Sim</v>
      </c>
      <c r="O386" t="str">
        <f>_xlfn.XLOOKUP($B386,Entradas!$B:$B,Entradas!V:V,,0,1)</f>
        <v>Realizada</v>
      </c>
      <c r="P386" t="str">
        <f>_xlfn.XLOOKUP($B386,Entradas!$B:$B,Entradas!W:W,,0,1)</f>
        <v>NÃO</v>
      </c>
      <c r="Q386" t="str">
        <f>_xlfn.XLOOKUP($B386,Entradas!$B:$B,Entradas!X:X,,0,1)</f>
        <v>Sem informação</v>
      </c>
      <c r="R386" s="36">
        <f>SUMIF(Entradas!$B:$B,'Entrada Lvl 5-4 qt'!$B386,Entradas!Y:Y)</f>
        <v>0</v>
      </c>
      <c r="S386" s="36">
        <f>SUMIF(Entradas!$B:$B,'Entrada Lvl 5-4 qt'!$B386,Entradas!Z:Z)</f>
        <v>0</v>
      </c>
      <c r="T386" s="36">
        <f>SUMIF(Entradas!$B:$B,'Entrada Lvl 5-4 qt'!$B386,Entradas!AA:AA)</f>
        <v>2663.4900000000002</v>
      </c>
      <c r="U386" s="36">
        <f>SUMIF(Entradas!$B:$B,'Entrada Lvl 5-4 qt'!$B386,Entradas!AB:AB)</f>
        <v>0</v>
      </c>
      <c r="V386" s="49">
        <f>_xlfn.XLOOKUP($B386,Entradas!$B:$B,Entradas!AC:AC,,0,1)</f>
        <v>45247</v>
      </c>
      <c r="W386" s="58">
        <f t="shared" si="29"/>
        <v>3</v>
      </c>
      <c r="X386" s="28" t="s">
        <v>10</v>
      </c>
      <c r="Y386" s="32">
        <f t="shared" ref="Y386:Y415" si="30">IF(A386&lt;3,0,1)</f>
        <v>0</v>
      </c>
      <c r="Z386" s="33">
        <f t="shared" ref="Z386:Z415" si="31">IFERROR(SUM(T386:U386),0)</f>
        <v>2663.4900000000002</v>
      </c>
      <c r="AA386" s="34">
        <f t="shared" ref="AA386:AA415" si="32">IFERROR(SUM(R386:S386),0)</f>
        <v>0</v>
      </c>
      <c r="AB386" s="28" t="s">
        <v>1817</v>
      </c>
      <c r="AC386" s="28" t="s">
        <v>1821</v>
      </c>
      <c r="AD386" s="29" t="str" cm="1">
        <f t="array" ref="AD386">_xlfn.IFS(L386&lt;=Constantes!$G$2,"Muito Curta (evitável)",L386&lt;=Constantes!$H$2,"Curta Distância",L386&gt;Constantes!$H$2,"Longa Distância")</f>
        <v>Curta Distância</v>
      </c>
      <c r="AE386" s="30" t="str">
        <f t="shared" ref="AE386:AE415" si="33">IF(P386="SIM",IF(Q386="Sem Informação","SIM","NÃO"),"NÃO")</f>
        <v>NÃO</v>
      </c>
      <c r="AF386" s="30">
        <f>SUMIF(Entradas!$B:$B,'Entrada Lvl 5-4 qt'!$B386,Entradas!$AG:$AG)</f>
        <v>627.18210071654289</v>
      </c>
      <c r="AG386" s="30"/>
      <c r="BD386" s="49"/>
      <c r="BE386" s="49"/>
    </row>
    <row r="387" spans="1:57" x14ac:dyDescent="0.3">
      <c r="A387">
        <f>_xlfn.XLOOKUP(B387,Entradas!B:B,Entradas!A:A,,0,-1)</f>
        <v>2</v>
      </c>
      <c r="B387">
        <v>19533660</v>
      </c>
      <c r="C387" t="str">
        <f>_xlfn.XLOOKUP($B387,Entradas!$B:$B,Entradas!C:C,,0,1)</f>
        <v>001746/23</v>
      </c>
      <c r="D387" t="str">
        <f>_xlfn.XLOOKUP($B387,Entradas!$B:$B,Entradas!D:D,,0,1)</f>
        <v>***.843.057-**</v>
      </c>
      <c r="E387" t="str">
        <f>_xlfn.XLOOKUP($B387,Entradas!$B:$B,Entradas!E:E,,0,1)</f>
        <v>EMILIO ROBERTO DE SOUZA DOMINGOS</v>
      </c>
      <c r="F387" t="str">
        <f>_xlfn.XLOOKUP($B387,Entradas!$B:$B,Entradas!F:F,,0,1)</f>
        <v/>
      </c>
      <c r="G387" t="str">
        <f>_xlfn.XLOOKUP($B387,Entradas!$B:$B,Entradas!G:G,,0,1)</f>
        <v>-1</v>
      </c>
      <c r="H387" t="str">
        <f>_xlfn.XLOOKUP($B387,Entradas!$B:$B,Entradas!H:H,,0,1)</f>
        <v>Sem informação</v>
      </c>
      <c r="I387" s="49">
        <f>_xlfn.XLOOKUP($B387,Entradas!$B:$B,Entradas!I:I,,0,1)</f>
        <v>45264</v>
      </c>
      <c r="J387" s="49">
        <f>_xlfn.XLOOKUP($B387,Entradas!$B:$B,Entradas!J:J,,0,1)</f>
        <v>45267</v>
      </c>
      <c r="K387" t="str">
        <f>_xlfn.XLOOKUP($B387,Entradas!$B:$B,Entradas!K:K,,0,1)</f>
        <v>Participar do 18° Fest-Aruanda como diretor do 'Black Rio! Black Power!</v>
      </c>
      <c r="L387">
        <f>SUMIF(Entradas!$B:$B,'Entrada Lvl 5-4 qt'!$B387,Entradas!S:S)</f>
        <v>3676.3373229999997</v>
      </c>
      <c r="M387" t="str">
        <f>_xlfn.XLOOKUP($B387,Entradas!$B:$B,Entradas!T:T,,0,1)</f>
        <v>Aéreo</v>
      </c>
      <c r="N387" t="str">
        <f>_xlfn.XLOOKUP($B387,Entradas!$B:$B,Entradas!U:U,,0,1)</f>
        <v>Não</v>
      </c>
      <c r="O387" t="str">
        <f>_xlfn.XLOOKUP($B387,Entradas!$B:$B,Entradas!V:V,,0,1)</f>
        <v>Realizada</v>
      </c>
      <c r="P387" t="str">
        <f>_xlfn.XLOOKUP($B387,Entradas!$B:$B,Entradas!W:W,,0,1)</f>
        <v>NÃO</v>
      </c>
      <c r="Q387" t="str">
        <f>_xlfn.XLOOKUP($B387,Entradas!$B:$B,Entradas!X:X,,0,1)</f>
        <v>Sem informação</v>
      </c>
      <c r="R387" s="36">
        <f>SUMIF(Entradas!$B:$B,'Entrada Lvl 5-4 qt'!$B387,Entradas!Y:Y)</f>
        <v>0</v>
      </c>
      <c r="S387" s="36">
        <f>SUMIF(Entradas!$B:$B,'Entrada Lvl 5-4 qt'!$B387,Entradas!Z:Z)</f>
        <v>0</v>
      </c>
      <c r="T387" s="36">
        <f>SUMIF(Entradas!$B:$B,'Entrada Lvl 5-4 qt'!$B387,Entradas!AA:AA)</f>
        <v>2735.69</v>
      </c>
      <c r="U387" s="36">
        <f>SUMIF(Entradas!$B:$B,'Entrada Lvl 5-4 qt'!$B387,Entradas!AB:AB)</f>
        <v>0</v>
      </c>
      <c r="V387" s="49">
        <f>_xlfn.XLOOKUP($B387,Entradas!$B:$B,Entradas!AC:AC,,0,1)</f>
        <v>45247</v>
      </c>
      <c r="W387" s="58">
        <f t="shared" ref="W387:W415" si="34">J387-I387</f>
        <v>3</v>
      </c>
      <c r="X387" s="28" t="s">
        <v>10</v>
      </c>
      <c r="Y387" s="32">
        <f t="shared" si="30"/>
        <v>0</v>
      </c>
      <c r="Z387" s="33">
        <f t="shared" si="31"/>
        <v>2735.69</v>
      </c>
      <c r="AA387" s="34">
        <f t="shared" si="32"/>
        <v>0</v>
      </c>
      <c r="AB387" s="28" t="s">
        <v>1817</v>
      </c>
      <c r="AC387" s="28" t="s">
        <v>1821</v>
      </c>
      <c r="AD387" s="29" t="str" cm="1">
        <f t="array" ref="AD387">_xlfn.IFS(L387&lt;=Constantes!$G$2,"Muito Curta (evitável)",L387&lt;=Constantes!$H$2,"Curta Distância",L387&gt;Constantes!$H$2,"Longa Distância")</f>
        <v>Curta Distância</v>
      </c>
      <c r="AE387" s="30" t="str">
        <f t="shared" si="33"/>
        <v>NÃO</v>
      </c>
      <c r="AF387" s="30">
        <f>SUMIF(Entradas!$B:$B,'Entrada Lvl 5-4 qt'!$B387,Entradas!$AG:$AG)</f>
        <v>672.2894326754631</v>
      </c>
      <c r="AG387" s="30"/>
      <c r="BD387" s="49"/>
      <c r="BE387" s="49"/>
    </row>
    <row r="388" spans="1:57" x14ac:dyDescent="0.3">
      <c r="A388">
        <f>_xlfn.XLOOKUP(B388,Entradas!B:B,Entradas!A:A,,0,-1)</f>
        <v>2</v>
      </c>
      <c r="B388">
        <v>19552934</v>
      </c>
      <c r="C388" t="str">
        <f>_xlfn.XLOOKUP($B388,Entradas!$B:$B,Entradas!C:C,,0,1)</f>
        <v>001786/23</v>
      </c>
      <c r="D388" t="str">
        <f>_xlfn.XLOOKUP($B388,Entradas!$B:$B,Entradas!D:D,,0,1)</f>
        <v/>
      </c>
      <c r="E388" t="str">
        <f>_xlfn.XLOOKUP($B388,Entradas!$B:$B,Entradas!E:E,,0,1)</f>
        <v>TASSO LAPA DOURADO</v>
      </c>
      <c r="F388" t="str">
        <f>_xlfn.XLOOKUP($B388,Entradas!$B:$B,Entradas!F:F,,0,1)</f>
        <v/>
      </c>
      <c r="G388" t="str">
        <f>_xlfn.XLOOKUP($B388,Entradas!$B:$B,Entradas!G:G,,0,1)</f>
        <v>-1</v>
      </c>
      <c r="H388" t="str">
        <f>_xlfn.XLOOKUP($B388,Entradas!$B:$B,Entradas!H:H,,0,1)</f>
        <v>Sem informação</v>
      </c>
      <c r="I388" s="49">
        <f>_xlfn.XLOOKUP($B388,Entradas!$B:$B,Entradas!I:I,,0,1)</f>
        <v>45264</v>
      </c>
      <c r="J388" s="49">
        <f>_xlfn.XLOOKUP($B388,Entradas!$B:$B,Entradas!J:J,,0,1)</f>
        <v>45267</v>
      </c>
      <c r="K388" t="str">
        <f>_xlfn.XLOOKUP($B388,Entradas!$B:$B,Entradas!K:K,,0,1)</f>
        <v>Participar do 18 ° Fest Aruanda/2023 como diretor do filme 'Peréio, Eu Te Odeio'!</v>
      </c>
      <c r="L388">
        <f>SUMIF(Entradas!$B:$B,'Entrada Lvl 5-4 qt'!$B388,Entradas!S:S)</f>
        <v>2931.0936550999995</v>
      </c>
      <c r="M388" t="str">
        <f>_xlfn.XLOOKUP($B388,Entradas!$B:$B,Entradas!T:T,,0,1)</f>
        <v>Aéreo</v>
      </c>
      <c r="N388" t="str">
        <f>_xlfn.XLOOKUP($B388,Entradas!$B:$B,Entradas!U:U,,0,1)</f>
        <v>Não</v>
      </c>
      <c r="O388" t="str">
        <f>_xlfn.XLOOKUP($B388,Entradas!$B:$B,Entradas!V:V,,0,1)</f>
        <v>Realizada</v>
      </c>
      <c r="P388" t="str">
        <f>_xlfn.XLOOKUP($B388,Entradas!$B:$B,Entradas!W:W,,0,1)</f>
        <v>SIM</v>
      </c>
      <c r="Q388" t="str">
        <f>_xlfn.XLOOKUP($B388,Entradas!$B:$B,Entradas!X:X,,0,1)</f>
        <v>Conforme justificativa do formulário 'Devido ao caráter artístico do evento, as definições / confirmações de presença de filmes, diretores, elencos , etc, só ocorre 20 dias antes de sua realização, o que impede uma antecipação maior e o cumprimento dos prazos vigentes.'</v>
      </c>
      <c r="R388" s="36">
        <f>SUMIF(Entradas!$B:$B,'Entrada Lvl 5-4 qt'!$B388,Entradas!Y:Y)</f>
        <v>0</v>
      </c>
      <c r="S388" s="36">
        <f>SUMIF(Entradas!$B:$B,'Entrada Lvl 5-4 qt'!$B388,Entradas!Z:Z)</f>
        <v>0</v>
      </c>
      <c r="T388" s="36">
        <f>SUMIF(Entradas!$B:$B,'Entrada Lvl 5-4 qt'!$B388,Entradas!AA:AA)</f>
        <v>1718.44</v>
      </c>
      <c r="U388" s="36">
        <f>SUMIF(Entradas!$B:$B,'Entrada Lvl 5-4 qt'!$B388,Entradas!AB:AB)</f>
        <v>0</v>
      </c>
      <c r="V388" s="49">
        <f>_xlfn.XLOOKUP($B388,Entradas!$B:$B,Entradas!AC:AC,,0,1)</f>
        <v>45252</v>
      </c>
      <c r="W388" s="58">
        <f t="shared" si="34"/>
        <v>3</v>
      </c>
      <c r="X388" s="28" t="s">
        <v>10</v>
      </c>
      <c r="Y388" s="32">
        <f t="shared" si="30"/>
        <v>0</v>
      </c>
      <c r="Z388" s="33">
        <f t="shared" si="31"/>
        <v>1718.44</v>
      </c>
      <c r="AA388" s="34">
        <f t="shared" si="32"/>
        <v>0</v>
      </c>
      <c r="AB388" s="28" t="s">
        <v>1817</v>
      </c>
      <c r="AC388" s="28" t="s">
        <v>1821</v>
      </c>
      <c r="AD388" s="29" t="str" cm="1">
        <f t="array" ref="AD388">_xlfn.IFS(L388&lt;=Constantes!$G$2,"Muito Curta (evitável)",L388&lt;=Constantes!$H$2,"Curta Distância",L388&gt;Constantes!$H$2,"Longa Distância")</f>
        <v>Curta Distância</v>
      </c>
      <c r="AE388" s="30" t="str">
        <f t="shared" si="33"/>
        <v>NÃO</v>
      </c>
      <c r="AF388" s="30">
        <f>SUMIF(Entradas!$B:$B,'Entrada Lvl 5-4 qt'!$B388,Entradas!$AG:$AG)</f>
        <v>536.00720428391128</v>
      </c>
      <c r="AG388" s="30"/>
      <c r="BD388" s="49"/>
      <c r="BE388" s="49"/>
    </row>
    <row r="389" spans="1:57" x14ac:dyDescent="0.3">
      <c r="A389">
        <f>_xlfn.XLOOKUP(B389,Entradas!B:B,Entradas!A:A,,0,-1)</f>
        <v>2</v>
      </c>
      <c r="B389">
        <v>19570964</v>
      </c>
      <c r="C389" t="str">
        <f>_xlfn.XLOOKUP($B389,Entradas!$B:$B,Entradas!C:C,,0,1)</f>
        <v>001813/23</v>
      </c>
      <c r="D389" t="str">
        <f>_xlfn.XLOOKUP($B389,Entradas!$B:$B,Entradas!D:D,,0,1)</f>
        <v>***.690.887-**</v>
      </c>
      <c r="E389" t="str">
        <f>_xlfn.XLOOKUP($B389,Entradas!$B:$B,Entradas!E:E,,0,1)</f>
        <v>AILTON FRANCO JUNIOR</v>
      </c>
      <c r="F389" t="str">
        <f>_xlfn.XLOOKUP($B389,Entradas!$B:$B,Entradas!F:F,,0,1)</f>
        <v/>
      </c>
      <c r="G389" t="str">
        <f>_xlfn.XLOOKUP($B389,Entradas!$B:$B,Entradas!G:G,,0,1)</f>
        <v>-1</v>
      </c>
      <c r="H389" t="str">
        <f>_xlfn.XLOOKUP($B389,Entradas!$B:$B,Entradas!H:H,,0,1)</f>
        <v>Sem informação</v>
      </c>
      <c r="I389" s="49">
        <f>_xlfn.XLOOKUP($B389,Entradas!$B:$B,Entradas!I:I,,0,1)</f>
        <v>45264</v>
      </c>
      <c r="J389" s="49">
        <f>_xlfn.XLOOKUP($B389,Entradas!$B:$B,Entradas!J:J,,0,1)</f>
        <v>45267</v>
      </c>
      <c r="K389" t="str">
        <f>_xlfn.XLOOKUP($B389,Entradas!$B:$B,Entradas!K:K,,0,1)</f>
        <v>Participar do 18º Fest-Aruanda como Produtor do Filme 'Othelo, o Grande'.</v>
      </c>
      <c r="L389">
        <f>SUMIF(Entradas!$B:$B,'Entrada Lvl 5-4 qt'!$B389,Entradas!S:S)</f>
        <v>3923.0015720000001</v>
      </c>
      <c r="M389" t="str">
        <f>_xlfn.XLOOKUP($B389,Entradas!$B:$B,Entradas!T:T,,0,1)</f>
        <v>Aéreo</v>
      </c>
      <c r="N389" t="str">
        <f>_xlfn.XLOOKUP($B389,Entradas!$B:$B,Entradas!U:U,,0,1)</f>
        <v>Não</v>
      </c>
      <c r="O389" t="str">
        <f>_xlfn.XLOOKUP($B389,Entradas!$B:$B,Entradas!V:V,,0,1)</f>
        <v>Realizada</v>
      </c>
      <c r="P389" t="str">
        <f>_xlfn.XLOOKUP($B389,Entradas!$B:$B,Entradas!W:W,,0,1)</f>
        <v>SIM</v>
      </c>
      <c r="Q389" t="str">
        <f>_xlfn.XLOOKUP($B389,Entradas!$B:$B,Entradas!X:X,,0,1)</f>
        <v>Processo chegou em tempo hábil, o atraso do cadastro no SCDP é devido ao grande volume de processos no setor.</v>
      </c>
      <c r="R389" s="36">
        <f>SUMIF(Entradas!$B:$B,'Entrada Lvl 5-4 qt'!$B389,Entradas!Y:Y)</f>
        <v>0</v>
      </c>
      <c r="S389" s="36">
        <f>SUMIF(Entradas!$B:$B,'Entrada Lvl 5-4 qt'!$B389,Entradas!Z:Z)</f>
        <v>0</v>
      </c>
      <c r="T389" s="36">
        <f>SUMIF(Entradas!$B:$B,'Entrada Lvl 5-4 qt'!$B389,Entradas!AA:AA)</f>
        <v>3069.8900000000003</v>
      </c>
      <c r="U389" s="36">
        <f>SUMIF(Entradas!$B:$B,'Entrada Lvl 5-4 qt'!$B389,Entradas!AB:AB)</f>
        <v>0</v>
      </c>
      <c r="V389" s="49">
        <f>_xlfn.XLOOKUP($B389,Entradas!$B:$B,Entradas!AC:AC,,0,1)</f>
        <v>45257</v>
      </c>
      <c r="W389" s="58">
        <f t="shared" si="34"/>
        <v>3</v>
      </c>
      <c r="X389" s="28" t="s">
        <v>10</v>
      </c>
      <c r="Y389" s="32">
        <f t="shared" si="30"/>
        <v>0</v>
      </c>
      <c r="Z389" s="33">
        <f t="shared" si="31"/>
        <v>3069.8900000000003</v>
      </c>
      <c r="AA389" s="34">
        <f t="shared" si="32"/>
        <v>0</v>
      </c>
      <c r="AB389" s="28" t="s">
        <v>1817</v>
      </c>
      <c r="AC389" s="28" t="s">
        <v>1821</v>
      </c>
      <c r="AD389" s="29" t="str" cm="1">
        <f t="array" ref="AD389">_xlfn.IFS(L389&lt;=Constantes!$G$2,"Muito Curta (evitável)",L389&lt;=Constantes!$H$2,"Curta Distância",L389&gt;Constantes!$H$2,"Longa Distância")</f>
        <v>Longa Distância</v>
      </c>
      <c r="AE389" s="30" t="str">
        <f t="shared" si="33"/>
        <v>NÃO</v>
      </c>
      <c r="AF389" s="30">
        <f>SUMIF(Entradas!$B:$B,'Entrada Lvl 5-4 qt'!$B389,Entradas!$AG:$AG)</f>
        <v>717.39676463438343</v>
      </c>
      <c r="AG389" s="30"/>
      <c r="BD389" s="49"/>
      <c r="BE389" s="49"/>
    </row>
    <row r="390" spans="1:57" x14ac:dyDescent="0.3">
      <c r="A390">
        <f>_xlfn.XLOOKUP(B390,Entradas!B:B,Entradas!A:A,,0,-1)</f>
        <v>1</v>
      </c>
      <c r="B390">
        <v>19573299</v>
      </c>
      <c r="C390" t="str">
        <f>_xlfn.XLOOKUP($B390,Entradas!$B:$B,Entradas!C:C,,0,1)</f>
        <v>001811/23</v>
      </c>
      <c r="D390" t="str">
        <f>_xlfn.XLOOKUP($B390,Entradas!$B:$B,Entradas!D:D,,0,1)</f>
        <v>***.463.654-**</v>
      </c>
      <c r="E390" t="str">
        <f>_xlfn.XLOOKUP($B390,Entradas!$B:$B,Entradas!E:E,,0,1)</f>
        <v>BRUNO FERREIRA MATOS</v>
      </c>
      <c r="F390" t="str">
        <f>_xlfn.XLOOKUP($B390,Entradas!$B:$B,Entradas!F:F,,0,1)</f>
        <v>TECNICO EM AGROPECUARIA</v>
      </c>
      <c r="G390" t="str">
        <f>_xlfn.XLOOKUP($B390,Entradas!$B:$B,Entradas!G:G,,0,1)</f>
        <v>FG-0001</v>
      </c>
      <c r="H390" t="str">
        <f>_xlfn.XLOOKUP($B390,Entradas!$B:$B,Entradas!H:H,,0,1)</f>
        <v>FG-0001</v>
      </c>
      <c r="I390" s="49">
        <f>_xlfn.XLOOKUP($B390,Entradas!$B:$B,Entradas!I:I,,0,1)</f>
        <v>45264</v>
      </c>
      <c r="J390" s="49">
        <f>_xlfn.XLOOKUP($B390,Entradas!$B:$B,Entradas!J:J,,0,1)</f>
        <v>45269</v>
      </c>
      <c r="K390" t="str">
        <f>_xlfn.XLOOKUP($B390,Entradas!$B:$B,Entradas!K:K,,0,1)</f>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v>
      </c>
      <c r="L390">
        <f>SUMIF(Entradas!$B:$B,'Entrada Lvl 5-4 qt'!$B390,Entradas!S:S)</f>
        <v>2588.8989320000001</v>
      </c>
      <c r="M390" t="str">
        <f>_xlfn.XLOOKUP($B390,Entradas!$B:$B,Entradas!T:T,,0,1)</f>
        <v>Aéreo</v>
      </c>
      <c r="N390" t="str">
        <f>_xlfn.XLOOKUP($B390,Entradas!$B:$B,Entradas!U:U,,0,1)</f>
        <v>Sim</v>
      </c>
      <c r="O390" t="str">
        <f>_xlfn.XLOOKUP($B390,Entradas!$B:$B,Entradas!V:V,,0,1)</f>
        <v>Realizada</v>
      </c>
      <c r="P390" t="str">
        <f>_xlfn.XLOOKUP($B390,Entradas!$B:$B,Entradas!W:W,,0,1)</f>
        <v>SIM</v>
      </c>
      <c r="Q390" t="str">
        <f>_xlfn.XLOOKUP($B390,Entradas!$B:$B,Entradas!X:X,,0,1)</f>
        <v>Recebemos a confirmação da AGEVISA na data de hoje (20/11/2023).</v>
      </c>
      <c r="R390" s="36">
        <f>SUMIF(Entradas!$B:$B,'Entrada Lvl 5-4 qt'!$B390,Entradas!Y:Y)</f>
        <v>1821.06</v>
      </c>
      <c r="S390" s="36">
        <f>SUMIF(Entradas!$B:$B,'Entrada Lvl 5-4 qt'!$B390,Entradas!Z:Z)</f>
        <v>0</v>
      </c>
      <c r="T390" s="36">
        <f>SUMIF(Entradas!$B:$B,'Entrada Lvl 5-4 qt'!$B390,Entradas!AA:AA)</f>
        <v>1688.69</v>
      </c>
      <c r="U390" s="36">
        <f>SUMIF(Entradas!$B:$B,'Entrada Lvl 5-4 qt'!$B390,Entradas!AB:AB)</f>
        <v>0</v>
      </c>
      <c r="V390" s="49">
        <f>_xlfn.XLOOKUP($B390,Entradas!$B:$B,Entradas!AC:AC,,0,1)</f>
        <v>45254</v>
      </c>
      <c r="W390" s="58">
        <f t="shared" si="34"/>
        <v>5</v>
      </c>
      <c r="X390" s="28" t="s">
        <v>10</v>
      </c>
      <c r="Y390" s="32">
        <f t="shared" si="30"/>
        <v>0</v>
      </c>
      <c r="Z390" s="33">
        <f t="shared" si="31"/>
        <v>1688.69</v>
      </c>
      <c r="AA390" s="34">
        <f t="shared" si="32"/>
        <v>1821.06</v>
      </c>
      <c r="AB390" s="28" t="s">
        <v>1817</v>
      </c>
      <c r="AC390" s="28" t="s">
        <v>1784</v>
      </c>
      <c r="AD390" s="29" t="str" cm="1">
        <f t="array" ref="AD390">_xlfn.IFS(L390&lt;=Constantes!$G$2,"Muito Curta (evitável)",L390&lt;=Constantes!$H$2,"Curta Distância",L390&gt;Constantes!$H$2,"Longa Distância")</f>
        <v>Curta Distância</v>
      </c>
      <c r="AE390" s="30" t="str">
        <f t="shared" si="33"/>
        <v>NÃO</v>
      </c>
      <c r="AF390" s="30">
        <f>SUMIF(Entradas!$B:$B,'Entrada Lvl 5-4 qt'!$B390,Entradas!$AG:$AG)</f>
        <v>473.43027620438863</v>
      </c>
      <c r="AG390" s="30"/>
      <c r="BD390" s="49"/>
      <c r="BE390" s="49"/>
    </row>
    <row r="391" spans="1:57" x14ac:dyDescent="0.3">
      <c r="A391">
        <f>_xlfn.XLOOKUP(B391,Entradas!B:B,Entradas!A:A,,0,-1)</f>
        <v>1</v>
      </c>
      <c r="B391">
        <v>19573379</v>
      </c>
      <c r="C391" t="str">
        <f>_xlfn.XLOOKUP($B391,Entradas!$B:$B,Entradas!C:C,,0,1)</f>
        <v>001812/23</v>
      </c>
      <c r="D391" t="str">
        <f>_xlfn.XLOOKUP($B391,Entradas!$B:$B,Entradas!D:D,,0,1)</f>
        <v>***.147.624-**</v>
      </c>
      <c r="E391" t="str">
        <f>_xlfn.XLOOKUP($B391,Entradas!$B:$B,Entradas!E:E,,0,1)</f>
        <v>EDVALDO MESQUITA BELTRAO FILHO</v>
      </c>
      <c r="F391" t="str">
        <f>_xlfn.XLOOKUP($B391,Entradas!$B:$B,Entradas!F:F,,0,1)</f>
        <v>PROFESSOR ENS BASICO TECN TECNOLOGICO</v>
      </c>
      <c r="G391" t="str">
        <f>_xlfn.XLOOKUP($B391,Entradas!$B:$B,Entradas!G:G,,0,1)</f>
        <v>CD-0003</v>
      </c>
      <c r="H391" t="str">
        <f>_xlfn.XLOOKUP($B391,Entradas!$B:$B,Entradas!H:H,,0,1)</f>
        <v>Cargo Comissionado de Direção</v>
      </c>
      <c r="I391" s="49">
        <f>_xlfn.XLOOKUP($B391,Entradas!$B:$B,Entradas!I:I,,0,1)</f>
        <v>45264</v>
      </c>
      <c r="J391" s="49">
        <f>_xlfn.XLOOKUP($B391,Entradas!$B:$B,Entradas!J:J,,0,1)</f>
        <v>45269</v>
      </c>
      <c r="K391" t="str">
        <f>_xlfn.XLOOKUP($B391,Entradas!$B:$B,Entradas!K:K,,0,1)</f>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v>
      </c>
      <c r="L391">
        <f>SUMIF(Entradas!$B:$B,'Entrada Lvl 5-4 qt'!$B391,Entradas!S:S)</f>
        <v>2588.8989320000001</v>
      </c>
      <c r="M391" t="str">
        <f>_xlfn.XLOOKUP($B391,Entradas!$B:$B,Entradas!T:T,,0,1)</f>
        <v>Aéreo</v>
      </c>
      <c r="N391" t="str">
        <f>_xlfn.XLOOKUP($B391,Entradas!$B:$B,Entradas!U:U,,0,1)</f>
        <v>Sim</v>
      </c>
      <c r="O391" t="str">
        <f>_xlfn.XLOOKUP($B391,Entradas!$B:$B,Entradas!V:V,,0,1)</f>
        <v>Realizada</v>
      </c>
      <c r="P391" t="str">
        <f>_xlfn.XLOOKUP($B391,Entradas!$B:$B,Entradas!W:W,,0,1)</f>
        <v>SIM</v>
      </c>
      <c r="Q391" t="str">
        <f>_xlfn.XLOOKUP($B391,Entradas!$B:$B,Entradas!X:X,,0,1)</f>
        <v>Recebemos a confirmação da AGEVISA na data de hoje (20/11/2023).</v>
      </c>
      <c r="R391" s="36">
        <f>SUMIF(Entradas!$B:$B,'Entrada Lvl 5-4 qt'!$B391,Entradas!Y:Y)</f>
        <v>2078.6799999999998</v>
      </c>
      <c r="S391" s="36">
        <f>SUMIF(Entradas!$B:$B,'Entrada Lvl 5-4 qt'!$B391,Entradas!Z:Z)</f>
        <v>0</v>
      </c>
      <c r="T391" s="36">
        <f>SUMIF(Entradas!$B:$B,'Entrada Lvl 5-4 qt'!$B391,Entradas!AA:AA)</f>
        <v>1688.69</v>
      </c>
      <c r="U391" s="36">
        <f>SUMIF(Entradas!$B:$B,'Entrada Lvl 5-4 qt'!$B391,Entradas!AB:AB)</f>
        <v>0</v>
      </c>
      <c r="V391" s="49">
        <f>_xlfn.XLOOKUP($B391,Entradas!$B:$B,Entradas!AC:AC,,0,1)</f>
        <v>45254</v>
      </c>
      <c r="W391" s="58">
        <f t="shared" si="34"/>
        <v>5</v>
      </c>
      <c r="X391" s="28" t="s">
        <v>10</v>
      </c>
      <c r="Y391" s="32">
        <f t="shared" si="30"/>
        <v>0</v>
      </c>
      <c r="Z391" s="33">
        <f t="shared" si="31"/>
        <v>1688.69</v>
      </c>
      <c r="AA391" s="34">
        <f t="shared" si="32"/>
        <v>2078.6799999999998</v>
      </c>
      <c r="AB391" s="28" t="s">
        <v>1817</v>
      </c>
      <c r="AC391" s="28" t="s">
        <v>1784</v>
      </c>
      <c r="AD391" s="29" t="str" cm="1">
        <f t="array" ref="AD391">_xlfn.IFS(L391&lt;=Constantes!$G$2,"Muito Curta (evitável)",L391&lt;=Constantes!$H$2,"Curta Distância",L391&gt;Constantes!$H$2,"Longa Distância")</f>
        <v>Curta Distância</v>
      </c>
      <c r="AE391" s="30" t="str">
        <f t="shared" si="33"/>
        <v>NÃO</v>
      </c>
      <c r="AF391" s="30">
        <f>SUMIF(Entradas!$B:$B,'Entrada Lvl 5-4 qt'!$B391,Entradas!$AG:$AG)</f>
        <v>473.43027620438863</v>
      </c>
      <c r="AG391" s="30"/>
      <c r="BD391" s="49"/>
      <c r="BE391" s="49"/>
    </row>
    <row r="392" spans="1:57" x14ac:dyDescent="0.3">
      <c r="A392">
        <f>_xlfn.XLOOKUP(B392,Entradas!B:B,Entradas!A:A,,0,-1)</f>
        <v>1</v>
      </c>
      <c r="B392">
        <v>19573382</v>
      </c>
      <c r="C392" t="str">
        <f>_xlfn.XLOOKUP($B392,Entradas!$B:$B,Entradas!C:C,,0,1)</f>
        <v>001815/23</v>
      </c>
      <c r="D392" t="str">
        <f>_xlfn.XLOOKUP($B392,Entradas!$B:$B,Entradas!D:D,,0,1)</f>
        <v>***.138.224-**</v>
      </c>
      <c r="E392" t="str">
        <f>_xlfn.XLOOKUP($B392,Entradas!$B:$B,Entradas!E:E,,0,1)</f>
        <v>FELIPE ROQUE VICENTE</v>
      </c>
      <c r="F392" t="str">
        <f>_xlfn.XLOOKUP($B392,Entradas!$B:$B,Entradas!F:F,,0,1)</f>
        <v>ASSISTENTE EM ADMINISTRAçãO</v>
      </c>
      <c r="G392" t="str">
        <f>_xlfn.XLOOKUP($B392,Entradas!$B:$B,Entradas!G:G,,0,1)</f>
        <v>-1</v>
      </c>
      <c r="H392" t="str">
        <f>_xlfn.XLOOKUP($B392,Entradas!$B:$B,Entradas!H:H,,0,1)</f>
        <v>Sem informação</v>
      </c>
      <c r="I392" s="49">
        <f>_xlfn.XLOOKUP($B392,Entradas!$B:$B,Entradas!I:I,,0,1)</f>
        <v>45264</v>
      </c>
      <c r="J392" s="49">
        <f>_xlfn.XLOOKUP($B392,Entradas!$B:$B,Entradas!J:J,,0,1)</f>
        <v>45269</v>
      </c>
      <c r="K392" t="str">
        <f>_xlfn.XLOOKUP($B392,Entradas!$B:$B,Entradas!K:K,,0,1)</f>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v>
      </c>
      <c r="L392">
        <f>SUMIF(Entradas!$B:$B,'Entrada Lvl 5-4 qt'!$B392,Entradas!S:S)</f>
        <v>2588.8989320000001</v>
      </c>
      <c r="M392" t="str">
        <f>_xlfn.XLOOKUP($B392,Entradas!$B:$B,Entradas!T:T,,0,1)</f>
        <v>Aéreo</v>
      </c>
      <c r="N392" t="str">
        <f>_xlfn.XLOOKUP($B392,Entradas!$B:$B,Entradas!U:U,,0,1)</f>
        <v>Sim</v>
      </c>
      <c r="O392" t="str">
        <f>_xlfn.XLOOKUP($B392,Entradas!$B:$B,Entradas!V:V,,0,1)</f>
        <v>Realizada</v>
      </c>
      <c r="P392" t="str">
        <f>_xlfn.XLOOKUP($B392,Entradas!$B:$B,Entradas!W:W,,0,1)</f>
        <v>SIM</v>
      </c>
      <c r="Q392" t="str">
        <f>_xlfn.XLOOKUP($B392,Entradas!$B:$B,Entradas!X:X,,0,1)</f>
        <v>Justificativa do proposto, conforme documentação anexada a esta PCDP: 'Recebemos a confirmação da AGEVISA na data de hoje (20/11/2023).'</v>
      </c>
      <c r="R392" s="36">
        <f>SUMIF(Entradas!$B:$B,'Entrada Lvl 5-4 qt'!$B392,Entradas!Y:Y)</f>
        <v>1411.86</v>
      </c>
      <c r="S392" s="36">
        <f>SUMIF(Entradas!$B:$B,'Entrada Lvl 5-4 qt'!$B392,Entradas!Z:Z)</f>
        <v>0</v>
      </c>
      <c r="T392" s="36">
        <f>SUMIF(Entradas!$B:$B,'Entrada Lvl 5-4 qt'!$B392,Entradas!AA:AA)</f>
        <v>1688.69</v>
      </c>
      <c r="U392" s="36">
        <f>SUMIF(Entradas!$B:$B,'Entrada Lvl 5-4 qt'!$B392,Entradas!AB:AB)</f>
        <v>0</v>
      </c>
      <c r="V392" s="49">
        <f>_xlfn.XLOOKUP($B392,Entradas!$B:$B,Entradas!AC:AC,,0,1)</f>
        <v>45254</v>
      </c>
      <c r="W392" s="58">
        <f t="shared" si="34"/>
        <v>5</v>
      </c>
      <c r="X392" s="28" t="s">
        <v>10</v>
      </c>
      <c r="Y392" s="32">
        <f t="shared" si="30"/>
        <v>0</v>
      </c>
      <c r="Z392" s="33">
        <f t="shared" si="31"/>
        <v>1688.69</v>
      </c>
      <c r="AA392" s="34">
        <f t="shared" si="32"/>
        <v>1411.86</v>
      </c>
      <c r="AB392" s="28" t="s">
        <v>1817</v>
      </c>
      <c r="AC392" s="28" t="s">
        <v>1784</v>
      </c>
      <c r="AD392" s="29" t="str" cm="1">
        <f t="array" ref="AD392">_xlfn.IFS(L392&lt;=Constantes!$G$2,"Muito Curta (evitável)",L392&lt;=Constantes!$H$2,"Curta Distância",L392&gt;Constantes!$H$2,"Longa Distância")</f>
        <v>Curta Distância</v>
      </c>
      <c r="AE392" s="30" t="str">
        <f t="shared" si="33"/>
        <v>NÃO</v>
      </c>
      <c r="AF392" s="30">
        <f>SUMIF(Entradas!$B:$B,'Entrada Lvl 5-4 qt'!$B392,Entradas!$AG:$AG)</f>
        <v>473.43027620438863</v>
      </c>
      <c r="AG392" s="30"/>
      <c r="BD392" s="49"/>
      <c r="BE392" s="49"/>
    </row>
    <row r="393" spans="1:57" x14ac:dyDescent="0.3">
      <c r="A393">
        <f>_xlfn.XLOOKUP(B393,Entradas!B:B,Entradas!A:A,,0,-1)</f>
        <v>1</v>
      </c>
      <c r="B393">
        <v>19573385</v>
      </c>
      <c r="C393" t="str">
        <f>_xlfn.XLOOKUP($B393,Entradas!$B:$B,Entradas!C:C,,0,1)</f>
        <v>001814/23</v>
      </c>
      <c r="D393" t="str">
        <f>_xlfn.XLOOKUP($B393,Entradas!$B:$B,Entradas!D:D,,0,1)</f>
        <v>***.673.604-**</v>
      </c>
      <c r="E393" t="str">
        <f>_xlfn.XLOOKUP($B393,Entradas!$B:$B,Entradas!E:E,,0,1)</f>
        <v>LEANDRO FIRMINO FERNANDES</v>
      </c>
      <c r="F393" t="str">
        <f>_xlfn.XLOOKUP($B393,Entradas!$B:$B,Entradas!F:F,,0,1)</f>
        <v>TECNICO DE LABORATORIO AREA</v>
      </c>
      <c r="G393" t="str">
        <f>_xlfn.XLOOKUP($B393,Entradas!$B:$B,Entradas!G:G,,0,1)</f>
        <v>FG-0002</v>
      </c>
      <c r="H393" t="str">
        <f>_xlfn.XLOOKUP($B393,Entradas!$B:$B,Entradas!H:H,,0,1)</f>
        <v>FG-0002</v>
      </c>
      <c r="I393" s="49">
        <f>_xlfn.XLOOKUP($B393,Entradas!$B:$B,Entradas!I:I,,0,1)</f>
        <v>45264</v>
      </c>
      <c r="J393" s="49">
        <f>_xlfn.XLOOKUP($B393,Entradas!$B:$B,Entradas!J:J,,0,1)</f>
        <v>45269</v>
      </c>
      <c r="K393" t="str">
        <f>_xlfn.XLOOKUP($B393,Entradas!$B:$B,Entradas!K:K,,0,1)</f>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v>
      </c>
      <c r="L393">
        <f>SUMIF(Entradas!$B:$B,'Entrada Lvl 5-4 qt'!$B393,Entradas!S:S)</f>
        <v>2588.8989320000001</v>
      </c>
      <c r="M393" t="str">
        <f>_xlfn.XLOOKUP($B393,Entradas!$B:$B,Entradas!T:T,,0,1)</f>
        <v>Aéreo</v>
      </c>
      <c r="N393" t="str">
        <f>_xlfn.XLOOKUP($B393,Entradas!$B:$B,Entradas!U:U,,0,1)</f>
        <v>Sim</v>
      </c>
      <c r="O393" t="str">
        <f>_xlfn.XLOOKUP($B393,Entradas!$B:$B,Entradas!V:V,,0,1)</f>
        <v>Realizada</v>
      </c>
      <c r="P393" t="str">
        <f>_xlfn.XLOOKUP($B393,Entradas!$B:$B,Entradas!W:W,,0,1)</f>
        <v>SIM</v>
      </c>
      <c r="Q393" t="str">
        <f>_xlfn.XLOOKUP($B393,Entradas!$B:$B,Entradas!X:X,,0,1)</f>
        <v>Recebemos a confirmação da AGEVISA na data de hoje (20/11/2023).</v>
      </c>
      <c r="R393" s="36">
        <f>SUMIF(Entradas!$B:$B,'Entrada Lvl 5-4 qt'!$B393,Entradas!Y:Y)</f>
        <v>1628.71</v>
      </c>
      <c r="S393" s="36">
        <f>SUMIF(Entradas!$B:$B,'Entrada Lvl 5-4 qt'!$B393,Entradas!Z:Z)</f>
        <v>0</v>
      </c>
      <c r="T393" s="36">
        <f>SUMIF(Entradas!$B:$B,'Entrada Lvl 5-4 qt'!$B393,Entradas!AA:AA)</f>
        <v>1688.69</v>
      </c>
      <c r="U393" s="36">
        <f>SUMIF(Entradas!$B:$B,'Entrada Lvl 5-4 qt'!$B393,Entradas!AB:AB)</f>
        <v>0</v>
      </c>
      <c r="V393" s="49">
        <f>_xlfn.XLOOKUP($B393,Entradas!$B:$B,Entradas!AC:AC,,0,1)</f>
        <v>45254</v>
      </c>
      <c r="W393" s="58">
        <f t="shared" si="34"/>
        <v>5</v>
      </c>
      <c r="X393" s="28" t="s">
        <v>10</v>
      </c>
      <c r="Y393" s="32">
        <f t="shared" si="30"/>
        <v>0</v>
      </c>
      <c r="Z393" s="33">
        <f t="shared" si="31"/>
        <v>1688.69</v>
      </c>
      <c r="AA393" s="34">
        <f t="shared" si="32"/>
        <v>1628.71</v>
      </c>
      <c r="AB393" s="28" t="s">
        <v>1817</v>
      </c>
      <c r="AC393" s="28" t="s">
        <v>1784</v>
      </c>
      <c r="AD393" s="29" t="str" cm="1">
        <f t="array" ref="AD393">_xlfn.IFS(L393&lt;=Constantes!$G$2,"Muito Curta (evitável)",L393&lt;=Constantes!$H$2,"Curta Distância",L393&gt;Constantes!$H$2,"Longa Distância")</f>
        <v>Curta Distância</v>
      </c>
      <c r="AE393" s="30" t="str">
        <f t="shared" si="33"/>
        <v>NÃO</v>
      </c>
      <c r="AF393" s="30">
        <f>SUMIF(Entradas!$B:$B,'Entrada Lvl 5-4 qt'!$B393,Entradas!$AG:$AG)</f>
        <v>473.43027620438863</v>
      </c>
      <c r="AG393" s="30"/>
      <c r="BD393" s="49"/>
      <c r="BE393" s="49"/>
    </row>
    <row r="394" spans="1:57" x14ac:dyDescent="0.3">
      <c r="A394">
        <f>_xlfn.XLOOKUP(B394,Entradas!B:B,Entradas!A:A,,0,-1)</f>
        <v>1</v>
      </c>
      <c r="B394">
        <v>19573466</v>
      </c>
      <c r="C394" t="str">
        <f>_xlfn.XLOOKUP($B394,Entradas!$B:$B,Entradas!C:C,,0,1)</f>
        <v>001816/23</v>
      </c>
      <c r="D394" t="str">
        <f>_xlfn.XLOOKUP($B394,Entradas!$B:$B,Entradas!D:D,,0,1)</f>
        <v>***.774.244-**</v>
      </c>
      <c r="E394" t="str">
        <f>_xlfn.XLOOKUP($B394,Entradas!$B:$B,Entradas!E:E,,0,1)</f>
        <v>LUIZ EDUARDO CORDEIRO DE OLIVEIRA</v>
      </c>
      <c r="F394" t="str">
        <f>_xlfn.XLOOKUP($B394,Entradas!$B:$B,Entradas!F:F,,0,1)</f>
        <v>TECNICO EM AGROPECUARIA</v>
      </c>
      <c r="G394" t="str">
        <f>_xlfn.XLOOKUP($B394,Entradas!$B:$B,Entradas!G:G,,0,1)</f>
        <v>FG-0002</v>
      </c>
      <c r="H394" t="str">
        <f>_xlfn.XLOOKUP($B394,Entradas!$B:$B,Entradas!H:H,,0,1)</f>
        <v>FG-0002</v>
      </c>
      <c r="I394" s="49">
        <f>_xlfn.XLOOKUP($B394,Entradas!$B:$B,Entradas!I:I,,0,1)</f>
        <v>45264</v>
      </c>
      <c r="J394" s="49">
        <f>_xlfn.XLOOKUP($B394,Entradas!$B:$B,Entradas!J:J,,0,1)</f>
        <v>45269</v>
      </c>
      <c r="K394" t="str">
        <f>_xlfn.XLOOKUP($B394,Entradas!$B:$B,Entradas!K:K,,0,1)</f>
        <v>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v>
      </c>
      <c r="L394">
        <f>SUMIF(Entradas!$B:$B,'Entrada Lvl 5-4 qt'!$B394,Entradas!S:S)</f>
        <v>2588.8989320000001</v>
      </c>
      <c r="M394" t="str">
        <f>_xlfn.XLOOKUP($B394,Entradas!$B:$B,Entradas!T:T,,0,1)</f>
        <v>Aéreo</v>
      </c>
      <c r="N394" t="str">
        <f>_xlfn.XLOOKUP($B394,Entradas!$B:$B,Entradas!U:U,,0,1)</f>
        <v>Sim</v>
      </c>
      <c r="O394" t="str">
        <f>_xlfn.XLOOKUP($B394,Entradas!$B:$B,Entradas!V:V,,0,1)</f>
        <v>Realizada</v>
      </c>
      <c r="P394" t="str">
        <f>_xlfn.XLOOKUP($B394,Entradas!$B:$B,Entradas!W:W,,0,1)</f>
        <v>SIM</v>
      </c>
      <c r="Q394" t="str">
        <f>_xlfn.XLOOKUP($B394,Entradas!$B:$B,Entradas!X:X,,0,1)</f>
        <v>Recebemos a confirmação da AGEVISA na data de hoje (20/11/2023).</v>
      </c>
      <c r="R394" s="36">
        <f>SUMIF(Entradas!$B:$B,'Entrada Lvl 5-4 qt'!$B394,Entradas!Y:Y)</f>
        <v>1664.86</v>
      </c>
      <c r="S394" s="36">
        <f>SUMIF(Entradas!$B:$B,'Entrada Lvl 5-4 qt'!$B394,Entradas!Z:Z)</f>
        <v>0</v>
      </c>
      <c r="T394" s="36">
        <f>SUMIF(Entradas!$B:$B,'Entrada Lvl 5-4 qt'!$B394,Entradas!AA:AA)</f>
        <v>1688.69</v>
      </c>
      <c r="U394" s="36">
        <f>SUMIF(Entradas!$B:$B,'Entrada Lvl 5-4 qt'!$B394,Entradas!AB:AB)</f>
        <v>0</v>
      </c>
      <c r="V394" s="49">
        <f>_xlfn.XLOOKUP($B394,Entradas!$B:$B,Entradas!AC:AC,,0,1)</f>
        <v>45254</v>
      </c>
      <c r="W394" s="58">
        <f t="shared" si="34"/>
        <v>5</v>
      </c>
      <c r="X394" s="28" t="s">
        <v>10</v>
      </c>
      <c r="Y394" s="32">
        <f t="shared" si="30"/>
        <v>0</v>
      </c>
      <c r="Z394" s="33">
        <f t="shared" si="31"/>
        <v>1688.69</v>
      </c>
      <c r="AA394" s="34">
        <f t="shared" si="32"/>
        <v>1664.86</v>
      </c>
      <c r="AB394" s="28" t="s">
        <v>1817</v>
      </c>
      <c r="AC394" s="28" t="s">
        <v>1784</v>
      </c>
      <c r="AD394" s="29" t="str" cm="1">
        <f t="array" ref="AD394">_xlfn.IFS(L394&lt;=Constantes!$G$2,"Muito Curta (evitável)",L394&lt;=Constantes!$H$2,"Curta Distância",L394&gt;Constantes!$H$2,"Longa Distância")</f>
        <v>Curta Distância</v>
      </c>
      <c r="AE394" s="30" t="str">
        <f t="shared" si="33"/>
        <v>NÃO</v>
      </c>
      <c r="AF394" s="30">
        <f>SUMIF(Entradas!$B:$B,'Entrada Lvl 5-4 qt'!$B394,Entradas!$AG:$AG)</f>
        <v>473.43027620438863</v>
      </c>
      <c r="AG394" s="30"/>
      <c r="BD394" s="49"/>
      <c r="BE394" s="49"/>
    </row>
    <row r="395" spans="1:57" x14ac:dyDescent="0.3">
      <c r="A395">
        <f>_xlfn.XLOOKUP(B395,Entradas!B:B,Entradas!A:A,,0,-1)</f>
        <v>2</v>
      </c>
      <c r="B395">
        <v>19262550</v>
      </c>
      <c r="C395" t="str">
        <f>_xlfn.XLOOKUP($B395,Entradas!$B:$B,Entradas!C:C,,0,1)</f>
        <v>001016/23</v>
      </c>
      <c r="D395" t="str">
        <f>_xlfn.XLOOKUP($B395,Entradas!$B:$B,Entradas!D:D,,0,1)</f>
        <v>***.442.364-**</v>
      </c>
      <c r="E395" t="str">
        <f>_xlfn.XLOOKUP($B395,Entradas!$B:$B,Entradas!E:E,,0,1)</f>
        <v>ANA RAQUEL ROSAS TORRES</v>
      </c>
      <c r="F395" t="str">
        <f>_xlfn.XLOOKUP($B395,Entradas!$B:$B,Entradas!F:F,,0,1)</f>
        <v>PROFESSOR DO MAGISTERIO SUPERIOR</v>
      </c>
      <c r="G395" t="str">
        <f>_xlfn.XLOOKUP($B395,Entradas!$B:$B,Entradas!G:G,,0,1)</f>
        <v>-1</v>
      </c>
      <c r="H395" t="str">
        <f>_xlfn.XLOOKUP($B395,Entradas!$B:$B,Entradas!H:H,,0,1)</f>
        <v>Sem informação</v>
      </c>
      <c r="I395" s="49">
        <f>_xlfn.XLOOKUP($B395,Entradas!$B:$B,Entradas!I:I,,0,1)</f>
        <v>45265</v>
      </c>
      <c r="J395" s="49">
        <f>_xlfn.XLOOKUP($B395,Entradas!$B:$B,Entradas!J:J,,0,1)</f>
        <v>45269</v>
      </c>
      <c r="K395" t="str">
        <f>_xlfn.XLOOKUP($B395,Entradas!$B:$B,Entradas!K:K,,0,1)</f>
        <v>Participar no III Simpósio de Psicologia Social na condição de palestrante.</v>
      </c>
      <c r="L395">
        <f>SUMIF(Entradas!$B:$B,'Entrada Lvl 5-4 qt'!$B395,Entradas!S:S)</f>
        <v>973.46932400000003</v>
      </c>
      <c r="M395" t="str">
        <f>_xlfn.XLOOKUP($B395,Entradas!$B:$B,Entradas!T:T,,0,1)</f>
        <v>Aéreo</v>
      </c>
      <c r="N395" t="str">
        <f>_xlfn.XLOOKUP($B395,Entradas!$B:$B,Entradas!U:U,,0,1)</f>
        <v>Não</v>
      </c>
      <c r="O395" t="str">
        <f>_xlfn.XLOOKUP($B395,Entradas!$B:$B,Entradas!V:V,,0,1)</f>
        <v>Realizada</v>
      </c>
      <c r="P395" t="str">
        <f>_xlfn.XLOOKUP($B395,Entradas!$B:$B,Entradas!W:W,,0,1)</f>
        <v>NÃO</v>
      </c>
      <c r="Q395" t="str">
        <f>_xlfn.XLOOKUP($B395,Entradas!$B:$B,Entradas!X:X,,0,1)</f>
        <v>Sem informação</v>
      </c>
      <c r="R395" s="36">
        <f>SUMIF(Entradas!$B:$B,'Entrada Lvl 5-4 qt'!$B395,Entradas!Y:Y)</f>
        <v>1509.95</v>
      </c>
      <c r="S395" s="36">
        <f>SUMIF(Entradas!$B:$B,'Entrada Lvl 5-4 qt'!$B395,Entradas!Z:Z)</f>
        <v>0</v>
      </c>
      <c r="T395" s="36">
        <f>SUMIF(Entradas!$B:$B,'Entrada Lvl 5-4 qt'!$B395,Entradas!AA:AA)</f>
        <v>3196.56</v>
      </c>
      <c r="U395" s="36">
        <f>SUMIF(Entradas!$B:$B,'Entrada Lvl 5-4 qt'!$B395,Entradas!AB:AB)</f>
        <v>0</v>
      </c>
      <c r="V395" s="49">
        <f>_xlfn.XLOOKUP($B395,Entradas!$B:$B,Entradas!AC:AC,,0,1)</f>
        <v>45175</v>
      </c>
      <c r="W395" s="58">
        <f t="shared" si="34"/>
        <v>4</v>
      </c>
      <c r="X395" s="28" t="s">
        <v>10</v>
      </c>
      <c r="Y395" s="32">
        <f t="shared" si="30"/>
        <v>0</v>
      </c>
      <c r="Z395" s="33">
        <f t="shared" si="31"/>
        <v>3196.56</v>
      </c>
      <c r="AA395" s="34">
        <f t="shared" si="32"/>
        <v>1509.95</v>
      </c>
      <c r="AB395" s="28" t="s">
        <v>1814</v>
      </c>
      <c r="AC395" s="28" t="s">
        <v>1820</v>
      </c>
      <c r="AD395" s="29" t="str" cm="1">
        <f t="array" ref="AD395">_xlfn.IFS(L395&lt;=Constantes!$G$2,"Muito Curta (evitável)",L395&lt;=Constantes!$H$2,"Curta Distância",L395&gt;Constantes!$H$2,"Longa Distância")</f>
        <v>Curta Distância</v>
      </c>
      <c r="AE395" s="30" t="str">
        <f t="shared" si="33"/>
        <v>NÃO</v>
      </c>
      <c r="AF395" s="30">
        <f>SUMIF(Entradas!$B:$B,'Entrada Lvl 5-4 qt'!$B395,Entradas!$AG:$AG)</f>
        <v>265.34513886071062</v>
      </c>
      <c r="AG395" s="30"/>
      <c r="BD395" s="49"/>
      <c r="BE395" s="49"/>
    </row>
    <row r="396" spans="1:57" x14ac:dyDescent="0.3">
      <c r="A396">
        <f>_xlfn.XLOOKUP(B396,Entradas!B:B,Entradas!A:A,,0,-1)</f>
        <v>2</v>
      </c>
      <c r="B396">
        <v>19383526</v>
      </c>
      <c r="C396" t="str">
        <f>_xlfn.XLOOKUP($B396,Entradas!$B:$B,Entradas!C:C,,0,1)</f>
        <v>001391/23</v>
      </c>
      <c r="D396" t="str">
        <f>_xlfn.XLOOKUP($B396,Entradas!$B:$B,Entradas!D:D,,0,1)</f>
        <v>***.212.634-**</v>
      </c>
      <c r="E396" t="str">
        <f>_xlfn.XLOOKUP($B396,Entradas!$B:$B,Entradas!E:E,,0,1)</f>
        <v>JULIO RIQUE NETO</v>
      </c>
      <c r="F396" t="str">
        <f>_xlfn.XLOOKUP($B396,Entradas!$B:$B,Entradas!F:F,,0,1)</f>
        <v>PROFESSOR DO MAGISTERIO SUPERIOR</v>
      </c>
      <c r="G396" t="str">
        <f>_xlfn.XLOOKUP($B396,Entradas!$B:$B,Entradas!G:G,,0,1)</f>
        <v>FUC-0001</v>
      </c>
      <c r="H396" t="str">
        <f>_xlfn.XLOOKUP($B396,Entradas!$B:$B,Entradas!H:H,,0,1)</f>
        <v>FUC-0001</v>
      </c>
      <c r="I396" s="49">
        <f>_xlfn.XLOOKUP($B396,Entradas!$B:$B,Entradas!I:I,,0,1)</f>
        <v>45265</v>
      </c>
      <c r="J396" s="49">
        <f>_xlfn.XLOOKUP($B396,Entradas!$B:$B,Entradas!J:J,,0,1)</f>
        <v>45269</v>
      </c>
      <c r="K396" t="str">
        <f>_xlfn.XLOOKUP($B396,Entradas!$B:$B,Entradas!K:K,,0,1)</f>
        <v>Participar no III Simpósio de Psicologia Social, conforme convite anexo.</v>
      </c>
      <c r="L396">
        <f>SUMIF(Entradas!$B:$B,'Entrada Lvl 5-4 qt'!$B396,Entradas!S:S)</f>
        <v>973.46932400000003</v>
      </c>
      <c r="M396" t="str">
        <f>_xlfn.XLOOKUP($B396,Entradas!$B:$B,Entradas!T:T,,0,1)</f>
        <v>Aéreo</v>
      </c>
      <c r="N396" t="str">
        <f>_xlfn.XLOOKUP($B396,Entradas!$B:$B,Entradas!U:U,,0,1)</f>
        <v>Sim</v>
      </c>
      <c r="O396" t="str">
        <f>_xlfn.XLOOKUP($B396,Entradas!$B:$B,Entradas!V:V,,0,1)</f>
        <v>Realizada</v>
      </c>
      <c r="P396" t="str">
        <f>_xlfn.XLOOKUP($B396,Entradas!$B:$B,Entradas!W:W,,0,1)</f>
        <v>NÃO</v>
      </c>
      <c r="Q396" t="str">
        <f>_xlfn.XLOOKUP($B396,Entradas!$B:$B,Entradas!X:X,,0,1)</f>
        <v>Sem informação</v>
      </c>
      <c r="R396" s="36">
        <f>SUMIF(Entradas!$B:$B,'Entrada Lvl 5-4 qt'!$B396,Entradas!Y:Y)</f>
        <v>1509.95</v>
      </c>
      <c r="S396" s="36">
        <f>SUMIF(Entradas!$B:$B,'Entrada Lvl 5-4 qt'!$B396,Entradas!Z:Z)</f>
        <v>0</v>
      </c>
      <c r="T396" s="36">
        <f>SUMIF(Entradas!$B:$B,'Entrada Lvl 5-4 qt'!$B396,Entradas!AA:AA)</f>
        <v>1446.3600000000001</v>
      </c>
      <c r="U396" s="36">
        <f>SUMIF(Entradas!$B:$B,'Entrada Lvl 5-4 qt'!$B396,Entradas!AB:AB)</f>
        <v>0</v>
      </c>
      <c r="V396" s="49">
        <f>_xlfn.XLOOKUP($B396,Entradas!$B:$B,Entradas!AC:AC,,0,1)</f>
        <v>45209</v>
      </c>
      <c r="W396" s="58">
        <f t="shared" si="34"/>
        <v>4</v>
      </c>
      <c r="X396" s="28" t="s">
        <v>10</v>
      </c>
      <c r="Y396" s="32">
        <f t="shared" si="30"/>
        <v>0</v>
      </c>
      <c r="Z396" s="33">
        <f t="shared" si="31"/>
        <v>1446.3600000000001</v>
      </c>
      <c r="AA396" s="34">
        <f t="shared" si="32"/>
        <v>1509.95</v>
      </c>
      <c r="AB396" s="28" t="s">
        <v>1814</v>
      </c>
      <c r="AC396" s="28" t="s">
        <v>1820</v>
      </c>
      <c r="AD396" s="29" t="str" cm="1">
        <f t="array" ref="AD396">_xlfn.IFS(L396&lt;=Constantes!$G$2,"Muito Curta (evitável)",L396&lt;=Constantes!$H$2,"Curta Distância",L396&gt;Constantes!$H$2,"Longa Distância")</f>
        <v>Curta Distância</v>
      </c>
      <c r="AE396" s="30" t="str">
        <f t="shared" si="33"/>
        <v>NÃO</v>
      </c>
      <c r="AF396" s="30">
        <f>SUMIF(Entradas!$B:$B,'Entrada Lvl 5-4 qt'!$B396,Entradas!$AG:$AG)</f>
        <v>265.34513886071062</v>
      </c>
      <c r="AG396" s="30"/>
      <c r="BD396" s="49"/>
      <c r="BE396" s="49"/>
    </row>
    <row r="397" spans="1:57" x14ac:dyDescent="0.3">
      <c r="A397">
        <f>_xlfn.XLOOKUP(B397,Entradas!B:B,Entradas!A:A,,0,-1)</f>
        <v>2</v>
      </c>
      <c r="B397">
        <v>19608735</v>
      </c>
      <c r="C397" t="str">
        <f>_xlfn.XLOOKUP($B397,Entradas!$B:$B,Entradas!C:C,,0,1)</f>
        <v>001976/23</v>
      </c>
      <c r="D397" t="str">
        <f>_xlfn.XLOOKUP($B397,Entradas!$B:$B,Entradas!D:D,,0,1)</f>
        <v>***.051.554-**</v>
      </c>
      <c r="E397" t="str">
        <f>_xlfn.XLOOKUP($B397,Entradas!$B:$B,Entradas!E:E,,0,1)</f>
        <v>VALDINEY VELOSO GOUVEIA</v>
      </c>
      <c r="F397" t="str">
        <f>_xlfn.XLOOKUP($B397,Entradas!$B:$B,Entradas!F:F,,0,1)</f>
        <v>PROFESSOR DO MAGISTERIO SUPERIOR</v>
      </c>
      <c r="G397" t="str">
        <f>_xlfn.XLOOKUP($B397,Entradas!$B:$B,Entradas!G:G,,0,1)</f>
        <v>CD-0001</v>
      </c>
      <c r="H397" t="str">
        <f>_xlfn.XLOOKUP($B397,Entradas!$B:$B,Entradas!H:H,,0,1)</f>
        <v>Cargo Comissionado de Direção</v>
      </c>
      <c r="I397" s="49">
        <f>_xlfn.XLOOKUP($B397,Entradas!$B:$B,Entradas!I:I,,0,1)</f>
        <v>45265</v>
      </c>
      <c r="J397" s="49">
        <f>_xlfn.XLOOKUP($B397,Entradas!$B:$B,Entradas!J:J,,0,1)</f>
        <v>45265</v>
      </c>
      <c r="K397" t="str">
        <f>_xlfn.XLOOKUP($B397,Entradas!$B:$B,Entradas!K:K,,0,1)</f>
        <v>Participar de reunião com a Presidência da EBSERH, no dia 05/12/2023, em Brasília/DF</v>
      </c>
      <c r="L397">
        <f>SUMIF(Entradas!$B:$B,'Entrada Lvl 5-4 qt'!$B397,Entradas!S:S)</f>
        <v>3426.839982</v>
      </c>
      <c r="M397" t="str">
        <f>_xlfn.XLOOKUP($B397,Entradas!$B:$B,Entradas!T:T,,0,1)</f>
        <v>Aéreo</v>
      </c>
      <c r="N397" t="str">
        <f>_xlfn.XLOOKUP($B397,Entradas!$B:$B,Entradas!U:U,,0,1)</f>
        <v>Sim</v>
      </c>
      <c r="O397" t="str">
        <f>_xlfn.XLOOKUP($B397,Entradas!$B:$B,Entradas!V:V,,0,1)</f>
        <v>Realizada</v>
      </c>
      <c r="P397" t="str">
        <f>_xlfn.XLOOKUP($B397,Entradas!$B:$B,Entradas!W:W,,0,1)</f>
        <v>SIM</v>
      </c>
      <c r="Q397" t="str">
        <f>_xlfn.XLOOKUP($B397,Entradas!$B:$B,Entradas!X:X,,0,1)</f>
        <v>A reunião foi decidida hoje à tarde (04/12/2023), pelo telefone com a presidência da EBSERH, conforme justificativa no formulário de solicitação</v>
      </c>
      <c r="R397" s="36">
        <f>SUMIF(Entradas!$B:$B,'Entrada Lvl 5-4 qt'!$B397,Entradas!Y:Y)</f>
        <v>281.83</v>
      </c>
      <c r="S397" s="36">
        <f>SUMIF(Entradas!$B:$B,'Entrada Lvl 5-4 qt'!$B397,Entradas!Z:Z)</f>
        <v>0</v>
      </c>
      <c r="T397" s="36">
        <f>SUMIF(Entradas!$B:$B,'Entrada Lvl 5-4 qt'!$B397,Entradas!AA:AA)</f>
        <v>5855.2000000000007</v>
      </c>
      <c r="U397" s="36">
        <f>SUMIF(Entradas!$B:$B,'Entrada Lvl 5-4 qt'!$B397,Entradas!AB:AB)</f>
        <v>0</v>
      </c>
      <c r="V397" s="49">
        <f>_xlfn.XLOOKUP($B397,Entradas!$B:$B,Entradas!AC:AC,,0,1)</f>
        <v>45264</v>
      </c>
      <c r="W397" s="58">
        <f t="shared" si="34"/>
        <v>0</v>
      </c>
      <c r="X397" s="28" t="s">
        <v>10</v>
      </c>
      <c r="Y397" s="32">
        <f t="shared" si="30"/>
        <v>0</v>
      </c>
      <c r="Z397" s="33">
        <f t="shared" si="31"/>
        <v>5855.2000000000007</v>
      </c>
      <c r="AA397" s="34">
        <f t="shared" si="32"/>
        <v>281.83</v>
      </c>
      <c r="AB397" s="28" t="s">
        <v>1815</v>
      </c>
      <c r="AC397" s="28" t="s">
        <v>1784</v>
      </c>
      <c r="AD397" s="29" t="str" cm="1">
        <f t="array" ref="AD397">_xlfn.IFS(L397&lt;=Constantes!$G$2,"Muito Curta (evitável)",L397&lt;=Constantes!$H$2,"Curta Distância",L397&gt;Constantes!$H$2,"Longa Distância")</f>
        <v>Curta Distância</v>
      </c>
      <c r="AE397" s="30" t="str">
        <f t="shared" si="33"/>
        <v>NÃO</v>
      </c>
      <c r="AF397" s="30">
        <f>SUMIF(Entradas!$B:$B,'Entrada Lvl 5-4 qt'!$B397,Entradas!$AG:$AG)</f>
        <v>626.66401501165365</v>
      </c>
      <c r="AG397" s="30"/>
      <c r="BD397" s="49"/>
      <c r="BE397" s="49"/>
    </row>
    <row r="398" spans="1:57" x14ac:dyDescent="0.3">
      <c r="A398">
        <f>_xlfn.XLOOKUP(B398,Entradas!B:B,Entradas!A:A,,0,-1)</f>
        <v>2</v>
      </c>
      <c r="B398">
        <v>19249317</v>
      </c>
      <c r="C398" t="str">
        <f>_xlfn.XLOOKUP($B398,Entradas!$B:$B,Entradas!C:C,,0,1)</f>
        <v>000996/23</v>
      </c>
      <c r="D398" t="str">
        <f>_xlfn.XLOOKUP($B398,Entradas!$B:$B,Entradas!D:D,,0,1)</f>
        <v>***.971.244-**</v>
      </c>
      <c r="E398" t="str">
        <f>_xlfn.XLOOKUP($B398,Entradas!$B:$B,Entradas!E:E,,0,1)</f>
        <v>GUSTAVO HENRIQUE DE ARAUJO FREIRE</v>
      </c>
      <c r="F398" t="str">
        <f>_xlfn.XLOOKUP($B398,Entradas!$B:$B,Entradas!F:F,,0,1)</f>
        <v>PROFESSOR DO MAGISTERIO SUPERIOR</v>
      </c>
      <c r="G398" t="str">
        <f>_xlfn.XLOOKUP($B398,Entradas!$B:$B,Entradas!G:G,,0,1)</f>
        <v>FUC-0001</v>
      </c>
      <c r="H398" t="str">
        <f>_xlfn.XLOOKUP($B398,Entradas!$B:$B,Entradas!H:H,,0,1)</f>
        <v>FUC-0001</v>
      </c>
      <c r="I398" s="49">
        <f>_xlfn.XLOOKUP($B398,Entradas!$B:$B,Entradas!I:I,,0,1)</f>
        <v>45270</v>
      </c>
      <c r="J398" s="49">
        <f>_xlfn.XLOOKUP($B398,Entradas!$B:$B,Entradas!J:J,,0,1)</f>
        <v>45277</v>
      </c>
      <c r="K398" t="str">
        <f>_xlfn.XLOOKUP($B398,Entradas!$B:$B,Entradas!K:K,,0,1)</f>
        <v>Ministrar disciplina regular, Políticas de Informação, no programa de Pós-Graduação em Ciência da Informação no período de 11/12/23 a 16/12/23</v>
      </c>
      <c r="L398">
        <f>SUMIF(Entradas!$B:$B,'Entrada Lvl 5-4 qt'!$B398,Entradas!S:S)</f>
        <v>3923.0015720000001</v>
      </c>
      <c r="M398" t="str">
        <f>_xlfn.XLOOKUP($B398,Entradas!$B:$B,Entradas!T:T,,0,1)</f>
        <v>Aéreo</v>
      </c>
      <c r="N398" t="str">
        <f>_xlfn.XLOOKUP($B398,Entradas!$B:$B,Entradas!U:U,,0,1)</f>
        <v>Não</v>
      </c>
      <c r="O398" t="str">
        <f>_xlfn.XLOOKUP($B398,Entradas!$B:$B,Entradas!V:V,,0,1)</f>
        <v>Realizada</v>
      </c>
      <c r="P398" t="str">
        <f>_xlfn.XLOOKUP($B398,Entradas!$B:$B,Entradas!W:W,,0,1)</f>
        <v>NÃO</v>
      </c>
      <c r="Q398" t="str">
        <f>_xlfn.XLOOKUP($B398,Entradas!$B:$B,Entradas!X:X,,0,1)</f>
        <v>Sem informação</v>
      </c>
      <c r="R398" s="36">
        <f>SUMIF(Entradas!$B:$B,'Entrada Lvl 5-4 qt'!$B398,Entradas!Y:Y)</f>
        <v>2503.1</v>
      </c>
      <c r="S398" s="36">
        <f>SUMIF(Entradas!$B:$B,'Entrada Lvl 5-4 qt'!$B398,Entradas!Z:Z)</f>
        <v>0</v>
      </c>
      <c r="T398" s="36">
        <f>SUMIF(Entradas!$B:$B,'Entrada Lvl 5-4 qt'!$B398,Entradas!AA:AA)</f>
        <v>1263.69</v>
      </c>
      <c r="U398" s="36">
        <f>SUMIF(Entradas!$B:$B,'Entrada Lvl 5-4 qt'!$B398,Entradas!AB:AB)</f>
        <v>0</v>
      </c>
      <c r="V398" s="49">
        <f>_xlfn.XLOOKUP($B398,Entradas!$B:$B,Entradas!AC:AC,,0,1)</f>
        <v>45177</v>
      </c>
      <c r="W398" s="58">
        <f t="shared" si="34"/>
        <v>7</v>
      </c>
      <c r="X398" s="28" t="s">
        <v>10</v>
      </c>
      <c r="Y398" s="32">
        <f t="shared" si="30"/>
        <v>0</v>
      </c>
      <c r="Z398" s="33">
        <f t="shared" si="31"/>
        <v>1263.69</v>
      </c>
      <c r="AA398" s="34">
        <f t="shared" si="32"/>
        <v>2503.1</v>
      </c>
      <c r="AB398" s="28" t="s">
        <v>1814</v>
      </c>
      <c r="AC398" s="28" t="s">
        <v>1820</v>
      </c>
      <c r="AD398" s="29" t="str" cm="1">
        <f t="array" ref="AD398">_xlfn.IFS(L398&lt;=Constantes!$G$2,"Muito Curta (evitável)",L398&lt;=Constantes!$H$2,"Curta Distância",L398&gt;Constantes!$H$2,"Longa Distância")</f>
        <v>Longa Distância</v>
      </c>
      <c r="AE398" s="30" t="str">
        <f t="shared" si="33"/>
        <v>NÃO</v>
      </c>
      <c r="AF398" s="30">
        <f>SUMIF(Entradas!$B:$B,'Entrada Lvl 5-4 qt'!$B398,Entradas!$AG:$AG)</f>
        <v>717.39676463438343</v>
      </c>
      <c r="AG398" s="30"/>
      <c r="BD398" s="49"/>
      <c r="BE398" s="49"/>
    </row>
    <row r="399" spans="1:57" x14ac:dyDescent="0.3">
      <c r="A399">
        <f>_xlfn.XLOOKUP(B399,Entradas!B:B,Entradas!A:A,,0,-1)</f>
        <v>1</v>
      </c>
      <c r="B399">
        <v>19243314</v>
      </c>
      <c r="C399" t="str">
        <f>_xlfn.XLOOKUP($B399,Entradas!$B:$B,Entradas!C:C,,0,1)</f>
        <v>001045/23</v>
      </c>
      <c r="D399" t="str">
        <f>_xlfn.XLOOKUP($B399,Entradas!$B:$B,Entradas!D:D,,0,1)</f>
        <v>***.023.839-**</v>
      </c>
      <c r="E399" t="str">
        <f>_xlfn.XLOOKUP($B399,Entradas!$B:$B,Entradas!E:E,,0,1)</f>
        <v>SOLANGE MARIA LEDER</v>
      </c>
      <c r="F399" t="str">
        <f>_xlfn.XLOOKUP($B399,Entradas!$B:$B,Entradas!F:F,,0,1)</f>
        <v>PROFESSOR DO MAGISTERIO SUPERIOR</v>
      </c>
      <c r="G399" t="str">
        <f>_xlfn.XLOOKUP($B399,Entradas!$B:$B,Entradas!G:G,,0,1)</f>
        <v>-1</v>
      </c>
      <c r="H399" t="str">
        <f>_xlfn.XLOOKUP($B399,Entradas!$B:$B,Entradas!H:H,,0,1)</f>
        <v>Sem informação</v>
      </c>
      <c r="I399" s="49">
        <f>_xlfn.XLOOKUP($B399,Entradas!$B:$B,Entradas!I:I,,0,1)</f>
        <v>45271</v>
      </c>
      <c r="J399" s="49">
        <f>_xlfn.XLOOKUP($B399,Entradas!$B:$B,Entradas!J:J,,0,1)</f>
        <v>45282</v>
      </c>
      <c r="K399" t="str">
        <f>_xlfn.XLOOKUP($B399,Entradas!$B:$B,Entradas!K:K,,0,1)</f>
        <v>Missão técnica no período de 11 a 22 de dezembro a ser realizada na Universidade Tecnológica Federal do Paraná (UTFPR), na Universidade Federal do Paraná (UFPR), ambas em Curitiba/PR e na Universidade Federal de Santa Catarina (UFSC), em Florianópolis/SC.</v>
      </c>
      <c r="L399">
        <f>SUMIF(Entradas!$B:$B,'Entrada Lvl 5-4 qt'!$B399,Entradas!S:S)</f>
        <v>2695.5823350000001</v>
      </c>
      <c r="M399" t="str">
        <f>_xlfn.XLOOKUP($B399,Entradas!$B:$B,Entradas!T:T,,0,1)</f>
        <v>Aéreo</v>
      </c>
      <c r="N399" t="str">
        <f>_xlfn.XLOOKUP($B399,Entradas!$B:$B,Entradas!U:U,,0,1)</f>
        <v>Sim</v>
      </c>
      <c r="O399" t="str">
        <f>_xlfn.XLOOKUP($B399,Entradas!$B:$B,Entradas!V:V,,0,1)</f>
        <v>Realizada</v>
      </c>
      <c r="P399" t="str">
        <f>_xlfn.XLOOKUP($B399,Entradas!$B:$B,Entradas!W:W,,0,1)</f>
        <v>NÃO</v>
      </c>
      <c r="Q399" t="str">
        <f>_xlfn.XLOOKUP($B399,Entradas!$B:$B,Entradas!X:X,,0,1)</f>
        <v>Sem informação</v>
      </c>
      <c r="R399" s="36">
        <f>SUMIF(Entradas!$B:$B,'Entrada Lvl 5-4 qt'!$B399,Entradas!Y:Y)</f>
        <v>3717.63</v>
      </c>
      <c r="S399" s="36">
        <f>SUMIF(Entradas!$B:$B,'Entrada Lvl 5-4 qt'!$B399,Entradas!Z:Z)</f>
        <v>0</v>
      </c>
      <c r="T399" s="36">
        <f>SUMIF(Entradas!$B:$B,'Entrada Lvl 5-4 qt'!$B399,Entradas!AA:AA)</f>
        <v>873.59</v>
      </c>
      <c r="U399" s="36">
        <f>SUMIF(Entradas!$B:$B,'Entrada Lvl 5-4 qt'!$B399,Entradas!AB:AB)</f>
        <v>0</v>
      </c>
      <c r="V399" s="49">
        <f>_xlfn.XLOOKUP($B399,Entradas!$B:$B,Entradas!AC:AC,,0,1)</f>
        <v>45181</v>
      </c>
      <c r="W399" s="58">
        <f t="shared" si="34"/>
        <v>11</v>
      </c>
      <c r="X399" s="28" t="s">
        <v>10</v>
      </c>
      <c r="Y399" s="32">
        <f t="shared" si="30"/>
        <v>0</v>
      </c>
      <c r="Z399" s="33">
        <f t="shared" si="31"/>
        <v>873.59</v>
      </c>
      <c r="AA399" s="34">
        <f t="shared" si="32"/>
        <v>3717.63</v>
      </c>
      <c r="AB399" s="28" t="s">
        <v>1813</v>
      </c>
      <c r="AC399" s="28" t="s">
        <v>1820</v>
      </c>
      <c r="AD399" s="29" t="str" cm="1">
        <f t="array" ref="AD399">_xlfn.IFS(L399&lt;=Constantes!$G$2,"Muito Curta (evitável)",L399&lt;=Constantes!$H$2,"Curta Distância",L399&gt;Constantes!$H$2,"Longa Distância")</f>
        <v>Curta Distância</v>
      </c>
      <c r="AE399" s="30" t="str">
        <f t="shared" si="33"/>
        <v>NÃO</v>
      </c>
      <c r="AF399" s="30">
        <f>SUMIF(Entradas!$B:$B,'Entrada Lvl 5-4 qt'!$B399,Entradas!$AG:$AG)</f>
        <v>492.93940123218408</v>
      </c>
      <c r="AG399" s="30"/>
      <c r="BD399" s="49"/>
      <c r="BE399" s="49"/>
    </row>
    <row r="400" spans="1:57" x14ac:dyDescent="0.3">
      <c r="A400">
        <f>_xlfn.XLOOKUP(B400,Entradas!B:B,Entradas!A:A,,0,-1)</f>
        <v>2</v>
      </c>
      <c r="B400">
        <v>19331181</v>
      </c>
      <c r="C400" t="str">
        <f>_xlfn.XLOOKUP($B400,Entradas!$B:$B,Entradas!C:C,,0,1)</f>
        <v>001205/23</v>
      </c>
      <c r="D400" t="str">
        <f>_xlfn.XLOOKUP($B400,Entradas!$B:$B,Entradas!D:D,,0,1)</f>
        <v>***.881.874-**</v>
      </c>
      <c r="E400" t="str">
        <f>_xlfn.XLOOKUP($B400,Entradas!$B:$B,Entradas!E:E,,0,1)</f>
        <v>WALLACE PATRICK SANTOS DE FARIAS SOUZA</v>
      </c>
      <c r="F400" t="str">
        <f>_xlfn.XLOOKUP($B400,Entradas!$B:$B,Entradas!F:F,,0,1)</f>
        <v>PROFESSOR DO MAGISTERIO SUPERIOR</v>
      </c>
      <c r="G400" t="str">
        <f>_xlfn.XLOOKUP($B400,Entradas!$B:$B,Entradas!G:G,,0,1)</f>
        <v>-1</v>
      </c>
      <c r="H400" t="str">
        <f>_xlfn.XLOOKUP($B400,Entradas!$B:$B,Entradas!H:H,,0,1)</f>
        <v>Sem informação</v>
      </c>
      <c r="I400" s="49">
        <f>_xlfn.XLOOKUP($B400,Entradas!$B:$B,Entradas!I:I,,0,1)</f>
        <v>45271</v>
      </c>
      <c r="J400" s="49">
        <f>_xlfn.XLOOKUP($B400,Entradas!$B:$B,Entradas!J:J,,0,1)</f>
        <v>45275</v>
      </c>
      <c r="K400" t="str">
        <f>_xlfn.XLOOKUP($B400,Entradas!$B:$B,Entradas!K:K,,0,1)</f>
        <v>PARTICIPAÇÃO E APRESENTAÇÃO DE TRABALHO NO 51º ENCONTRO NACIONAL DE ECONOMIA DA ANPEC - RIO DE JANEIRO</v>
      </c>
      <c r="L400">
        <f>SUMIF(Entradas!$B:$B,'Entrada Lvl 5-4 qt'!$B400,Entradas!S:S)</f>
        <v>3923.0015720000001</v>
      </c>
      <c r="M400" t="str">
        <f>_xlfn.XLOOKUP($B400,Entradas!$B:$B,Entradas!T:T,,0,1)</f>
        <v>Aéreo</v>
      </c>
      <c r="N400" t="str">
        <f>_xlfn.XLOOKUP($B400,Entradas!$B:$B,Entradas!U:U,,0,1)</f>
        <v>Sim</v>
      </c>
      <c r="O400" t="str">
        <f>_xlfn.XLOOKUP($B400,Entradas!$B:$B,Entradas!V:V,,0,1)</f>
        <v>Realizada</v>
      </c>
      <c r="P400" t="str">
        <f>_xlfn.XLOOKUP($B400,Entradas!$B:$B,Entradas!W:W,,0,1)</f>
        <v>NÃO</v>
      </c>
      <c r="Q400" t="str">
        <f>_xlfn.XLOOKUP($B400,Entradas!$B:$B,Entradas!X:X,,0,1)</f>
        <v>Sem informação</v>
      </c>
      <c r="R400" s="36">
        <f>SUMIF(Entradas!$B:$B,'Entrada Lvl 5-4 qt'!$B400,Entradas!Y:Y)</f>
        <v>1660.58</v>
      </c>
      <c r="S400" s="36">
        <f>SUMIF(Entradas!$B:$B,'Entrada Lvl 5-4 qt'!$B400,Entradas!Z:Z)</f>
        <v>0</v>
      </c>
      <c r="T400" s="36">
        <f>SUMIF(Entradas!$B:$B,'Entrada Lvl 5-4 qt'!$B400,Entradas!AA:AA)</f>
        <v>1713.3899999999999</v>
      </c>
      <c r="U400" s="36">
        <f>SUMIF(Entradas!$B:$B,'Entrada Lvl 5-4 qt'!$B400,Entradas!AB:AB)</f>
        <v>0</v>
      </c>
      <c r="V400" s="49">
        <f>_xlfn.XLOOKUP($B400,Entradas!$B:$B,Entradas!AC:AC,,0,1)</f>
        <v>45201</v>
      </c>
      <c r="W400" s="58">
        <f t="shared" si="34"/>
        <v>4</v>
      </c>
      <c r="X400" s="28" t="s">
        <v>10</v>
      </c>
      <c r="Y400" s="32">
        <f t="shared" si="30"/>
        <v>0</v>
      </c>
      <c r="Z400" s="33">
        <f t="shared" si="31"/>
        <v>1713.3899999999999</v>
      </c>
      <c r="AA400" s="34">
        <f t="shared" si="32"/>
        <v>1660.58</v>
      </c>
      <c r="AB400" s="28" t="s">
        <v>1814</v>
      </c>
      <c r="AC400" s="28" t="s">
        <v>1820</v>
      </c>
      <c r="AD400" s="29" t="str" cm="1">
        <f t="array" ref="AD400">_xlfn.IFS(L400&lt;=Constantes!$G$2,"Muito Curta (evitável)",L400&lt;=Constantes!$H$2,"Curta Distância",L400&gt;Constantes!$H$2,"Longa Distância")</f>
        <v>Longa Distância</v>
      </c>
      <c r="AE400" s="30" t="str">
        <f t="shared" si="33"/>
        <v>NÃO</v>
      </c>
      <c r="AF400" s="30">
        <f>SUMIF(Entradas!$B:$B,'Entrada Lvl 5-4 qt'!$B400,Entradas!$AG:$AG)</f>
        <v>717.39676463438343</v>
      </c>
      <c r="AG400" s="30"/>
      <c r="BD400" s="49"/>
      <c r="BE400" s="49"/>
    </row>
    <row r="401" spans="1:57" x14ac:dyDescent="0.3">
      <c r="A401">
        <f>_xlfn.XLOOKUP(B401,Entradas!B:B,Entradas!A:A,,0,-1)</f>
        <v>2</v>
      </c>
      <c r="B401">
        <v>19332563</v>
      </c>
      <c r="C401" t="str">
        <f>_xlfn.XLOOKUP($B401,Entradas!$B:$B,Entradas!C:C,,0,1)</f>
        <v>001209/23</v>
      </c>
      <c r="D401" t="str">
        <f>_xlfn.XLOOKUP($B401,Entradas!$B:$B,Entradas!D:D,,0,1)</f>
        <v>***.006.730-**</v>
      </c>
      <c r="E401" t="str">
        <f>_xlfn.XLOOKUP($B401,Entradas!$B:$B,Entradas!E:E,,0,1)</f>
        <v>ANDRE DE MATTOS MARQUES</v>
      </c>
      <c r="F401" t="str">
        <f>_xlfn.XLOOKUP($B401,Entradas!$B:$B,Entradas!F:F,,0,1)</f>
        <v>PROFESSOR DO MAGISTERIO SUPERIOR</v>
      </c>
      <c r="G401" t="str">
        <f>_xlfn.XLOOKUP($B401,Entradas!$B:$B,Entradas!G:G,,0,1)</f>
        <v>-1</v>
      </c>
      <c r="H401" t="str">
        <f>_xlfn.XLOOKUP($B401,Entradas!$B:$B,Entradas!H:H,,0,1)</f>
        <v>Sem informação</v>
      </c>
      <c r="I401" s="49">
        <f>_xlfn.XLOOKUP($B401,Entradas!$B:$B,Entradas!I:I,,0,1)</f>
        <v>45271</v>
      </c>
      <c r="J401" s="49">
        <f>_xlfn.XLOOKUP($B401,Entradas!$B:$B,Entradas!J:J,,0,1)</f>
        <v>45275</v>
      </c>
      <c r="K401" t="str">
        <f>_xlfn.XLOOKUP($B401,Entradas!$B:$B,Entradas!K:K,,0,1)</f>
        <v>Apresentação oral do trabalho intitulado 'Does fertility affect growth? Evidence and simulation results from alternative quantile regression estimators' no 51º Encontro Nacional de Economia, no Rio de Janeiro/RJ, no período de 12 a 15 de dezembro de 2023.</v>
      </c>
      <c r="L401">
        <f>SUMIF(Entradas!$B:$B,'Entrada Lvl 5-4 qt'!$B401,Entradas!S:S)</f>
        <v>3923.0015720000001</v>
      </c>
      <c r="M401" t="str">
        <f>_xlfn.XLOOKUP($B401,Entradas!$B:$B,Entradas!T:T,,0,1)</f>
        <v>Aéreo</v>
      </c>
      <c r="N401" t="str">
        <f>_xlfn.XLOOKUP($B401,Entradas!$B:$B,Entradas!U:U,,0,1)</f>
        <v>Não</v>
      </c>
      <c r="O401" t="str">
        <f>_xlfn.XLOOKUP($B401,Entradas!$B:$B,Entradas!V:V,,0,1)</f>
        <v>Realizada</v>
      </c>
      <c r="P401" t="str">
        <f>_xlfn.XLOOKUP($B401,Entradas!$B:$B,Entradas!W:W,,0,1)</f>
        <v>NÃO</v>
      </c>
      <c r="Q401" t="str">
        <f>_xlfn.XLOOKUP($B401,Entradas!$B:$B,Entradas!X:X,,0,1)</f>
        <v>Sem informação</v>
      </c>
      <c r="R401" s="36">
        <f>SUMIF(Entradas!$B:$B,'Entrada Lvl 5-4 qt'!$B401,Entradas!Y:Y)</f>
        <v>1660.58</v>
      </c>
      <c r="S401" s="36">
        <f>SUMIF(Entradas!$B:$B,'Entrada Lvl 5-4 qt'!$B401,Entradas!Z:Z)</f>
        <v>0</v>
      </c>
      <c r="T401" s="36">
        <f>SUMIF(Entradas!$B:$B,'Entrada Lvl 5-4 qt'!$B401,Entradas!AA:AA)</f>
        <v>1798.49</v>
      </c>
      <c r="U401" s="36">
        <f>SUMIF(Entradas!$B:$B,'Entrada Lvl 5-4 qt'!$B401,Entradas!AB:AB)</f>
        <v>0</v>
      </c>
      <c r="V401" s="49">
        <f>_xlfn.XLOOKUP($B401,Entradas!$B:$B,Entradas!AC:AC,,0,1)</f>
        <v>45196</v>
      </c>
      <c r="W401" s="58">
        <f t="shared" si="34"/>
        <v>4</v>
      </c>
      <c r="X401" s="28" t="s">
        <v>10</v>
      </c>
      <c r="Y401" s="32">
        <f t="shared" si="30"/>
        <v>0</v>
      </c>
      <c r="Z401" s="33">
        <f t="shared" si="31"/>
        <v>1798.49</v>
      </c>
      <c r="AA401" s="34">
        <f t="shared" si="32"/>
        <v>1660.58</v>
      </c>
      <c r="AB401" s="28" t="s">
        <v>1814</v>
      </c>
      <c r="AC401" s="28" t="s">
        <v>1820</v>
      </c>
      <c r="AD401" s="29" t="str" cm="1">
        <f t="array" ref="AD401">_xlfn.IFS(L401&lt;=Constantes!$G$2,"Muito Curta (evitável)",L401&lt;=Constantes!$H$2,"Curta Distância",L401&gt;Constantes!$H$2,"Longa Distância")</f>
        <v>Longa Distância</v>
      </c>
      <c r="AE401" s="30" t="str">
        <f t="shared" si="33"/>
        <v>NÃO</v>
      </c>
      <c r="AF401" s="30">
        <f>SUMIF(Entradas!$B:$B,'Entrada Lvl 5-4 qt'!$B401,Entradas!$AG:$AG)</f>
        <v>717.39676463438343</v>
      </c>
      <c r="AG401" s="30"/>
      <c r="BD401" s="49"/>
      <c r="BE401" s="49"/>
    </row>
    <row r="402" spans="1:57" x14ac:dyDescent="0.3">
      <c r="A402">
        <f>_xlfn.XLOOKUP(B402,Entradas!B:B,Entradas!A:A,,0,-1)</f>
        <v>2</v>
      </c>
      <c r="B402">
        <v>19342620</v>
      </c>
      <c r="C402" t="str">
        <f>_xlfn.XLOOKUP($B402,Entradas!$B:$B,Entradas!C:C,,0,1)</f>
        <v>001234/23</v>
      </c>
      <c r="D402" t="str">
        <f>_xlfn.XLOOKUP($B402,Entradas!$B:$B,Entradas!D:D,,0,1)</f>
        <v>***.838.014-**</v>
      </c>
      <c r="E402" t="str">
        <f>_xlfn.XLOOKUP($B402,Entradas!$B:$B,Entradas!E:E,,0,1)</f>
        <v>ANTONIO VINICIUS BARROS BARBOSA</v>
      </c>
      <c r="F402" t="str">
        <f>_xlfn.XLOOKUP($B402,Entradas!$B:$B,Entradas!F:F,,0,1)</f>
        <v>PROFESSOR DO MAGISTERIO SUPERIOR</v>
      </c>
      <c r="G402" t="str">
        <f>_xlfn.XLOOKUP($B402,Entradas!$B:$B,Entradas!G:G,,0,1)</f>
        <v>-1</v>
      </c>
      <c r="H402" t="str">
        <f>_xlfn.XLOOKUP($B402,Entradas!$B:$B,Entradas!H:H,,0,1)</f>
        <v>Sem informação</v>
      </c>
      <c r="I402" s="49">
        <f>_xlfn.XLOOKUP($B402,Entradas!$B:$B,Entradas!I:I,,0,1)</f>
        <v>45271</v>
      </c>
      <c r="J402" s="49">
        <f>_xlfn.XLOOKUP($B402,Entradas!$B:$B,Entradas!J:J,,0,1)</f>
        <v>45275</v>
      </c>
      <c r="K402" t="str">
        <f>_xlfn.XLOOKUP($B402,Entradas!$B:$B,Entradas!K:K,,0,1)</f>
        <v>Aprentação do artigo 'National Policy to Combat Violence Against Women: Evidence from Women's Police Stations no 51º Encontro Nacional de Economia, que acontecerá no Rio de Janeiro (RJ) entre os dias 12 e 15/12/2023.</v>
      </c>
      <c r="L402">
        <f>SUMIF(Entradas!$B:$B,'Entrada Lvl 5-4 qt'!$B402,Entradas!S:S)</f>
        <v>3923.0015720000001</v>
      </c>
      <c r="M402" t="str">
        <f>_xlfn.XLOOKUP($B402,Entradas!$B:$B,Entradas!T:T,,0,1)</f>
        <v>Aéreo</v>
      </c>
      <c r="N402" t="str">
        <f>_xlfn.XLOOKUP($B402,Entradas!$B:$B,Entradas!U:U,,0,1)</f>
        <v>Não</v>
      </c>
      <c r="O402" t="str">
        <f>_xlfn.XLOOKUP($B402,Entradas!$B:$B,Entradas!V:V,,0,1)</f>
        <v>Realizada</v>
      </c>
      <c r="P402" t="str">
        <f>_xlfn.XLOOKUP($B402,Entradas!$B:$B,Entradas!W:W,,0,1)</f>
        <v>NÃO</v>
      </c>
      <c r="Q402" t="str">
        <f>_xlfn.XLOOKUP($B402,Entradas!$B:$B,Entradas!X:X,,0,1)</f>
        <v>Sem informação</v>
      </c>
      <c r="R402" s="36">
        <f>SUMIF(Entradas!$B:$B,'Entrada Lvl 5-4 qt'!$B402,Entradas!Y:Y)</f>
        <v>1660.58</v>
      </c>
      <c r="S402" s="36">
        <f>SUMIF(Entradas!$B:$B,'Entrada Lvl 5-4 qt'!$B402,Entradas!Z:Z)</f>
        <v>0</v>
      </c>
      <c r="T402" s="36">
        <f>SUMIF(Entradas!$B:$B,'Entrada Lvl 5-4 qt'!$B402,Entradas!AA:AA)</f>
        <v>1713.3899999999999</v>
      </c>
      <c r="U402" s="36">
        <f>SUMIF(Entradas!$B:$B,'Entrada Lvl 5-4 qt'!$B402,Entradas!AB:AB)</f>
        <v>0</v>
      </c>
      <c r="V402" s="49">
        <f>_xlfn.XLOOKUP($B402,Entradas!$B:$B,Entradas!AC:AC,,0,1)</f>
        <v>45204</v>
      </c>
      <c r="W402" s="58">
        <f t="shared" si="34"/>
        <v>4</v>
      </c>
      <c r="X402" s="28" t="s">
        <v>10</v>
      </c>
      <c r="Y402" s="32">
        <f t="shared" si="30"/>
        <v>0</v>
      </c>
      <c r="Z402" s="33">
        <f t="shared" si="31"/>
        <v>1713.3899999999999</v>
      </c>
      <c r="AA402" s="34">
        <f t="shared" si="32"/>
        <v>1660.58</v>
      </c>
      <c r="AB402" s="28" t="s">
        <v>1814</v>
      </c>
      <c r="AC402" s="28" t="s">
        <v>1820</v>
      </c>
      <c r="AD402" s="29" t="str" cm="1">
        <f t="array" ref="AD402">_xlfn.IFS(L402&lt;=Constantes!$G$2,"Muito Curta (evitável)",L402&lt;=Constantes!$H$2,"Curta Distância",L402&gt;Constantes!$H$2,"Longa Distância")</f>
        <v>Longa Distância</v>
      </c>
      <c r="AE402" s="30" t="str">
        <f t="shared" si="33"/>
        <v>NÃO</v>
      </c>
      <c r="AF402" s="30">
        <f>SUMIF(Entradas!$B:$B,'Entrada Lvl 5-4 qt'!$B402,Entradas!$AG:$AG)</f>
        <v>717.39676463438343</v>
      </c>
      <c r="AG402" s="30"/>
      <c r="BD402" s="49"/>
      <c r="BE402" s="49"/>
    </row>
    <row r="403" spans="1:57" x14ac:dyDescent="0.3">
      <c r="A403">
        <f>_xlfn.XLOOKUP(B403,Entradas!B:B,Entradas!A:A,,0,-1)</f>
        <v>2</v>
      </c>
      <c r="B403">
        <v>19440954</v>
      </c>
      <c r="C403" t="str">
        <f>_xlfn.XLOOKUP($B403,Entradas!$B:$B,Entradas!C:C,,0,1)</f>
        <v>001621/23</v>
      </c>
      <c r="D403" t="str">
        <f>_xlfn.XLOOKUP($B403,Entradas!$B:$B,Entradas!D:D,,0,1)</f>
        <v>***.567.773-**</v>
      </c>
      <c r="E403" t="str">
        <f>_xlfn.XLOOKUP($B403,Entradas!$B:$B,Entradas!E:E,,0,1)</f>
        <v>BERLA MOREIRA DE MORAES</v>
      </c>
      <c r="F403" t="str">
        <f>_xlfn.XLOOKUP($B403,Entradas!$B:$B,Entradas!F:F,,0,1)</f>
        <v>PROFESSOR DO MAGISTERIO SUPERIOR</v>
      </c>
      <c r="G403" t="str">
        <f>_xlfn.XLOOKUP($B403,Entradas!$B:$B,Entradas!G:G,,0,1)</f>
        <v>CD-0002</v>
      </c>
      <c r="H403" t="str">
        <f>_xlfn.XLOOKUP($B403,Entradas!$B:$B,Entradas!H:H,,0,1)</f>
        <v>Cargo Comissionado de Direção</v>
      </c>
      <c r="I403" s="49">
        <f>_xlfn.XLOOKUP($B403,Entradas!$B:$B,Entradas!I:I,,0,1)</f>
        <v>45271</v>
      </c>
      <c r="J403" s="49">
        <f>_xlfn.XLOOKUP($B403,Entradas!$B:$B,Entradas!J:J,,0,1)</f>
        <v>45274</v>
      </c>
      <c r="K403" t="str">
        <f>_xlfn.XLOOKUP($B403,Entradas!$B:$B,Entradas!K:K,,0,1)</f>
        <v>Representar a PROEX no 52° FORPROEX</v>
      </c>
      <c r="L403">
        <f>SUMIF(Entradas!$B:$B,'Entrada Lvl 5-4 qt'!$B403,Entradas!S:S)</f>
        <v>3750.5964819999999</v>
      </c>
      <c r="M403" t="str">
        <f>_xlfn.XLOOKUP($B403,Entradas!$B:$B,Entradas!T:T,,0,1)</f>
        <v>Aéreo</v>
      </c>
      <c r="N403" t="str">
        <f>_xlfn.XLOOKUP($B403,Entradas!$B:$B,Entradas!U:U,,0,1)</f>
        <v>Sim</v>
      </c>
      <c r="O403" t="str">
        <f>_xlfn.XLOOKUP($B403,Entradas!$B:$B,Entradas!V:V,,0,1)</f>
        <v>Realizada</v>
      </c>
      <c r="P403" t="str">
        <f>_xlfn.XLOOKUP($B403,Entradas!$B:$B,Entradas!W:W,,0,1)</f>
        <v>NÃO</v>
      </c>
      <c r="Q403" t="str">
        <f>_xlfn.XLOOKUP($B403,Entradas!$B:$B,Entradas!X:X,,0,1)</f>
        <v>Sem informação</v>
      </c>
      <c r="R403" s="36">
        <f>SUMIF(Entradas!$B:$B,'Entrada Lvl 5-4 qt'!$B403,Entradas!Y:Y)</f>
        <v>1332.87</v>
      </c>
      <c r="S403" s="36">
        <f>SUMIF(Entradas!$B:$B,'Entrada Lvl 5-4 qt'!$B403,Entradas!Z:Z)</f>
        <v>0</v>
      </c>
      <c r="T403" s="36">
        <f>SUMIF(Entradas!$B:$B,'Entrada Lvl 5-4 qt'!$B403,Entradas!AA:AA)</f>
        <v>2835.52</v>
      </c>
      <c r="U403" s="36">
        <f>SUMIF(Entradas!$B:$B,'Entrada Lvl 5-4 qt'!$B403,Entradas!AB:AB)</f>
        <v>0</v>
      </c>
      <c r="V403" s="49">
        <f>_xlfn.XLOOKUP($B403,Entradas!$B:$B,Entradas!AC:AC,,0,1)</f>
        <v>45236</v>
      </c>
      <c r="W403" s="58">
        <f t="shared" si="34"/>
        <v>3</v>
      </c>
      <c r="X403" s="28" t="s">
        <v>10</v>
      </c>
      <c r="Y403" s="32">
        <f t="shared" si="30"/>
        <v>0</v>
      </c>
      <c r="Z403" s="33">
        <f t="shared" si="31"/>
        <v>2835.52</v>
      </c>
      <c r="AA403" s="34">
        <f t="shared" si="32"/>
        <v>1332.87</v>
      </c>
      <c r="AB403" s="28" t="s">
        <v>1813</v>
      </c>
      <c r="AC403" s="28" t="s">
        <v>1784</v>
      </c>
      <c r="AD403" s="29" t="str" cm="1">
        <f t="array" ref="AD403">_xlfn.IFS(L403&lt;=Constantes!$G$2,"Muito Curta (evitável)",L403&lt;=Constantes!$H$2,"Curta Distância",L403&gt;Constantes!$H$2,"Longa Distância")</f>
        <v>Longa Distância</v>
      </c>
      <c r="AE403" s="30" t="str">
        <f t="shared" si="33"/>
        <v>NÃO</v>
      </c>
      <c r="AF403" s="30">
        <f>SUMIF(Entradas!$B:$B,'Entrada Lvl 5-4 qt'!$B403,Entradas!$AG:$AG)</f>
        <v>685.86915713728922</v>
      </c>
      <c r="AG403" s="30"/>
      <c r="BD403" s="49"/>
      <c r="BE403" s="49"/>
    </row>
    <row r="404" spans="1:57" x14ac:dyDescent="0.3">
      <c r="A404">
        <f>_xlfn.XLOOKUP(B404,Entradas!B:B,Entradas!A:A,,0,-1)</f>
        <v>2</v>
      </c>
      <c r="B404">
        <v>19517028</v>
      </c>
      <c r="C404" t="str">
        <f>_xlfn.XLOOKUP($B404,Entradas!$B:$B,Entradas!C:C,,0,1)</f>
        <v>001718/23</v>
      </c>
      <c r="D404" t="str">
        <f>_xlfn.XLOOKUP($B404,Entradas!$B:$B,Entradas!D:D,,0,1)</f>
        <v/>
      </c>
      <c r="E404" t="str">
        <f>_xlfn.XLOOKUP($B404,Entradas!$B:$B,Entradas!E:E,,0,1)</f>
        <v>ADRIANA RODRIGUES DA SILVA MARQUES</v>
      </c>
      <c r="F404" t="str">
        <f>_xlfn.XLOOKUP($B404,Entradas!$B:$B,Entradas!F:F,,0,1)</f>
        <v>PROFESSOR DO MAGISTERIO SUPERIOR</v>
      </c>
      <c r="G404" t="str">
        <f>_xlfn.XLOOKUP($B404,Entradas!$B:$B,Entradas!G:G,,0,1)</f>
        <v>-1</v>
      </c>
      <c r="H404" t="str">
        <f>_xlfn.XLOOKUP($B404,Entradas!$B:$B,Entradas!H:H,,0,1)</f>
        <v>Sem informação</v>
      </c>
      <c r="I404" s="49">
        <f>_xlfn.XLOOKUP($B404,Entradas!$B:$B,Entradas!I:I,,0,1)</f>
        <v>45271</v>
      </c>
      <c r="J404" s="49">
        <f>_xlfn.XLOOKUP($B404,Entradas!$B:$B,Entradas!J:J,,0,1)</f>
        <v>45283</v>
      </c>
      <c r="K404" t="str">
        <f>_xlfn.XLOOKUP($B404,Entradas!$B:$B,Entradas!K:K,,0,1)</f>
        <v>Colaboração científica: Andamento ao projeto de pesquisa 'União Esquemática de duas cônicas no espaço projetivo' com os professores Fernando Antonio Xavier de Souza e Jacqueline Fabiola Rojas Arancibia ambos do Departamento de Matemática UFPB Campus I.</v>
      </c>
      <c r="L404">
        <f>SUMIF(Entradas!$B:$B,'Entrada Lvl 5-4 qt'!$B404,Entradas!S:S)</f>
        <v>3882.7346040000002</v>
      </c>
      <c r="M404" t="str">
        <f>_xlfn.XLOOKUP($B404,Entradas!$B:$B,Entradas!T:T,,0,1)</f>
        <v>Aéreo</v>
      </c>
      <c r="N404" t="str">
        <f>_xlfn.XLOOKUP($B404,Entradas!$B:$B,Entradas!U:U,,0,1)</f>
        <v>Sim</v>
      </c>
      <c r="O404" t="str">
        <f>_xlfn.XLOOKUP($B404,Entradas!$B:$B,Entradas!V:V,,0,1)</f>
        <v>Realizada</v>
      </c>
      <c r="P404" t="str">
        <f>_xlfn.XLOOKUP($B404,Entradas!$B:$B,Entradas!W:W,,0,1)</f>
        <v>NÃO</v>
      </c>
      <c r="Q404" t="str">
        <f>_xlfn.XLOOKUP($B404,Entradas!$B:$B,Entradas!X:X,,0,1)</f>
        <v>Sem informação</v>
      </c>
      <c r="R404" s="36">
        <f>SUMIF(Entradas!$B:$B,'Entrada Lvl 5-4 qt'!$B404,Entradas!Y:Y)</f>
        <v>4058.65</v>
      </c>
      <c r="S404" s="36">
        <f>SUMIF(Entradas!$B:$B,'Entrada Lvl 5-4 qt'!$B404,Entradas!Z:Z)</f>
        <v>0</v>
      </c>
      <c r="T404" s="36">
        <f>SUMIF(Entradas!$B:$B,'Entrada Lvl 5-4 qt'!$B404,Entradas!AA:AA)</f>
        <v>2827.52</v>
      </c>
      <c r="U404" s="36">
        <f>SUMIF(Entradas!$B:$B,'Entrada Lvl 5-4 qt'!$B404,Entradas!AB:AB)</f>
        <v>0</v>
      </c>
      <c r="V404" s="49">
        <f>_xlfn.XLOOKUP($B404,Entradas!$B:$B,Entradas!AC:AC,,0,1)</f>
        <v>45247</v>
      </c>
      <c r="W404" s="58">
        <f t="shared" si="34"/>
        <v>12</v>
      </c>
      <c r="X404" s="28" t="s">
        <v>10</v>
      </c>
      <c r="Y404" s="32">
        <f t="shared" si="30"/>
        <v>0</v>
      </c>
      <c r="Z404" s="33">
        <f t="shared" si="31"/>
        <v>2827.52</v>
      </c>
      <c r="AA404" s="34">
        <f t="shared" si="32"/>
        <v>4058.65</v>
      </c>
      <c r="AB404" s="28" t="s">
        <v>1818</v>
      </c>
      <c r="AC404" s="28" t="s">
        <v>1820</v>
      </c>
      <c r="AD404" s="29" t="str" cm="1">
        <f t="array" ref="AD404">_xlfn.IFS(L404&lt;=Constantes!$G$2,"Muito Curta (evitável)",L404&lt;=Constantes!$H$2,"Curta Distância",L404&gt;Constantes!$H$2,"Longa Distância")</f>
        <v>Longa Distância</v>
      </c>
      <c r="AE404" s="30" t="str">
        <f t="shared" si="33"/>
        <v>NÃO</v>
      </c>
      <c r="AF404" s="30">
        <f>SUMIF(Entradas!$B:$B,'Entrada Lvl 5-4 qt'!$B404,Entradas!$AG:$AG)</f>
        <v>710.03317019409144</v>
      </c>
      <c r="AG404" s="30"/>
      <c r="BD404" s="49"/>
      <c r="BE404" s="49"/>
    </row>
    <row r="405" spans="1:57" x14ac:dyDescent="0.3">
      <c r="A405">
        <f>_xlfn.XLOOKUP(B405,Entradas!B:B,Entradas!A:A,,0,-1)</f>
        <v>2</v>
      </c>
      <c r="B405">
        <v>19447516</v>
      </c>
      <c r="C405" t="str">
        <f>_xlfn.XLOOKUP($B405,Entradas!$B:$B,Entradas!C:C,,0,1)</f>
        <v>001930/23</v>
      </c>
      <c r="D405" t="str">
        <f>_xlfn.XLOOKUP($B405,Entradas!$B:$B,Entradas!D:D,,0,1)</f>
        <v>***.066.004-**</v>
      </c>
      <c r="E405" t="str">
        <f>_xlfn.XLOOKUP($B405,Entradas!$B:$B,Entradas!E:E,,0,1)</f>
        <v>THALES FERREIRA DIONISIO DA SILVA</v>
      </c>
      <c r="F405" t="str">
        <f>_xlfn.XLOOKUP($B405,Entradas!$B:$B,Entradas!F:F,,0,1)</f>
        <v>ASSISTENTE EM ADMINISTRAçãO</v>
      </c>
      <c r="G405" t="str">
        <f>_xlfn.XLOOKUP($B405,Entradas!$B:$B,Entradas!G:G,,0,1)</f>
        <v>-1</v>
      </c>
      <c r="H405" t="str">
        <f>_xlfn.XLOOKUP($B405,Entradas!$B:$B,Entradas!H:H,,0,1)</f>
        <v>Sem informação</v>
      </c>
      <c r="I405" s="49">
        <f>_xlfn.XLOOKUP($B405,Entradas!$B:$B,Entradas!I:I,,0,1)</f>
        <v>45272</v>
      </c>
      <c r="J405" s="49">
        <f>_xlfn.XLOOKUP($B405,Entradas!$B:$B,Entradas!J:J,,0,1)</f>
        <v>45276</v>
      </c>
      <c r="K405" t="str">
        <f>_xlfn.XLOOKUP($B405,Entradas!$B:$B,Entradas!K:K,,0,1)</f>
        <v>Capacitação do servidor para atuar nas fases da licitação. Curso: Planejamento das Contratações com enfoque na Elaboração do Estudo Técnico Preliminar (ETP) e Termo de Referência (TR)</v>
      </c>
      <c r="L405">
        <f>SUMIF(Entradas!$B:$B,'Entrada Lvl 5-4 qt'!$B405,Entradas!S:S)</f>
        <v>1482.2388261999999</v>
      </c>
      <c r="M405" t="str">
        <f>_xlfn.XLOOKUP($B405,Entradas!$B:$B,Entradas!T:T,,0,1)</f>
        <v>Aéreo</v>
      </c>
      <c r="N405" t="str">
        <f>_xlfn.XLOOKUP($B405,Entradas!$B:$B,Entradas!U:U,,0,1)</f>
        <v>Sim</v>
      </c>
      <c r="O405" t="str">
        <f>_xlfn.XLOOKUP($B405,Entradas!$B:$B,Entradas!V:V,,0,1)</f>
        <v>Realizada</v>
      </c>
      <c r="P405" t="str">
        <f>_xlfn.XLOOKUP($B405,Entradas!$B:$B,Entradas!W:W,,0,1)</f>
        <v>SIM</v>
      </c>
      <c r="Q405" t="str">
        <f>_xlfn.XLOOKUP($B405,Entradas!$B:$B,Entradas!X:X,,0,1)</f>
        <v>apenas nesta semana recebemos a confirmação de realização do curso.</v>
      </c>
      <c r="R405" s="36">
        <f>SUMIF(Entradas!$B:$B,'Entrada Lvl 5-4 qt'!$B405,Entradas!Y:Y)</f>
        <v>1509.95</v>
      </c>
      <c r="S405" s="36">
        <f>SUMIF(Entradas!$B:$B,'Entrada Lvl 5-4 qt'!$B405,Entradas!Z:Z)</f>
        <v>0</v>
      </c>
      <c r="T405" s="36">
        <f>SUMIF(Entradas!$B:$B,'Entrada Lvl 5-4 qt'!$B405,Entradas!AA:AA)</f>
        <v>2030.6799999999998</v>
      </c>
      <c r="U405" s="36">
        <f>SUMIF(Entradas!$B:$B,'Entrada Lvl 5-4 qt'!$B405,Entradas!AB:AB)</f>
        <v>0</v>
      </c>
      <c r="V405" s="49">
        <f>_xlfn.XLOOKUP($B405,Entradas!$B:$B,Entradas!AC:AC,,0,1)</f>
        <v>45261</v>
      </c>
      <c r="W405" s="58">
        <f t="shared" si="34"/>
        <v>4</v>
      </c>
      <c r="X405" s="28" t="s">
        <v>10</v>
      </c>
      <c r="Y405" s="32">
        <f t="shared" si="30"/>
        <v>0</v>
      </c>
      <c r="Z405" s="33">
        <f t="shared" si="31"/>
        <v>2030.6799999999998</v>
      </c>
      <c r="AA405" s="34">
        <f t="shared" si="32"/>
        <v>1509.95</v>
      </c>
      <c r="AB405" s="28" t="s">
        <v>1816</v>
      </c>
      <c r="AC405" s="28" t="s">
        <v>1784</v>
      </c>
      <c r="AD405" s="29" t="str" cm="1">
        <f t="array" ref="AD405">_xlfn.IFS(L405&lt;=Constantes!$G$2,"Muito Curta (evitável)",L405&lt;=Constantes!$H$2,"Curta Distância",L405&gt;Constantes!$H$2,"Longa Distância")</f>
        <v>Curta Distância</v>
      </c>
      <c r="AE405" s="30" t="str">
        <f t="shared" si="33"/>
        <v>NÃO</v>
      </c>
      <c r="AF405" s="30">
        <f>SUMIF(Entradas!$B:$B,'Entrada Lvl 5-4 qt'!$B405,Entradas!$AG:$AG)</f>
        <v>271.05605715809952</v>
      </c>
      <c r="AG405" s="30"/>
      <c r="BD405" s="49"/>
      <c r="BE405" s="49"/>
    </row>
    <row r="406" spans="1:57" x14ac:dyDescent="0.3">
      <c r="A406">
        <f>_xlfn.XLOOKUP(B406,Entradas!B:B,Entradas!A:A,,0,-1)</f>
        <v>2</v>
      </c>
      <c r="B406">
        <v>19452055</v>
      </c>
      <c r="C406" t="str">
        <f>_xlfn.XLOOKUP($B406,Entradas!$B:$B,Entradas!C:C,,0,1)</f>
        <v>001929/23</v>
      </c>
      <c r="D406" t="str">
        <f>_xlfn.XLOOKUP($B406,Entradas!$B:$B,Entradas!D:D,,0,1)</f>
        <v>***.450.394-**</v>
      </c>
      <c r="E406" t="str">
        <f>_xlfn.XLOOKUP($B406,Entradas!$B:$B,Entradas!E:E,,0,1)</f>
        <v>KEISEMBERG RIBEIRO TRAVASSOS</v>
      </c>
      <c r="F406" t="str">
        <f>_xlfn.XLOOKUP($B406,Entradas!$B:$B,Entradas!F:F,,0,1)</f>
        <v>ADMINISTRADOR</v>
      </c>
      <c r="G406" t="str">
        <f>_xlfn.XLOOKUP($B406,Entradas!$B:$B,Entradas!G:G,,0,1)</f>
        <v>-1</v>
      </c>
      <c r="H406" t="str">
        <f>_xlfn.XLOOKUP($B406,Entradas!$B:$B,Entradas!H:H,,0,1)</f>
        <v>Sem informação</v>
      </c>
      <c r="I406" s="49">
        <f>_xlfn.XLOOKUP($B406,Entradas!$B:$B,Entradas!I:I,,0,1)</f>
        <v>45272</v>
      </c>
      <c r="J406" s="49">
        <f>_xlfn.XLOOKUP($B406,Entradas!$B:$B,Entradas!J:J,,0,1)</f>
        <v>45276</v>
      </c>
      <c r="K406" t="str">
        <f>_xlfn.XLOOKUP($B406,Entradas!$B:$B,Entradas!K:K,,0,1)</f>
        <v>Conhecer a nova legislação, entender normas e assimilar aspectos práticos para que possam aplicar e repassar os novos procedimentos aos mais de 60 secretários e coordenadores dos programas de pós graduação da UFPB.</v>
      </c>
      <c r="L406">
        <f>SUMIF(Entradas!$B:$B,'Entrada Lvl 5-4 qt'!$B406,Entradas!S:S)</f>
        <v>1365.113145</v>
      </c>
      <c r="M406" t="str">
        <f>_xlfn.XLOOKUP($B406,Entradas!$B:$B,Entradas!T:T,,0,1)</f>
        <v>Aéreo</v>
      </c>
      <c r="N406" t="str">
        <f>_xlfn.XLOOKUP($B406,Entradas!$B:$B,Entradas!U:U,,0,1)</f>
        <v>Não</v>
      </c>
      <c r="O406" t="str">
        <f>_xlfn.XLOOKUP($B406,Entradas!$B:$B,Entradas!V:V,,0,1)</f>
        <v>Realizada</v>
      </c>
      <c r="P406" t="str">
        <f>_xlfn.XLOOKUP($B406,Entradas!$B:$B,Entradas!W:W,,0,1)</f>
        <v>SIM</v>
      </c>
      <c r="Q406" t="str">
        <f>_xlfn.XLOOKUP($B406,Entradas!$B:$B,Entradas!X:X,,0,1)</f>
        <v>Organizadora do evento demorou a confirmar a realização, devido ao número de inscritos.</v>
      </c>
      <c r="R406" s="36">
        <f>SUMIF(Entradas!$B:$B,'Entrada Lvl 5-4 qt'!$B406,Entradas!Y:Y)</f>
        <v>1509.95</v>
      </c>
      <c r="S406" s="36">
        <f>SUMIF(Entradas!$B:$B,'Entrada Lvl 5-4 qt'!$B406,Entradas!Z:Z)</f>
        <v>0</v>
      </c>
      <c r="T406" s="36">
        <f>SUMIF(Entradas!$B:$B,'Entrada Lvl 5-4 qt'!$B406,Entradas!AA:AA)</f>
        <v>696.27</v>
      </c>
      <c r="U406" s="36">
        <f>SUMIF(Entradas!$B:$B,'Entrada Lvl 5-4 qt'!$B406,Entradas!AB:AB)</f>
        <v>0</v>
      </c>
      <c r="V406" s="49">
        <f>_xlfn.XLOOKUP($B406,Entradas!$B:$B,Entradas!AC:AC,,0,1)</f>
        <v>45262</v>
      </c>
      <c r="W406" s="58">
        <f t="shared" si="34"/>
        <v>4</v>
      </c>
      <c r="X406" s="28" t="s">
        <v>10</v>
      </c>
      <c r="Y406" s="32">
        <f t="shared" si="30"/>
        <v>0</v>
      </c>
      <c r="Z406" s="33">
        <f t="shared" si="31"/>
        <v>696.27</v>
      </c>
      <c r="AA406" s="34">
        <f t="shared" si="32"/>
        <v>1509.95</v>
      </c>
      <c r="AB406" s="28" t="s">
        <v>1816</v>
      </c>
      <c r="AC406" s="28" t="s">
        <v>1784</v>
      </c>
      <c r="AD406" s="29" t="str" cm="1">
        <f t="array" ref="AD406">_xlfn.IFS(L406&lt;=Constantes!$G$2,"Muito Curta (evitável)",L406&lt;=Constantes!$H$2,"Curta Distância",L406&gt;Constantes!$H$2,"Longa Distância")</f>
        <v>Curta Distância</v>
      </c>
      <c r="AE406" s="30" t="str">
        <f t="shared" si="33"/>
        <v>NÃO</v>
      </c>
      <c r="AF406" s="30">
        <f>SUMIF(Entradas!$B:$B,'Entrada Lvl 5-4 qt'!$B406,Entradas!$AG:$AG)</f>
        <v>249.63735945779732</v>
      </c>
      <c r="AG406" s="30"/>
      <c r="BD406" s="49"/>
      <c r="BE406" s="49"/>
    </row>
    <row r="407" spans="1:57" x14ac:dyDescent="0.3">
      <c r="A407">
        <f>_xlfn.XLOOKUP(B407,Entradas!B:B,Entradas!A:A,,0,-1)</f>
        <v>2</v>
      </c>
      <c r="B407">
        <v>19454075</v>
      </c>
      <c r="C407" t="str">
        <f>_xlfn.XLOOKUP($B407,Entradas!$B:$B,Entradas!C:C,,0,1)</f>
        <v>001612/23</v>
      </c>
      <c r="D407" t="str">
        <f>_xlfn.XLOOKUP($B407,Entradas!$B:$B,Entradas!D:D,,0,1)</f>
        <v>***.818.974-**</v>
      </c>
      <c r="E407" t="str">
        <f>_xlfn.XLOOKUP($B407,Entradas!$B:$B,Entradas!E:E,,0,1)</f>
        <v>JORGE LUIZ MARIANO DA SILVA</v>
      </c>
      <c r="F407" t="str">
        <f>_xlfn.XLOOKUP($B407,Entradas!$B:$B,Entradas!F:F,,0,1)</f>
        <v>PROFESSOR DO MAGISTERIO SUPERIOR</v>
      </c>
      <c r="G407" t="str">
        <f>_xlfn.XLOOKUP($B407,Entradas!$B:$B,Entradas!G:G,,0,1)</f>
        <v>-1</v>
      </c>
      <c r="H407" t="str">
        <f>_xlfn.XLOOKUP($B407,Entradas!$B:$B,Entradas!H:H,,0,1)</f>
        <v>Sem informação</v>
      </c>
      <c r="I407" s="49">
        <f>_xlfn.XLOOKUP($B407,Entradas!$B:$B,Entradas!I:I,,0,1)</f>
        <v>45272</v>
      </c>
      <c r="J407" s="49">
        <f>_xlfn.XLOOKUP($B407,Entradas!$B:$B,Entradas!J:J,,0,1)</f>
        <v>45276</v>
      </c>
      <c r="K407" t="str">
        <f>_xlfn.XLOOKUP($B407,Entradas!$B:$B,Entradas!K:K,,0,1)</f>
        <v>Participação como apresentador e debatedor de trabalho no 51º Encontro de Economia da ANPEC.</v>
      </c>
      <c r="L407">
        <f>SUMIF(Entradas!$B:$B,'Entrada Lvl 5-4 qt'!$B407,Entradas!S:S)</f>
        <v>3923.0015720000001</v>
      </c>
      <c r="M407" t="str">
        <f>_xlfn.XLOOKUP($B407,Entradas!$B:$B,Entradas!T:T,,0,1)</f>
        <v>Aéreo</v>
      </c>
      <c r="N407" t="str">
        <f>_xlfn.XLOOKUP($B407,Entradas!$B:$B,Entradas!U:U,,0,1)</f>
        <v>Sim</v>
      </c>
      <c r="O407" t="str">
        <f>_xlfn.XLOOKUP($B407,Entradas!$B:$B,Entradas!V:V,,0,1)</f>
        <v>Realizada</v>
      </c>
      <c r="P407" t="str">
        <f>_xlfn.XLOOKUP($B407,Entradas!$B:$B,Entradas!W:W,,0,1)</f>
        <v>NÃO</v>
      </c>
      <c r="Q407" t="str">
        <f>_xlfn.XLOOKUP($B407,Entradas!$B:$B,Entradas!X:X,,0,1)</f>
        <v>Sem informação</v>
      </c>
      <c r="R407" s="36">
        <f>SUMIF(Entradas!$B:$B,'Entrada Lvl 5-4 qt'!$B407,Entradas!Y:Y)</f>
        <v>0</v>
      </c>
      <c r="S407" s="36">
        <f>SUMIF(Entradas!$B:$B,'Entrada Lvl 5-4 qt'!$B407,Entradas!Z:Z)</f>
        <v>0</v>
      </c>
      <c r="T407" s="36">
        <f>SUMIF(Entradas!$B:$B,'Entrada Lvl 5-4 qt'!$B407,Entradas!AA:AA)</f>
        <v>1671.49</v>
      </c>
      <c r="U407" s="36">
        <f>SUMIF(Entradas!$B:$B,'Entrada Lvl 5-4 qt'!$B407,Entradas!AB:AB)</f>
        <v>0</v>
      </c>
      <c r="V407" s="49">
        <f>_xlfn.XLOOKUP($B407,Entradas!$B:$B,Entradas!AC:AC,,0,1)</f>
        <v>45226</v>
      </c>
      <c r="W407" s="58">
        <f t="shared" si="34"/>
        <v>4</v>
      </c>
      <c r="X407" s="28" t="s">
        <v>10</v>
      </c>
      <c r="Y407" s="32">
        <f t="shared" si="30"/>
        <v>0</v>
      </c>
      <c r="Z407" s="33">
        <f t="shared" si="31"/>
        <v>1671.49</v>
      </c>
      <c r="AA407" s="34">
        <f t="shared" si="32"/>
        <v>0</v>
      </c>
      <c r="AB407" s="28" t="s">
        <v>1814</v>
      </c>
      <c r="AC407" s="28" t="s">
        <v>1820</v>
      </c>
      <c r="AD407" s="29" t="str" cm="1">
        <f t="array" ref="AD407">_xlfn.IFS(L407&lt;=Constantes!$G$2,"Muito Curta (evitável)",L407&lt;=Constantes!$H$2,"Curta Distância",L407&gt;Constantes!$H$2,"Longa Distância")</f>
        <v>Longa Distância</v>
      </c>
      <c r="AE407" s="30" t="str">
        <f t="shared" si="33"/>
        <v>NÃO</v>
      </c>
      <c r="AF407" s="30">
        <f>SUMIF(Entradas!$B:$B,'Entrada Lvl 5-4 qt'!$B407,Entradas!$AG:$AG)</f>
        <v>717.39676463438343</v>
      </c>
      <c r="AG407" s="30"/>
      <c r="BD407" s="49"/>
      <c r="BE407" s="49"/>
    </row>
    <row r="408" spans="1:57" x14ac:dyDescent="0.3">
      <c r="A408">
        <f>_xlfn.XLOOKUP(B408,Entradas!B:B,Entradas!A:A,,0,-1)</f>
        <v>2</v>
      </c>
      <c r="B408">
        <v>19578420</v>
      </c>
      <c r="C408" t="str">
        <f>_xlfn.XLOOKUP($B408,Entradas!$B:$B,Entradas!C:C,,0,1)</f>
        <v>001833/23</v>
      </c>
      <c r="D408" t="str">
        <f>_xlfn.XLOOKUP($B408,Entradas!$B:$B,Entradas!D:D,,0,1)</f>
        <v>***.051.554-**</v>
      </c>
      <c r="E408" t="str">
        <f>_xlfn.XLOOKUP($B408,Entradas!$B:$B,Entradas!E:E,,0,1)</f>
        <v>VALDINEY VELOSO GOUVEIA</v>
      </c>
      <c r="F408" t="str">
        <f>_xlfn.XLOOKUP($B408,Entradas!$B:$B,Entradas!F:F,,0,1)</f>
        <v>PROFESSOR DO MAGISTERIO SUPERIOR</v>
      </c>
      <c r="G408" t="str">
        <f>_xlfn.XLOOKUP($B408,Entradas!$B:$B,Entradas!G:G,,0,1)</f>
        <v>CD-0001</v>
      </c>
      <c r="H408" t="str">
        <f>_xlfn.XLOOKUP($B408,Entradas!$B:$B,Entradas!H:H,,0,1)</f>
        <v>Cargo Comissionado de Direção</v>
      </c>
      <c r="I408" s="49">
        <f>_xlfn.XLOOKUP($B408,Entradas!$B:$B,Entradas!I:I,,0,1)</f>
        <v>45272</v>
      </c>
      <c r="J408" s="49">
        <f>_xlfn.XLOOKUP($B408,Entradas!$B:$B,Entradas!J:J,,0,1)</f>
        <v>45274</v>
      </c>
      <c r="K408" t="str">
        <f>_xlfn.XLOOKUP($B408,Entradas!$B:$B,Entradas!K:K,,0,1)</f>
        <v>Participar da 164ª Reunião Extraordinária do Conselho Pleno da ANDIFES, a ser realizada nos dias 13 a 14 de dezembro de 2023, em Brasília/DF</v>
      </c>
      <c r="L408">
        <f>SUMIF(Entradas!$B:$B,'Entrada Lvl 5-4 qt'!$B408,Entradas!S:S)</f>
        <v>3426.839982</v>
      </c>
      <c r="M408" t="str">
        <f>_xlfn.XLOOKUP($B408,Entradas!$B:$B,Entradas!T:T,,0,1)</f>
        <v>Aéreo</v>
      </c>
      <c r="N408" t="str">
        <f>_xlfn.XLOOKUP($B408,Entradas!$B:$B,Entradas!U:U,,0,1)</f>
        <v>Não</v>
      </c>
      <c r="O408" t="str">
        <f>_xlfn.XLOOKUP($B408,Entradas!$B:$B,Entradas!V:V,,0,1)</f>
        <v>Realizada</v>
      </c>
      <c r="P408" t="str">
        <f>_xlfn.XLOOKUP($B408,Entradas!$B:$B,Entradas!W:W,,0,1)</f>
        <v>NÃO</v>
      </c>
      <c r="Q408" t="str">
        <f>_xlfn.XLOOKUP($B408,Entradas!$B:$B,Entradas!X:X,,0,1)</f>
        <v>Sem informação</v>
      </c>
      <c r="R408" s="36">
        <f>SUMIF(Entradas!$B:$B,'Entrada Lvl 5-4 qt'!$B408,Entradas!Y:Y)</f>
        <v>1088.99</v>
      </c>
      <c r="S408" s="36">
        <f>SUMIF(Entradas!$B:$B,'Entrada Lvl 5-4 qt'!$B408,Entradas!Z:Z)</f>
        <v>0</v>
      </c>
      <c r="T408" s="36">
        <f>SUMIF(Entradas!$B:$B,'Entrada Lvl 5-4 qt'!$B408,Entradas!AA:AA)</f>
        <v>2617.1999999999998</v>
      </c>
      <c r="U408" s="36">
        <f>SUMIF(Entradas!$B:$B,'Entrada Lvl 5-4 qt'!$B408,Entradas!AB:AB)</f>
        <v>0</v>
      </c>
      <c r="V408" s="49">
        <f>_xlfn.XLOOKUP($B408,Entradas!$B:$B,Entradas!AC:AC,,0,1)</f>
        <v>45257</v>
      </c>
      <c r="W408" s="58">
        <f t="shared" si="34"/>
        <v>2</v>
      </c>
      <c r="X408" s="28" t="s">
        <v>10</v>
      </c>
      <c r="Y408" s="32">
        <f t="shared" si="30"/>
        <v>0</v>
      </c>
      <c r="Z408" s="33">
        <f t="shared" si="31"/>
        <v>2617.1999999999998</v>
      </c>
      <c r="AA408" s="34">
        <f t="shared" si="32"/>
        <v>1088.99</v>
      </c>
      <c r="AB408" s="28" t="s">
        <v>1815</v>
      </c>
      <c r="AC408" s="28" t="s">
        <v>1784</v>
      </c>
      <c r="AD408" s="29" t="str" cm="1">
        <f t="array" ref="AD408">_xlfn.IFS(L408&lt;=Constantes!$G$2,"Muito Curta (evitável)",L408&lt;=Constantes!$H$2,"Curta Distância",L408&gt;Constantes!$H$2,"Longa Distância")</f>
        <v>Curta Distância</v>
      </c>
      <c r="AE408" s="30" t="str">
        <f t="shared" si="33"/>
        <v>NÃO</v>
      </c>
      <c r="AF408" s="30">
        <f>SUMIF(Entradas!$B:$B,'Entrada Lvl 5-4 qt'!$B408,Entradas!$AG:$AG)</f>
        <v>626.66401501165365</v>
      </c>
      <c r="AG408" s="30"/>
      <c r="BD408" s="49"/>
      <c r="BE408" s="49"/>
    </row>
    <row r="409" spans="1:57" x14ac:dyDescent="0.3">
      <c r="A409">
        <f>_xlfn.XLOOKUP(B409,Entradas!B:B,Entradas!A:A,,0,-1)</f>
        <v>2</v>
      </c>
      <c r="B409">
        <v>19285122</v>
      </c>
      <c r="C409" t="str">
        <f>_xlfn.XLOOKUP($B409,Entradas!$B:$B,Entradas!C:C,,0,1)</f>
        <v>001081/23</v>
      </c>
      <c r="D409" t="str">
        <f>_xlfn.XLOOKUP($B409,Entradas!$B:$B,Entradas!D:D,,0,1)</f>
        <v>***.840.565-**</v>
      </c>
      <c r="E409" t="str">
        <f>_xlfn.XLOOKUP($B409,Entradas!$B:$B,Entradas!E:E,,0,1)</f>
        <v>EDITE MARIA DA SILVA DE FARIA</v>
      </c>
      <c r="F409" t="str">
        <f>_xlfn.XLOOKUP($B409,Entradas!$B:$B,Entradas!F:F,,0,1)</f>
        <v/>
      </c>
      <c r="G409" t="str">
        <f>_xlfn.XLOOKUP($B409,Entradas!$B:$B,Entradas!G:G,,0,1)</f>
        <v>-1</v>
      </c>
      <c r="H409" t="str">
        <f>_xlfn.XLOOKUP($B409,Entradas!$B:$B,Entradas!H:H,,0,1)</f>
        <v>Sem informação</v>
      </c>
      <c r="I409" s="49">
        <f>_xlfn.XLOOKUP($B409,Entradas!$B:$B,Entradas!I:I,,0,1)</f>
        <v>45273</v>
      </c>
      <c r="J409" s="49">
        <f>_xlfn.XLOOKUP($B409,Entradas!$B:$B,Entradas!J:J,,0,1)</f>
        <v>45276</v>
      </c>
      <c r="K409" t="str">
        <f>_xlfn.XLOOKUP($B409,Entradas!$B:$B,Entradas!K:K,,0,1)</f>
        <v>Participação na Banca de Defesa de Tese de Ronnie Wesley Sinésio Moura e apresentação da Palestra: 'O Legado de Paulo Freire e Cartografia de Saberes na EJA: entre utopias e inéditos viáveis'.</v>
      </c>
      <c r="L409">
        <f>SUMIF(Entradas!$B:$B,'Entrada Lvl 5-4 qt'!$B409,Entradas!S:S)</f>
        <v>1482.2388261999999</v>
      </c>
      <c r="M409" t="str">
        <f>_xlfn.XLOOKUP($B409,Entradas!$B:$B,Entradas!T:T,,0,1)</f>
        <v>Aéreo</v>
      </c>
      <c r="N409" t="str">
        <f>_xlfn.XLOOKUP($B409,Entradas!$B:$B,Entradas!U:U,,0,1)</f>
        <v>Não</v>
      </c>
      <c r="O409" t="str">
        <f>_xlfn.XLOOKUP($B409,Entradas!$B:$B,Entradas!V:V,,0,1)</f>
        <v>Realizada</v>
      </c>
      <c r="P409" t="str">
        <f>_xlfn.XLOOKUP($B409,Entradas!$B:$B,Entradas!W:W,,0,1)</f>
        <v>NÃO</v>
      </c>
      <c r="Q409" t="str">
        <f>_xlfn.XLOOKUP($B409,Entradas!$B:$B,Entradas!X:X,,0,1)</f>
        <v>Sem informação</v>
      </c>
      <c r="R409" s="36">
        <f>SUMIF(Entradas!$B:$B,'Entrada Lvl 5-4 qt'!$B409,Entradas!Y:Y)</f>
        <v>1254.22</v>
      </c>
      <c r="S409" s="36">
        <f>SUMIF(Entradas!$B:$B,'Entrada Lvl 5-4 qt'!$B409,Entradas!Z:Z)</f>
        <v>0</v>
      </c>
      <c r="T409" s="36">
        <f>SUMIF(Entradas!$B:$B,'Entrada Lvl 5-4 qt'!$B409,Entradas!AA:AA)</f>
        <v>1390.18</v>
      </c>
      <c r="U409" s="36">
        <f>SUMIF(Entradas!$B:$B,'Entrada Lvl 5-4 qt'!$B409,Entradas!AB:AB)</f>
        <v>0</v>
      </c>
      <c r="V409" s="49">
        <f>_xlfn.XLOOKUP($B409,Entradas!$B:$B,Entradas!AC:AC,,0,1)</f>
        <v>45184</v>
      </c>
      <c r="W409" s="58">
        <f t="shared" si="34"/>
        <v>3</v>
      </c>
      <c r="X409" s="28" t="s">
        <v>10</v>
      </c>
      <c r="Y409" s="32">
        <f t="shared" si="30"/>
        <v>0</v>
      </c>
      <c r="Z409" s="33">
        <f t="shared" si="31"/>
        <v>1390.18</v>
      </c>
      <c r="AA409" s="34">
        <f t="shared" si="32"/>
        <v>1254.22</v>
      </c>
      <c r="AB409" s="28" t="s">
        <v>1812</v>
      </c>
      <c r="AC409" s="28" t="s">
        <v>1821</v>
      </c>
      <c r="AD409" s="29" t="str" cm="1">
        <f t="array" ref="AD409">_xlfn.IFS(L409&lt;=Constantes!$G$2,"Muito Curta (evitável)",L409&lt;=Constantes!$H$2,"Curta Distância",L409&gt;Constantes!$H$2,"Longa Distância")</f>
        <v>Curta Distância</v>
      </c>
      <c r="AE409" s="30" t="str">
        <f t="shared" si="33"/>
        <v>NÃO</v>
      </c>
      <c r="AF409" s="30">
        <f>SUMIF(Entradas!$B:$B,'Entrada Lvl 5-4 qt'!$B409,Entradas!$AG:$AG)</f>
        <v>271.05605715809952</v>
      </c>
      <c r="AG409" s="30"/>
      <c r="BD409" s="49"/>
      <c r="BE409" s="49"/>
    </row>
    <row r="410" spans="1:57" x14ac:dyDescent="0.3">
      <c r="A410">
        <f>_xlfn.XLOOKUP(B410,Entradas!B:B,Entradas!A:A,,0,-1)</f>
        <v>2</v>
      </c>
      <c r="B410">
        <v>19355222</v>
      </c>
      <c r="C410" t="str">
        <f>_xlfn.XLOOKUP($B410,Entradas!$B:$B,Entradas!C:C,,0,1)</f>
        <v>001303/23</v>
      </c>
      <c r="D410" t="str">
        <f>_xlfn.XLOOKUP($B410,Entradas!$B:$B,Entradas!D:D,,0,1)</f>
        <v>***.705.159-**</v>
      </c>
      <c r="E410" t="str">
        <f>_xlfn.XLOOKUP($B410,Entradas!$B:$B,Entradas!E:E,,0,1)</f>
        <v>BARBARA GALLELI DIAS</v>
      </c>
      <c r="F410" t="str">
        <f>_xlfn.XLOOKUP($B410,Entradas!$B:$B,Entradas!F:F,,0,1)</f>
        <v>PROFESSOR DO MAGISTERIO SUPERIOR</v>
      </c>
      <c r="G410" t="str">
        <f>_xlfn.XLOOKUP($B410,Entradas!$B:$B,Entradas!G:G,,0,1)</f>
        <v>-1</v>
      </c>
      <c r="H410" t="str">
        <f>_xlfn.XLOOKUP($B410,Entradas!$B:$B,Entradas!H:H,,0,1)</f>
        <v>Sem informação</v>
      </c>
      <c r="I410" s="49">
        <f>_xlfn.XLOOKUP($B410,Entradas!$B:$B,Entradas!I:I,,0,1)</f>
        <v>45273</v>
      </c>
      <c r="J410" s="49">
        <f>_xlfn.XLOOKUP($B410,Entradas!$B:$B,Entradas!J:J,,0,1)</f>
        <v>45276</v>
      </c>
      <c r="K410" t="str">
        <f>_xlfn.XLOOKUP($B410,Entradas!$B:$B,Entradas!K:K,,0,1)</f>
        <v>Realização a convite para realizar oficina intitulada ATLAS.ti, conforme convite em anexo.</v>
      </c>
      <c r="L410">
        <f>SUMIF(Entradas!$B:$B,'Entrada Lvl 5-4 qt'!$B410,Entradas!S:S)</f>
        <v>5083.2952619999996</v>
      </c>
      <c r="M410" t="str">
        <f>_xlfn.XLOOKUP($B410,Entradas!$B:$B,Entradas!T:T,,0,1)</f>
        <v>Aéreo</v>
      </c>
      <c r="N410" t="str">
        <f>_xlfn.XLOOKUP($B410,Entradas!$B:$B,Entradas!U:U,,0,1)</f>
        <v>Não</v>
      </c>
      <c r="O410" t="str">
        <f>_xlfn.XLOOKUP($B410,Entradas!$B:$B,Entradas!V:V,,0,1)</f>
        <v>Realizada</v>
      </c>
      <c r="P410" t="str">
        <f>_xlfn.XLOOKUP($B410,Entradas!$B:$B,Entradas!W:W,,0,1)</f>
        <v>NÃO</v>
      </c>
      <c r="Q410" t="str">
        <f>_xlfn.XLOOKUP($B410,Entradas!$B:$B,Entradas!X:X,,0,1)</f>
        <v>Sem informação</v>
      </c>
      <c r="R410" s="36">
        <f>SUMIF(Entradas!$B:$B,'Entrada Lvl 5-4 qt'!$B410,Entradas!Y:Y)</f>
        <v>1198.8399999999999</v>
      </c>
      <c r="S410" s="36">
        <f>SUMIF(Entradas!$B:$B,'Entrada Lvl 5-4 qt'!$B410,Entradas!Z:Z)</f>
        <v>0</v>
      </c>
      <c r="T410" s="36">
        <f>SUMIF(Entradas!$B:$B,'Entrada Lvl 5-4 qt'!$B410,Entradas!AA:AA)</f>
        <v>2125.88</v>
      </c>
      <c r="U410" s="36">
        <f>SUMIF(Entradas!$B:$B,'Entrada Lvl 5-4 qt'!$B410,Entradas!AB:AB)</f>
        <v>0</v>
      </c>
      <c r="V410" s="49">
        <f>_xlfn.XLOOKUP($B410,Entradas!$B:$B,Entradas!AC:AC,,0,1)</f>
        <v>45216</v>
      </c>
      <c r="W410" s="58">
        <f t="shared" si="34"/>
        <v>3</v>
      </c>
      <c r="X410" s="28" t="s">
        <v>10</v>
      </c>
      <c r="Y410" s="32">
        <f t="shared" si="30"/>
        <v>0</v>
      </c>
      <c r="Z410" s="33">
        <f t="shared" si="31"/>
        <v>2125.88</v>
      </c>
      <c r="AA410" s="34">
        <f t="shared" si="32"/>
        <v>1198.8399999999999</v>
      </c>
      <c r="AB410" s="28" t="s">
        <v>1816</v>
      </c>
      <c r="AC410" s="28" t="s">
        <v>1820</v>
      </c>
      <c r="AD410" s="29" t="str" cm="1">
        <f t="array" ref="AD410">_xlfn.IFS(L410&lt;=Constantes!$G$2,"Muito Curta (evitável)",L410&lt;=Constantes!$H$2,"Curta Distância",L410&gt;Constantes!$H$2,"Longa Distância")</f>
        <v>Longa Distância</v>
      </c>
      <c r="AE410" s="30" t="str">
        <f t="shared" si="33"/>
        <v>NÃO</v>
      </c>
      <c r="AF410" s="30">
        <f>SUMIF(Entradas!$B:$B,'Entrada Lvl 5-4 qt'!$B410,Entradas!$AG:$AG)</f>
        <v>929.57892259546873</v>
      </c>
      <c r="AG410" s="30"/>
      <c r="BD410" s="49"/>
      <c r="BE410" s="49"/>
    </row>
    <row r="411" spans="1:57" x14ac:dyDescent="0.3">
      <c r="A411">
        <f>_xlfn.XLOOKUP(B411,Entradas!B:B,Entradas!A:A,,0,-1)</f>
        <v>2</v>
      </c>
      <c r="B411">
        <v>19445293</v>
      </c>
      <c r="C411" t="str">
        <f>_xlfn.XLOOKUP($B411,Entradas!$B:$B,Entradas!C:C,,0,1)</f>
        <v>001649/23</v>
      </c>
      <c r="D411" t="str">
        <f>_xlfn.XLOOKUP($B411,Entradas!$B:$B,Entradas!D:D,,0,1)</f>
        <v>***.527.983-**</v>
      </c>
      <c r="E411" t="str">
        <f>_xlfn.XLOOKUP($B411,Entradas!$B:$B,Entradas!E:E,,0,1)</f>
        <v>MONICA MAGALHAES CAVALCANTE</v>
      </c>
      <c r="F411" t="str">
        <f>_xlfn.XLOOKUP($B411,Entradas!$B:$B,Entradas!F:F,,0,1)</f>
        <v>PROFESSOR DO MAGISTERIO SUPERIOR</v>
      </c>
      <c r="G411" t="str">
        <f>_xlfn.XLOOKUP($B411,Entradas!$B:$B,Entradas!G:G,,0,1)</f>
        <v>-1</v>
      </c>
      <c r="H411" t="str">
        <f>_xlfn.XLOOKUP($B411,Entradas!$B:$B,Entradas!H:H,,0,1)</f>
        <v>Sem informação</v>
      </c>
      <c r="I411" s="49">
        <f>_xlfn.XLOOKUP($B411,Entradas!$B:$B,Entradas!I:I,,0,1)</f>
        <v>45273</v>
      </c>
      <c r="J411" s="49">
        <f>_xlfn.XLOOKUP($B411,Entradas!$B:$B,Entradas!J:J,,0,1)</f>
        <v>45274</v>
      </c>
      <c r="K411" t="str">
        <f>_xlfn.XLOOKUP($B411,Entradas!$B:$B,Entradas!K:K,,0,1)</f>
        <v>Ministrar a conferência de abertura no VIII Seminário de Pesquisas do PROFLETRAS.</v>
      </c>
      <c r="L411">
        <f>SUMIF(Entradas!$B:$B,'Entrada Lvl 5-4 qt'!$B411,Entradas!S:S)</f>
        <v>1255.2527250000001</v>
      </c>
      <c r="M411" t="str">
        <f>_xlfn.XLOOKUP($B411,Entradas!$B:$B,Entradas!T:T,,0,1)</f>
        <v>Aéreo</v>
      </c>
      <c r="N411" t="str">
        <f>_xlfn.XLOOKUP($B411,Entradas!$B:$B,Entradas!U:U,,0,1)</f>
        <v>Não</v>
      </c>
      <c r="O411" t="str">
        <f>_xlfn.XLOOKUP($B411,Entradas!$B:$B,Entradas!V:V,,0,1)</f>
        <v>Realizada</v>
      </c>
      <c r="P411" t="str">
        <f>_xlfn.XLOOKUP($B411,Entradas!$B:$B,Entradas!W:W,,0,1)</f>
        <v>NÃO</v>
      </c>
      <c r="Q411" t="str">
        <f>_xlfn.XLOOKUP($B411,Entradas!$B:$B,Entradas!X:X,,0,1)</f>
        <v>Sem informação</v>
      </c>
      <c r="R411" s="36">
        <f>SUMIF(Entradas!$B:$B,'Entrada Lvl 5-4 qt'!$B411,Entradas!Y:Y)</f>
        <v>486.53</v>
      </c>
      <c r="S411" s="36">
        <f>SUMIF(Entradas!$B:$B,'Entrada Lvl 5-4 qt'!$B411,Entradas!Z:Z)</f>
        <v>0</v>
      </c>
      <c r="T411" s="36">
        <f>SUMIF(Entradas!$B:$B,'Entrada Lvl 5-4 qt'!$B411,Entradas!AA:AA)</f>
        <v>759.15000000000009</v>
      </c>
      <c r="U411" s="36">
        <f>SUMIF(Entradas!$B:$B,'Entrada Lvl 5-4 qt'!$B411,Entradas!AB:AB)</f>
        <v>0</v>
      </c>
      <c r="V411" s="49">
        <f>_xlfn.XLOOKUP($B411,Entradas!$B:$B,Entradas!AC:AC,,0,1)</f>
        <v>45236</v>
      </c>
      <c r="W411" s="58">
        <f t="shared" si="34"/>
        <v>1</v>
      </c>
      <c r="X411" s="28" t="s">
        <v>10</v>
      </c>
      <c r="Y411" s="32">
        <f t="shared" si="30"/>
        <v>0</v>
      </c>
      <c r="Z411" s="33">
        <f t="shared" si="31"/>
        <v>759.15000000000009</v>
      </c>
      <c r="AA411" s="34">
        <f t="shared" si="32"/>
        <v>486.53</v>
      </c>
      <c r="AB411" s="28" t="s">
        <v>1814</v>
      </c>
      <c r="AC411" s="28" t="s">
        <v>1820</v>
      </c>
      <c r="AD411" s="29" t="str" cm="1">
        <f t="array" ref="AD411">_xlfn.IFS(L411&lt;=Constantes!$G$2,"Muito Curta (evitável)",L411&lt;=Constantes!$H$2,"Curta Distância",L411&gt;Constantes!$H$2,"Longa Distância")</f>
        <v>Curta Distância</v>
      </c>
      <c r="AE411" s="30" t="str">
        <f t="shared" si="33"/>
        <v>NÃO</v>
      </c>
      <c r="AF411" s="30">
        <f>SUMIF(Entradas!$B:$B,'Entrada Lvl 5-4 qt'!$B411,Entradas!$AG:$AG)</f>
        <v>229.54725538241348</v>
      </c>
      <c r="AG411" s="30"/>
      <c r="BD411" s="49"/>
      <c r="BE411" s="49"/>
    </row>
    <row r="412" spans="1:57" x14ac:dyDescent="0.3">
      <c r="A412">
        <f>_xlfn.XLOOKUP(B412,Entradas!B:B,Entradas!A:A,,0,-1)</f>
        <v>2</v>
      </c>
      <c r="B412">
        <v>19321397</v>
      </c>
      <c r="C412" t="str">
        <f>_xlfn.XLOOKUP($B412,Entradas!$B:$B,Entradas!C:C,,0,1)</f>
        <v>001183/23</v>
      </c>
      <c r="D412" t="str">
        <f>_xlfn.XLOOKUP($B412,Entradas!$B:$B,Entradas!D:D,,0,1)</f>
        <v>***.802.237-**</v>
      </c>
      <c r="E412" t="str">
        <f>_xlfn.XLOOKUP($B412,Entradas!$B:$B,Entradas!E:E,,0,1)</f>
        <v>ERICK ALMEIDA ESMERINO</v>
      </c>
      <c r="F412" t="str">
        <f>_xlfn.XLOOKUP($B412,Entradas!$B:$B,Entradas!F:F,,0,1)</f>
        <v>PROFESSOR DO MAGISTERIO SUPERIOR</v>
      </c>
      <c r="G412" t="str">
        <f>_xlfn.XLOOKUP($B412,Entradas!$B:$B,Entradas!G:G,,0,1)</f>
        <v>FUC-0001</v>
      </c>
      <c r="H412" t="str">
        <f>_xlfn.XLOOKUP($B412,Entradas!$B:$B,Entradas!H:H,,0,1)</f>
        <v>FUC-0001</v>
      </c>
      <c r="I412" s="49">
        <f>_xlfn.XLOOKUP($B412,Entradas!$B:$B,Entradas!I:I,,0,1)</f>
        <v>45277</v>
      </c>
      <c r="J412" s="49">
        <f>_xlfn.XLOOKUP($B412,Entradas!$B:$B,Entradas!J:J,,0,1)</f>
        <v>45279</v>
      </c>
      <c r="K412" t="str">
        <f>_xlfn.XLOOKUP($B412,Entradas!$B:$B,Entradas!K:K,,0,1)</f>
        <v>Palestrante do Ciclo de palestras de PPGCTA: Analise Sensorial - Técnicas aplicadas e participação na avaliação dos projetos da disciplina de seminários II .</v>
      </c>
      <c r="L412">
        <f>SUMIF(Entradas!$B:$B,'Entrada Lvl 5-4 qt'!$B412,Entradas!S:S)</f>
        <v>3923.0015720000001</v>
      </c>
      <c r="M412" t="str">
        <f>_xlfn.XLOOKUP($B412,Entradas!$B:$B,Entradas!T:T,,0,1)</f>
        <v>Aéreo</v>
      </c>
      <c r="N412" t="str">
        <f>_xlfn.XLOOKUP($B412,Entradas!$B:$B,Entradas!U:U,,0,1)</f>
        <v>Não</v>
      </c>
      <c r="O412" t="str">
        <f>_xlfn.XLOOKUP($B412,Entradas!$B:$B,Entradas!V:V,,0,1)</f>
        <v>Realizada</v>
      </c>
      <c r="P412" t="str">
        <f>_xlfn.XLOOKUP($B412,Entradas!$B:$B,Entradas!W:W,,0,1)</f>
        <v>NÃO</v>
      </c>
      <c r="Q412" t="str">
        <f>_xlfn.XLOOKUP($B412,Entradas!$B:$B,Entradas!X:X,,0,1)</f>
        <v>Sem informação</v>
      </c>
      <c r="R412" s="36">
        <f>SUMIF(Entradas!$B:$B,'Entrada Lvl 5-4 qt'!$B412,Entradas!Y:Y)</f>
        <v>95</v>
      </c>
      <c r="S412" s="36">
        <f>SUMIF(Entradas!$B:$B,'Entrada Lvl 5-4 qt'!$B412,Entradas!Z:Z)</f>
        <v>0</v>
      </c>
      <c r="T412" s="36">
        <f>SUMIF(Entradas!$B:$B,'Entrada Lvl 5-4 qt'!$B412,Entradas!AA:AA)</f>
        <v>1981.29</v>
      </c>
      <c r="U412" s="36">
        <f>SUMIF(Entradas!$B:$B,'Entrada Lvl 5-4 qt'!$B412,Entradas!AB:AB)</f>
        <v>0</v>
      </c>
      <c r="V412" s="49">
        <f>_xlfn.XLOOKUP($B412,Entradas!$B:$B,Entradas!AC:AC,,0,1)</f>
        <v>45195</v>
      </c>
      <c r="W412" s="58">
        <f t="shared" si="34"/>
        <v>2</v>
      </c>
      <c r="X412" s="28" t="s">
        <v>10</v>
      </c>
      <c r="Y412" s="32">
        <f t="shared" si="30"/>
        <v>0</v>
      </c>
      <c r="Z412" s="33">
        <f t="shared" si="31"/>
        <v>1981.29</v>
      </c>
      <c r="AA412" s="34">
        <f t="shared" si="32"/>
        <v>95</v>
      </c>
      <c r="AB412" s="28" t="s">
        <v>1814</v>
      </c>
      <c r="AC412" s="28" t="s">
        <v>1820</v>
      </c>
      <c r="AD412" s="29" t="str" cm="1">
        <f t="array" ref="AD412">_xlfn.IFS(L412&lt;=Constantes!$G$2,"Muito Curta (evitável)",L412&lt;=Constantes!$H$2,"Curta Distância",L412&gt;Constantes!$H$2,"Longa Distância")</f>
        <v>Longa Distância</v>
      </c>
      <c r="AE412" s="30" t="str">
        <f t="shared" si="33"/>
        <v>NÃO</v>
      </c>
      <c r="AF412" s="30">
        <f>SUMIF(Entradas!$B:$B,'Entrada Lvl 5-4 qt'!$B412,Entradas!$AG:$AG)</f>
        <v>717.39676463438343</v>
      </c>
      <c r="AG412" s="30"/>
      <c r="BD412" s="49"/>
      <c r="BE412" s="49"/>
    </row>
    <row r="413" spans="1:57" x14ac:dyDescent="0.3">
      <c r="A413">
        <f>_xlfn.XLOOKUP(B413,Entradas!B:B,Entradas!A:A,,0,-1)</f>
        <v>2</v>
      </c>
      <c r="B413">
        <v>19323168</v>
      </c>
      <c r="C413" t="str">
        <f>_xlfn.XLOOKUP($B413,Entradas!$B:$B,Entradas!C:C,,0,1)</f>
        <v>001194/23</v>
      </c>
      <c r="D413" t="str">
        <f>_xlfn.XLOOKUP($B413,Entradas!$B:$B,Entradas!D:D,,0,1)</f>
        <v>***.274.509-**</v>
      </c>
      <c r="E413" t="str">
        <f>_xlfn.XLOOKUP($B413,Entradas!$B:$B,Entradas!E:E,,0,1)</f>
        <v>TATIANA COLOMBO PIMENTEL</v>
      </c>
      <c r="F413" t="str">
        <f>_xlfn.XLOOKUP($B413,Entradas!$B:$B,Entradas!F:F,,0,1)</f>
        <v>PROFESSOR ENS BASICO TECN TECNOLOGICO</v>
      </c>
      <c r="G413" t="str">
        <f>_xlfn.XLOOKUP($B413,Entradas!$B:$B,Entradas!G:G,,0,1)</f>
        <v>-1</v>
      </c>
      <c r="H413" t="str">
        <f>_xlfn.XLOOKUP($B413,Entradas!$B:$B,Entradas!H:H,,0,1)</f>
        <v>Sem informação</v>
      </c>
      <c r="I413" s="49">
        <f>_xlfn.XLOOKUP($B413,Entradas!$B:$B,Entradas!I:I,,0,1)</f>
        <v>45277</v>
      </c>
      <c r="J413" s="49">
        <f>_xlfn.XLOOKUP($B413,Entradas!$B:$B,Entradas!J:J,,0,1)</f>
        <v>45279</v>
      </c>
      <c r="K413" t="str">
        <f>_xlfn.XLOOKUP($B413,Entradas!$B:$B,Entradas!K:K,,0,1)</f>
        <v>Palestrante do Ciclo de palestras de PPGCTA: Analise Sensorial - Técnicas aplicadas e participação na avaliação dos projetos da disciplina de seminários II</v>
      </c>
      <c r="L413">
        <f>SUMIF(Entradas!$B:$B,'Entrada Lvl 5-4 qt'!$B413,Entradas!S:S)</f>
        <v>5146.5065180000001</v>
      </c>
      <c r="M413" t="str">
        <f>_xlfn.XLOOKUP($B413,Entradas!$B:$B,Entradas!T:T,,0,1)</f>
        <v>Aéreo</v>
      </c>
      <c r="N413" t="str">
        <f>_xlfn.XLOOKUP($B413,Entradas!$B:$B,Entradas!U:U,,0,1)</f>
        <v>Não</v>
      </c>
      <c r="O413" t="str">
        <f>_xlfn.XLOOKUP($B413,Entradas!$B:$B,Entradas!V:V,,0,1)</f>
        <v>Realizada</v>
      </c>
      <c r="P413" t="str">
        <f>_xlfn.XLOOKUP($B413,Entradas!$B:$B,Entradas!W:W,,0,1)</f>
        <v>NÃO</v>
      </c>
      <c r="Q413" t="str">
        <f>_xlfn.XLOOKUP($B413,Entradas!$B:$B,Entradas!X:X,,0,1)</f>
        <v>Sem informação</v>
      </c>
      <c r="R413" s="36">
        <f>SUMIF(Entradas!$B:$B,'Entrada Lvl 5-4 qt'!$B413,Entradas!Y:Y)</f>
        <v>95</v>
      </c>
      <c r="S413" s="36">
        <f>SUMIF(Entradas!$B:$B,'Entrada Lvl 5-4 qt'!$B413,Entradas!Z:Z)</f>
        <v>0</v>
      </c>
      <c r="T413" s="36">
        <f>SUMIF(Entradas!$B:$B,'Entrada Lvl 5-4 qt'!$B413,Entradas!AA:AA)</f>
        <v>3139</v>
      </c>
      <c r="U413" s="36">
        <f>SUMIF(Entradas!$B:$B,'Entrada Lvl 5-4 qt'!$B413,Entradas!AB:AB)</f>
        <v>0</v>
      </c>
      <c r="V413" s="49">
        <f>_xlfn.XLOOKUP($B413,Entradas!$B:$B,Entradas!AC:AC,,0,1)</f>
        <v>45195</v>
      </c>
      <c r="W413" s="58">
        <f t="shared" si="34"/>
        <v>2</v>
      </c>
      <c r="X413" s="28" t="s">
        <v>10</v>
      </c>
      <c r="Y413" s="32">
        <f t="shared" si="30"/>
        <v>0</v>
      </c>
      <c r="Z413" s="33">
        <f t="shared" si="31"/>
        <v>3139</v>
      </c>
      <c r="AA413" s="34">
        <f t="shared" si="32"/>
        <v>95</v>
      </c>
      <c r="AB413" s="28" t="s">
        <v>1814</v>
      </c>
      <c r="AC413" s="28" t="s">
        <v>1820</v>
      </c>
      <c r="AD413" s="29" t="str" cm="1">
        <f t="array" ref="AD413">_xlfn.IFS(L413&lt;=Constantes!$G$2,"Muito Curta (evitável)",L413&lt;=Constantes!$H$2,"Curta Distância",L413&gt;Constantes!$H$2,"Longa Distância")</f>
        <v>Longa Distância</v>
      </c>
      <c r="AE413" s="30" t="str">
        <f t="shared" si="33"/>
        <v>NÃO</v>
      </c>
      <c r="AF413" s="30">
        <f>SUMIF(Entradas!$B:$B,'Entrada Lvl 5-4 qt'!$B413,Entradas!$AG:$AG)</f>
        <v>941.13832416862624</v>
      </c>
      <c r="AG413" s="30"/>
      <c r="BD413" s="49"/>
      <c r="BE413" s="49"/>
    </row>
    <row r="414" spans="1:57" x14ac:dyDescent="0.3">
      <c r="A414">
        <f>_xlfn.XLOOKUP(B414,Entradas!B:B,Entradas!A:A,,0,-1)</f>
        <v>2</v>
      </c>
      <c r="B414">
        <v>19342313</v>
      </c>
      <c r="C414" t="str">
        <f>_xlfn.XLOOKUP($B414,Entradas!$B:$B,Entradas!C:C,,0,1)</f>
        <v>001244/23</v>
      </c>
      <c r="D414" t="str">
        <f>_xlfn.XLOOKUP($B414,Entradas!$B:$B,Entradas!D:D,,0,1)</f>
        <v>***.259.354-**</v>
      </c>
      <c r="E414" t="str">
        <f>_xlfn.XLOOKUP($B414,Entradas!$B:$B,Entradas!E:E,,0,1)</f>
        <v>MARCOS DOS SANTOS LIMA</v>
      </c>
      <c r="F414" t="str">
        <f>_xlfn.XLOOKUP($B414,Entradas!$B:$B,Entradas!F:F,,0,1)</f>
        <v>PROFESSOR ENS BASICO TECN TECNOLOGICO</v>
      </c>
      <c r="G414" t="str">
        <f>_xlfn.XLOOKUP($B414,Entradas!$B:$B,Entradas!G:G,,0,1)</f>
        <v>-1</v>
      </c>
      <c r="H414" t="str">
        <f>_xlfn.XLOOKUP($B414,Entradas!$B:$B,Entradas!H:H,,0,1)</f>
        <v>Sem informação</v>
      </c>
      <c r="I414" s="49">
        <f>_xlfn.XLOOKUP($B414,Entradas!$B:$B,Entradas!I:I,,0,1)</f>
        <v>45277</v>
      </c>
      <c r="J414" s="49">
        <f>_xlfn.XLOOKUP($B414,Entradas!$B:$B,Entradas!J:J,,0,1)</f>
        <v>45279</v>
      </c>
      <c r="K414" t="str">
        <f>_xlfn.XLOOKUP($B414,Entradas!$B:$B,Entradas!K:K,,0,1)</f>
        <v>Participação do 'Ciclo de paletras de PPGCTA: Analise Sensorial - Técnicas aplicadas' e da avaliação dos projetos da disciplina de seminários I e II do PPGCTA</v>
      </c>
      <c r="L414">
        <f>SUMIF(Entradas!$B:$B,'Entrada Lvl 5-4 qt'!$B414,Entradas!S:S)</f>
        <v>1331.4793172</v>
      </c>
      <c r="M414" t="str">
        <f>_xlfn.XLOOKUP($B414,Entradas!$B:$B,Entradas!T:T,,0,1)</f>
        <v>Aéreo</v>
      </c>
      <c r="N414" t="str">
        <f>_xlfn.XLOOKUP($B414,Entradas!$B:$B,Entradas!U:U,,0,1)</f>
        <v>Sim</v>
      </c>
      <c r="O414" t="str">
        <f>_xlfn.XLOOKUP($B414,Entradas!$B:$B,Entradas!V:V,,0,1)</f>
        <v>Realizada</v>
      </c>
      <c r="P414" t="str">
        <f>_xlfn.XLOOKUP($B414,Entradas!$B:$B,Entradas!W:W,,0,1)</f>
        <v>NÃO</v>
      </c>
      <c r="Q414" t="str">
        <f>_xlfn.XLOOKUP($B414,Entradas!$B:$B,Entradas!X:X,,0,1)</f>
        <v>Sem informação</v>
      </c>
      <c r="R414" s="36">
        <f>SUMIF(Entradas!$B:$B,'Entrada Lvl 5-4 qt'!$B414,Entradas!Y:Y)</f>
        <v>887.73</v>
      </c>
      <c r="S414" s="36">
        <f>SUMIF(Entradas!$B:$B,'Entrada Lvl 5-4 qt'!$B414,Entradas!Z:Z)</f>
        <v>0</v>
      </c>
      <c r="T414" s="36">
        <f>SUMIF(Entradas!$B:$B,'Entrada Lvl 5-4 qt'!$B414,Entradas!AA:AA)</f>
        <v>2362.7799999999997</v>
      </c>
      <c r="U414" s="36">
        <f>SUMIF(Entradas!$B:$B,'Entrada Lvl 5-4 qt'!$B414,Entradas!AB:AB)</f>
        <v>0</v>
      </c>
      <c r="V414" s="49">
        <f>_xlfn.XLOOKUP($B414,Entradas!$B:$B,Entradas!AC:AC,,0,1)</f>
        <v>45201</v>
      </c>
      <c r="W414" s="58">
        <f t="shared" si="34"/>
        <v>2</v>
      </c>
      <c r="X414" s="28" t="s">
        <v>10</v>
      </c>
      <c r="Y414" s="32">
        <f t="shared" si="30"/>
        <v>0</v>
      </c>
      <c r="Z414" s="33">
        <f t="shared" si="31"/>
        <v>2362.7799999999997</v>
      </c>
      <c r="AA414" s="34">
        <f t="shared" si="32"/>
        <v>887.73</v>
      </c>
      <c r="AB414" s="28" t="s">
        <v>1814</v>
      </c>
      <c r="AC414" s="28" t="s">
        <v>1820</v>
      </c>
      <c r="AD414" s="29" t="str" cm="1">
        <f t="array" ref="AD414">_xlfn.IFS(L414&lt;=Constantes!$G$2,"Muito Curta (evitável)",L414&lt;=Constantes!$H$2,"Curta Distância",L414&gt;Constantes!$H$2,"Longa Distância")</f>
        <v>Curta Distância</v>
      </c>
      <c r="AE414" s="30" t="str">
        <f t="shared" si="33"/>
        <v>NÃO</v>
      </c>
      <c r="AF414" s="30">
        <f>SUMIF(Entradas!$B:$B,'Entrada Lvl 5-4 qt'!$B414,Entradas!$AG:$AG)</f>
        <v>243.48676308327464</v>
      </c>
      <c r="AG414" s="30"/>
      <c r="BD414" s="49"/>
      <c r="BE414" s="49"/>
    </row>
    <row r="415" spans="1:57" x14ac:dyDescent="0.3">
      <c r="A415">
        <f>_xlfn.XLOOKUP(B415,Entradas!B:B,Entradas!A:A,,0,-1)</f>
        <v>2</v>
      </c>
      <c r="B415">
        <v>19432095</v>
      </c>
      <c r="C415" t="str">
        <f>_xlfn.XLOOKUP($B415,Entradas!$B:$B,Entradas!C:C,,0,1)</f>
        <v>001571/23</v>
      </c>
      <c r="D415" t="str">
        <f>_xlfn.XLOOKUP($B415,Entradas!$B:$B,Entradas!D:D,,0,1)</f>
        <v>***.418.406-**</v>
      </c>
      <c r="E415" t="str">
        <f>_xlfn.XLOOKUP($B415,Entradas!$B:$B,Entradas!E:E,,0,1)</f>
        <v>ALICE MARA SERRA</v>
      </c>
      <c r="F415" t="str">
        <f>_xlfn.XLOOKUP($B415,Entradas!$B:$B,Entradas!F:F,,0,1)</f>
        <v>PROFESSOR DO MAGISTERIO SUPERIOR</v>
      </c>
      <c r="G415" t="str">
        <f>_xlfn.XLOOKUP($B415,Entradas!$B:$B,Entradas!G:G,,0,1)</f>
        <v>-1</v>
      </c>
      <c r="H415" t="str">
        <f>_xlfn.XLOOKUP($B415,Entradas!$B:$B,Entradas!H:H,,0,1)</f>
        <v>Sem informação</v>
      </c>
      <c r="I415" s="49">
        <f>_xlfn.XLOOKUP($B415,Entradas!$B:$B,Entradas!I:I,,0,1)</f>
        <v>45277</v>
      </c>
      <c r="J415" s="49">
        <f>_xlfn.XLOOKUP($B415,Entradas!$B:$B,Entradas!J:J,,0,1)</f>
        <v>45281</v>
      </c>
      <c r="K415" t="str">
        <f>_xlfn.XLOOKUP($B415,Entradas!$B:$B,Entradas!K:K,,0,1)</f>
        <v>Participar do evento A Fenomenologia e seus outros, como apresentadora e debatedora.</v>
      </c>
      <c r="L415">
        <f>SUMIF(Entradas!$B:$B,'Entrada Lvl 5-4 qt'!$B415,Entradas!S:S)</f>
        <v>3429.6730739999998</v>
      </c>
      <c r="M415" t="str">
        <f>_xlfn.XLOOKUP($B415,Entradas!$B:$B,Entradas!T:T,,0,1)</f>
        <v>Aéreo</v>
      </c>
      <c r="N415" t="str">
        <f>_xlfn.XLOOKUP($B415,Entradas!$B:$B,Entradas!U:U,,0,1)</f>
        <v>Não</v>
      </c>
      <c r="O415" t="str">
        <f>_xlfn.XLOOKUP($B415,Entradas!$B:$B,Entradas!V:V,,0,1)</f>
        <v>Realizada</v>
      </c>
      <c r="P415" t="str">
        <f>_xlfn.XLOOKUP($B415,Entradas!$B:$B,Entradas!W:W,,0,1)</f>
        <v>NÃO</v>
      </c>
      <c r="Q415" t="str">
        <f>_xlfn.XLOOKUP($B415,Entradas!$B:$B,Entradas!X:X,,0,1)</f>
        <v>Sem informação</v>
      </c>
      <c r="R415" s="36">
        <f>SUMIF(Entradas!$B:$B,'Entrada Lvl 5-4 qt'!$B415,Entradas!Y:Y)</f>
        <v>887.73</v>
      </c>
      <c r="S415" s="36">
        <f>SUMIF(Entradas!$B:$B,'Entrada Lvl 5-4 qt'!$B415,Entradas!Z:Z)</f>
        <v>0</v>
      </c>
      <c r="T415" s="36">
        <f>SUMIF(Entradas!$B:$B,'Entrada Lvl 5-4 qt'!$B415,Entradas!AA:AA)</f>
        <v>2647.89</v>
      </c>
      <c r="U415" s="36">
        <f>SUMIF(Entradas!$B:$B,'Entrada Lvl 5-4 qt'!$B415,Entradas!AB:AB)</f>
        <v>0</v>
      </c>
      <c r="V415" s="49">
        <f>_xlfn.XLOOKUP($B415,Entradas!$B:$B,Entradas!AC:AC,,0,1)</f>
        <v>45225</v>
      </c>
      <c r="W415" s="58">
        <f t="shared" si="34"/>
        <v>4</v>
      </c>
      <c r="X415" s="28" t="s">
        <v>10</v>
      </c>
      <c r="Y415" s="32">
        <f t="shared" si="30"/>
        <v>0</v>
      </c>
      <c r="Z415" s="33">
        <f t="shared" si="31"/>
        <v>2647.89</v>
      </c>
      <c r="AA415" s="34">
        <f t="shared" si="32"/>
        <v>887.73</v>
      </c>
      <c r="AB415" s="28" t="s">
        <v>1814</v>
      </c>
      <c r="AC415" s="28" t="s">
        <v>1820</v>
      </c>
      <c r="AD415" s="29" t="str" cm="1">
        <f t="array" ref="AD415">_xlfn.IFS(L415&lt;=Constantes!$G$2,"Muito Curta (evitável)",L415&lt;=Constantes!$H$2,"Curta Distância",L415&gt;Constantes!$H$2,"Longa Distância")</f>
        <v>Curta Distância</v>
      </c>
      <c r="AE415" s="30" t="str">
        <f t="shared" si="33"/>
        <v>NÃO</v>
      </c>
      <c r="AF415" s="30">
        <f>SUMIF(Entradas!$B:$B,'Entrada Lvl 5-4 qt'!$B415,Entradas!$AG:$AG)</f>
        <v>627.18210071654289</v>
      </c>
      <c r="AG415" s="30"/>
      <c r="BD415" s="49"/>
      <c r="BE415" s="49"/>
    </row>
    <row r="416" spans="1:57" x14ac:dyDescent="0.3">
      <c r="I416" s="49"/>
      <c r="J416" s="49"/>
      <c r="R416" s="36"/>
      <c r="S416" s="36"/>
      <c r="T416" s="36"/>
      <c r="U416" s="36"/>
      <c r="V416" s="49"/>
      <c r="W416" s="58"/>
      <c r="X416" s="28"/>
      <c r="Y416" s="32"/>
      <c r="Z416" s="33"/>
      <c r="AA416" s="34"/>
      <c r="AB416" s="28"/>
      <c r="AC416" s="28"/>
      <c r="AD416" s="29"/>
      <c r="AF416" s="30"/>
      <c r="AG416" s="30"/>
      <c r="BD416" s="49"/>
      <c r="BE416" s="49"/>
    </row>
    <row r="417" spans="9:57" x14ac:dyDescent="0.3">
      <c r="I417" s="49"/>
      <c r="J417" s="49"/>
      <c r="R417" s="36"/>
      <c r="S417" s="36"/>
      <c r="T417" s="36"/>
      <c r="U417" s="36"/>
      <c r="V417" s="49"/>
      <c r="W417" s="58"/>
      <c r="X417" s="28"/>
      <c r="Y417" s="32"/>
      <c r="Z417" s="33"/>
      <c r="AA417" s="34"/>
      <c r="AB417" s="28"/>
      <c r="AC417" s="28"/>
      <c r="AD417" s="29"/>
      <c r="AF417" s="30"/>
      <c r="AG417" s="30"/>
      <c r="BD417" s="49"/>
      <c r="BE417" s="49"/>
    </row>
    <row r="418" spans="9:57" x14ac:dyDescent="0.3">
      <c r="I418" s="49"/>
      <c r="J418" s="49"/>
      <c r="R418" s="36"/>
      <c r="S418" s="36"/>
      <c r="T418" s="36"/>
      <c r="U418" s="36"/>
      <c r="V418" s="49"/>
      <c r="W418" s="58"/>
      <c r="X418" s="28"/>
      <c r="Y418" s="32"/>
      <c r="Z418" s="33"/>
      <c r="AA418" s="34"/>
      <c r="AB418" s="28"/>
      <c r="AC418" s="28"/>
      <c r="AD418" s="29"/>
      <c r="AF418" s="30"/>
      <c r="AG418" s="30"/>
      <c r="BD418" s="49"/>
      <c r="BE418" s="49"/>
    </row>
    <row r="419" spans="9:57" x14ac:dyDescent="0.3">
      <c r="I419" s="49"/>
      <c r="J419" s="49"/>
      <c r="R419" s="36"/>
      <c r="S419" s="36"/>
      <c r="T419" s="36"/>
      <c r="U419" s="36"/>
      <c r="V419" s="49"/>
      <c r="W419" s="58"/>
      <c r="X419" s="28"/>
      <c r="Y419" s="32"/>
      <c r="Z419" s="33"/>
      <c r="AA419" s="34"/>
      <c r="AB419" s="28"/>
      <c r="AC419" s="28"/>
      <c r="AD419" s="29"/>
      <c r="AF419" s="30"/>
      <c r="AG419" s="30"/>
      <c r="BD419" s="49"/>
      <c r="BE419" s="49"/>
    </row>
    <row r="420" spans="9:57" x14ac:dyDescent="0.3">
      <c r="I420" s="49"/>
      <c r="J420" s="49"/>
      <c r="R420" s="36"/>
      <c r="S420" s="36"/>
      <c r="T420" s="36"/>
      <c r="U420" s="36"/>
      <c r="V420" s="49"/>
      <c r="W420" s="58"/>
      <c r="X420" s="28"/>
      <c r="Y420" s="32"/>
      <c r="Z420" s="33"/>
      <c r="AA420" s="34"/>
      <c r="AB420" s="28"/>
      <c r="AC420" s="28"/>
      <c r="AD420" s="29"/>
      <c r="AF420" s="30"/>
      <c r="AG420" s="30"/>
      <c r="BD420" s="49"/>
      <c r="BE420" s="49"/>
    </row>
    <row r="421" spans="9:57" x14ac:dyDescent="0.3">
      <c r="I421" s="49"/>
      <c r="J421" s="49"/>
      <c r="R421" s="36"/>
      <c r="S421" s="36"/>
      <c r="T421" s="36"/>
      <c r="U421" s="36"/>
      <c r="V421" s="49"/>
      <c r="W421" s="58"/>
      <c r="X421" s="28"/>
      <c r="Y421" s="32"/>
      <c r="Z421" s="33"/>
      <c r="AA421" s="34"/>
      <c r="AB421" s="28"/>
      <c r="AC421" s="28"/>
      <c r="AD421" s="29"/>
      <c r="AF421" s="30"/>
      <c r="AG421" s="30"/>
      <c r="BD421" s="49"/>
      <c r="BE421" s="49"/>
    </row>
    <row r="422" spans="9:57" x14ac:dyDescent="0.3">
      <c r="I422" s="49"/>
      <c r="J422" s="49"/>
      <c r="R422" s="36"/>
      <c r="S422" s="36"/>
      <c r="T422" s="36"/>
      <c r="U422" s="36"/>
      <c r="V422" s="49"/>
      <c r="W422" s="58"/>
      <c r="X422" s="28"/>
      <c r="Y422" s="32"/>
      <c r="Z422" s="33"/>
      <c r="AA422" s="34"/>
      <c r="AB422" s="28"/>
      <c r="AC422" s="28"/>
      <c r="AD422" s="29"/>
      <c r="AF422" s="30"/>
      <c r="AG422" s="30"/>
      <c r="BD422" s="49"/>
      <c r="BE422" s="49"/>
    </row>
    <row r="423" spans="9:57" x14ac:dyDescent="0.3">
      <c r="I423" s="49"/>
      <c r="J423" s="49"/>
      <c r="R423" s="36"/>
      <c r="S423" s="36"/>
      <c r="T423" s="36"/>
      <c r="U423" s="36"/>
      <c r="V423" s="49"/>
      <c r="W423" s="58"/>
      <c r="X423" s="28"/>
      <c r="Y423" s="32"/>
      <c r="Z423" s="33"/>
      <c r="AA423" s="34"/>
      <c r="AB423" s="28"/>
      <c r="AC423" s="28"/>
      <c r="AD423" s="29"/>
      <c r="AF423" s="30"/>
      <c r="AG423" s="30"/>
      <c r="BD423" s="49"/>
      <c r="BE423" s="49"/>
    </row>
    <row r="424" spans="9:57" x14ac:dyDescent="0.3">
      <c r="I424" s="49"/>
      <c r="J424" s="49"/>
      <c r="R424" s="36"/>
      <c r="S424" s="36"/>
      <c r="T424" s="36"/>
      <c r="U424" s="36"/>
      <c r="V424" s="49"/>
      <c r="W424" s="58"/>
      <c r="X424" s="28"/>
      <c r="Y424" s="32"/>
      <c r="Z424" s="33"/>
      <c r="AA424" s="34"/>
      <c r="AB424" s="28"/>
      <c r="AC424" s="28"/>
      <c r="AD424" s="29"/>
      <c r="AF424" s="30"/>
      <c r="AG424" s="30"/>
      <c r="BD424" s="49"/>
      <c r="BE424" s="49"/>
    </row>
    <row r="425" spans="9:57" x14ac:dyDescent="0.3">
      <c r="I425" s="49"/>
      <c r="J425" s="49"/>
      <c r="R425" s="36"/>
      <c r="S425" s="36"/>
      <c r="T425" s="36"/>
      <c r="U425" s="36"/>
      <c r="V425" s="49"/>
      <c r="W425" s="58"/>
      <c r="X425" s="28"/>
      <c r="Y425" s="32"/>
      <c r="Z425" s="33"/>
      <c r="AA425" s="34"/>
      <c r="AB425" s="28"/>
      <c r="AC425" s="28"/>
      <c r="AD425" s="29"/>
      <c r="AF425" s="30"/>
      <c r="AG425" s="30"/>
      <c r="BD425" s="49"/>
      <c r="BE425" s="49"/>
    </row>
    <row r="426" spans="9:57" x14ac:dyDescent="0.3">
      <c r="I426" s="49"/>
      <c r="J426" s="49"/>
      <c r="R426" s="36"/>
      <c r="S426" s="36"/>
      <c r="T426" s="36"/>
      <c r="U426" s="36"/>
      <c r="V426" s="49"/>
      <c r="W426" s="58"/>
      <c r="X426" s="28"/>
      <c r="Y426" s="32"/>
      <c r="Z426" s="33"/>
      <c r="AA426" s="34"/>
      <c r="AB426" s="28"/>
      <c r="AC426" s="28"/>
      <c r="AD426" s="29"/>
      <c r="AF426" s="30"/>
      <c r="AG426" s="30"/>
      <c r="BD426" s="49"/>
      <c r="BE426" s="49"/>
    </row>
    <row r="427" spans="9:57" x14ac:dyDescent="0.3">
      <c r="I427" s="49"/>
      <c r="J427" s="49"/>
      <c r="R427" s="36"/>
      <c r="S427" s="36"/>
      <c r="T427" s="36"/>
      <c r="U427" s="36"/>
      <c r="V427" s="49"/>
      <c r="W427" s="58"/>
      <c r="X427" s="28"/>
      <c r="Y427" s="32"/>
      <c r="Z427" s="33"/>
      <c r="AA427" s="34"/>
      <c r="AB427" s="28"/>
      <c r="AC427" s="28"/>
      <c r="AD427" s="29"/>
      <c r="AF427" s="30"/>
      <c r="AG427" s="30"/>
      <c r="BD427" s="49"/>
      <c r="BE427" s="49"/>
    </row>
    <row r="428" spans="9:57" x14ac:dyDescent="0.3">
      <c r="I428" s="49"/>
      <c r="J428" s="49"/>
      <c r="R428" s="36"/>
      <c r="S428" s="36"/>
      <c r="T428" s="36"/>
      <c r="U428" s="36"/>
      <c r="V428" s="49"/>
      <c r="W428" s="58"/>
      <c r="X428" s="28"/>
      <c r="Y428" s="32"/>
      <c r="Z428" s="33"/>
      <c r="AA428" s="34"/>
      <c r="AB428" s="28"/>
      <c r="AC428" s="28"/>
      <c r="AD428" s="29"/>
      <c r="AF428" s="30"/>
      <c r="AG428" s="30"/>
      <c r="BD428" s="49"/>
      <c r="BE428" s="49"/>
    </row>
    <row r="429" spans="9:57" x14ac:dyDescent="0.3">
      <c r="I429" s="49"/>
      <c r="J429" s="49"/>
      <c r="R429" s="36"/>
      <c r="S429" s="36"/>
      <c r="T429" s="36"/>
      <c r="U429" s="36"/>
      <c r="V429" s="49"/>
      <c r="W429" s="58"/>
      <c r="X429" s="28"/>
      <c r="Y429" s="32"/>
      <c r="Z429" s="33"/>
      <c r="AA429" s="34"/>
      <c r="AB429" s="28"/>
      <c r="AC429" s="28"/>
      <c r="AD429" s="29"/>
      <c r="AF429" s="30"/>
      <c r="AG429" s="30"/>
      <c r="BD429" s="49"/>
      <c r="BE429" s="49"/>
    </row>
    <row r="430" spans="9:57" x14ac:dyDescent="0.3">
      <c r="I430" s="49"/>
      <c r="J430" s="49"/>
      <c r="R430" s="36"/>
      <c r="S430" s="36"/>
      <c r="T430" s="36"/>
      <c r="U430" s="36"/>
      <c r="V430" s="49"/>
      <c r="W430" s="58"/>
      <c r="X430" s="28"/>
      <c r="Y430" s="32"/>
      <c r="Z430" s="33"/>
      <c r="AA430" s="34"/>
      <c r="AB430" s="28"/>
      <c r="AC430" s="28"/>
      <c r="AD430" s="29"/>
      <c r="AF430" s="30"/>
      <c r="AG430" s="30"/>
      <c r="BD430" s="49"/>
      <c r="BE430" s="49"/>
    </row>
    <row r="431" spans="9:57" x14ac:dyDescent="0.3">
      <c r="I431" s="49"/>
      <c r="J431" s="49"/>
      <c r="R431" s="36"/>
      <c r="S431" s="36"/>
      <c r="T431" s="36"/>
      <c r="U431" s="36"/>
      <c r="V431" s="49"/>
      <c r="W431" s="58"/>
      <c r="X431" s="28"/>
      <c r="Y431" s="32"/>
      <c r="Z431" s="33"/>
      <c r="AA431" s="34"/>
      <c r="AB431" s="28"/>
      <c r="AC431" s="28"/>
      <c r="AD431" s="29"/>
      <c r="AF431" s="30"/>
      <c r="AG431" s="30"/>
      <c r="BD431" s="49"/>
      <c r="BE431" s="49"/>
    </row>
    <row r="432" spans="9:57" x14ac:dyDescent="0.3">
      <c r="I432" s="49"/>
      <c r="J432" s="49"/>
      <c r="R432" s="36"/>
      <c r="S432" s="36"/>
      <c r="T432" s="36"/>
      <c r="U432" s="36"/>
      <c r="V432" s="49"/>
      <c r="W432" s="58"/>
      <c r="X432" s="28"/>
      <c r="Y432" s="32"/>
      <c r="Z432" s="33"/>
      <c r="AA432" s="34"/>
      <c r="AB432" s="28"/>
      <c r="AC432" s="28"/>
      <c r="AD432" s="29"/>
      <c r="AF432" s="30"/>
      <c r="AG432" s="30"/>
      <c r="BD432" s="49"/>
      <c r="BE432" s="49"/>
    </row>
    <row r="433" spans="9:57" x14ac:dyDescent="0.3">
      <c r="I433" s="49"/>
      <c r="J433" s="49"/>
      <c r="R433" s="36"/>
      <c r="S433" s="36"/>
      <c r="T433" s="36"/>
      <c r="U433" s="36"/>
      <c r="V433" s="49"/>
      <c r="W433" s="58"/>
      <c r="X433" s="28"/>
      <c r="Y433" s="32"/>
      <c r="Z433" s="33"/>
      <c r="AA433" s="34"/>
      <c r="AB433" s="28"/>
      <c r="AC433" s="28"/>
      <c r="AD433" s="29"/>
      <c r="AF433" s="30"/>
      <c r="AG433" s="30"/>
      <c r="BD433" s="49"/>
      <c r="BE433" s="49"/>
    </row>
    <row r="434" spans="9:57" x14ac:dyDescent="0.3">
      <c r="I434" s="49"/>
      <c r="J434" s="49"/>
      <c r="R434" s="36"/>
      <c r="S434" s="36"/>
      <c r="T434" s="36"/>
      <c r="U434" s="36"/>
      <c r="V434" s="49"/>
      <c r="W434" s="58"/>
      <c r="X434" s="28"/>
      <c r="Y434" s="32"/>
      <c r="Z434" s="33"/>
      <c r="AA434" s="34"/>
      <c r="AB434" s="28"/>
      <c r="AC434" s="28"/>
      <c r="AD434" s="29"/>
      <c r="AF434" s="30"/>
      <c r="AG434" s="30"/>
      <c r="BD434" s="49"/>
      <c r="BE434" s="49"/>
    </row>
    <row r="435" spans="9:57" x14ac:dyDescent="0.3">
      <c r="I435" s="49"/>
      <c r="J435" s="49"/>
      <c r="R435" s="36"/>
      <c r="S435" s="36"/>
      <c r="T435" s="36"/>
      <c r="U435" s="36"/>
      <c r="V435" s="49"/>
      <c r="W435" s="58"/>
      <c r="X435" s="28"/>
      <c r="Y435" s="32"/>
      <c r="Z435" s="33"/>
      <c r="AA435" s="34"/>
      <c r="AB435" s="28"/>
      <c r="AC435" s="28"/>
      <c r="AD435" s="29"/>
      <c r="AF435" s="30"/>
      <c r="AG435" s="30"/>
      <c r="BD435" s="49"/>
      <c r="BE435" s="49"/>
    </row>
    <row r="436" spans="9:57" x14ac:dyDescent="0.3">
      <c r="I436" s="49"/>
      <c r="J436" s="49"/>
      <c r="R436" s="36"/>
      <c r="S436" s="36"/>
      <c r="T436" s="36"/>
      <c r="U436" s="36"/>
      <c r="V436" s="49"/>
      <c r="W436" s="58"/>
      <c r="X436" s="28"/>
      <c r="Y436" s="32"/>
      <c r="Z436" s="33"/>
      <c r="AA436" s="34"/>
      <c r="AB436" s="28"/>
      <c r="AC436" s="28"/>
      <c r="AD436" s="29"/>
      <c r="AF436" s="30"/>
      <c r="AG436" s="30"/>
      <c r="BD436" s="49"/>
      <c r="BE436" s="49"/>
    </row>
    <row r="437" spans="9:57" x14ac:dyDescent="0.3">
      <c r="I437" s="49"/>
      <c r="J437" s="49"/>
      <c r="R437" s="36"/>
      <c r="S437" s="36"/>
      <c r="T437" s="36"/>
      <c r="U437" s="36"/>
      <c r="V437" s="49"/>
      <c r="W437" s="58"/>
      <c r="X437" s="28"/>
      <c r="Y437" s="32"/>
      <c r="Z437" s="33"/>
      <c r="AA437" s="34"/>
      <c r="AB437" s="28"/>
      <c r="AC437" s="28"/>
      <c r="AD437" s="29"/>
      <c r="AF437" s="30"/>
      <c r="AG437" s="30"/>
      <c r="BD437" s="49"/>
      <c r="BE437" s="49"/>
    </row>
    <row r="438" spans="9:57" x14ac:dyDescent="0.3">
      <c r="I438" s="49"/>
      <c r="J438" s="49"/>
      <c r="R438" s="36"/>
      <c r="S438" s="36"/>
      <c r="T438" s="36"/>
      <c r="U438" s="36"/>
      <c r="V438" s="49"/>
      <c r="W438" s="58"/>
      <c r="X438" s="28"/>
      <c r="Y438" s="32"/>
      <c r="Z438" s="33"/>
      <c r="AA438" s="34"/>
      <c r="AB438" s="28"/>
      <c r="AC438" s="28"/>
      <c r="AD438" s="29"/>
      <c r="AF438" s="30"/>
      <c r="AG438" s="30"/>
      <c r="BD438" s="49"/>
      <c r="BE438" s="49"/>
    </row>
    <row r="439" spans="9:57" x14ac:dyDescent="0.3">
      <c r="I439" s="49"/>
      <c r="J439" s="49"/>
      <c r="R439" s="36"/>
      <c r="S439" s="36"/>
      <c r="T439" s="36"/>
      <c r="U439" s="36"/>
      <c r="V439" s="49"/>
      <c r="W439" s="58"/>
      <c r="X439" s="28"/>
      <c r="Y439" s="32"/>
      <c r="Z439" s="33"/>
      <c r="AA439" s="34"/>
      <c r="AB439" s="28"/>
      <c r="AC439" s="28"/>
      <c r="AD439" s="29"/>
      <c r="AF439" s="30"/>
      <c r="AG439" s="30"/>
      <c r="BD439" s="49"/>
      <c r="BE439" s="49"/>
    </row>
    <row r="440" spans="9:57" x14ac:dyDescent="0.3">
      <c r="I440" s="49"/>
      <c r="J440" s="49"/>
      <c r="R440" s="36"/>
      <c r="S440" s="36"/>
      <c r="T440" s="36"/>
      <c r="U440" s="36"/>
      <c r="V440" s="49"/>
      <c r="W440" s="58"/>
      <c r="X440" s="28"/>
      <c r="Y440" s="32"/>
      <c r="Z440" s="33"/>
      <c r="AA440" s="34"/>
      <c r="AB440" s="28"/>
      <c r="AC440" s="28"/>
      <c r="AD440" s="29"/>
      <c r="AF440" s="30"/>
      <c r="AG440" s="30"/>
      <c r="BD440" s="49"/>
      <c r="BE440" s="49"/>
    </row>
    <row r="441" spans="9:57" x14ac:dyDescent="0.3">
      <c r="I441" s="49"/>
      <c r="J441" s="49"/>
      <c r="R441" s="36"/>
      <c r="S441" s="36"/>
      <c r="T441" s="36"/>
      <c r="U441" s="36"/>
      <c r="V441" s="49"/>
      <c r="W441" s="58"/>
      <c r="X441" s="28"/>
      <c r="Y441" s="32"/>
      <c r="Z441" s="33"/>
      <c r="AA441" s="34"/>
      <c r="AB441" s="28"/>
      <c r="AC441" s="28"/>
      <c r="AD441" s="29"/>
      <c r="AF441" s="30"/>
      <c r="AG441" s="30"/>
      <c r="BD441" s="49"/>
      <c r="BE441" s="49"/>
    </row>
    <row r="442" spans="9:57" x14ac:dyDescent="0.3">
      <c r="I442" s="49"/>
      <c r="J442" s="49"/>
      <c r="R442" s="36"/>
      <c r="S442" s="36"/>
      <c r="T442" s="36"/>
      <c r="U442" s="36"/>
      <c r="V442" s="49"/>
      <c r="W442" s="58"/>
      <c r="X442" s="28"/>
      <c r="Y442" s="32"/>
      <c r="Z442" s="33"/>
      <c r="AA442" s="34"/>
      <c r="AB442" s="28"/>
      <c r="AC442" s="28"/>
      <c r="AD442" s="29"/>
      <c r="AF442" s="30"/>
      <c r="AG442" s="30"/>
      <c r="BD442" s="49"/>
      <c r="BE442" s="49"/>
    </row>
    <row r="443" spans="9:57" x14ac:dyDescent="0.3">
      <c r="I443" s="49"/>
      <c r="J443" s="49"/>
      <c r="R443" s="36"/>
      <c r="S443" s="36"/>
      <c r="T443" s="36"/>
      <c r="U443" s="36"/>
      <c r="V443" s="49"/>
      <c r="W443" s="58"/>
      <c r="X443" s="28"/>
      <c r="Y443" s="32"/>
      <c r="Z443" s="33"/>
      <c r="AA443" s="34"/>
      <c r="AB443" s="28"/>
      <c r="AC443" s="28"/>
      <c r="AD443" s="29"/>
      <c r="AF443" s="30"/>
      <c r="AG443" s="30"/>
      <c r="BD443" s="49"/>
      <c r="BE443" s="49"/>
    </row>
    <row r="444" spans="9:57" x14ac:dyDescent="0.3">
      <c r="I444" s="49"/>
      <c r="J444" s="49"/>
      <c r="R444" s="36"/>
      <c r="S444" s="36"/>
      <c r="T444" s="36"/>
      <c r="U444" s="36"/>
      <c r="V444" s="49"/>
      <c r="W444" s="58"/>
      <c r="X444" s="28"/>
      <c r="Y444" s="32"/>
      <c r="Z444" s="33"/>
      <c r="AA444" s="34"/>
      <c r="AB444" s="28"/>
      <c r="AC444" s="28"/>
      <c r="AD444" s="29"/>
      <c r="AF444" s="30"/>
      <c r="AG444" s="30"/>
      <c r="BD444" s="49"/>
      <c r="BE444" s="49"/>
    </row>
    <row r="445" spans="9:57" x14ac:dyDescent="0.3">
      <c r="I445" s="49"/>
      <c r="J445" s="49"/>
      <c r="R445" s="36"/>
      <c r="S445" s="36"/>
      <c r="T445" s="36"/>
      <c r="U445" s="36"/>
      <c r="V445" s="49"/>
      <c r="W445" s="58"/>
      <c r="X445" s="28"/>
      <c r="Y445" s="32"/>
      <c r="Z445" s="33"/>
      <c r="AA445" s="34"/>
      <c r="AB445" s="28"/>
      <c r="AC445" s="28"/>
      <c r="AD445" s="29"/>
      <c r="AF445" s="30"/>
      <c r="AG445" s="30"/>
      <c r="BD445" s="49"/>
      <c r="BE445" s="49"/>
    </row>
    <row r="446" spans="9:57" x14ac:dyDescent="0.3">
      <c r="I446" s="49"/>
      <c r="J446" s="49"/>
      <c r="R446" s="36"/>
      <c r="S446" s="36"/>
      <c r="T446" s="36"/>
      <c r="U446" s="36"/>
      <c r="V446" s="49"/>
      <c r="W446" s="58"/>
      <c r="X446" s="28"/>
      <c r="Y446" s="32"/>
      <c r="Z446" s="33"/>
      <c r="AA446" s="34"/>
      <c r="AB446" s="28"/>
      <c r="AC446" s="28"/>
      <c r="AD446" s="29"/>
      <c r="AF446" s="30"/>
      <c r="AG446" s="30"/>
      <c r="BD446" s="49"/>
      <c r="BE446" s="49"/>
    </row>
    <row r="447" spans="9:57" x14ac:dyDescent="0.3">
      <c r="I447" s="49"/>
      <c r="J447" s="49"/>
      <c r="R447" s="36"/>
      <c r="S447" s="36"/>
      <c r="T447" s="36"/>
      <c r="U447" s="36"/>
      <c r="V447" s="49"/>
      <c r="W447" s="58"/>
      <c r="X447" s="28"/>
      <c r="Y447" s="32"/>
      <c r="Z447" s="33"/>
      <c r="AA447" s="34"/>
      <c r="AB447" s="28"/>
      <c r="AC447" s="28"/>
      <c r="AD447" s="29"/>
      <c r="AF447" s="30"/>
      <c r="AG447" s="30"/>
      <c r="BD447" s="49"/>
      <c r="BE447" s="49"/>
    </row>
    <row r="448" spans="9:57" x14ac:dyDescent="0.3">
      <c r="I448" s="49"/>
      <c r="J448" s="49"/>
      <c r="R448" s="36"/>
      <c r="S448" s="36"/>
      <c r="T448" s="36"/>
      <c r="U448" s="36"/>
      <c r="V448" s="49"/>
      <c r="W448" s="58"/>
      <c r="X448" s="28"/>
      <c r="Y448" s="32"/>
      <c r="Z448" s="33"/>
      <c r="AA448" s="34"/>
      <c r="AB448" s="28"/>
      <c r="AC448" s="28"/>
      <c r="AD448" s="29"/>
      <c r="AF448" s="30"/>
      <c r="AG448" s="30"/>
      <c r="BD448" s="49"/>
      <c r="BE448" s="49"/>
    </row>
    <row r="449" spans="9:57" x14ac:dyDescent="0.3">
      <c r="I449" s="49"/>
      <c r="J449" s="49"/>
      <c r="R449" s="36"/>
      <c r="S449" s="36"/>
      <c r="T449" s="36"/>
      <c r="U449" s="36"/>
      <c r="V449" s="49"/>
      <c r="W449" s="58"/>
      <c r="X449" s="28"/>
      <c r="Y449" s="32"/>
      <c r="Z449" s="33"/>
      <c r="AA449" s="34"/>
      <c r="AB449" s="28"/>
      <c r="AC449" s="28"/>
      <c r="AD449" s="29"/>
      <c r="AF449" s="30"/>
      <c r="AG449" s="30"/>
      <c r="BD449" s="49"/>
      <c r="BE449" s="49"/>
    </row>
    <row r="450" spans="9:57" x14ac:dyDescent="0.3">
      <c r="I450" s="49"/>
      <c r="J450" s="49"/>
      <c r="R450" s="36"/>
      <c r="S450" s="36"/>
      <c r="T450" s="36"/>
      <c r="U450" s="36"/>
      <c r="V450" s="49"/>
      <c r="W450" s="58"/>
      <c r="X450" s="28"/>
      <c r="Y450" s="32"/>
      <c r="Z450" s="33"/>
      <c r="AA450" s="34"/>
      <c r="AB450" s="28"/>
      <c r="AC450" s="28"/>
      <c r="AD450" s="29"/>
      <c r="AF450" s="30"/>
      <c r="AG450" s="30"/>
      <c r="BD450" s="49"/>
      <c r="BE450" s="49"/>
    </row>
    <row r="451" spans="9:57" x14ac:dyDescent="0.3">
      <c r="I451" s="49"/>
      <c r="J451" s="49"/>
      <c r="R451" s="36"/>
      <c r="S451" s="36"/>
      <c r="T451" s="36"/>
      <c r="U451" s="36"/>
      <c r="V451" s="49"/>
      <c r="W451" s="58"/>
      <c r="X451" s="28"/>
      <c r="Y451" s="32"/>
      <c r="Z451" s="33"/>
      <c r="AA451" s="34"/>
      <c r="AB451" s="28"/>
      <c r="AC451" s="28"/>
      <c r="AD451" s="29"/>
      <c r="AF451" s="30"/>
      <c r="AG451" s="30"/>
      <c r="BD451" s="49"/>
      <c r="BE451" s="49"/>
    </row>
    <row r="452" spans="9:57" x14ac:dyDescent="0.3">
      <c r="I452" s="49"/>
      <c r="J452" s="49"/>
      <c r="R452" s="36"/>
      <c r="S452" s="36"/>
      <c r="T452" s="36"/>
      <c r="U452" s="36"/>
      <c r="V452" s="49"/>
      <c r="W452" s="58"/>
      <c r="X452" s="28"/>
      <c r="Y452" s="32"/>
      <c r="Z452" s="33"/>
      <c r="AA452" s="34"/>
      <c r="AB452" s="28"/>
      <c r="AC452" s="28"/>
      <c r="AD452" s="29"/>
      <c r="AF452" s="30"/>
      <c r="AG452" s="30"/>
      <c r="BD452" s="49"/>
      <c r="BE452" s="49"/>
    </row>
    <row r="453" spans="9:57" x14ac:dyDescent="0.3">
      <c r="I453" s="49"/>
      <c r="J453" s="49"/>
      <c r="R453" s="36"/>
      <c r="S453" s="36"/>
      <c r="T453" s="36"/>
      <c r="U453" s="36"/>
      <c r="V453" s="49"/>
      <c r="W453" s="58"/>
      <c r="X453" s="28"/>
      <c r="Y453" s="32"/>
      <c r="Z453" s="33"/>
      <c r="AA453" s="34"/>
      <c r="AB453" s="28"/>
      <c r="AC453" s="28"/>
      <c r="AD453" s="29"/>
      <c r="AF453" s="30"/>
      <c r="AG453" s="30"/>
      <c r="BD453" s="49"/>
      <c r="BE453" s="49"/>
    </row>
    <row r="454" spans="9:57" x14ac:dyDescent="0.3">
      <c r="I454" s="49"/>
      <c r="J454" s="49"/>
      <c r="R454" s="36"/>
      <c r="S454" s="36"/>
      <c r="T454" s="36"/>
      <c r="U454" s="36"/>
      <c r="V454" s="49"/>
      <c r="W454" s="58"/>
      <c r="X454" s="28"/>
      <c r="Y454" s="32"/>
      <c r="Z454" s="33"/>
      <c r="AA454" s="34"/>
      <c r="AB454" s="28"/>
      <c r="AC454" s="28"/>
      <c r="AD454" s="29"/>
      <c r="AF454" s="30"/>
      <c r="AG454" s="30"/>
      <c r="BD454" s="49"/>
      <c r="BE454" s="49"/>
    </row>
    <row r="455" spans="9:57" x14ac:dyDescent="0.3">
      <c r="I455" s="49"/>
      <c r="J455" s="49"/>
      <c r="R455" s="36"/>
      <c r="S455" s="36"/>
      <c r="T455" s="36"/>
      <c r="U455" s="36"/>
      <c r="V455" s="49"/>
      <c r="W455" s="58"/>
      <c r="X455" s="28"/>
      <c r="Y455" s="32"/>
      <c r="Z455" s="33"/>
      <c r="AA455" s="34"/>
      <c r="AB455" s="28"/>
      <c r="AC455" s="28"/>
      <c r="AD455" s="29"/>
      <c r="AF455" s="30"/>
      <c r="AG455" s="30"/>
      <c r="BD455" s="49"/>
      <c r="BE455" s="49"/>
    </row>
    <row r="456" spans="9:57" x14ac:dyDescent="0.3">
      <c r="I456" s="49"/>
      <c r="J456" s="49"/>
      <c r="R456" s="36"/>
      <c r="S456" s="36"/>
      <c r="T456" s="36"/>
      <c r="U456" s="36"/>
      <c r="V456" s="49"/>
      <c r="W456" s="58"/>
      <c r="X456" s="28"/>
      <c r="Y456" s="32"/>
      <c r="Z456" s="33"/>
      <c r="AA456" s="34"/>
      <c r="AB456" s="28"/>
      <c r="AC456" s="28"/>
      <c r="AD456" s="29"/>
      <c r="AF456" s="30"/>
      <c r="AG456" s="30"/>
      <c r="BD456" s="49"/>
      <c r="BE456" s="49"/>
    </row>
    <row r="457" spans="9:57" x14ac:dyDescent="0.3">
      <c r="I457" s="49"/>
      <c r="J457" s="49"/>
      <c r="R457" s="36"/>
      <c r="S457" s="36"/>
      <c r="T457" s="36"/>
      <c r="U457" s="36"/>
      <c r="V457" s="49"/>
      <c r="W457" s="58"/>
      <c r="X457" s="28"/>
      <c r="Y457" s="32"/>
      <c r="Z457" s="33"/>
      <c r="AA457" s="34"/>
      <c r="AB457" s="28"/>
      <c r="AC457" s="28"/>
      <c r="AD457" s="29"/>
      <c r="AF457" s="30"/>
      <c r="AG457" s="30"/>
      <c r="BD457" s="49"/>
      <c r="BE457" s="49"/>
    </row>
    <row r="458" spans="9:57" x14ac:dyDescent="0.3">
      <c r="I458" s="49"/>
      <c r="J458" s="49"/>
      <c r="R458" s="36"/>
      <c r="S458" s="36"/>
      <c r="T458" s="36"/>
      <c r="U458" s="36"/>
      <c r="V458" s="49"/>
      <c r="W458" s="58"/>
      <c r="X458" s="28"/>
      <c r="Y458" s="32"/>
      <c r="Z458" s="33"/>
      <c r="AA458" s="34"/>
      <c r="AB458" s="28"/>
      <c r="AC458" s="28"/>
      <c r="AD458" s="29"/>
      <c r="AF458" s="30"/>
      <c r="AG458" s="30"/>
      <c r="BD458" s="49"/>
      <c r="BE458" s="49"/>
    </row>
    <row r="459" spans="9:57" x14ac:dyDescent="0.3">
      <c r="I459" s="49"/>
      <c r="J459" s="49"/>
      <c r="R459" s="36"/>
      <c r="S459" s="36"/>
      <c r="T459" s="36"/>
      <c r="U459" s="36"/>
      <c r="V459" s="49"/>
      <c r="W459" s="58"/>
      <c r="X459" s="28"/>
      <c r="Y459" s="32"/>
      <c r="Z459" s="33"/>
      <c r="AA459" s="34"/>
      <c r="AB459" s="28"/>
      <c r="AC459" s="28"/>
      <c r="AD459" s="29"/>
      <c r="AF459" s="30"/>
      <c r="AG459" s="30"/>
      <c r="BD459" s="49"/>
      <c r="BE459" s="49"/>
    </row>
    <row r="460" spans="9:57" x14ac:dyDescent="0.3">
      <c r="I460" s="49"/>
      <c r="J460" s="49"/>
      <c r="R460" s="36"/>
      <c r="S460" s="36"/>
      <c r="T460" s="36"/>
      <c r="U460" s="36"/>
      <c r="V460" s="49"/>
      <c r="W460" s="58"/>
      <c r="X460" s="28"/>
      <c r="Y460" s="32"/>
      <c r="Z460" s="33"/>
      <c r="AA460" s="34"/>
      <c r="AB460" s="28"/>
      <c r="AC460" s="28"/>
      <c r="AD460" s="29"/>
      <c r="AF460" s="30"/>
      <c r="AG460" s="30"/>
      <c r="BD460" s="49"/>
      <c r="BE460" s="49"/>
    </row>
    <row r="461" spans="9:57" x14ac:dyDescent="0.3">
      <c r="I461" s="49"/>
      <c r="J461" s="49"/>
      <c r="R461" s="36"/>
      <c r="S461" s="36"/>
      <c r="T461" s="36"/>
      <c r="U461" s="36"/>
      <c r="V461" s="49"/>
      <c r="W461" s="58"/>
      <c r="X461" s="28"/>
      <c r="Y461" s="32"/>
      <c r="Z461" s="33"/>
      <c r="AA461" s="34"/>
      <c r="AB461" s="28"/>
      <c r="AC461" s="28"/>
      <c r="AD461" s="29"/>
      <c r="AF461" s="30"/>
      <c r="AG461" s="30"/>
      <c r="BD461" s="49"/>
      <c r="BE461" s="49"/>
    </row>
    <row r="462" spans="9:57" x14ac:dyDescent="0.3">
      <c r="I462" s="49"/>
      <c r="J462" s="49"/>
      <c r="R462" s="36"/>
      <c r="S462" s="36"/>
      <c r="T462" s="36"/>
      <c r="U462" s="36"/>
      <c r="V462" s="49"/>
      <c r="W462" s="58"/>
      <c r="X462" s="28"/>
      <c r="Y462" s="32"/>
      <c r="Z462" s="33"/>
      <c r="AA462" s="34"/>
      <c r="AB462" s="28"/>
      <c r="AC462" s="28"/>
      <c r="AD462" s="29"/>
      <c r="AF462" s="30"/>
      <c r="AG462" s="30"/>
      <c r="BD462" s="49"/>
      <c r="BE462" s="49"/>
    </row>
    <row r="463" spans="9:57" x14ac:dyDescent="0.3">
      <c r="I463" s="49"/>
      <c r="J463" s="49"/>
      <c r="R463" s="36"/>
      <c r="S463" s="36"/>
      <c r="T463" s="36"/>
      <c r="U463" s="36"/>
      <c r="V463" s="49"/>
      <c r="W463" s="58"/>
      <c r="X463" s="28"/>
      <c r="Y463" s="32"/>
      <c r="Z463" s="33"/>
      <c r="AA463" s="34"/>
      <c r="AB463" s="28"/>
      <c r="AC463" s="28"/>
      <c r="AD463" s="29"/>
      <c r="AF463" s="30"/>
      <c r="AG463" s="30"/>
      <c r="BD463" s="49"/>
      <c r="BE463" s="49"/>
    </row>
    <row r="464" spans="9:57" x14ac:dyDescent="0.3">
      <c r="I464" s="49"/>
      <c r="J464" s="49"/>
      <c r="R464" s="36"/>
      <c r="S464" s="36"/>
      <c r="T464" s="36"/>
      <c r="U464" s="36"/>
      <c r="V464" s="49"/>
      <c r="W464" s="58"/>
      <c r="X464" s="28"/>
      <c r="Y464" s="32"/>
      <c r="Z464" s="33"/>
      <c r="AA464" s="34"/>
      <c r="AB464" s="28"/>
      <c r="AC464" s="28"/>
      <c r="AD464" s="29"/>
      <c r="AF464" s="30"/>
      <c r="AG464" s="30"/>
      <c r="BD464" s="49"/>
      <c r="BE464" s="49"/>
    </row>
    <row r="465" spans="9:57" x14ac:dyDescent="0.3">
      <c r="I465" s="49"/>
      <c r="J465" s="49"/>
      <c r="R465" s="36"/>
      <c r="S465" s="36"/>
      <c r="T465" s="36"/>
      <c r="U465" s="36"/>
      <c r="V465" s="49"/>
      <c r="W465" s="58"/>
      <c r="X465" s="28"/>
      <c r="Y465" s="32"/>
      <c r="Z465" s="33"/>
      <c r="AA465" s="34"/>
      <c r="AB465" s="28"/>
      <c r="AC465" s="28"/>
      <c r="AD465" s="29"/>
      <c r="AF465" s="30"/>
      <c r="AG465" s="30"/>
      <c r="BD465" s="49"/>
      <c r="BE465" s="49"/>
    </row>
    <row r="466" spans="9:57" x14ac:dyDescent="0.3">
      <c r="I466" s="49"/>
      <c r="J466" s="49"/>
      <c r="R466" s="36"/>
      <c r="S466" s="36"/>
      <c r="T466" s="36"/>
      <c r="U466" s="36"/>
      <c r="V466" s="49"/>
      <c r="W466" s="58"/>
      <c r="X466" s="28"/>
      <c r="Y466" s="32"/>
      <c r="Z466" s="33"/>
      <c r="AA466" s="34"/>
      <c r="AB466" s="28"/>
      <c r="AC466" s="28"/>
      <c r="AD466" s="29"/>
      <c r="AF466" s="30"/>
      <c r="AG466" s="30"/>
      <c r="BD466" s="49"/>
      <c r="BE466" s="49"/>
    </row>
    <row r="467" spans="9:57" x14ac:dyDescent="0.3">
      <c r="I467" s="49"/>
      <c r="J467" s="49"/>
      <c r="R467" s="36"/>
      <c r="S467" s="36"/>
      <c r="T467" s="36"/>
      <c r="U467" s="36"/>
      <c r="V467" s="49"/>
      <c r="W467" s="58"/>
      <c r="X467" s="28"/>
      <c r="Y467" s="32"/>
      <c r="Z467" s="33"/>
      <c r="AA467" s="34"/>
      <c r="AB467" s="28"/>
      <c r="AC467" s="28"/>
      <c r="AD467" s="29"/>
      <c r="AF467" s="30"/>
      <c r="AG467" s="30"/>
      <c r="BD467" s="49"/>
      <c r="BE467" s="49"/>
    </row>
    <row r="468" spans="9:57" x14ac:dyDescent="0.3">
      <c r="I468" s="49"/>
      <c r="J468" s="49"/>
      <c r="R468" s="36"/>
      <c r="S468" s="36"/>
      <c r="T468" s="36"/>
      <c r="U468" s="36"/>
      <c r="V468" s="49"/>
      <c r="W468" s="58"/>
      <c r="X468" s="28"/>
      <c r="Y468" s="32"/>
      <c r="Z468" s="33"/>
      <c r="AA468" s="34"/>
      <c r="AB468" s="28"/>
      <c r="AC468" s="28"/>
      <c r="AD468" s="29"/>
      <c r="AF468" s="30"/>
      <c r="AG468" s="30"/>
      <c r="BD468" s="49"/>
      <c r="BE468" s="49"/>
    </row>
    <row r="469" spans="9:57" x14ac:dyDescent="0.3">
      <c r="I469" s="49"/>
      <c r="J469" s="49"/>
      <c r="R469" s="36"/>
      <c r="S469" s="36"/>
      <c r="T469" s="36"/>
      <c r="U469" s="36"/>
      <c r="V469" s="49"/>
      <c r="W469" s="58"/>
      <c r="X469" s="28"/>
      <c r="Y469" s="32"/>
      <c r="Z469" s="33"/>
      <c r="AA469" s="34"/>
      <c r="AB469" s="28"/>
      <c r="AC469" s="28"/>
      <c r="AD469" s="29"/>
      <c r="AF469" s="30"/>
      <c r="AG469" s="30"/>
      <c r="BD469" s="49"/>
      <c r="BE469" s="49"/>
    </row>
    <row r="470" spans="9:57" x14ac:dyDescent="0.3">
      <c r="I470" s="49"/>
      <c r="J470" s="49"/>
      <c r="R470" s="36"/>
      <c r="S470" s="36"/>
      <c r="T470" s="36"/>
      <c r="U470" s="36"/>
      <c r="V470" s="49"/>
      <c r="W470" s="58"/>
      <c r="X470" s="28"/>
      <c r="Y470" s="32"/>
      <c r="Z470" s="33"/>
      <c r="AA470" s="34"/>
      <c r="AB470" s="28"/>
      <c r="AC470" s="28"/>
      <c r="AD470" s="29"/>
      <c r="AF470" s="30"/>
      <c r="AG470" s="30"/>
      <c r="BD470" s="49"/>
      <c r="BE470" s="49"/>
    </row>
    <row r="471" spans="9:57" x14ac:dyDescent="0.3">
      <c r="I471" s="49"/>
      <c r="J471" s="49"/>
      <c r="R471" s="36"/>
      <c r="S471" s="36"/>
      <c r="T471" s="36"/>
      <c r="U471" s="36"/>
      <c r="V471" s="49"/>
      <c r="W471" s="58"/>
      <c r="X471" s="28"/>
      <c r="Y471" s="32"/>
      <c r="Z471" s="33"/>
      <c r="AA471" s="34"/>
      <c r="AB471" s="28"/>
      <c r="AC471" s="28"/>
      <c r="AD471" s="29"/>
      <c r="AF471" s="30"/>
      <c r="AG471" s="30"/>
      <c r="BD471" s="49"/>
      <c r="BE471" s="49"/>
    </row>
    <row r="472" spans="9:57" x14ac:dyDescent="0.3">
      <c r="I472" s="49"/>
      <c r="J472" s="49"/>
      <c r="R472" s="36"/>
      <c r="S472" s="36"/>
      <c r="T472" s="36"/>
      <c r="U472" s="36"/>
      <c r="V472" s="49"/>
      <c r="W472" s="58"/>
      <c r="X472" s="28"/>
      <c r="Y472" s="32"/>
      <c r="Z472" s="33"/>
      <c r="AA472" s="34"/>
      <c r="AB472" s="28"/>
      <c r="AC472" s="28"/>
      <c r="AD472" s="29"/>
      <c r="AF472" s="30"/>
      <c r="AG472" s="30"/>
      <c r="BD472" s="49"/>
      <c r="BE472" s="49"/>
    </row>
    <row r="473" spans="9:57" x14ac:dyDescent="0.3">
      <c r="I473" s="49"/>
      <c r="J473" s="49"/>
      <c r="R473" s="36"/>
      <c r="S473" s="36"/>
      <c r="T473" s="36"/>
      <c r="U473" s="36"/>
      <c r="V473" s="49"/>
      <c r="W473" s="58"/>
      <c r="X473" s="28"/>
      <c r="Y473" s="32"/>
      <c r="Z473" s="33"/>
      <c r="AA473" s="34"/>
      <c r="AB473" s="28"/>
      <c r="AC473" s="28"/>
      <c r="AD473" s="29"/>
      <c r="AF473" s="30"/>
      <c r="AG473" s="30"/>
      <c r="BD473" s="49"/>
      <c r="BE473" s="49"/>
    </row>
    <row r="474" spans="9:57" x14ac:dyDescent="0.3">
      <c r="I474" s="49"/>
      <c r="J474" s="49"/>
      <c r="R474" s="36"/>
      <c r="S474" s="36"/>
      <c r="T474" s="36"/>
      <c r="U474" s="36"/>
      <c r="V474" s="49"/>
      <c r="W474" s="58"/>
      <c r="X474" s="28"/>
      <c r="Y474" s="32"/>
      <c r="Z474" s="33"/>
      <c r="AA474" s="34"/>
      <c r="AB474" s="28"/>
      <c r="AC474" s="28"/>
      <c r="AD474" s="29"/>
      <c r="AF474" s="30"/>
      <c r="AG474" s="30"/>
      <c r="BD474" s="49"/>
      <c r="BE474" s="49"/>
    </row>
    <row r="475" spans="9:57" x14ac:dyDescent="0.3">
      <c r="I475" s="49"/>
      <c r="J475" s="49"/>
      <c r="R475" s="36"/>
      <c r="S475" s="36"/>
      <c r="T475" s="36"/>
      <c r="U475" s="36"/>
      <c r="V475" s="49"/>
      <c r="W475" s="58"/>
      <c r="X475" s="28"/>
      <c r="Y475" s="32"/>
      <c r="Z475" s="33"/>
      <c r="AA475" s="34"/>
      <c r="AB475" s="28"/>
      <c r="AC475" s="28"/>
      <c r="AD475" s="29"/>
      <c r="AF475" s="30"/>
      <c r="AG475" s="30"/>
      <c r="BD475" s="49"/>
      <c r="BE475" s="49"/>
    </row>
    <row r="476" spans="9:57" x14ac:dyDescent="0.3">
      <c r="I476" s="49"/>
      <c r="J476" s="49"/>
      <c r="R476" s="36"/>
      <c r="S476" s="36"/>
      <c r="T476" s="36"/>
      <c r="U476" s="36"/>
      <c r="V476" s="49"/>
      <c r="W476" s="58"/>
      <c r="X476" s="28"/>
      <c r="Y476" s="32"/>
      <c r="Z476" s="33"/>
      <c r="AA476" s="34"/>
      <c r="AB476" s="28"/>
      <c r="AC476" s="28"/>
      <c r="AD476" s="29"/>
      <c r="AF476" s="30"/>
      <c r="AG476" s="30"/>
      <c r="BD476" s="49"/>
      <c r="BE476" s="49"/>
    </row>
    <row r="477" spans="9:57" x14ac:dyDescent="0.3">
      <c r="I477" s="49"/>
      <c r="J477" s="49"/>
      <c r="R477" s="36"/>
      <c r="S477" s="36"/>
      <c r="T477" s="36"/>
      <c r="U477" s="36"/>
      <c r="V477" s="49"/>
      <c r="W477" s="58"/>
      <c r="X477" s="28"/>
      <c r="Y477" s="32"/>
      <c r="Z477" s="33"/>
      <c r="AA477" s="34"/>
      <c r="AB477" s="28"/>
      <c r="AC477" s="28"/>
      <c r="AD477" s="29"/>
      <c r="AF477" s="30"/>
      <c r="AG477" s="30"/>
      <c r="BD477" s="49"/>
      <c r="BE477" s="49"/>
    </row>
    <row r="478" spans="9:57" x14ac:dyDescent="0.3">
      <c r="I478" s="49"/>
      <c r="J478" s="49"/>
      <c r="R478" s="36"/>
      <c r="S478" s="36"/>
      <c r="T478" s="36"/>
      <c r="U478" s="36"/>
      <c r="V478" s="49"/>
      <c r="W478" s="58"/>
      <c r="X478" s="28"/>
      <c r="Y478" s="32"/>
      <c r="Z478" s="33"/>
      <c r="AA478" s="34"/>
      <c r="AB478" s="28"/>
      <c r="AC478" s="28"/>
      <c r="AD478" s="29"/>
      <c r="AF478" s="30"/>
      <c r="AG478" s="30"/>
      <c r="BD478" s="49"/>
      <c r="BE478" s="49"/>
    </row>
    <row r="479" spans="9:57" x14ac:dyDescent="0.3">
      <c r="I479" s="49"/>
      <c r="J479" s="49"/>
      <c r="R479" s="36"/>
      <c r="S479" s="36"/>
      <c r="T479" s="36"/>
      <c r="U479" s="36"/>
      <c r="V479" s="49"/>
      <c r="W479" s="58"/>
      <c r="X479" s="28"/>
      <c r="Y479" s="32"/>
      <c r="Z479" s="33"/>
      <c r="AA479" s="34"/>
      <c r="AB479" s="28"/>
      <c r="AC479" s="28"/>
      <c r="AD479" s="29"/>
      <c r="AF479" s="30"/>
      <c r="AG479" s="30"/>
      <c r="BD479" s="49"/>
      <c r="BE479" s="49"/>
    </row>
    <row r="480" spans="9:57" x14ac:dyDescent="0.3">
      <c r="I480" s="49"/>
      <c r="J480" s="49"/>
      <c r="R480" s="36"/>
      <c r="S480" s="36"/>
      <c r="T480" s="36"/>
      <c r="U480" s="36"/>
      <c r="V480" s="49"/>
      <c r="W480" s="58"/>
      <c r="X480" s="28"/>
      <c r="Y480" s="32"/>
      <c r="Z480" s="33"/>
      <c r="AA480" s="34"/>
      <c r="AB480" s="28"/>
      <c r="AC480" s="28"/>
      <c r="AD480" s="29"/>
      <c r="AF480" s="30"/>
      <c r="AG480" s="30"/>
      <c r="BD480" s="49"/>
      <c r="BE480" s="49"/>
    </row>
    <row r="481" spans="9:57" x14ac:dyDescent="0.3">
      <c r="I481" s="49"/>
      <c r="J481" s="49"/>
      <c r="R481" s="36"/>
      <c r="S481" s="36"/>
      <c r="T481" s="36"/>
      <c r="U481" s="36"/>
      <c r="V481" s="49"/>
      <c r="W481" s="58"/>
      <c r="X481" s="28"/>
      <c r="Y481" s="32"/>
      <c r="Z481" s="33"/>
      <c r="AA481" s="34"/>
      <c r="AB481" s="28"/>
      <c r="AC481" s="28"/>
      <c r="AD481" s="29"/>
      <c r="AF481" s="30"/>
      <c r="AG481" s="30"/>
      <c r="BD481" s="49"/>
      <c r="BE481" s="49"/>
    </row>
    <row r="482" spans="9:57" x14ac:dyDescent="0.3">
      <c r="I482" s="49"/>
      <c r="J482" s="49"/>
      <c r="R482" s="36"/>
      <c r="S482" s="36"/>
      <c r="T482" s="36"/>
      <c r="U482" s="36"/>
      <c r="V482" s="49"/>
      <c r="W482" s="58"/>
      <c r="X482" s="28"/>
      <c r="Y482" s="32"/>
      <c r="Z482" s="33"/>
      <c r="AA482" s="34"/>
      <c r="AB482" s="28"/>
      <c r="AC482" s="28"/>
      <c r="AD482" s="29"/>
      <c r="AF482" s="30"/>
      <c r="AG482" s="30"/>
      <c r="BD482" s="49"/>
      <c r="BE482" s="49"/>
    </row>
    <row r="483" spans="9:57" x14ac:dyDescent="0.3">
      <c r="I483" s="49"/>
      <c r="J483" s="49"/>
      <c r="R483" s="36"/>
      <c r="S483" s="36"/>
      <c r="T483" s="36"/>
      <c r="U483" s="36"/>
      <c r="V483" s="49"/>
      <c r="W483" s="58"/>
      <c r="X483" s="28"/>
      <c r="Y483" s="32"/>
      <c r="Z483" s="33"/>
      <c r="AA483" s="34"/>
      <c r="AB483" s="28"/>
      <c r="AC483" s="28"/>
      <c r="AD483" s="29"/>
      <c r="AF483" s="30"/>
      <c r="AG483" s="30"/>
      <c r="BD483" s="49"/>
      <c r="BE483" s="49"/>
    </row>
    <row r="484" spans="9:57" x14ac:dyDescent="0.3">
      <c r="I484" s="49"/>
      <c r="J484" s="49"/>
      <c r="R484" s="36"/>
      <c r="S484" s="36"/>
      <c r="T484" s="36"/>
      <c r="U484" s="36"/>
      <c r="V484" s="49"/>
      <c r="W484" s="58"/>
      <c r="X484" s="28"/>
      <c r="Y484" s="32"/>
      <c r="Z484" s="33"/>
      <c r="AA484" s="34"/>
      <c r="AB484" s="28"/>
      <c r="AC484" s="28"/>
      <c r="AD484" s="29"/>
      <c r="AF484" s="30"/>
      <c r="AG484" s="30"/>
      <c r="BD484" s="49"/>
      <c r="BE484" s="49"/>
    </row>
    <row r="485" spans="9:57" x14ac:dyDescent="0.3">
      <c r="I485" s="49"/>
      <c r="J485" s="49"/>
      <c r="R485" s="36"/>
      <c r="S485" s="36"/>
      <c r="T485" s="36"/>
      <c r="U485" s="36"/>
      <c r="V485" s="49"/>
      <c r="W485" s="58"/>
      <c r="X485" s="28"/>
      <c r="Y485" s="32"/>
      <c r="Z485" s="33"/>
      <c r="AA485" s="34"/>
      <c r="AB485" s="28"/>
      <c r="AC485" s="28"/>
      <c r="AD485" s="29"/>
      <c r="AF485" s="30"/>
      <c r="AG485" s="30"/>
      <c r="BD485" s="49"/>
      <c r="BE485" s="49"/>
    </row>
    <row r="486" spans="9:57" x14ac:dyDescent="0.3">
      <c r="I486" s="49"/>
      <c r="J486" s="49"/>
      <c r="R486" s="36"/>
      <c r="S486" s="36"/>
      <c r="T486" s="36"/>
      <c r="U486" s="36"/>
      <c r="V486" s="49"/>
      <c r="W486" s="58"/>
      <c r="X486" s="28"/>
      <c r="Y486" s="32"/>
      <c r="Z486" s="33"/>
      <c r="AA486" s="34"/>
      <c r="AB486" s="28"/>
      <c r="AC486" s="28"/>
      <c r="AD486" s="29"/>
      <c r="AF486" s="30"/>
      <c r="AG486" s="30"/>
      <c r="BD486" s="49"/>
      <c r="BE486" s="49"/>
    </row>
    <row r="487" spans="9:57" x14ac:dyDescent="0.3">
      <c r="I487" s="49"/>
      <c r="J487" s="49"/>
      <c r="R487" s="36"/>
      <c r="S487" s="36"/>
      <c r="T487" s="36"/>
      <c r="U487" s="36"/>
      <c r="V487" s="49"/>
      <c r="W487" s="58"/>
      <c r="X487" s="28"/>
      <c r="Y487" s="32"/>
      <c r="Z487" s="33"/>
      <c r="AA487" s="34"/>
      <c r="AB487" s="28"/>
      <c r="AC487" s="28"/>
      <c r="AD487" s="29"/>
      <c r="AF487" s="30"/>
      <c r="AG487" s="30"/>
      <c r="BD487" s="49"/>
      <c r="BE487" s="49"/>
    </row>
    <row r="488" spans="9:57" x14ac:dyDescent="0.3">
      <c r="I488" s="49"/>
      <c r="J488" s="49"/>
      <c r="R488" s="36"/>
      <c r="S488" s="36"/>
      <c r="T488" s="36"/>
      <c r="U488" s="36"/>
      <c r="V488" s="49"/>
      <c r="W488" s="58"/>
      <c r="X488" s="28"/>
      <c r="Y488" s="32"/>
      <c r="Z488" s="33"/>
      <c r="AA488" s="34"/>
      <c r="AB488" s="28"/>
      <c r="AC488" s="28"/>
      <c r="AD488" s="29"/>
      <c r="AF488" s="30"/>
      <c r="AG488" s="30"/>
      <c r="BD488" s="49"/>
      <c r="BE488" s="49"/>
    </row>
    <row r="489" spans="9:57" x14ac:dyDescent="0.3">
      <c r="I489" s="49"/>
      <c r="J489" s="49"/>
      <c r="R489" s="36"/>
      <c r="S489" s="36"/>
      <c r="T489" s="36"/>
      <c r="U489" s="36"/>
      <c r="V489" s="49"/>
      <c r="W489" s="58"/>
      <c r="X489" s="28"/>
      <c r="Y489" s="32"/>
      <c r="Z489" s="33"/>
      <c r="AA489" s="34"/>
      <c r="AB489" s="28"/>
      <c r="AC489" s="28"/>
      <c r="AD489" s="29"/>
      <c r="AF489" s="30"/>
      <c r="AG489" s="30"/>
      <c r="BD489" s="49"/>
      <c r="BE489" s="49"/>
    </row>
    <row r="490" spans="9:57" x14ac:dyDescent="0.3">
      <c r="I490" s="49"/>
      <c r="J490" s="49"/>
      <c r="R490" s="36"/>
      <c r="S490" s="36"/>
      <c r="T490" s="36"/>
      <c r="U490" s="36"/>
      <c r="V490" s="49"/>
      <c r="W490" s="58"/>
      <c r="X490" s="28"/>
      <c r="Y490" s="32"/>
      <c r="Z490" s="33"/>
      <c r="AA490" s="34"/>
      <c r="AB490" s="28"/>
      <c r="AC490" s="28"/>
      <c r="AD490" s="29"/>
      <c r="AF490" s="30"/>
      <c r="AG490" s="30"/>
      <c r="BD490" s="49"/>
      <c r="BE490" s="49"/>
    </row>
    <row r="491" spans="9:57" x14ac:dyDescent="0.3">
      <c r="I491" s="49"/>
      <c r="J491" s="49"/>
      <c r="R491" s="36"/>
      <c r="S491" s="36"/>
      <c r="T491" s="36"/>
      <c r="U491" s="36"/>
      <c r="V491" s="49"/>
      <c r="W491" s="58"/>
      <c r="X491" s="28"/>
      <c r="Y491" s="32"/>
      <c r="Z491" s="33"/>
      <c r="AA491" s="34"/>
      <c r="AB491" s="28"/>
      <c r="AC491" s="28"/>
      <c r="AD491" s="29"/>
      <c r="AF491" s="30"/>
      <c r="AG491" s="30"/>
      <c r="BD491" s="49"/>
      <c r="BE491" s="49"/>
    </row>
    <row r="492" spans="9:57" x14ac:dyDescent="0.3">
      <c r="I492" s="49"/>
      <c r="J492" s="49"/>
      <c r="R492" s="36"/>
      <c r="S492" s="36"/>
      <c r="T492" s="36"/>
      <c r="U492" s="36"/>
      <c r="V492" s="49"/>
      <c r="W492" s="58"/>
      <c r="X492" s="28"/>
      <c r="Y492" s="32"/>
      <c r="Z492" s="33"/>
      <c r="AA492" s="34"/>
      <c r="AB492" s="28"/>
      <c r="AC492" s="28"/>
      <c r="AD492" s="29"/>
      <c r="AF492" s="30"/>
      <c r="AG492" s="30"/>
      <c r="BD492" s="49"/>
      <c r="BE492" s="49"/>
    </row>
    <row r="493" spans="9:57" x14ac:dyDescent="0.3">
      <c r="I493" s="49"/>
      <c r="J493" s="49"/>
      <c r="R493" s="36"/>
      <c r="S493" s="36"/>
      <c r="T493" s="36"/>
      <c r="U493" s="36"/>
      <c r="V493" s="49"/>
      <c r="W493" s="58"/>
      <c r="X493" s="28"/>
      <c r="Y493" s="32"/>
      <c r="Z493" s="33"/>
      <c r="AA493" s="34"/>
      <c r="AB493" s="28"/>
      <c r="AC493" s="28"/>
      <c r="AD493" s="29"/>
      <c r="AF493" s="30"/>
      <c r="AG493" s="30"/>
      <c r="BD493" s="49"/>
      <c r="BE493" s="49"/>
    </row>
    <row r="494" spans="9:57" x14ac:dyDescent="0.3">
      <c r="I494" s="49"/>
      <c r="J494" s="49"/>
      <c r="R494" s="36"/>
      <c r="S494" s="36"/>
      <c r="T494" s="36"/>
      <c r="U494" s="36"/>
      <c r="V494" s="49"/>
      <c r="W494" s="58"/>
      <c r="X494" s="28"/>
      <c r="Y494" s="32"/>
      <c r="Z494" s="33"/>
      <c r="AA494" s="34"/>
      <c r="AB494" s="28"/>
      <c r="AC494" s="28"/>
      <c r="AD494" s="29"/>
      <c r="AF494" s="30"/>
      <c r="AG494" s="30"/>
      <c r="BD494" s="49"/>
      <c r="BE494" s="49"/>
    </row>
    <row r="495" spans="9:57" x14ac:dyDescent="0.3">
      <c r="I495" s="49"/>
      <c r="J495" s="49"/>
      <c r="R495" s="36"/>
      <c r="S495" s="36"/>
      <c r="T495" s="36"/>
      <c r="U495" s="36"/>
      <c r="V495" s="49"/>
      <c r="W495" s="58"/>
      <c r="X495" s="28"/>
      <c r="Y495" s="32"/>
      <c r="Z495" s="33"/>
      <c r="AA495" s="34"/>
      <c r="AB495" s="28"/>
      <c r="AC495" s="28"/>
      <c r="AD495" s="29"/>
      <c r="AF495" s="30"/>
      <c r="AG495" s="30"/>
      <c r="BD495" s="49"/>
      <c r="BE495" s="49"/>
    </row>
    <row r="496" spans="9:57" x14ac:dyDescent="0.3">
      <c r="I496" s="49"/>
      <c r="J496" s="49"/>
      <c r="R496" s="36"/>
      <c r="S496" s="36"/>
      <c r="T496" s="36"/>
      <c r="U496" s="36"/>
      <c r="V496" s="49"/>
      <c r="W496" s="58"/>
      <c r="X496" s="28"/>
      <c r="Y496" s="32"/>
      <c r="Z496" s="33"/>
      <c r="AA496" s="34"/>
      <c r="AB496" s="28"/>
      <c r="AC496" s="28"/>
      <c r="AD496" s="29"/>
      <c r="AF496" s="30"/>
      <c r="AG496" s="30"/>
      <c r="BD496" s="49"/>
      <c r="BE496" s="49"/>
    </row>
    <row r="497" spans="9:59" x14ac:dyDescent="0.3">
      <c r="I497" s="49"/>
      <c r="J497" s="49"/>
      <c r="R497" s="36"/>
      <c r="S497" s="36"/>
      <c r="T497" s="36"/>
      <c r="U497" s="36"/>
      <c r="V497" s="49"/>
      <c r="W497" s="58"/>
      <c r="X497" s="28"/>
      <c r="Y497" s="32"/>
      <c r="Z497" s="33"/>
      <c r="AA497" s="34"/>
      <c r="AB497" s="28"/>
      <c r="AC497" s="28"/>
      <c r="AD497" s="29"/>
      <c r="AF497" s="30"/>
      <c r="AG497" s="30"/>
      <c r="BD497" s="49"/>
      <c r="BE497" s="49"/>
    </row>
    <row r="498" spans="9:59" x14ac:dyDescent="0.3">
      <c r="I498" s="49"/>
      <c r="J498" s="49"/>
      <c r="R498" s="36"/>
      <c r="S498" s="36"/>
      <c r="T498" s="36"/>
      <c r="U498" s="36"/>
      <c r="V498" s="49"/>
      <c r="W498" s="58"/>
      <c r="X498" s="28"/>
      <c r="Y498" s="32"/>
      <c r="Z498" s="33"/>
      <c r="AA498" s="34"/>
      <c r="AB498" s="28"/>
      <c r="AC498" s="28"/>
      <c r="AD498" s="29"/>
      <c r="AF498" s="30"/>
      <c r="AG498" s="30"/>
      <c r="BD498" s="49"/>
      <c r="BE498" s="49"/>
    </row>
    <row r="499" spans="9:59" x14ac:dyDescent="0.3">
      <c r="I499" s="49"/>
      <c r="J499" s="49"/>
      <c r="R499" s="36"/>
      <c r="S499" s="36"/>
      <c r="T499" s="36"/>
      <c r="U499" s="36"/>
      <c r="V499" s="49"/>
      <c r="W499" s="58"/>
      <c r="X499" s="28"/>
      <c r="Y499" s="32"/>
      <c r="Z499" s="33"/>
      <c r="AA499" s="34"/>
      <c r="AB499" s="28"/>
      <c r="AC499" s="28"/>
      <c r="AD499" s="29"/>
      <c r="AF499" s="30"/>
      <c r="AG499" s="30"/>
      <c r="BD499" s="49"/>
      <c r="BE499" s="49"/>
    </row>
    <row r="500" spans="9:59" x14ac:dyDescent="0.3">
      <c r="I500" s="49"/>
      <c r="J500" s="49"/>
      <c r="R500" s="36"/>
      <c r="S500" s="36"/>
      <c r="T500" s="36"/>
      <c r="U500" s="36"/>
      <c r="V500" s="49"/>
      <c r="W500" s="58"/>
      <c r="X500" s="28"/>
      <c r="Y500" s="32"/>
      <c r="Z500" s="33"/>
      <c r="AA500" s="34"/>
      <c r="AB500" s="28"/>
      <c r="AC500" s="28"/>
      <c r="AD500" s="29"/>
      <c r="AF500" s="30"/>
      <c r="AG500" s="30"/>
      <c r="BD500" s="49"/>
      <c r="BE500" s="49"/>
    </row>
    <row r="501" spans="9:59" x14ac:dyDescent="0.3">
      <c r="I501" s="49"/>
      <c r="J501" s="49"/>
      <c r="R501" s="36"/>
      <c r="S501" s="36"/>
      <c r="T501" s="36"/>
      <c r="U501" s="36"/>
      <c r="V501" s="49"/>
      <c r="W501" s="58"/>
      <c r="X501" s="28"/>
      <c r="Y501" s="32"/>
      <c r="Z501" s="33"/>
      <c r="AA501" s="34"/>
      <c r="AB501" s="28"/>
      <c r="AC501" s="28"/>
      <c r="AD501" s="29"/>
      <c r="AF501" s="30"/>
      <c r="AG501" s="30"/>
      <c r="BD501" s="49"/>
      <c r="BE501" s="49"/>
    </row>
    <row r="502" spans="9:59" x14ac:dyDescent="0.3">
      <c r="I502" s="49"/>
      <c r="J502" s="49"/>
      <c r="R502" s="36"/>
      <c r="S502" s="36"/>
      <c r="T502" s="36"/>
      <c r="U502" s="36"/>
      <c r="V502" s="49"/>
      <c r="W502" s="58"/>
      <c r="X502" s="28"/>
      <c r="Y502" s="32"/>
      <c r="Z502" s="33"/>
      <c r="AA502" s="34"/>
      <c r="AB502" s="28"/>
      <c r="AC502" s="28"/>
      <c r="AD502" s="29"/>
      <c r="AF502" s="30"/>
      <c r="AG502" s="30"/>
      <c r="BD502" s="49"/>
      <c r="BE502" s="49"/>
    </row>
    <row r="503" spans="9:59" x14ac:dyDescent="0.3">
      <c r="I503" s="49"/>
      <c r="J503" s="49"/>
      <c r="R503" s="36"/>
      <c r="S503" s="36"/>
      <c r="T503" s="36"/>
      <c r="U503" s="36"/>
      <c r="V503" s="49"/>
      <c r="W503" s="58"/>
      <c r="X503" s="28"/>
      <c r="Y503" s="32"/>
      <c r="Z503" s="33"/>
      <c r="AA503" s="34"/>
      <c r="AB503" s="28"/>
      <c r="AC503" s="28"/>
      <c r="AD503" s="29"/>
      <c r="AF503" s="30"/>
      <c r="AG503" s="30"/>
      <c r="BD503" s="49"/>
      <c r="BE503" s="49"/>
    </row>
    <row r="504" spans="9:59" x14ac:dyDescent="0.3">
      <c r="I504" s="49"/>
      <c r="J504" s="49"/>
      <c r="R504" s="36"/>
      <c r="S504" s="36"/>
      <c r="T504" s="36"/>
      <c r="U504" s="36"/>
      <c r="V504" s="49"/>
      <c r="W504" s="58"/>
      <c r="X504" s="28"/>
      <c r="Y504" s="32"/>
      <c r="Z504" s="33"/>
      <c r="AA504" s="34"/>
      <c r="AB504" s="28"/>
      <c r="AC504" s="28"/>
      <c r="AD504" s="29"/>
      <c r="AF504" s="30"/>
      <c r="AG504" s="30"/>
      <c r="BD504" s="49"/>
      <c r="BE504" s="49"/>
    </row>
    <row r="505" spans="9:59" x14ac:dyDescent="0.3">
      <c r="I505" s="49"/>
      <c r="J505" s="49"/>
      <c r="R505" s="36"/>
      <c r="S505" s="36"/>
      <c r="T505" s="36"/>
      <c r="U505" s="36"/>
      <c r="V505" s="49"/>
      <c r="W505" s="58"/>
      <c r="X505" s="28"/>
      <c r="Y505" s="32"/>
      <c r="Z505" s="33"/>
      <c r="AA505" s="34"/>
      <c r="AB505" s="28"/>
      <c r="AC505" s="28"/>
      <c r="AD505" s="29"/>
      <c r="AF505" s="30"/>
      <c r="AG505" s="30"/>
      <c r="BD505" s="49"/>
      <c r="BE505" s="49"/>
    </row>
    <row r="506" spans="9:59" x14ac:dyDescent="0.3">
      <c r="I506" s="49"/>
      <c r="J506" s="49"/>
      <c r="R506" s="36"/>
      <c r="S506" s="36"/>
      <c r="T506" s="36"/>
      <c r="U506" s="36"/>
      <c r="V506" s="49"/>
      <c r="W506" s="58"/>
      <c r="X506" s="28"/>
      <c r="Y506" s="32"/>
      <c r="Z506" s="33"/>
      <c r="AA506" s="34"/>
      <c r="AB506" s="28"/>
      <c r="AC506" s="28"/>
      <c r="AD506" s="29"/>
      <c r="AF506" s="30"/>
      <c r="AG506" s="30"/>
      <c r="BD506" s="49"/>
      <c r="BE506" s="49"/>
    </row>
    <row r="507" spans="9:59" x14ac:dyDescent="0.3">
      <c r="I507" s="49"/>
      <c r="J507" s="49"/>
      <c r="R507" s="36"/>
      <c r="S507" s="36"/>
      <c r="T507" s="36"/>
      <c r="U507" s="36"/>
      <c r="V507" s="49"/>
      <c r="W507" s="58"/>
      <c r="X507" s="28"/>
      <c r="Y507" s="32"/>
      <c r="Z507" s="33"/>
      <c r="AA507" s="34"/>
      <c r="AB507" s="28"/>
      <c r="AC507" s="28"/>
      <c r="AD507" s="29"/>
      <c r="AF507" s="30"/>
      <c r="AG507" s="30"/>
      <c r="BD507" s="49"/>
      <c r="BE507" s="49"/>
    </row>
    <row r="508" spans="9:59" x14ac:dyDescent="0.3">
      <c r="I508" s="49"/>
      <c r="J508" s="49"/>
      <c r="R508" s="36"/>
      <c r="S508" s="36"/>
      <c r="T508" s="36"/>
      <c r="U508" s="36"/>
      <c r="V508" s="49"/>
      <c r="W508" s="58"/>
      <c r="X508" s="28"/>
      <c r="Y508" s="32"/>
      <c r="Z508" s="33"/>
      <c r="AA508" s="34"/>
      <c r="AB508" s="28"/>
      <c r="AC508" s="28"/>
      <c r="AD508" s="29"/>
      <c r="AF508" s="30"/>
      <c r="AG508" s="30"/>
      <c r="BD508" s="49"/>
      <c r="BE508" s="49"/>
    </row>
    <row r="509" spans="9:59" x14ac:dyDescent="0.3">
      <c r="R509" s="36"/>
      <c r="S509" s="36"/>
      <c r="T509" s="36"/>
      <c r="U509" s="36"/>
      <c r="V509" s="49"/>
      <c r="X509" s="28"/>
      <c r="Y509" s="32"/>
      <c r="Z509" s="33"/>
      <c r="AA509" s="34"/>
      <c r="AB509" s="28"/>
      <c r="AC509" s="28"/>
      <c r="AD509" s="29"/>
      <c r="AF509" s="30"/>
      <c r="AG509" s="30"/>
      <c r="BF509" s="49"/>
      <c r="BG509" s="49"/>
    </row>
    <row r="510" spans="9:59" x14ac:dyDescent="0.3">
      <c r="R510" s="36"/>
      <c r="S510" s="36"/>
      <c r="T510" s="36"/>
      <c r="U510" s="36"/>
      <c r="V510" s="49"/>
      <c r="X510" s="28"/>
      <c r="Y510" s="32"/>
      <c r="Z510" s="33"/>
      <c r="AA510" s="34"/>
      <c r="AB510" s="28"/>
      <c r="AC510" s="28"/>
      <c r="AD510" s="29"/>
      <c r="AF510" s="30"/>
      <c r="AG510" s="30"/>
    </row>
    <row r="511" spans="9:59" x14ac:dyDescent="0.3">
      <c r="R511" s="36"/>
      <c r="S511" s="36"/>
      <c r="T511" s="36"/>
      <c r="U511" s="36"/>
      <c r="V511" s="49"/>
      <c r="X511" s="28"/>
      <c r="Y511" s="32"/>
      <c r="Z511" s="33"/>
      <c r="AA511" s="34"/>
      <c r="AB511" s="28"/>
      <c r="AC511" s="28"/>
      <c r="AD511" s="29"/>
      <c r="AF511" s="30"/>
      <c r="AG511" s="30"/>
    </row>
    <row r="512" spans="9:59" x14ac:dyDescent="0.3">
      <c r="R512" s="36"/>
      <c r="S512" s="36"/>
      <c r="T512" s="36"/>
      <c r="U512" s="36"/>
      <c r="V512" s="49"/>
      <c r="X512" s="28"/>
      <c r="Y512" s="32"/>
      <c r="Z512" s="33"/>
      <c r="AA512" s="34"/>
      <c r="AB512" s="28"/>
      <c r="AC512" s="28"/>
      <c r="AD512" s="29"/>
      <c r="AF512" s="30"/>
      <c r="AG512" s="30"/>
    </row>
    <row r="513" spans="18:33" x14ac:dyDescent="0.3">
      <c r="R513" s="36"/>
      <c r="S513" s="36"/>
      <c r="T513" s="36"/>
      <c r="U513" s="36"/>
      <c r="V513" s="49"/>
      <c r="X513" s="28"/>
      <c r="Y513" s="32"/>
      <c r="Z513" s="33"/>
      <c r="AA513" s="34"/>
      <c r="AB513" s="28"/>
      <c r="AC513" s="28"/>
      <c r="AD513" s="29"/>
      <c r="AF513" s="30"/>
      <c r="AG513" s="30"/>
    </row>
    <row r="514" spans="18:33" x14ac:dyDescent="0.3">
      <c r="R514" s="36"/>
      <c r="S514" s="36"/>
      <c r="T514" s="36"/>
      <c r="U514" s="36"/>
      <c r="V514" s="49"/>
      <c r="X514" s="28"/>
      <c r="Y514" s="32"/>
      <c r="Z514" s="33"/>
      <c r="AA514" s="34"/>
      <c r="AB514" s="28"/>
      <c r="AC514" s="28"/>
      <c r="AD514" s="29"/>
      <c r="AF514" s="30"/>
      <c r="AG514" s="30"/>
    </row>
    <row r="515" spans="18:33" x14ac:dyDescent="0.3">
      <c r="R515" s="36"/>
      <c r="S515" s="36"/>
      <c r="T515" s="36"/>
      <c r="U515" s="36"/>
      <c r="V515" s="49"/>
      <c r="X515" s="28"/>
      <c r="Y515" s="32"/>
      <c r="Z515" s="33"/>
      <c r="AA515" s="34"/>
      <c r="AB515" s="28"/>
      <c r="AC515" s="28"/>
      <c r="AD515" s="29"/>
      <c r="AF515" s="30"/>
      <c r="AG515" s="30"/>
    </row>
    <row r="516" spans="18:33" x14ac:dyDescent="0.3">
      <c r="R516" s="36"/>
      <c r="S516" s="36"/>
      <c r="T516" s="36"/>
      <c r="U516" s="36"/>
      <c r="V516" s="49"/>
      <c r="X516" s="28"/>
      <c r="Y516" s="32"/>
      <c r="Z516" s="33"/>
      <c r="AA516" s="34"/>
      <c r="AB516" s="28"/>
      <c r="AC516" s="28"/>
      <c r="AD516" s="29"/>
      <c r="AF516" s="30"/>
      <c r="AG516" s="30"/>
    </row>
    <row r="517" spans="18:33" x14ac:dyDescent="0.3">
      <c r="R517" s="36"/>
      <c r="S517" s="36"/>
      <c r="T517" s="36"/>
      <c r="U517" s="36"/>
      <c r="V517" s="49"/>
      <c r="X517" s="28"/>
      <c r="Y517" s="32"/>
      <c r="Z517" s="33"/>
      <c r="AA517" s="34"/>
      <c r="AB517" s="28"/>
      <c r="AC517" s="28"/>
      <c r="AD517" s="29"/>
      <c r="AF517" s="30"/>
      <c r="AG517" s="30"/>
    </row>
    <row r="518" spans="18:33" x14ac:dyDescent="0.3">
      <c r="R518" s="36"/>
      <c r="S518" s="36"/>
      <c r="T518" s="36"/>
      <c r="U518" s="36"/>
      <c r="V518" s="49"/>
      <c r="X518" s="28"/>
      <c r="Y518" s="32"/>
      <c r="Z518" s="33"/>
      <c r="AA518" s="34"/>
      <c r="AB518" s="28"/>
      <c r="AC518" s="28"/>
      <c r="AD518" s="29"/>
      <c r="AF518" s="30"/>
      <c r="AG518" s="30"/>
    </row>
    <row r="519" spans="18:33" x14ac:dyDescent="0.3">
      <c r="R519" s="36"/>
      <c r="S519" s="36"/>
      <c r="T519" s="36"/>
      <c r="U519" s="36"/>
      <c r="V519" s="49"/>
      <c r="X519" s="28"/>
      <c r="Y519" s="32"/>
      <c r="Z519" s="33"/>
      <c r="AA519" s="34"/>
      <c r="AB519" s="28"/>
      <c r="AC519" s="28"/>
      <c r="AD519" s="29"/>
      <c r="AF519" s="30"/>
      <c r="AG519" s="30"/>
    </row>
    <row r="520" spans="18:33" x14ac:dyDescent="0.3">
      <c r="R520" s="36"/>
      <c r="S520" s="36"/>
      <c r="T520" s="36"/>
      <c r="U520" s="36"/>
      <c r="V520" s="49"/>
      <c r="X520" s="28"/>
      <c r="Y520" s="32"/>
      <c r="Z520" s="33"/>
      <c r="AA520" s="34"/>
      <c r="AB520" s="28"/>
      <c r="AC520" s="28"/>
      <c r="AD520" s="29"/>
      <c r="AF520" s="30"/>
      <c r="AG520" s="30"/>
    </row>
    <row r="521" spans="18:33" x14ac:dyDescent="0.3">
      <c r="R521" s="36"/>
      <c r="S521" s="36"/>
      <c r="T521" s="36"/>
      <c r="U521" s="36"/>
      <c r="V521" s="49"/>
      <c r="X521" s="28"/>
      <c r="Y521" s="32"/>
      <c r="Z521" s="33"/>
      <c r="AA521" s="34"/>
      <c r="AB521" s="28"/>
      <c r="AC521" s="28"/>
      <c r="AD521" s="29"/>
      <c r="AF521" s="30"/>
      <c r="AG521" s="30"/>
    </row>
    <row r="522" spans="18:33" x14ac:dyDescent="0.3">
      <c r="R522" s="36"/>
      <c r="S522" s="36"/>
      <c r="T522" s="36"/>
      <c r="U522" s="36"/>
      <c r="V522" s="49"/>
      <c r="X522" s="28"/>
      <c r="Y522" s="32"/>
      <c r="Z522" s="33"/>
      <c r="AA522" s="34"/>
      <c r="AB522" s="28"/>
      <c r="AC522" s="28"/>
      <c r="AD522" s="29"/>
      <c r="AF522" s="30"/>
      <c r="AG522" s="30"/>
    </row>
    <row r="523" spans="18:33" x14ac:dyDescent="0.3">
      <c r="R523" s="36"/>
      <c r="S523" s="36"/>
      <c r="T523" s="36"/>
      <c r="U523" s="36"/>
      <c r="V523" s="49"/>
      <c r="X523" s="28"/>
      <c r="Y523" s="32"/>
      <c r="Z523" s="33"/>
      <c r="AA523" s="34"/>
      <c r="AB523" s="28"/>
      <c r="AC523" s="28"/>
      <c r="AD523" s="29"/>
      <c r="AF523" s="30"/>
      <c r="AG523" s="30"/>
    </row>
    <row r="524" spans="18:33" x14ac:dyDescent="0.3">
      <c r="R524" s="36"/>
      <c r="S524" s="36"/>
      <c r="T524" s="36"/>
      <c r="U524" s="36"/>
      <c r="V524" s="49"/>
      <c r="X524" s="28"/>
      <c r="Y524" s="32"/>
      <c r="Z524" s="33"/>
      <c r="AA524" s="34"/>
      <c r="AB524" s="28"/>
      <c r="AC524" s="28"/>
      <c r="AD524" s="29"/>
      <c r="AF524" s="30"/>
      <c r="AG524" s="30"/>
    </row>
    <row r="525" spans="18:33" x14ac:dyDescent="0.3">
      <c r="R525" s="36"/>
      <c r="S525" s="36"/>
      <c r="T525" s="36"/>
      <c r="U525" s="36"/>
      <c r="V525" s="49"/>
      <c r="X525" s="28"/>
      <c r="Y525" s="32"/>
      <c r="Z525" s="33"/>
      <c r="AA525" s="34"/>
      <c r="AB525" s="28"/>
      <c r="AC525" s="28"/>
      <c r="AD525" s="29"/>
      <c r="AF525" s="30"/>
      <c r="AG525" s="30"/>
    </row>
    <row r="526" spans="18:33" x14ac:dyDescent="0.3">
      <c r="R526" s="36"/>
      <c r="S526" s="36"/>
      <c r="T526" s="36"/>
      <c r="U526" s="36"/>
      <c r="V526" s="49"/>
      <c r="X526" s="28"/>
      <c r="Y526" s="32"/>
      <c r="Z526" s="33"/>
      <c r="AA526" s="34"/>
      <c r="AB526" s="28"/>
      <c r="AC526" s="28"/>
      <c r="AD526" s="29"/>
      <c r="AF526" s="30"/>
      <c r="AG526" s="30"/>
    </row>
    <row r="527" spans="18:33" x14ac:dyDescent="0.3">
      <c r="R527" s="36"/>
      <c r="S527" s="36"/>
      <c r="T527" s="36"/>
      <c r="U527" s="36"/>
      <c r="V527" s="49"/>
      <c r="X527" s="28"/>
      <c r="Y527" s="32"/>
      <c r="Z527" s="33"/>
      <c r="AA527" s="34"/>
      <c r="AB527" s="28"/>
      <c r="AC527" s="28"/>
      <c r="AD527" s="29"/>
      <c r="AF527" s="30"/>
      <c r="AG527" s="30"/>
    </row>
    <row r="528" spans="18:33" x14ac:dyDescent="0.3">
      <c r="R528" s="36"/>
      <c r="S528" s="36"/>
      <c r="T528" s="36"/>
      <c r="U528" s="36"/>
      <c r="V528" s="49"/>
      <c r="X528" s="28"/>
      <c r="Y528" s="32"/>
      <c r="Z528" s="33"/>
      <c r="AA528" s="34"/>
      <c r="AB528" s="28"/>
      <c r="AC528" s="28"/>
      <c r="AD528" s="29"/>
      <c r="AF528" s="30"/>
      <c r="AG528" s="30"/>
    </row>
    <row r="529" spans="18:33" x14ac:dyDescent="0.3">
      <c r="R529" s="36"/>
      <c r="S529" s="36"/>
      <c r="T529" s="36"/>
      <c r="U529" s="36"/>
      <c r="V529" s="49"/>
      <c r="X529" s="28"/>
      <c r="Y529" s="32"/>
      <c r="Z529" s="33"/>
      <c r="AA529" s="34"/>
      <c r="AB529" s="28"/>
      <c r="AC529" s="28"/>
      <c r="AD529" s="29"/>
      <c r="AF529" s="30"/>
      <c r="AG529" s="30"/>
    </row>
    <row r="530" spans="18:33" x14ac:dyDescent="0.3">
      <c r="R530" s="36"/>
      <c r="S530" s="36"/>
      <c r="T530" s="36"/>
      <c r="U530" s="36"/>
      <c r="V530" s="49"/>
      <c r="X530" s="28"/>
      <c r="Y530" s="32"/>
      <c r="Z530" s="33"/>
      <c r="AA530" s="34"/>
      <c r="AB530" s="28"/>
      <c r="AC530" s="28"/>
      <c r="AD530" s="29"/>
      <c r="AF530" s="30"/>
      <c r="AG530" s="30"/>
    </row>
    <row r="531" spans="18:33" x14ac:dyDescent="0.3">
      <c r="R531" s="36"/>
      <c r="S531" s="36"/>
      <c r="T531" s="36"/>
      <c r="U531" s="36"/>
      <c r="V531" s="49"/>
      <c r="X531" s="28"/>
      <c r="Y531" s="32"/>
      <c r="Z531" s="33"/>
      <c r="AA531" s="34"/>
      <c r="AB531" s="28"/>
      <c r="AC531" s="28"/>
      <c r="AD531" s="29"/>
      <c r="AF531" s="30"/>
      <c r="AG531" s="30"/>
    </row>
    <row r="532" spans="18:33" x14ac:dyDescent="0.3">
      <c r="R532" s="36"/>
      <c r="S532" s="36"/>
      <c r="T532" s="36"/>
      <c r="U532" s="36"/>
      <c r="V532" s="49"/>
      <c r="X532" s="28"/>
      <c r="Y532" s="32"/>
      <c r="Z532" s="33"/>
      <c r="AA532" s="34"/>
      <c r="AB532" s="28"/>
      <c r="AC532" s="28"/>
      <c r="AD532" s="29"/>
      <c r="AF532" s="30"/>
      <c r="AG532" s="30"/>
    </row>
    <row r="533" spans="18:33" x14ac:dyDescent="0.3">
      <c r="R533" s="36"/>
      <c r="S533" s="36"/>
      <c r="T533" s="36"/>
      <c r="U533" s="36"/>
      <c r="V533" s="49"/>
      <c r="X533" s="28"/>
      <c r="Y533" s="32"/>
      <c r="Z533" s="33"/>
      <c r="AA533" s="34"/>
      <c r="AB533" s="28"/>
      <c r="AC533" s="28"/>
      <c r="AD533" s="29"/>
      <c r="AF533" s="30"/>
      <c r="AG533" s="30"/>
    </row>
    <row r="534" spans="18:33" x14ac:dyDescent="0.3">
      <c r="R534" s="36"/>
      <c r="S534" s="36"/>
      <c r="T534" s="36"/>
      <c r="U534" s="36"/>
      <c r="V534" s="49"/>
      <c r="X534" s="28"/>
      <c r="Y534" s="32"/>
      <c r="Z534" s="33"/>
      <c r="AA534" s="34"/>
      <c r="AB534" s="28"/>
      <c r="AC534" s="28"/>
      <c r="AD534" s="29"/>
      <c r="AF534" s="30"/>
      <c r="AG534" s="30"/>
    </row>
    <row r="535" spans="18:33" x14ac:dyDescent="0.3">
      <c r="R535" s="36"/>
      <c r="S535" s="36"/>
      <c r="T535" s="36"/>
      <c r="U535" s="36"/>
      <c r="V535" s="49"/>
      <c r="X535" s="28"/>
      <c r="Y535" s="32"/>
      <c r="Z535" s="33"/>
      <c r="AA535" s="34"/>
      <c r="AB535" s="28"/>
      <c r="AC535" s="28"/>
      <c r="AD535" s="29"/>
      <c r="AF535" s="30"/>
      <c r="AG535" s="30"/>
    </row>
    <row r="536" spans="18:33" x14ac:dyDescent="0.3">
      <c r="R536" s="36"/>
      <c r="S536" s="36"/>
      <c r="T536" s="36"/>
      <c r="U536" s="36"/>
      <c r="V536" s="49"/>
      <c r="X536" s="28"/>
      <c r="Y536" s="32"/>
      <c r="Z536" s="33"/>
      <c r="AA536" s="34"/>
      <c r="AB536" s="28"/>
      <c r="AC536" s="28"/>
      <c r="AD536" s="29"/>
      <c r="AF536" s="30"/>
      <c r="AG536" s="30"/>
    </row>
    <row r="537" spans="18:33" x14ac:dyDescent="0.3">
      <c r="R537" s="36"/>
      <c r="S537" s="36"/>
      <c r="T537" s="36"/>
      <c r="U537" s="36"/>
      <c r="V537" s="49"/>
      <c r="X537" s="28"/>
      <c r="Y537" s="32"/>
      <c r="Z537" s="33"/>
      <c r="AA537" s="34"/>
      <c r="AB537" s="28"/>
      <c r="AC537" s="28"/>
      <c r="AD537" s="29"/>
      <c r="AF537" s="30"/>
      <c r="AG537" s="30"/>
    </row>
    <row r="538" spans="18:33" x14ac:dyDescent="0.3">
      <c r="R538" s="36"/>
      <c r="S538" s="36"/>
      <c r="T538" s="36"/>
      <c r="U538" s="36"/>
      <c r="V538" s="49"/>
      <c r="X538" s="28"/>
      <c r="Y538" s="32"/>
      <c r="Z538" s="33"/>
      <c r="AA538" s="34"/>
      <c r="AB538" s="28"/>
      <c r="AC538" s="28"/>
      <c r="AD538" s="29"/>
      <c r="AF538" s="30"/>
      <c r="AG538" s="30"/>
    </row>
    <row r="539" spans="18:33" x14ac:dyDescent="0.3">
      <c r="R539" s="36"/>
      <c r="S539" s="36"/>
      <c r="T539" s="36"/>
      <c r="U539" s="36"/>
      <c r="V539" s="49"/>
      <c r="X539" s="28"/>
      <c r="Y539" s="32"/>
      <c r="Z539" s="33"/>
      <c r="AA539" s="34"/>
      <c r="AB539" s="28"/>
      <c r="AC539" s="28"/>
      <c r="AD539" s="29"/>
      <c r="AF539" s="30"/>
      <c r="AG539" s="30"/>
    </row>
    <row r="540" spans="18:33" x14ac:dyDescent="0.3">
      <c r="R540" s="36"/>
      <c r="S540" s="36"/>
      <c r="T540" s="36"/>
      <c r="U540" s="36"/>
      <c r="V540" s="49"/>
      <c r="X540" s="28"/>
      <c r="Y540" s="32"/>
      <c r="Z540" s="33"/>
      <c r="AA540" s="34"/>
      <c r="AB540" s="28"/>
      <c r="AC540" s="28"/>
      <c r="AD540" s="29"/>
      <c r="AF540" s="30"/>
      <c r="AG540" s="30"/>
    </row>
    <row r="541" spans="18:33" x14ac:dyDescent="0.3">
      <c r="R541" s="36"/>
      <c r="S541" s="36"/>
      <c r="T541" s="36"/>
      <c r="U541" s="36"/>
      <c r="V541" s="49"/>
      <c r="X541" s="28"/>
      <c r="Y541" s="32"/>
      <c r="Z541" s="33"/>
      <c r="AA541" s="34"/>
      <c r="AB541" s="28"/>
      <c r="AC541" s="28"/>
      <c r="AD541" s="29"/>
      <c r="AF541" s="30"/>
      <c r="AG541" s="30"/>
    </row>
    <row r="542" spans="18:33" x14ac:dyDescent="0.3">
      <c r="R542" s="36"/>
      <c r="S542" s="36"/>
      <c r="T542" s="36"/>
      <c r="U542" s="36"/>
      <c r="V542" s="49"/>
      <c r="X542" s="28"/>
      <c r="Y542" s="32"/>
      <c r="Z542" s="33"/>
      <c r="AA542" s="34"/>
      <c r="AB542" s="28"/>
      <c r="AC542" s="28"/>
      <c r="AD542" s="29"/>
      <c r="AF542" s="30"/>
      <c r="AG542" s="30"/>
    </row>
    <row r="543" spans="18:33" x14ac:dyDescent="0.3">
      <c r="R543" s="36"/>
      <c r="S543" s="36"/>
      <c r="T543" s="36"/>
      <c r="U543" s="36"/>
      <c r="V543" s="49"/>
      <c r="X543" s="28"/>
      <c r="Y543" s="32"/>
      <c r="Z543" s="33"/>
      <c r="AA543" s="34"/>
      <c r="AB543" s="28"/>
      <c r="AC543" s="28"/>
      <c r="AD543" s="29"/>
      <c r="AF543" s="30"/>
      <c r="AG543" s="30"/>
    </row>
    <row r="544" spans="18:33" x14ac:dyDescent="0.3">
      <c r="R544" s="36"/>
      <c r="S544" s="36"/>
      <c r="T544" s="36"/>
      <c r="U544" s="36"/>
      <c r="V544" s="49"/>
      <c r="X544" s="28"/>
      <c r="Y544" s="32"/>
      <c r="Z544" s="33"/>
      <c r="AA544" s="34"/>
      <c r="AB544" s="28"/>
      <c r="AC544" s="28"/>
      <c r="AD544" s="29"/>
      <c r="AF544" s="30"/>
      <c r="AG544" s="30"/>
    </row>
    <row r="545" spans="18:33" x14ac:dyDescent="0.3">
      <c r="R545" s="36"/>
      <c r="S545" s="36"/>
      <c r="T545" s="36"/>
      <c r="U545" s="36"/>
      <c r="V545" s="49"/>
      <c r="X545" s="28"/>
      <c r="Y545" s="32"/>
      <c r="Z545" s="33"/>
      <c r="AA545" s="34"/>
      <c r="AB545" s="28"/>
      <c r="AC545" s="28"/>
      <c r="AD545" s="29"/>
      <c r="AF545" s="30"/>
      <c r="AG545" s="30"/>
    </row>
    <row r="546" spans="18:33" x14ac:dyDescent="0.3">
      <c r="R546" s="36"/>
      <c r="S546" s="36"/>
      <c r="T546" s="36"/>
      <c r="U546" s="36"/>
      <c r="V546" s="49"/>
      <c r="X546" s="28"/>
      <c r="Y546" s="32"/>
      <c r="Z546" s="33"/>
      <c r="AA546" s="34"/>
      <c r="AB546" s="28"/>
      <c r="AC546" s="28"/>
      <c r="AD546" s="29"/>
      <c r="AF546" s="30"/>
      <c r="AG546" s="30"/>
    </row>
    <row r="547" spans="18:33" x14ac:dyDescent="0.3">
      <c r="R547" s="36"/>
      <c r="S547" s="36"/>
      <c r="T547" s="36"/>
      <c r="U547" s="36"/>
      <c r="V547" s="49"/>
      <c r="X547" s="28"/>
      <c r="Y547" s="32"/>
      <c r="Z547" s="33"/>
      <c r="AA547" s="34"/>
      <c r="AB547" s="28"/>
      <c r="AC547" s="28"/>
      <c r="AD547" s="29"/>
      <c r="AF547" s="30"/>
      <c r="AG547" s="30"/>
    </row>
    <row r="548" spans="18:33" x14ac:dyDescent="0.3">
      <c r="R548" s="36"/>
      <c r="S548" s="36"/>
      <c r="T548" s="36"/>
      <c r="U548" s="36"/>
      <c r="V548" s="49"/>
      <c r="X548" s="28"/>
      <c r="Y548" s="32"/>
      <c r="Z548" s="33"/>
      <c r="AA548" s="34"/>
      <c r="AB548" s="28"/>
      <c r="AC548" s="28"/>
      <c r="AD548" s="29"/>
      <c r="AF548" s="30"/>
      <c r="AG548" s="30"/>
    </row>
    <row r="549" spans="18:33" x14ac:dyDescent="0.3">
      <c r="R549" s="36"/>
      <c r="S549" s="36"/>
      <c r="T549" s="36"/>
      <c r="U549" s="36"/>
      <c r="V549" s="49"/>
      <c r="X549" s="28"/>
      <c r="Y549" s="32"/>
      <c r="Z549" s="33"/>
      <c r="AA549" s="34"/>
      <c r="AB549" s="28"/>
      <c r="AC549" s="28"/>
      <c r="AD549" s="29"/>
      <c r="AF549" s="30"/>
      <c r="AG549" s="30"/>
    </row>
    <row r="550" spans="18:33" x14ac:dyDescent="0.3">
      <c r="R550" s="36"/>
      <c r="S550" s="36"/>
      <c r="T550" s="36"/>
      <c r="U550" s="36"/>
      <c r="V550" s="49"/>
      <c r="X550" s="28"/>
      <c r="Y550" s="32"/>
      <c r="Z550" s="33"/>
      <c r="AA550" s="34"/>
      <c r="AB550" s="28"/>
      <c r="AC550" s="28"/>
      <c r="AD550" s="29"/>
      <c r="AF550" s="30"/>
      <c r="AG550" s="30"/>
    </row>
    <row r="551" spans="18:33" x14ac:dyDescent="0.3">
      <c r="R551" s="36"/>
      <c r="S551" s="36"/>
      <c r="T551" s="36"/>
      <c r="U551" s="36"/>
      <c r="V551" s="49"/>
      <c r="X551" s="28"/>
      <c r="Y551" s="32"/>
      <c r="Z551" s="33"/>
      <c r="AA551" s="34"/>
      <c r="AB551" s="28"/>
      <c r="AC551" s="28"/>
      <c r="AD551" s="29"/>
      <c r="AF551" s="30"/>
      <c r="AG551" s="30"/>
    </row>
    <row r="552" spans="18:33" x14ac:dyDescent="0.3">
      <c r="R552" s="36"/>
      <c r="S552" s="36"/>
      <c r="T552" s="36"/>
      <c r="U552" s="36"/>
      <c r="V552" s="49"/>
      <c r="X552" s="28"/>
      <c r="Y552" s="32"/>
      <c r="Z552" s="33"/>
      <c r="AA552" s="34"/>
      <c r="AB552" s="28"/>
      <c r="AC552" s="28"/>
      <c r="AD552" s="29"/>
      <c r="AF552" s="30"/>
      <c r="AG552" s="30"/>
    </row>
    <row r="553" spans="18:33" x14ac:dyDescent="0.3">
      <c r="R553" s="36"/>
      <c r="S553" s="36"/>
      <c r="T553" s="36"/>
      <c r="U553" s="36"/>
      <c r="V553" s="49"/>
      <c r="X553" s="28"/>
      <c r="Y553" s="32"/>
      <c r="Z553" s="33"/>
      <c r="AA553" s="34"/>
      <c r="AB553" s="28"/>
      <c r="AC553" s="28"/>
      <c r="AD553" s="29"/>
      <c r="AF553" s="30"/>
      <c r="AG553" s="30"/>
    </row>
    <row r="554" spans="18:33" x14ac:dyDescent="0.3">
      <c r="R554" s="36"/>
      <c r="S554" s="36"/>
      <c r="T554" s="36"/>
      <c r="U554" s="36"/>
      <c r="V554" s="49"/>
      <c r="X554" s="28"/>
      <c r="Y554" s="32"/>
      <c r="Z554" s="33"/>
      <c r="AA554" s="34"/>
      <c r="AB554" s="28"/>
      <c r="AC554" s="28"/>
      <c r="AD554" s="29"/>
      <c r="AF554" s="30"/>
      <c r="AG554" s="30"/>
    </row>
    <row r="555" spans="18:33" x14ac:dyDescent="0.3">
      <c r="R555" s="36"/>
      <c r="S555" s="36"/>
      <c r="T555" s="36"/>
      <c r="U555" s="36"/>
      <c r="V555" s="49"/>
      <c r="X555" s="28"/>
      <c r="Y555" s="32"/>
      <c r="Z555" s="33"/>
      <c r="AA555" s="34"/>
      <c r="AB555" s="28"/>
      <c r="AC555" s="28"/>
      <c r="AD555" s="29"/>
      <c r="AF555" s="30"/>
      <c r="AG555" s="30"/>
    </row>
    <row r="556" spans="18:33" x14ac:dyDescent="0.3">
      <c r="R556" s="36"/>
      <c r="S556" s="36"/>
      <c r="T556" s="36"/>
      <c r="U556" s="36"/>
      <c r="V556" s="49"/>
      <c r="X556" s="28"/>
      <c r="Y556" s="32"/>
      <c r="Z556" s="33"/>
      <c r="AA556" s="34"/>
      <c r="AB556" s="28"/>
      <c r="AC556" s="28"/>
      <c r="AD556" s="29"/>
      <c r="AF556" s="30"/>
      <c r="AG556" s="30"/>
    </row>
    <row r="557" spans="18:33" x14ac:dyDescent="0.3">
      <c r="R557" s="36"/>
      <c r="S557" s="36"/>
      <c r="T557" s="36"/>
      <c r="U557" s="36"/>
      <c r="V557" s="49"/>
      <c r="X557" s="28"/>
      <c r="Y557" s="32"/>
      <c r="Z557" s="33"/>
      <c r="AA557" s="34"/>
      <c r="AB557" s="28"/>
      <c r="AC557" s="28"/>
      <c r="AD557" s="29"/>
      <c r="AF557" s="30"/>
      <c r="AG557" s="30"/>
    </row>
    <row r="558" spans="18:33" x14ac:dyDescent="0.3">
      <c r="R558" s="36"/>
      <c r="S558" s="36"/>
      <c r="T558" s="36"/>
      <c r="U558" s="36"/>
      <c r="V558" s="49"/>
      <c r="X558" s="28"/>
      <c r="Y558" s="32"/>
      <c r="Z558" s="33"/>
      <c r="AA558" s="34"/>
      <c r="AB558" s="28"/>
      <c r="AC558" s="28"/>
      <c r="AD558" s="29"/>
      <c r="AF558" s="30"/>
      <c r="AG558" s="30"/>
    </row>
    <row r="559" spans="18:33" x14ac:dyDescent="0.3">
      <c r="R559" s="36"/>
      <c r="S559" s="36"/>
      <c r="T559" s="36"/>
      <c r="U559" s="36"/>
      <c r="V559" s="49"/>
      <c r="X559" s="28"/>
      <c r="Y559" s="32"/>
      <c r="Z559" s="33"/>
      <c r="AA559" s="34"/>
      <c r="AB559" s="28"/>
      <c r="AC559" s="28"/>
      <c r="AD559" s="29"/>
      <c r="AF559" s="30"/>
      <c r="AG559" s="30"/>
    </row>
    <row r="560" spans="18:33" x14ac:dyDescent="0.3">
      <c r="R560" s="36"/>
      <c r="S560" s="36"/>
      <c r="T560" s="36"/>
      <c r="U560" s="36"/>
      <c r="V560" s="49"/>
      <c r="X560" s="28"/>
      <c r="Y560" s="32"/>
      <c r="Z560" s="33"/>
      <c r="AA560" s="34"/>
      <c r="AB560" s="28"/>
      <c r="AC560" s="28"/>
      <c r="AD560" s="29"/>
      <c r="AF560" s="30"/>
      <c r="AG560" s="30"/>
    </row>
    <row r="561" spans="18:33" x14ac:dyDescent="0.3">
      <c r="R561" s="36"/>
      <c r="S561" s="36"/>
      <c r="T561" s="36"/>
      <c r="U561" s="36"/>
      <c r="V561" s="49"/>
      <c r="X561" s="28"/>
      <c r="Y561" s="32"/>
      <c r="Z561" s="33"/>
      <c r="AA561" s="34"/>
      <c r="AB561" s="28"/>
      <c r="AC561" s="28"/>
      <c r="AD561" s="29"/>
      <c r="AF561" s="30"/>
      <c r="AG561" s="30"/>
    </row>
    <row r="562" spans="18:33" x14ac:dyDescent="0.3">
      <c r="R562" s="36"/>
      <c r="S562" s="36"/>
      <c r="T562" s="36"/>
      <c r="U562" s="36"/>
      <c r="V562" s="49"/>
      <c r="X562" s="28"/>
      <c r="Y562" s="32"/>
      <c r="Z562" s="33"/>
      <c r="AA562" s="34"/>
      <c r="AB562" s="28"/>
      <c r="AC562" s="28"/>
      <c r="AD562" s="29"/>
      <c r="AF562" s="30"/>
      <c r="AG562" s="30"/>
    </row>
    <row r="563" spans="18:33" x14ac:dyDescent="0.3">
      <c r="R563" s="36"/>
      <c r="S563" s="36"/>
      <c r="T563" s="36"/>
      <c r="U563" s="36"/>
      <c r="V563" s="49"/>
      <c r="X563" s="28"/>
      <c r="Y563" s="32"/>
      <c r="Z563" s="33"/>
      <c r="AA563" s="34"/>
      <c r="AB563" s="28"/>
      <c r="AC563" s="28"/>
      <c r="AD563" s="29"/>
      <c r="AF563" s="30"/>
      <c r="AG563" s="30"/>
    </row>
    <row r="564" spans="18:33" x14ac:dyDescent="0.3">
      <c r="R564" s="36"/>
      <c r="S564" s="36"/>
      <c r="T564" s="36"/>
      <c r="U564" s="36"/>
      <c r="V564" s="49"/>
      <c r="X564" s="28"/>
      <c r="Y564" s="32"/>
      <c r="Z564" s="33"/>
      <c r="AA564" s="34"/>
      <c r="AB564" s="28"/>
      <c r="AC564" s="28"/>
      <c r="AD564" s="29"/>
      <c r="AF564" s="30"/>
      <c r="AG564" s="30"/>
    </row>
    <row r="565" spans="18:33" x14ac:dyDescent="0.3">
      <c r="R565" s="36"/>
      <c r="S565" s="36"/>
      <c r="T565" s="36"/>
      <c r="U565" s="36"/>
      <c r="V565" s="49"/>
      <c r="X565" s="28"/>
      <c r="Y565" s="32"/>
      <c r="Z565" s="33"/>
      <c r="AA565" s="34"/>
      <c r="AB565" s="28"/>
      <c r="AC565" s="28"/>
      <c r="AD565" s="29"/>
      <c r="AF565" s="30"/>
      <c r="AG565" s="30"/>
    </row>
    <row r="566" spans="18:33" x14ac:dyDescent="0.3">
      <c r="R566" s="36"/>
      <c r="S566" s="36"/>
      <c r="T566" s="36"/>
      <c r="U566" s="36"/>
      <c r="V566" s="49"/>
      <c r="X566" s="28"/>
      <c r="Y566" s="32"/>
      <c r="Z566" s="33"/>
      <c r="AA566" s="34"/>
      <c r="AB566" s="28"/>
      <c r="AC566" s="28"/>
      <c r="AD566" s="29"/>
      <c r="AF566" s="30"/>
      <c r="AG566" s="30"/>
    </row>
    <row r="567" spans="18:33" x14ac:dyDescent="0.3">
      <c r="R567" s="36"/>
      <c r="S567" s="36"/>
      <c r="T567" s="36"/>
      <c r="U567" s="36"/>
      <c r="V567" s="49"/>
      <c r="X567" s="28"/>
      <c r="Y567" s="32"/>
      <c r="Z567" s="33"/>
      <c r="AA567" s="34"/>
      <c r="AB567" s="28"/>
      <c r="AC567" s="28"/>
      <c r="AD567" s="29"/>
      <c r="AF567" s="30"/>
      <c r="AG567" s="30"/>
    </row>
    <row r="568" spans="18:33" x14ac:dyDescent="0.3">
      <c r="R568" s="36"/>
      <c r="S568" s="36"/>
      <c r="T568" s="36"/>
      <c r="U568" s="36"/>
      <c r="V568" s="49"/>
      <c r="X568" s="28"/>
      <c r="Y568" s="32"/>
      <c r="Z568" s="33"/>
      <c r="AA568" s="34"/>
      <c r="AB568" s="28"/>
      <c r="AC568" s="28"/>
      <c r="AD568" s="29"/>
      <c r="AF568" s="30"/>
      <c r="AG568" s="30"/>
    </row>
    <row r="569" spans="18:33" x14ac:dyDescent="0.3">
      <c r="R569" s="36"/>
      <c r="S569" s="36"/>
      <c r="T569" s="36"/>
      <c r="U569" s="36"/>
      <c r="V569" s="49"/>
      <c r="X569" s="28"/>
      <c r="Y569" s="32"/>
      <c r="Z569" s="33"/>
      <c r="AA569" s="34"/>
      <c r="AB569" s="28"/>
      <c r="AC569" s="28"/>
      <c r="AD569" s="29"/>
      <c r="AF569" s="30"/>
      <c r="AG569" s="30"/>
    </row>
    <row r="570" spans="18:33" x14ac:dyDescent="0.3">
      <c r="R570" s="36"/>
      <c r="S570" s="36"/>
      <c r="T570" s="36"/>
      <c r="U570" s="36"/>
      <c r="V570" s="49"/>
      <c r="X570" s="28"/>
      <c r="Y570" s="32"/>
      <c r="Z570" s="33"/>
      <c r="AA570" s="34"/>
      <c r="AB570" s="28"/>
      <c r="AC570" s="28"/>
      <c r="AD570" s="29"/>
      <c r="AF570" s="30"/>
      <c r="AG570" s="30"/>
    </row>
    <row r="571" spans="18:33" x14ac:dyDescent="0.3">
      <c r="R571" s="36"/>
      <c r="S571" s="36"/>
      <c r="T571" s="36"/>
      <c r="U571" s="36"/>
      <c r="V571" s="49"/>
      <c r="X571" s="28"/>
      <c r="Y571" s="32"/>
      <c r="Z571" s="33"/>
      <c r="AA571" s="34"/>
      <c r="AB571" s="28"/>
      <c r="AC571" s="28"/>
      <c r="AD571" s="29"/>
      <c r="AF571" s="30"/>
      <c r="AG571" s="30"/>
    </row>
    <row r="572" spans="18:33" x14ac:dyDescent="0.3">
      <c r="R572" s="36"/>
      <c r="S572" s="36"/>
      <c r="T572" s="36"/>
      <c r="U572" s="36"/>
      <c r="V572" s="49"/>
      <c r="X572" s="28"/>
      <c r="Y572" s="32"/>
      <c r="Z572" s="33"/>
      <c r="AA572" s="34"/>
      <c r="AB572" s="28"/>
      <c r="AC572" s="28"/>
      <c r="AD572" s="29"/>
      <c r="AF572" s="30"/>
      <c r="AG572" s="30"/>
    </row>
    <row r="573" spans="18:33" x14ac:dyDescent="0.3">
      <c r="R573" s="36"/>
      <c r="S573" s="36"/>
      <c r="T573" s="36"/>
      <c r="U573" s="36"/>
      <c r="V573" s="49"/>
      <c r="X573" s="28"/>
      <c r="Y573" s="32"/>
      <c r="Z573" s="33"/>
      <c r="AA573" s="34"/>
      <c r="AB573" s="28"/>
      <c r="AC573" s="28"/>
      <c r="AD573" s="29"/>
      <c r="AF573" s="30"/>
      <c r="AG573" s="30"/>
    </row>
    <row r="574" spans="18:33" x14ac:dyDescent="0.3">
      <c r="R574" s="36"/>
      <c r="S574" s="36"/>
      <c r="T574" s="36"/>
      <c r="U574" s="36"/>
      <c r="V574" s="49"/>
      <c r="X574" s="28"/>
      <c r="Y574" s="32"/>
      <c r="Z574" s="33"/>
      <c r="AA574" s="34"/>
      <c r="AB574" s="28"/>
      <c r="AC574" s="28"/>
      <c r="AD574" s="29"/>
      <c r="AF574" s="30"/>
      <c r="AG574" s="30"/>
    </row>
    <row r="575" spans="18:33" x14ac:dyDescent="0.3">
      <c r="R575" s="36"/>
      <c r="S575" s="36"/>
      <c r="T575" s="36"/>
      <c r="U575" s="36"/>
      <c r="V575" s="49"/>
      <c r="X575" s="28"/>
      <c r="Y575" s="32"/>
      <c r="Z575" s="33"/>
      <c r="AA575" s="34"/>
      <c r="AB575" s="28"/>
      <c r="AC575" s="28"/>
      <c r="AD575" s="29"/>
      <c r="AF575" s="30"/>
      <c r="AG575" s="30"/>
    </row>
    <row r="576" spans="18:33" x14ac:dyDescent="0.3">
      <c r="R576" s="36"/>
      <c r="S576" s="36"/>
      <c r="T576" s="36"/>
      <c r="U576" s="36"/>
      <c r="V576" s="49"/>
      <c r="X576" s="28"/>
      <c r="Y576" s="32"/>
      <c r="Z576" s="33"/>
      <c r="AA576" s="34"/>
      <c r="AB576" s="28"/>
      <c r="AC576" s="28"/>
      <c r="AD576" s="29"/>
      <c r="AF576" s="30"/>
      <c r="AG576" s="30"/>
    </row>
    <row r="577" spans="18:33" x14ac:dyDescent="0.3">
      <c r="R577" s="36"/>
      <c r="S577" s="36"/>
      <c r="T577" s="36"/>
      <c r="U577" s="36"/>
      <c r="V577" s="49"/>
      <c r="X577" s="28"/>
      <c r="Y577" s="32"/>
      <c r="Z577" s="33"/>
      <c r="AA577" s="34"/>
      <c r="AB577" s="28"/>
      <c r="AC577" s="28"/>
      <c r="AD577" s="29"/>
      <c r="AF577" s="30"/>
      <c r="AG577" s="30"/>
    </row>
    <row r="578" spans="18:33" x14ac:dyDescent="0.3">
      <c r="R578" s="36"/>
      <c r="S578" s="36"/>
      <c r="T578" s="36"/>
      <c r="U578" s="36"/>
      <c r="V578" s="49"/>
      <c r="X578" s="28"/>
      <c r="Y578" s="32"/>
      <c r="Z578" s="33"/>
      <c r="AA578" s="34"/>
      <c r="AB578" s="28"/>
      <c r="AC578" s="28"/>
      <c r="AD578" s="29"/>
      <c r="AF578" s="30"/>
      <c r="AG578" s="30"/>
    </row>
    <row r="579" spans="18:33" x14ac:dyDescent="0.3">
      <c r="R579" s="36"/>
      <c r="S579" s="36"/>
      <c r="T579" s="36"/>
      <c r="U579" s="36"/>
      <c r="V579" s="49"/>
      <c r="X579" s="28"/>
      <c r="Y579" s="32"/>
      <c r="Z579" s="33"/>
      <c r="AA579" s="34"/>
      <c r="AB579" s="28"/>
      <c r="AC579" s="28"/>
      <c r="AD579" s="29"/>
      <c r="AF579" s="30"/>
      <c r="AG579" s="30"/>
    </row>
    <row r="580" spans="18:33" x14ac:dyDescent="0.3">
      <c r="R580" s="36"/>
      <c r="S580" s="36"/>
      <c r="T580" s="36"/>
      <c r="U580" s="36"/>
      <c r="V580" s="49"/>
      <c r="X580" s="28"/>
      <c r="Y580" s="32"/>
      <c r="Z580" s="33"/>
      <c r="AA580" s="34"/>
      <c r="AB580" s="28"/>
      <c r="AC580" s="28"/>
      <c r="AD580" s="29"/>
      <c r="AF580" s="30"/>
      <c r="AG580" s="30"/>
    </row>
    <row r="581" spans="18:33" x14ac:dyDescent="0.3">
      <c r="R581" s="36"/>
      <c r="S581" s="36"/>
      <c r="T581" s="36"/>
      <c r="U581" s="36"/>
      <c r="V581" s="49"/>
      <c r="X581" s="28"/>
      <c r="Y581" s="32"/>
      <c r="Z581" s="33"/>
      <c r="AA581" s="34"/>
      <c r="AB581" s="28"/>
      <c r="AC581" s="28"/>
      <c r="AD581" s="29"/>
      <c r="AF581" s="30"/>
      <c r="AG581" s="30"/>
    </row>
    <row r="582" spans="18:33" x14ac:dyDescent="0.3">
      <c r="R582" s="36"/>
      <c r="S582" s="36"/>
      <c r="T582" s="36"/>
      <c r="U582" s="36"/>
      <c r="V582" s="49"/>
      <c r="X582" s="28"/>
      <c r="Y582" s="32"/>
      <c r="Z582" s="33"/>
      <c r="AA582" s="34"/>
      <c r="AB582" s="28"/>
      <c r="AC582" s="28"/>
      <c r="AD582" s="29"/>
      <c r="AF582" s="30"/>
      <c r="AG582" s="30"/>
    </row>
    <row r="583" spans="18:33" x14ac:dyDescent="0.3">
      <c r="R583" s="36"/>
      <c r="S583" s="36"/>
      <c r="T583" s="36"/>
      <c r="U583" s="36"/>
      <c r="V583" s="49"/>
      <c r="X583" s="28"/>
      <c r="Y583" s="32"/>
      <c r="Z583" s="33"/>
      <c r="AA583" s="34"/>
      <c r="AB583" s="28"/>
      <c r="AC583" s="28"/>
      <c r="AD583" s="29"/>
      <c r="AF583" s="30"/>
      <c r="AG583" s="30"/>
    </row>
    <row r="584" spans="18:33" x14ac:dyDescent="0.3">
      <c r="R584" s="36"/>
      <c r="S584" s="36"/>
      <c r="T584" s="36"/>
      <c r="U584" s="36"/>
      <c r="V584" s="49"/>
      <c r="X584" s="28"/>
      <c r="Y584" s="32"/>
      <c r="Z584" s="33"/>
      <c r="AA584" s="34"/>
      <c r="AB584" s="28"/>
      <c r="AC584" s="28"/>
      <c r="AD584" s="29"/>
      <c r="AF584" s="30"/>
      <c r="AG584" s="30"/>
    </row>
    <row r="585" spans="18:33" x14ac:dyDescent="0.3">
      <c r="R585" s="36"/>
      <c r="S585" s="36"/>
      <c r="T585" s="36"/>
      <c r="U585" s="36"/>
      <c r="V585" s="49"/>
      <c r="X585" s="28"/>
      <c r="Y585" s="32"/>
      <c r="Z585" s="33"/>
      <c r="AA585" s="34"/>
      <c r="AB585" s="28"/>
      <c r="AC585" s="28"/>
      <c r="AD585" s="29"/>
      <c r="AF585" s="30"/>
      <c r="AG585" s="30"/>
    </row>
    <row r="586" spans="18:33" x14ac:dyDescent="0.3">
      <c r="R586" s="36"/>
      <c r="S586" s="36"/>
      <c r="T586" s="36"/>
      <c r="U586" s="36"/>
      <c r="V586" s="49"/>
      <c r="X586" s="28"/>
      <c r="Y586" s="32"/>
      <c r="Z586" s="33"/>
      <c r="AA586" s="34"/>
      <c r="AB586" s="28"/>
      <c r="AC586" s="28"/>
      <c r="AD586" s="29"/>
      <c r="AF586" s="30"/>
      <c r="AG586" s="30"/>
    </row>
    <row r="587" spans="18:33" x14ac:dyDescent="0.3">
      <c r="R587" s="36"/>
      <c r="S587" s="36"/>
      <c r="T587" s="36"/>
      <c r="U587" s="36"/>
      <c r="V587" s="49"/>
      <c r="X587" s="28"/>
      <c r="Y587" s="32"/>
      <c r="Z587" s="33"/>
      <c r="AA587" s="34"/>
      <c r="AB587" s="28"/>
      <c r="AC587" s="28"/>
      <c r="AD587" s="29"/>
      <c r="AF587" s="30"/>
      <c r="AG587" s="30"/>
    </row>
    <row r="588" spans="18:33" x14ac:dyDescent="0.3">
      <c r="R588" s="36"/>
      <c r="S588" s="36"/>
      <c r="T588" s="36"/>
      <c r="U588" s="36"/>
      <c r="V588" s="49"/>
      <c r="X588" s="28"/>
      <c r="Y588" s="32"/>
      <c r="Z588" s="33"/>
      <c r="AA588" s="34"/>
      <c r="AB588" s="28"/>
      <c r="AC588" s="28"/>
      <c r="AD588" s="29"/>
      <c r="AF588" s="30"/>
      <c r="AG588" s="30"/>
    </row>
    <row r="589" spans="18:33" x14ac:dyDescent="0.3">
      <c r="R589" s="36"/>
      <c r="S589" s="36"/>
      <c r="T589" s="36"/>
      <c r="U589" s="36"/>
      <c r="V589" s="49"/>
      <c r="X589" s="28"/>
      <c r="Y589" s="32"/>
      <c r="Z589" s="33"/>
      <c r="AA589" s="34"/>
      <c r="AB589" s="28"/>
      <c r="AC589" s="28"/>
      <c r="AD589" s="29"/>
      <c r="AF589" s="30"/>
      <c r="AG589" s="30"/>
    </row>
    <row r="590" spans="18:33" x14ac:dyDescent="0.3">
      <c r="R590" s="36"/>
      <c r="S590" s="36"/>
      <c r="T590" s="36"/>
      <c r="U590" s="36"/>
      <c r="V590" s="49"/>
      <c r="X590" s="28"/>
      <c r="Y590" s="32"/>
      <c r="Z590" s="33"/>
      <c r="AA590" s="34"/>
      <c r="AB590" s="28"/>
      <c r="AC590" s="28"/>
      <c r="AD590" s="29"/>
      <c r="AF590" s="30"/>
      <c r="AG590" s="30"/>
    </row>
    <row r="591" spans="18:33" x14ac:dyDescent="0.3">
      <c r="R591" s="36"/>
      <c r="S591" s="36"/>
      <c r="T591" s="36"/>
      <c r="U591" s="36"/>
      <c r="V591" s="49"/>
      <c r="X591" s="28"/>
      <c r="Y591" s="32"/>
      <c r="Z591" s="33"/>
      <c r="AA591" s="34"/>
      <c r="AB591" s="28"/>
      <c r="AC591" s="28"/>
      <c r="AD591" s="29"/>
      <c r="AF591" s="30"/>
      <c r="AG591" s="30"/>
    </row>
    <row r="592" spans="18:33" x14ac:dyDescent="0.3">
      <c r="R592" s="36"/>
      <c r="S592" s="36"/>
      <c r="T592" s="36"/>
      <c r="U592" s="36"/>
      <c r="V592" s="49"/>
      <c r="X592" s="28"/>
      <c r="Y592" s="32"/>
      <c r="Z592" s="33"/>
      <c r="AA592" s="34"/>
      <c r="AB592" s="28"/>
      <c r="AC592" s="28"/>
      <c r="AD592" s="29"/>
      <c r="AF592" s="30"/>
      <c r="AG592" s="30"/>
    </row>
    <row r="593" spans="18:33" x14ac:dyDescent="0.3">
      <c r="R593" s="36"/>
      <c r="S593" s="36"/>
      <c r="T593" s="36"/>
      <c r="U593" s="36"/>
      <c r="V593" s="49"/>
      <c r="X593" s="28"/>
      <c r="Y593" s="32"/>
      <c r="Z593" s="33"/>
      <c r="AA593" s="34"/>
      <c r="AB593" s="28"/>
      <c r="AC593" s="28"/>
      <c r="AD593" s="29"/>
      <c r="AF593" s="30"/>
      <c r="AG593" s="30"/>
    </row>
    <row r="594" spans="18:33" x14ac:dyDescent="0.3">
      <c r="R594" s="36"/>
      <c r="S594" s="36"/>
      <c r="T594" s="36"/>
      <c r="U594" s="36"/>
      <c r="V594" s="49"/>
      <c r="X594" s="28"/>
      <c r="Y594" s="32"/>
      <c r="Z594" s="33"/>
      <c r="AA594" s="34"/>
      <c r="AB594" s="28"/>
      <c r="AC594" s="28"/>
      <c r="AD594" s="29"/>
      <c r="AF594" s="30"/>
      <c r="AG594" s="30"/>
    </row>
    <row r="595" spans="18:33" x14ac:dyDescent="0.3">
      <c r="R595" s="36"/>
      <c r="S595" s="36"/>
      <c r="T595" s="36"/>
      <c r="U595" s="36"/>
      <c r="V595" s="49"/>
      <c r="X595" s="28"/>
      <c r="Y595" s="32"/>
      <c r="Z595" s="33"/>
      <c r="AA595" s="34"/>
      <c r="AB595" s="28"/>
      <c r="AC595" s="28"/>
      <c r="AD595" s="29"/>
      <c r="AF595" s="30"/>
      <c r="AG595" s="30"/>
    </row>
    <row r="596" spans="18:33" x14ac:dyDescent="0.3">
      <c r="R596" s="36"/>
      <c r="S596" s="36"/>
      <c r="T596" s="36"/>
      <c r="U596" s="36"/>
      <c r="V596" s="49"/>
      <c r="X596" s="28"/>
      <c r="Y596" s="32"/>
      <c r="Z596" s="33"/>
      <c r="AA596" s="34"/>
      <c r="AB596" s="28"/>
      <c r="AC596" s="28"/>
      <c r="AD596" s="29"/>
      <c r="AF596" s="30"/>
      <c r="AG596" s="30"/>
    </row>
    <row r="597" spans="18:33" x14ac:dyDescent="0.3">
      <c r="R597" s="36"/>
      <c r="S597" s="36"/>
      <c r="T597" s="36"/>
      <c r="U597" s="36"/>
      <c r="V597" s="49"/>
      <c r="X597" s="28"/>
      <c r="Y597" s="32"/>
      <c r="Z597" s="33"/>
      <c r="AA597" s="34"/>
      <c r="AB597" s="28"/>
      <c r="AC597" s="28"/>
      <c r="AD597" s="29"/>
      <c r="AF597" s="30"/>
      <c r="AG597" s="30"/>
    </row>
    <row r="598" spans="18:33" x14ac:dyDescent="0.3">
      <c r="R598" s="36"/>
      <c r="S598" s="36"/>
      <c r="T598" s="36"/>
      <c r="U598" s="36"/>
      <c r="V598" s="49"/>
      <c r="X598" s="28"/>
      <c r="Y598" s="32"/>
      <c r="Z598" s="33"/>
      <c r="AA598" s="34"/>
      <c r="AB598" s="28"/>
      <c r="AC598" s="28"/>
      <c r="AD598" s="29"/>
      <c r="AF598" s="30"/>
      <c r="AG598" s="30"/>
    </row>
    <row r="599" spans="18:33" x14ac:dyDescent="0.3">
      <c r="R599" s="36"/>
      <c r="S599" s="36"/>
      <c r="T599" s="36"/>
      <c r="U599" s="36"/>
      <c r="V599" s="49"/>
      <c r="X599" s="28"/>
      <c r="Y599" s="32"/>
      <c r="Z599" s="33"/>
      <c r="AA599" s="34"/>
      <c r="AB599" s="28"/>
      <c r="AC599" s="28"/>
      <c r="AD599" s="29"/>
      <c r="AF599" s="30"/>
      <c r="AG599" s="30"/>
    </row>
    <row r="600" spans="18:33" x14ac:dyDescent="0.3">
      <c r="R600" s="36"/>
      <c r="S600" s="36"/>
      <c r="T600" s="36"/>
      <c r="U600" s="36"/>
      <c r="V600" s="49"/>
      <c r="X600" s="28"/>
      <c r="Y600" s="32"/>
      <c r="Z600" s="33"/>
      <c r="AA600" s="34"/>
      <c r="AB600" s="28"/>
      <c r="AC600" s="28"/>
      <c r="AD600" s="29"/>
      <c r="AF600" s="30"/>
      <c r="AG600" s="30"/>
    </row>
    <row r="601" spans="18:33" x14ac:dyDescent="0.3">
      <c r="R601" s="36"/>
      <c r="S601" s="36"/>
      <c r="T601" s="36"/>
      <c r="U601" s="36"/>
      <c r="V601" s="49"/>
      <c r="X601" s="28"/>
      <c r="Y601" s="32"/>
      <c r="Z601" s="33"/>
      <c r="AA601" s="34"/>
      <c r="AB601" s="28"/>
      <c r="AC601" s="28"/>
      <c r="AD601" s="29"/>
      <c r="AF601" s="30"/>
      <c r="AG601" s="30"/>
    </row>
    <row r="602" spans="18:33" x14ac:dyDescent="0.3">
      <c r="R602" s="36"/>
      <c r="S602" s="36"/>
      <c r="T602" s="36"/>
      <c r="U602" s="36"/>
      <c r="V602" s="49"/>
      <c r="X602" s="28"/>
      <c r="Y602" s="32"/>
      <c r="Z602" s="33"/>
      <c r="AA602" s="34"/>
      <c r="AB602" s="28"/>
      <c r="AC602" s="28"/>
      <c r="AD602" s="29"/>
      <c r="AF602" s="30"/>
      <c r="AG602" s="30"/>
    </row>
    <row r="603" spans="18:33" x14ac:dyDescent="0.3">
      <c r="R603" s="36"/>
      <c r="S603" s="36"/>
      <c r="T603" s="36"/>
      <c r="U603" s="36"/>
      <c r="V603" s="49"/>
      <c r="X603" s="28"/>
      <c r="Y603" s="32"/>
      <c r="Z603" s="33"/>
      <c r="AA603" s="34"/>
      <c r="AB603" s="28"/>
      <c r="AC603" s="28"/>
      <c r="AD603" s="29"/>
      <c r="AF603" s="30"/>
      <c r="AG603" s="30"/>
    </row>
    <row r="604" spans="18:33" x14ac:dyDescent="0.3">
      <c r="R604" s="36"/>
      <c r="S604" s="36"/>
      <c r="T604" s="36"/>
      <c r="U604" s="36"/>
      <c r="V604" s="49"/>
      <c r="X604" s="28"/>
      <c r="Y604" s="32"/>
      <c r="Z604" s="33"/>
      <c r="AA604" s="34"/>
      <c r="AB604" s="28"/>
      <c r="AC604" s="28"/>
      <c r="AD604" s="29"/>
      <c r="AF604" s="30"/>
      <c r="AG604" s="30"/>
    </row>
    <row r="605" spans="18:33" x14ac:dyDescent="0.3">
      <c r="R605" s="36"/>
      <c r="S605" s="36"/>
      <c r="T605" s="36"/>
      <c r="U605" s="36"/>
      <c r="V605" s="49"/>
      <c r="X605" s="28"/>
      <c r="Y605" s="32"/>
      <c r="Z605" s="33"/>
      <c r="AA605" s="34"/>
      <c r="AB605" s="28"/>
      <c r="AC605" s="28"/>
      <c r="AD605" s="29"/>
      <c r="AF605" s="30"/>
      <c r="AG605" s="30"/>
    </row>
    <row r="606" spans="18:33" x14ac:dyDescent="0.3">
      <c r="R606" s="36"/>
      <c r="S606" s="36"/>
      <c r="T606" s="36"/>
      <c r="U606" s="36"/>
      <c r="V606" s="49"/>
      <c r="X606" s="28"/>
      <c r="Y606" s="32"/>
      <c r="Z606" s="33"/>
      <c r="AA606" s="34"/>
      <c r="AB606" s="28"/>
      <c r="AC606" s="28"/>
      <c r="AD606" s="29"/>
      <c r="AF606" s="30"/>
      <c r="AG606" s="30"/>
    </row>
    <row r="607" spans="18:33" x14ac:dyDescent="0.3">
      <c r="R607" s="36"/>
      <c r="S607" s="36"/>
      <c r="T607" s="36"/>
      <c r="U607" s="36"/>
      <c r="V607" s="49"/>
      <c r="X607" s="28"/>
      <c r="Y607" s="32"/>
      <c r="Z607" s="33"/>
      <c r="AA607" s="34"/>
      <c r="AB607" s="28"/>
      <c r="AC607" s="28"/>
      <c r="AD607" s="29"/>
      <c r="AF607" s="30"/>
      <c r="AG607" s="30"/>
    </row>
    <row r="608" spans="18:33" x14ac:dyDescent="0.3">
      <c r="R608" s="36"/>
      <c r="S608" s="36"/>
      <c r="T608" s="36"/>
      <c r="U608" s="36"/>
      <c r="V608" s="49"/>
      <c r="X608" s="28"/>
      <c r="Y608" s="32"/>
      <c r="Z608" s="33"/>
      <c r="AA608" s="34"/>
      <c r="AB608" s="28"/>
      <c r="AC608" s="28"/>
      <c r="AD608" s="29"/>
      <c r="AF608" s="30"/>
      <c r="AG608" s="30"/>
    </row>
    <row r="609" spans="18:33" x14ac:dyDescent="0.3">
      <c r="R609" s="36"/>
      <c r="S609" s="36"/>
      <c r="T609" s="36"/>
      <c r="U609" s="36"/>
      <c r="V609" s="49"/>
      <c r="X609" s="28"/>
      <c r="Y609" s="32"/>
      <c r="Z609" s="33"/>
      <c r="AA609" s="34"/>
      <c r="AB609" s="28"/>
      <c r="AC609" s="28"/>
      <c r="AD609" s="29"/>
      <c r="AF609" s="30"/>
      <c r="AG609" s="30"/>
    </row>
    <row r="610" spans="18:33" x14ac:dyDescent="0.3">
      <c r="R610" s="36"/>
      <c r="S610" s="36"/>
      <c r="T610" s="36"/>
      <c r="U610" s="36"/>
      <c r="V610" s="49"/>
      <c r="X610" s="28"/>
      <c r="Y610" s="32"/>
      <c r="Z610" s="33"/>
      <c r="AA610" s="34"/>
      <c r="AB610" s="28"/>
      <c r="AC610" s="28"/>
      <c r="AD610" s="29"/>
      <c r="AF610" s="30"/>
      <c r="AG610" s="30"/>
    </row>
    <row r="611" spans="18:33" x14ac:dyDescent="0.3">
      <c r="R611" s="36"/>
      <c r="S611" s="36"/>
      <c r="T611" s="36"/>
      <c r="U611" s="36"/>
      <c r="V611" s="49"/>
      <c r="X611" s="28"/>
      <c r="Y611" s="32"/>
      <c r="Z611" s="33"/>
      <c r="AA611" s="34"/>
      <c r="AB611" s="28"/>
      <c r="AC611" s="28"/>
      <c r="AD611" s="29"/>
      <c r="AF611" s="30"/>
      <c r="AG611" s="30"/>
    </row>
    <row r="612" spans="18:33" x14ac:dyDescent="0.3">
      <c r="R612" s="36"/>
      <c r="S612" s="36"/>
      <c r="T612" s="36"/>
      <c r="U612" s="36"/>
      <c r="V612" s="49"/>
      <c r="X612" s="28"/>
      <c r="Y612" s="32"/>
      <c r="Z612" s="33"/>
      <c r="AA612" s="34"/>
      <c r="AB612" s="28"/>
      <c r="AC612" s="28"/>
      <c r="AD612" s="29"/>
      <c r="AF612" s="30"/>
      <c r="AG612" s="30"/>
    </row>
    <row r="613" spans="18:33" x14ac:dyDescent="0.3">
      <c r="R613" s="36"/>
      <c r="S613" s="36"/>
      <c r="T613" s="36"/>
      <c r="U613" s="36"/>
      <c r="V613" s="49"/>
      <c r="X613" s="28"/>
      <c r="Y613" s="32"/>
      <c r="Z613" s="33"/>
      <c r="AA613" s="34"/>
      <c r="AB613" s="28"/>
      <c r="AC613" s="28"/>
      <c r="AD613" s="29"/>
      <c r="AF613" s="30"/>
      <c r="AG613" s="30"/>
    </row>
    <row r="614" spans="18:33" x14ac:dyDescent="0.3">
      <c r="R614" s="36"/>
      <c r="S614" s="36"/>
      <c r="T614" s="36"/>
      <c r="U614" s="36"/>
      <c r="V614" s="49"/>
      <c r="X614" s="28"/>
      <c r="Y614" s="32"/>
      <c r="Z614" s="33"/>
      <c r="AA614" s="34"/>
      <c r="AB614" s="28"/>
      <c r="AC614" s="28"/>
      <c r="AD614" s="29"/>
      <c r="AF614" s="30"/>
      <c r="AG614" s="30"/>
    </row>
    <row r="615" spans="18:33" x14ac:dyDescent="0.3">
      <c r="R615" s="36"/>
      <c r="S615" s="36"/>
      <c r="T615" s="36"/>
      <c r="U615" s="36"/>
      <c r="V615" s="49"/>
      <c r="X615" s="28"/>
      <c r="Y615" s="32"/>
      <c r="Z615" s="33"/>
      <c r="AA615" s="34"/>
      <c r="AB615" s="28"/>
      <c r="AC615" s="28"/>
      <c r="AD615" s="29"/>
      <c r="AF615" s="30"/>
      <c r="AG615" s="30"/>
    </row>
    <row r="616" spans="18:33" x14ac:dyDescent="0.3">
      <c r="R616" s="36"/>
      <c r="S616" s="36"/>
      <c r="T616" s="36"/>
      <c r="U616" s="36"/>
      <c r="V616" s="49"/>
      <c r="X616" s="28"/>
      <c r="Y616" s="32"/>
      <c r="Z616" s="33"/>
      <c r="AA616" s="34"/>
      <c r="AB616" s="28"/>
      <c r="AC616" s="28"/>
      <c r="AD616" s="29"/>
      <c r="AF616" s="30"/>
      <c r="AG616" s="30"/>
    </row>
    <row r="617" spans="18:33" x14ac:dyDescent="0.3">
      <c r="R617" s="36"/>
      <c r="S617" s="36"/>
      <c r="T617" s="36"/>
      <c r="U617" s="36"/>
      <c r="V617" s="49"/>
      <c r="X617" s="28"/>
      <c r="Y617" s="32"/>
      <c r="Z617" s="33"/>
      <c r="AA617" s="34"/>
      <c r="AB617" s="28"/>
      <c r="AC617" s="28"/>
      <c r="AD617" s="29"/>
      <c r="AF617" s="30"/>
      <c r="AG617" s="30"/>
    </row>
    <row r="618" spans="18:33" x14ac:dyDescent="0.3">
      <c r="R618" s="36"/>
      <c r="S618" s="36"/>
      <c r="T618" s="36"/>
      <c r="U618" s="36"/>
      <c r="V618" s="49"/>
      <c r="X618" s="28"/>
      <c r="Y618" s="32"/>
      <c r="Z618" s="33"/>
      <c r="AA618" s="34"/>
      <c r="AB618" s="28"/>
      <c r="AC618" s="28"/>
      <c r="AD618" s="29"/>
      <c r="AF618" s="30"/>
      <c r="AG618" s="30"/>
    </row>
    <row r="619" spans="18:33" x14ac:dyDescent="0.3">
      <c r="R619" s="36"/>
      <c r="S619" s="36"/>
      <c r="T619" s="36"/>
      <c r="U619" s="36"/>
      <c r="V619" s="49"/>
      <c r="X619" s="28"/>
      <c r="Y619" s="32"/>
      <c r="Z619" s="33"/>
      <c r="AA619" s="34"/>
      <c r="AB619" s="28"/>
      <c r="AC619" s="28"/>
      <c r="AD619" s="29"/>
      <c r="AF619" s="30"/>
      <c r="AG619" s="30"/>
    </row>
    <row r="620" spans="18:33" x14ac:dyDescent="0.3">
      <c r="R620" s="36"/>
      <c r="S620" s="36"/>
      <c r="T620" s="36"/>
      <c r="U620" s="36"/>
      <c r="V620" s="49"/>
      <c r="X620" s="28"/>
      <c r="Y620" s="32"/>
      <c r="Z620" s="33"/>
      <c r="AA620" s="34"/>
      <c r="AB620" s="28"/>
      <c r="AC620" s="28"/>
      <c r="AD620" s="29"/>
      <c r="AF620" s="30"/>
      <c r="AG620" s="30"/>
    </row>
    <row r="621" spans="18:33" x14ac:dyDescent="0.3">
      <c r="R621" s="36"/>
      <c r="S621" s="36"/>
      <c r="T621" s="36"/>
      <c r="U621" s="36"/>
      <c r="V621" s="49"/>
      <c r="X621" s="28"/>
      <c r="Y621" s="32"/>
      <c r="Z621" s="33"/>
      <c r="AA621" s="34"/>
      <c r="AB621" s="28"/>
      <c r="AC621" s="28"/>
      <c r="AD621" s="29"/>
      <c r="AF621" s="30"/>
      <c r="AG621" s="30"/>
    </row>
    <row r="622" spans="18:33" x14ac:dyDescent="0.3">
      <c r="R622" s="36"/>
      <c r="S622" s="36"/>
      <c r="T622" s="36"/>
      <c r="U622" s="36"/>
      <c r="V622" s="49"/>
      <c r="X622" s="28"/>
      <c r="Y622" s="32"/>
      <c r="Z622" s="33"/>
      <c r="AA622" s="34"/>
      <c r="AB622" s="28"/>
      <c r="AC622" s="28"/>
      <c r="AD622" s="29"/>
      <c r="AF622" s="30"/>
      <c r="AG622" s="30"/>
    </row>
    <row r="623" spans="18:33" x14ac:dyDescent="0.3">
      <c r="R623" s="36"/>
      <c r="S623" s="36"/>
      <c r="T623" s="36"/>
      <c r="U623" s="36"/>
      <c r="V623" s="49"/>
      <c r="X623" s="28"/>
      <c r="Y623" s="32"/>
      <c r="Z623" s="33"/>
      <c r="AA623" s="34"/>
      <c r="AB623" s="28"/>
      <c r="AC623" s="28"/>
      <c r="AD623" s="29"/>
      <c r="AF623" s="30"/>
      <c r="AG623" s="30"/>
    </row>
    <row r="624" spans="18:33" x14ac:dyDescent="0.3">
      <c r="R624" s="36"/>
      <c r="S624" s="36"/>
      <c r="T624" s="36"/>
      <c r="U624" s="36"/>
      <c r="V624" s="49"/>
      <c r="X624" s="28"/>
      <c r="Y624" s="32"/>
      <c r="Z624" s="33"/>
      <c r="AA624" s="34"/>
      <c r="AB624" s="28"/>
      <c r="AC624" s="28"/>
      <c r="AD624" s="29"/>
      <c r="AF624" s="30"/>
      <c r="AG624" s="30"/>
    </row>
    <row r="625" spans="18:33" x14ac:dyDescent="0.3">
      <c r="R625" s="36"/>
      <c r="S625" s="36"/>
      <c r="T625" s="36"/>
      <c r="U625" s="36"/>
      <c r="V625" s="49"/>
      <c r="X625" s="28"/>
      <c r="Y625" s="32"/>
      <c r="Z625" s="33"/>
      <c r="AA625" s="34"/>
      <c r="AB625" s="28"/>
      <c r="AC625" s="28"/>
      <c r="AD625" s="29"/>
      <c r="AF625" s="30"/>
      <c r="AG625" s="30"/>
    </row>
    <row r="626" spans="18:33" x14ac:dyDescent="0.3">
      <c r="R626" s="36"/>
      <c r="S626" s="36"/>
      <c r="T626" s="36"/>
      <c r="U626" s="36"/>
      <c r="V626" s="49"/>
      <c r="X626" s="28"/>
      <c r="Y626" s="32"/>
      <c r="Z626" s="33"/>
      <c r="AA626" s="34"/>
      <c r="AB626" s="28"/>
      <c r="AC626" s="28"/>
      <c r="AD626" s="29"/>
      <c r="AF626" s="30"/>
      <c r="AG626" s="30"/>
    </row>
    <row r="627" spans="18:33" x14ac:dyDescent="0.3">
      <c r="R627" s="36"/>
      <c r="S627" s="36"/>
      <c r="T627" s="36"/>
      <c r="U627" s="36"/>
      <c r="V627" s="49"/>
      <c r="X627" s="28"/>
      <c r="Y627" s="32"/>
      <c r="Z627" s="33"/>
      <c r="AA627" s="34"/>
      <c r="AB627" s="28"/>
      <c r="AC627" s="28"/>
      <c r="AD627" s="29"/>
      <c r="AF627" s="30"/>
      <c r="AG627" s="30"/>
    </row>
    <row r="628" spans="18:33" x14ac:dyDescent="0.3">
      <c r="R628" s="36"/>
      <c r="S628" s="36"/>
      <c r="T628" s="36"/>
      <c r="U628" s="36"/>
      <c r="V628" s="49"/>
      <c r="X628" s="28"/>
      <c r="Y628" s="32"/>
      <c r="Z628" s="33"/>
      <c r="AA628" s="34"/>
      <c r="AB628" s="28"/>
      <c r="AC628" s="28"/>
      <c r="AD628" s="29"/>
      <c r="AF628" s="30"/>
      <c r="AG628" s="30"/>
    </row>
    <row r="629" spans="18:33" x14ac:dyDescent="0.3">
      <c r="R629" s="36"/>
      <c r="S629" s="36"/>
      <c r="T629" s="36"/>
      <c r="U629" s="36"/>
      <c r="V629" s="49"/>
      <c r="X629" s="28"/>
      <c r="Y629" s="32"/>
      <c r="Z629" s="33"/>
      <c r="AA629" s="34"/>
      <c r="AB629" s="28"/>
      <c r="AC629" s="28"/>
      <c r="AD629" s="29"/>
      <c r="AF629" s="30"/>
      <c r="AG629" s="30"/>
    </row>
    <row r="630" spans="18:33" x14ac:dyDescent="0.3">
      <c r="R630" s="36"/>
      <c r="S630" s="36"/>
      <c r="T630" s="36"/>
      <c r="U630" s="36"/>
      <c r="V630" s="49"/>
      <c r="X630" s="28"/>
      <c r="Y630" s="32"/>
      <c r="Z630" s="33"/>
      <c r="AA630" s="34"/>
      <c r="AB630" s="28"/>
      <c r="AC630" s="28"/>
      <c r="AD630" s="29"/>
      <c r="AF630" s="30"/>
      <c r="AG630" s="30"/>
    </row>
    <row r="631" spans="18:33" x14ac:dyDescent="0.3">
      <c r="R631" s="36"/>
      <c r="S631" s="36"/>
      <c r="T631" s="36"/>
      <c r="U631" s="36"/>
      <c r="V631" s="49"/>
      <c r="X631" s="28"/>
      <c r="Y631" s="32"/>
      <c r="Z631" s="33"/>
      <c r="AA631" s="34"/>
      <c r="AB631" s="28"/>
      <c r="AC631" s="28"/>
      <c r="AD631" s="29"/>
      <c r="AF631" s="30"/>
      <c r="AG631" s="30"/>
    </row>
    <row r="632" spans="18:33" x14ac:dyDescent="0.3">
      <c r="R632" s="36"/>
      <c r="S632" s="36"/>
      <c r="T632" s="36"/>
      <c r="U632" s="36"/>
      <c r="V632" s="49"/>
      <c r="X632" s="28"/>
      <c r="Y632" s="32"/>
      <c r="Z632" s="33"/>
      <c r="AA632" s="34"/>
      <c r="AB632" s="28"/>
      <c r="AC632" s="28"/>
      <c r="AD632" s="29"/>
      <c r="AF632" s="30"/>
      <c r="AG632" s="30"/>
    </row>
    <row r="633" spans="18:33" x14ac:dyDescent="0.3">
      <c r="R633" s="36"/>
      <c r="S633" s="36"/>
      <c r="T633" s="36"/>
      <c r="U633" s="36"/>
      <c r="V633" s="49"/>
      <c r="X633" s="28"/>
      <c r="Y633" s="32"/>
      <c r="Z633" s="33"/>
      <c r="AA633" s="34"/>
      <c r="AB633" s="28"/>
      <c r="AC633" s="28"/>
      <c r="AD633" s="29"/>
      <c r="AF633" s="30"/>
      <c r="AG633" s="30"/>
    </row>
    <row r="634" spans="18:33" x14ac:dyDescent="0.3">
      <c r="R634" s="36"/>
      <c r="S634" s="36"/>
      <c r="T634" s="36"/>
      <c r="U634" s="36"/>
      <c r="V634" s="49"/>
      <c r="X634" s="28"/>
      <c r="Y634" s="32"/>
      <c r="Z634" s="33"/>
      <c r="AA634" s="34"/>
      <c r="AB634" s="28"/>
      <c r="AC634" s="28"/>
      <c r="AD634" s="29"/>
      <c r="AF634" s="30"/>
      <c r="AG634" s="30"/>
    </row>
    <row r="635" spans="18:33" x14ac:dyDescent="0.3">
      <c r="R635" s="36"/>
      <c r="S635" s="36"/>
      <c r="T635" s="36"/>
      <c r="U635" s="36"/>
      <c r="V635" s="49"/>
      <c r="X635" s="28"/>
      <c r="Y635" s="32"/>
      <c r="Z635" s="33"/>
      <c r="AA635" s="34"/>
      <c r="AB635" s="28"/>
      <c r="AC635" s="28"/>
      <c r="AD635" s="29"/>
      <c r="AF635" s="30"/>
      <c r="AG635" s="30"/>
    </row>
    <row r="636" spans="18:33" x14ac:dyDescent="0.3">
      <c r="R636" s="36"/>
      <c r="S636" s="36"/>
      <c r="T636" s="36"/>
      <c r="U636" s="36"/>
      <c r="V636" s="49"/>
      <c r="X636" s="28"/>
      <c r="Y636" s="32"/>
      <c r="Z636" s="33"/>
      <c r="AA636" s="34"/>
      <c r="AB636" s="28"/>
      <c r="AC636" s="28"/>
      <c r="AD636" s="29"/>
      <c r="AF636" s="30"/>
      <c r="AG636" s="30"/>
    </row>
    <row r="637" spans="18:33" x14ac:dyDescent="0.3">
      <c r="R637" s="36"/>
      <c r="S637" s="36"/>
      <c r="T637" s="36"/>
      <c r="U637" s="36"/>
      <c r="V637" s="49"/>
      <c r="X637" s="28"/>
      <c r="Y637" s="32"/>
      <c r="Z637" s="33"/>
      <c r="AA637" s="34"/>
      <c r="AB637" s="28"/>
      <c r="AC637" s="28"/>
      <c r="AD637" s="29"/>
      <c r="AF637" s="30"/>
      <c r="AG637" s="30"/>
    </row>
    <row r="638" spans="18:33" x14ac:dyDescent="0.3">
      <c r="R638" s="36"/>
      <c r="S638" s="36"/>
      <c r="T638" s="36"/>
      <c r="U638" s="36"/>
      <c r="V638" s="49"/>
      <c r="X638" s="28"/>
      <c r="Y638" s="32"/>
      <c r="Z638" s="33"/>
      <c r="AA638" s="34"/>
      <c r="AB638" s="28"/>
      <c r="AC638" s="28"/>
      <c r="AD638" s="29"/>
      <c r="AF638" s="30"/>
      <c r="AG638" s="30"/>
    </row>
    <row r="639" spans="18:33" x14ac:dyDescent="0.3">
      <c r="R639" s="36"/>
      <c r="S639" s="36"/>
      <c r="T639" s="36"/>
      <c r="U639" s="36"/>
      <c r="V639" s="49"/>
      <c r="X639" s="28"/>
      <c r="Y639" s="32"/>
      <c r="Z639" s="33"/>
      <c r="AA639" s="34"/>
      <c r="AB639" s="28"/>
      <c r="AC639" s="28"/>
      <c r="AD639" s="29"/>
      <c r="AF639" s="30"/>
      <c r="AG639" s="30"/>
    </row>
    <row r="640" spans="18:33" x14ac:dyDescent="0.3">
      <c r="R640" s="36"/>
      <c r="S640" s="36"/>
      <c r="T640" s="36"/>
      <c r="U640" s="36"/>
      <c r="V640" s="49"/>
      <c r="X640" s="28"/>
      <c r="Y640" s="32"/>
      <c r="Z640" s="33"/>
      <c r="AA640" s="34"/>
      <c r="AB640" s="28"/>
      <c r="AC640" s="28"/>
      <c r="AD640" s="29"/>
      <c r="AF640" s="30"/>
      <c r="AG640" s="30"/>
    </row>
    <row r="641" spans="18:33" x14ac:dyDescent="0.3">
      <c r="R641" s="36"/>
      <c r="S641" s="36"/>
      <c r="T641" s="36"/>
      <c r="U641" s="36"/>
      <c r="V641" s="49"/>
      <c r="X641" s="28"/>
      <c r="Y641" s="32"/>
      <c r="Z641" s="33"/>
      <c r="AA641" s="34"/>
      <c r="AB641" s="28"/>
      <c r="AC641" s="28"/>
      <c r="AD641" s="29"/>
      <c r="AF641" s="30"/>
      <c r="AG641" s="30"/>
    </row>
    <row r="642" spans="18:33" x14ac:dyDescent="0.3">
      <c r="R642" s="36"/>
      <c r="S642" s="36"/>
      <c r="T642" s="36"/>
      <c r="U642" s="36"/>
      <c r="V642" s="49"/>
      <c r="X642" s="28"/>
      <c r="Y642" s="32"/>
      <c r="Z642" s="33"/>
      <c r="AA642" s="34"/>
      <c r="AB642" s="28"/>
      <c r="AC642" s="28"/>
      <c r="AD642" s="29"/>
      <c r="AF642" s="30"/>
      <c r="AG642" s="30"/>
    </row>
    <row r="643" spans="18:33" x14ac:dyDescent="0.3">
      <c r="R643" s="36"/>
      <c r="S643" s="36"/>
      <c r="T643" s="36"/>
      <c r="U643" s="36"/>
      <c r="V643" s="49"/>
      <c r="X643" s="28"/>
      <c r="Y643" s="32"/>
      <c r="Z643" s="33"/>
      <c r="AA643" s="34"/>
      <c r="AB643" s="28"/>
      <c r="AC643" s="28"/>
      <c r="AD643" s="29"/>
      <c r="AF643" s="30"/>
      <c r="AG643" s="30"/>
    </row>
    <row r="644" spans="18:33" x14ac:dyDescent="0.3">
      <c r="R644" s="36"/>
      <c r="S644" s="36"/>
      <c r="T644" s="36"/>
      <c r="U644" s="36"/>
      <c r="V644" s="49"/>
      <c r="X644" s="28"/>
      <c r="Y644" s="32"/>
      <c r="Z644" s="33"/>
      <c r="AA644" s="34"/>
      <c r="AB644" s="28"/>
      <c r="AC644" s="28"/>
      <c r="AD644" s="29"/>
      <c r="AF644" s="30"/>
      <c r="AG644" s="30"/>
    </row>
    <row r="645" spans="18:33" x14ac:dyDescent="0.3">
      <c r="R645" s="36"/>
      <c r="S645" s="36"/>
      <c r="T645" s="36"/>
      <c r="U645" s="36"/>
      <c r="V645" s="49"/>
      <c r="X645" s="28"/>
      <c r="Y645" s="32"/>
      <c r="Z645" s="33"/>
      <c r="AA645" s="34"/>
      <c r="AB645" s="28"/>
      <c r="AC645" s="28"/>
      <c r="AD645" s="29"/>
      <c r="AF645" s="30"/>
      <c r="AG645" s="30"/>
    </row>
    <row r="646" spans="18:33" x14ac:dyDescent="0.3">
      <c r="R646" s="36"/>
      <c r="S646" s="36"/>
      <c r="T646" s="36"/>
      <c r="U646" s="36"/>
      <c r="V646" s="49"/>
      <c r="X646" s="28"/>
      <c r="Y646" s="32"/>
      <c r="Z646" s="33"/>
      <c r="AA646" s="34"/>
      <c r="AB646" s="28"/>
      <c r="AC646" s="28"/>
      <c r="AD646" s="29"/>
      <c r="AF646" s="30"/>
      <c r="AG646" s="30"/>
    </row>
    <row r="647" spans="18:33" x14ac:dyDescent="0.3">
      <c r="R647" s="36"/>
      <c r="S647" s="36"/>
      <c r="T647" s="36"/>
      <c r="U647" s="36"/>
      <c r="V647" s="49"/>
      <c r="X647" s="28"/>
      <c r="Y647" s="32"/>
      <c r="Z647" s="33"/>
      <c r="AA647" s="34"/>
      <c r="AB647" s="28"/>
      <c r="AC647" s="28"/>
      <c r="AD647" s="29"/>
      <c r="AF647" s="30"/>
      <c r="AG647" s="30"/>
    </row>
    <row r="648" spans="18:33" x14ac:dyDescent="0.3">
      <c r="R648" s="36"/>
      <c r="S648" s="36"/>
      <c r="T648" s="36"/>
      <c r="U648" s="36"/>
      <c r="V648" s="49"/>
      <c r="X648" s="28"/>
      <c r="Y648" s="32"/>
      <c r="Z648" s="33"/>
      <c r="AA648" s="34"/>
      <c r="AB648" s="28"/>
      <c r="AC648" s="28"/>
      <c r="AD648" s="29"/>
      <c r="AF648" s="30"/>
      <c r="AG648" s="30"/>
    </row>
    <row r="649" spans="18:33" x14ac:dyDescent="0.3">
      <c r="R649" s="36"/>
      <c r="S649" s="36"/>
      <c r="T649" s="36"/>
      <c r="U649" s="36"/>
      <c r="V649" s="49"/>
      <c r="X649" s="28"/>
      <c r="Y649" s="32"/>
      <c r="Z649" s="33"/>
      <c r="AA649" s="34"/>
      <c r="AB649" s="28"/>
      <c r="AC649" s="28"/>
      <c r="AD649" s="29"/>
      <c r="AF649" s="30"/>
      <c r="AG649" s="30"/>
    </row>
    <row r="650" spans="18:33" x14ac:dyDescent="0.3">
      <c r="R650" s="36"/>
      <c r="S650" s="36"/>
      <c r="T650" s="36"/>
      <c r="U650" s="36"/>
      <c r="V650" s="49"/>
      <c r="X650" s="28"/>
      <c r="Y650" s="32"/>
      <c r="Z650" s="33"/>
      <c r="AA650" s="34"/>
      <c r="AB650" s="28"/>
      <c r="AC650" s="28"/>
      <c r="AD650" s="29"/>
      <c r="AF650" s="30"/>
      <c r="AG650" s="30"/>
    </row>
    <row r="651" spans="18:33" x14ac:dyDescent="0.3">
      <c r="R651" s="36"/>
      <c r="S651" s="36"/>
      <c r="T651" s="36"/>
      <c r="U651" s="36"/>
      <c r="V651" s="49"/>
      <c r="X651" s="28"/>
      <c r="Y651" s="32"/>
      <c r="Z651" s="33"/>
      <c r="AA651" s="34"/>
      <c r="AB651" s="28"/>
      <c r="AC651" s="28"/>
      <c r="AD651" s="29"/>
      <c r="AF651" s="30"/>
      <c r="AG651" s="30"/>
    </row>
    <row r="652" spans="18:33" x14ac:dyDescent="0.3">
      <c r="R652" s="36"/>
      <c r="S652" s="36"/>
      <c r="T652" s="36"/>
      <c r="U652" s="36"/>
      <c r="V652" s="49"/>
      <c r="X652" s="28"/>
      <c r="Y652" s="32"/>
      <c r="Z652" s="33"/>
      <c r="AA652" s="34"/>
      <c r="AB652" s="28"/>
      <c r="AC652" s="28"/>
      <c r="AD652" s="29"/>
      <c r="AF652" s="30"/>
      <c r="AG652" s="30"/>
    </row>
    <row r="653" spans="18:33" x14ac:dyDescent="0.3">
      <c r="R653" s="36"/>
      <c r="S653" s="36"/>
      <c r="T653" s="36"/>
      <c r="U653" s="36"/>
      <c r="V653" s="49"/>
      <c r="X653" s="28"/>
      <c r="Y653" s="32"/>
      <c r="Z653" s="33"/>
      <c r="AA653" s="34"/>
      <c r="AB653" s="28"/>
      <c r="AC653" s="28"/>
      <c r="AD653" s="29"/>
      <c r="AF653" s="30"/>
      <c r="AG653" s="30"/>
    </row>
    <row r="654" spans="18:33" x14ac:dyDescent="0.3">
      <c r="R654" s="36"/>
      <c r="S654" s="36"/>
      <c r="T654" s="36"/>
      <c r="U654" s="36"/>
      <c r="V654" s="49"/>
      <c r="X654" s="28"/>
      <c r="Y654" s="32"/>
      <c r="Z654" s="33"/>
      <c r="AA654" s="34"/>
      <c r="AB654" s="28"/>
      <c r="AC654" s="28"/>
      <c r="AD654" s="29"/>
      <c r="AF654" s="30"/>
      <c r="AG654" s="30"/>
    </row>
    <row r="655" spans="18:33" x14ac:dyDescent="0.3">
      <c r="R655" s="36"/>
      <c r="S655" s="36"/>
      <c r="T655" s="36"/>
      <c r="U655" s="36"/>
      <c r="V655" s="49"/>
      <c r="X655" s="28"/>
      <c r="Y655" s="32"/>
      <c r="Z655" s="33"/>
      <c r="AA655" s="34"/>
      <c r="AB655" s="28"/>
      <c r="AC655" s="28"/>
      <c r="AD655" s="29"/>
      <c r="AF655" s="30"/>
      <c r="AG655" s="30"/>
    </row>
    <row r="656" spans="18:33" x14ac:dyDescent="0.3">
      <c r="R656" s="36"/>
      <c r="S656" s="36"/>
      <c r="T656" s="36"/>
      <c r="U656" s="36"/>
      <c r="V656" s="49"/>
      <c r="X656" s="28"/>
      <c r="Y656" s="32"/>
      <c r="Z656" s="33"/>
      <c r="AA656" s="34"/>
      <c r="AB656" s="28"/>
      <c r="AC656" s="28"/>
      <c r="AD656" s="29"/>
      <c r="AF656" s="30"/>
      <c r="AG656" s="30"/>
    </row>
    <row r="657" spans="18:33" x14ac:dyDescent="0.3">
      <c r="R657" s="36"/>
      <c r="S657" s="36"/>
      <c r="T657" s="36"/>
      <c r="U657" s="36"/>
      <c r="V657" s="49"/>
      <c r="X657" s="28"/>
      <c r="Y657" s="32"/>
      <c r="Z657" s="33"/>
      <c r="AA657" s="34"/>
      <c r="AB657" s="28"/>
      <c r="AC657" s="28"/>
      <c r="AD657" s="29"/>
      <c r="AF657" s="30"/>
      <c r="AG657" s="30"/>
    </row>
    <row r="658" spans="18:33" x14ac:dyDescent="0.3">
      <c r="R658" s="36"/>
      <c r="S658" s="36"/>
      <c r="T658" s="36"/>
      <c r="U658" s="36"/>
      <c r="V658" s="49"/>
      <c r="X658" s="28"/>
      <c r="Y658" s="32"/>
      <c r="Z658" s="33"/>
      <c r="AA658" s="34"/>
      <c r="AB658" s="28"/>
      <c r="AC658" s="28"/>
      <c r="AD658" s="29"/>
      <c r="AF658" s="30"/>
      <c r="AG658" s="30"/>
    </row>
    <row r="659" spans="18:33" x14ac:dyDescent="0.3">
      <c r="R659" s="36"/>
      <c r="S659" s="36"/>
      <c r="T659" s="36"/>
      <c r="U659" s="36"/>
      <c r="V659" s="49"/>
      <c r="X659" s="28"/>
      <c r="Y659" s="32"/>
      <c r="Z659" s="33"/>
      <c r="AA659" s="34"/>
      <c r="AB659" s="28"/>
      <c r="AC659" s="28"/>
      <c r="AD659" s="29"/>
      <c r="AF659" s="30"/>
      <c r="AG659" s="30"/>
    </row>
    <row r="660" spans="18:33" x14ac:dyDescent="0.3">
      <c r="R660" s="36"/>
      <c r="S660" s="36"/>
      <c r="T660" s="36"/>
      <c r="U660" s="36"/>
      <c r="V660" s="49"/>
      <c r="X660" s="28"/>
      <c r="Y660" s="32"/>
      <c r="Z660" s="33"/>
      <c r="AA660" s="34"/>
      <c r="AB660" s="28"/>
      <c r="AC660" s="28"/>
      <c r="AD660" s="29"/>
      <c r="AF660" s="30"/>
      <c r="AG660" s="30"/>
    </row>
    <row r="661" spans="18:33" x14ac:dyDescent="0.3">
      <c r="R661" s="36"/>
      <c r="S661" s="36"/>
      <c r="T661" s="36"/>
      <c r="U661" s="36"/>
      <c r="V661" s="49"/>
      <c r="X661" s="28"/>
      <c r="Y661" s="32"/>
      <c r="Z661" s="33"/>
      <c r="AA661" s="34"/>
      <c r="AB661" s="28"/>
      <c r="AC661" s="28"/>
      <c r="AD661" s="29"/>
      <c r="AF661" s="30"/>
      <c r="AG661" s="30"/>
    </row>
    <row r="662" spans="18:33" x14ac:dyDescent="0.3">
      <c r="R662" s="36"/>
      <c r="S662" s="36"/>
      <c r="T662" s="36"/>
      <c r="U662" s="36"/>
      <c r="V662" s="49"/>
      <c r="X662" s="28"/>
      <c r="Y662" s="32"/>
      <c r="Z662" s="33"/>
      <c r="AA662" s="34"/>
      <c r="AB662" s="28"/>
      <c r="AC662" s="28"/>
      <c r="AD662" s="29"/>
      <c r="AF662" s="30"/>
      <c r="AG662" s="30"/>
    </row>
    <row r="663" spans="18:33" x14ac:dyDescent="0.3">
      <c r="R663" s="36"/>
      <c r="S663" s="36"/>
      <c r="T663" s="36"/>
      <c r="U663" s="36"/>
      <c r="V663" s="49"/>
      <c r="X663" s="28"/>
      <c r="Y663" s="32"/>
      <c r="Z663" s="33"/>
      <c r="AA663" s="34"/>
      <c r="AB663" s="28"/>
      <c r="AC663" s="28"/>
      <c r="AD663" s="29"/>
      <c r="AF663" s="30"/>
      <c r="AG663" s="30"/>
    </row>
    <row r="664" spans="18:33" x14ac:dyDescent="0.3">
      <c r="R664" s="36"/>
      <c r="S664" s="36"/>
      <c r="T664" s="36"/>
      <c r="U664" s="36"/>
      <c r="V664" s="49"/>
      <c r="X664" s="28"/>
      <c r="Y664" s="32"/>
      <c r="Z664" s="33"/>
      <c r="AA664" s="34"/>
      <c r="AB664" s="28"/>
      <c r="AC664" s="28"/>
      <c r="AD664" s="29"/>
      <c r="AF664" s="30"/>
      <c r="AG664" s="30"/>
    </row>
    <row r="665" spans="18:33" x14ac:dyDescent="0.3">
      <c r="R665" s="36"/>
      <c r="S665" s="36"/>
      <c r="T665" s="36"/>
      <c r="U665" s="36"/>
      <c r="V665" s="49"/>
      <c r="X665" s="28"/>
      <c r="Y665" s="32"/>
      <c r="Z665" s="33"/>
      <c r="AA665" s="34"/>
      <c r="AB665" s="28"/>
      <c r="AC665" s="28"/>
      <c r="AD665" s="29"/>
      <c r="AF665" s="30"/>
      <c r="AG665" s="30"/>
    </row>
    <row r="666" spans="18:33" x14ac:dyDescent="0.3">
      <c r="R666" s="36"/>
      <c r="S666" s="36"/>
      <c r="T666" s="36"/>
      <c r="U666" s="36"/>
      <c r="V666" s="49"/>
      <c r="X666" s="28"/>
      <c r="Y666" s="32"/>
      <c r="Z666" s="33"/>
      <c r="AA666" s="34"/>
      <c r="AB666" s="28"/>
      <c r="AC666" s="28"/>
      <c r="AD666" s="29"/>
      <c r="AF666" s="30"/>
      <c r="AG666" s="30"/>
    </row>
    <row r="667" spans="18:33" x14ac:dyDescent="0.3">
      <c r="R667" s="36"/>
      <c r="S667" s="36"/>
      <c r="T667" s="36"/>
      <c r="U667" s="36"/>
      <c r="V667" s="49"/>
      <c r="X667" s="28"/>
      <c r="Y667" s="32"/>
      <c r="Z667" s="33"/>
      <c r="AA667" s="34"/>
      <c r="AB667" s="28"/>
      <c r="AC667" s="28"/>
      <c r="AD667" s="29"/>
      <c r="AF667" s="30"/>
      <c r="AG667" s="30"/>
    </row>
    <row r="668" spans="18:33" x14ac:dyDescent="0.3">
      <c r="R668" s="36"/>
      <c r="S668" s="36"/>
      <c r="T668" s="36"/>
      <c r="U668" s="36"/>
      <c r="V668" s="49"/>
      <c r="X668" s="28"/>
      <c r="Y668" s="32"/>
      <c r="Z668" s="33"/>
      <c r="AA668" s="34"/>
      <c r="AB668" s="28"/>
      <c r="AC668" s="28"/>
      <c r="AD668" s="29"/>
      <c r="AF668" s="30"/>
      <c r="AG668" s="30"/>
    </row>
    <row r="669" spans="18:33" x14ac:dyDescent="0.3">
      <c r="R669" s="36"/>
      <c r="S669" s="36"/>
      <c r="T669" s="36"/>
      <c r="U669" s="36"/>
      <c r="V669" s="49"/>
      <c r="X669" s="28"/>
      <c r="Y669" s="32"/>
      <c r="Z669" s="33"/>
      <c r="AA669" s="34"/>
      <c r="AB669" s="28"/>
      <c r="AC669" s="28"/>
      <c r="AD669" s="29"/>
      <c r="AF669" s="30"/>
      <c r="AG669" s="30"/>
    </row>
    <row r="670" spans="18:33" x14ac:dyDescent="0.3">
      <c r="R670" s="36"/>
      <c r="S670" s="36"/>
      <c r="T670" s="36"/>
      <c r="U670" s="36"/>
      <c r="V670" s="49"/>
      <c r="X670" s="28"/>
      <c r="Y670" s="32"/>
      <c r="Z670" s="33"/>
      <c r="AA670" s="34"/>
      <c r="AB670" s="28"/>
      <c r="AC670" s="28"/>
      <c r="AD670" s="29"/>
      <c r="AF670" s="30"/>
      <c r="AG670" s="30"/>
    </row>
    <row r="671" spans="18:33" x14ac:dyDescent="0.3">
      <c r="R671" s="36"/>
      <c r="S671" s="36"/>
      <c r="T671" s="36"/>
      <c r="U671" s="36"/>
      <c r="V671" s="49"/>
      <c r="X671" s="28"/>
      <c r="Y671" s="32"/>
      <c r="Z671" s="33"/>
      <c r="AA671" s="34"/>
      <c r="AB671" s="28"/>
      <c r="AC671" s="28"/>
      <c r="AD671" s="29"/>
      <c r="AF671" s="30"/>
      <c r="AG671" s="30"/>
    </row>
    <row r="672" spans="18:33" x14ac:dyDescent="0.3">
      <c r="R672" s="36"/>
      <c r="S672" s="36"/>
      <c r="T672" s="36"/>
      <c r="U672" s="36"/>
      <c r="V672" s="49"/>
      <c r="X672" s="28"/>
      <c r="Y672" s="32"/>
      <c r="Z672" s="33"/>
      <c r="AA672" s="34"/>
      <c r="AB672" s="28"/>
      <c r="AC672" s="28"/>
      <c r="AD672" s="29"/>
      <c r="AF672" s="30"/>
      <c r="AG672" s="30"/>
    </row>
    <row r="673" spans="18:33" x14ac:dyDescent="0.3">
      <c r="R673" s="36"/>
      <c r="S673" s="36"/>
      <c r="T673" s="36"/>
      <c r="U673" s="36"/>
      <c r="V673" s="49"/>
      <c r="X673" s="28"/>
      <c r="Y673" s="32"/>
      <c r="Z673" s="33"/>
      <c r="AA673" s="34"/>
      <c r="AB673" s="28"/>
      <c r="AC673" s="28"/>
      <c r="AD673" s="29"/>
      <c r="AF673" s="30"/>
      <c r="AG673" s="30"/>
    </row>
    <row r="674" spans="18:33" x14ac:dyDescent="0.3">
      <c r="R674" s="36"/>
      <c r="S674" s="36"/>
      <c r="T674" s="36"/>
      <c r="U674" s="36"/>
      <c r="V674" s="49"/>
      <c r="X674" s="28"/>
      <c r="Y674" s="32"/>
      <c r="Z674" s="33"/>
      <c r="AA674" s="34"/>
      <c r="AB674" s="28"/>
      <c r="AC674" s="28"/>
      <c r="AD674" s="29"/>
      <c r="AF674" s="30"/>
      <c r="AG674" s="30"/>
    </row>
    <row r="675" spans="18:33" x14ac:dyDescent="0.3">
      <c r="R675" s="36"/>
      <c r="S675" s="36"/>
      <c r="T675" s="36"/>
      <c r="U675" s="36"/>
      <c r="V675" s="49"/>
      <c r="X675" s="28"/>
      <c r="Y675" s="32"/>
      <c r="Z675" s="33"/>
      <c r="AA675" s="34"/>
      <c r="AB675" s="28"/>
      <c r="AC675" s="28"/>
      <c r="AD675" s="29"/>
      <c r="AF675" s="30"/>
      <c r="AG675" s="30"/>
    </row>
    <row r="676" spans="18:33" x14ac:dyDescent="0.3">
      <c r="R676" s="36"/>
      <c r="S676" s="36"/>
      <c r="T676" s="36"/>
      <c r="U676" s="36"/>
      <c r="V676" s="49"/>
      <c r="X676" s="28"/>
      <c r="Y676" s="32"/>
      <c r="Z676" s="33"/>
      <c r="AA676" s="34"/>
      <c r="AB676" s="28"/>
      <c r="AC676" s="28"/>
      <c r="AD676" s="29"/>
      <c r="AF676" s="30"/>
      <c r="AG676" s="30"/>
    </row>
    <row r="677" spans="18:33" x14ac:dyDescent="0.3">
      <c r="R677" s="36"/>
      <c r="S677" s="36"/>
      <c r="T677" s="36"/>
      <c r="U677" s="36"/>
      <c r="V677" s="49"/>
      <c r="X677" s="28"/>
      <c r="Y677" s="32"/>
      <c r="Z677" s="33"/>
      <c r="AA677" s="34"/>
      <c r="AB677" s="28"/>
      <c r="AC677" s="28"/>
      <c r="AD677" s="29"/>
      <c r="AF677" s="30"/>
      <c r="AG677" s="30"/>
    </row>
    <row r="678" spans="18:33" x14ac:dyDescent="0.3">
      <c r="R678" s="36"/>
      <c r="S678" s="36"/>
      <c r="T678" s="36"/>
      <c r="U678" s="36"/>
      <c r="V678" s="49"/>
      <c r="X678" s="28"/>
      <c r="Y678" s="32"/>
      <c r="Z678" s="33"/>
      <c r="AA678" s="34"/>
      <c r="AB678" s="28"/>
      <c r="AC678" s="28"/>
      <c r="AD678" s="29"/>
      <c r="AF678" s="30"/>
      <c r="AG678" s="30"/>
    </row>
    <row r="679" spans="18:33" x14ac:dyDescent="0.3">
      <c r="R679" s="36"/>
      <c r="S679" s="36"/>
      <c r="T679" s="36"/>
      <c r="U679" s="36"/>
      <c r="V679" s="49"/>
      <c r="X679" s="28"/>
      <c r="Y679" s="32"/>
      <c r="Z679" s="33"/>
      <c r="AA679" s="34"/>
      <c r="AB679" s="28"/>
      <c r="AC679" s="28"/>
      <c r="AD679" s="29"/>
      <c r="AF679" s="30"/>
      <c r="AG679" s="30"/>
    </row>
    <row r="680" spans="18:33" x14ac:dyDescent="0.3">
      <c r="R680" s="36"/>
      <c r="S680" s="36"/>
      <c r="T680" s="36"/>
      <c r="U680" s="36"/>
      <c r="V680" s="49"/>
      <c r="X680" s="28"/>
      <c r="Y680" s="32"/>
      <c r="Z680" s="33"/>
      <c r="AA680" s="34"/>
      <c r="AB680" s="28"/>
      <c r="AC680" s="28"/>
      <c r="AD680" s="29"/>
      <c r="AF680" s="30"/>
      <c r="AG680" s="30"/>
    </row>
    <row r="681" spans="18:33" x14ac:dyDescent="0.3">
      <c r="R681" s="36"/>
      <c r="S681" s="36"/>
      <c r="T681" s="36"/>
      <c r="U681" s="36"/>
      <c r="V681" s="49"/>
      <c r="X681" s="28"/>
      <c r="Y681" s="32"/>
      <c r="Z681" s="33"/>
      <c r="AA681" s="34"/>
      <c r="AB681" s="28"/>
      <c r="AC681" s="28"/>
      <c r="AD681" s="29"/>
      <c r="AF681" s="30"/>
      <c r="AG681" s="30"/>
    </row>
    <row r="682" spans="18:33" x14ac:dyDescent="0.3">
      <c r="R682" s="36"/>
      <c r="S682" s="36"/>
      <c r="T682" s="36"/>
      <c r="U682" s="36"/>
      <c r="V682" s="49"/>
      <c r="X682" s="28"/>
      <c r="Y682" s="32"/>
      <c r="Z682" s="33"/>
      <c r="AA682" s="34"/>
      <c r="AB682" s="28"/>
      <c r="AC682" s="28"/>
      <c r="AD682" s="29"/>
      <c r="AF682" s="30"/>
      <c r="AG682" s="30"/>
    </row>
    <row r="683" spans="18:33" x14ac:dyDescent="0.3">
      <c r="R683" s="36"/>
      <c r="S683" s="36"/>
      <c r="T683" s="36"/>
      <c r="U683" s="36"/>
      <c r="V683" s="49"/>
      <c r="X683" s="28"/>
      <c r="Y683" s="32"/>
      <c r="Z683" s="33"/>
      <c r="AA683" s="34"/>
      <c r="AB683" s="28"/>
      <c r="AC683" s="28"/>
      <c r="AD683" s="29"/>
      <c r="AF683" s="30"/>
      <c r="AG683" s="30"/>
    </row>
    <row r="684" spans="18:33" x14ac:dyDescent="0.3">
      <c r="R684" s="36"/>
      <c r="S684" s="36"/>
      <c r="T684" s="36"/>
      <c r="U684" s="36"/>
      <c r="V684" s="49"/>
      <c r="X684" s="28"/>
      <c r="Y684" s="32"/>
      <c r="Z684" s="33"/>
      <c r="AA684" s="34"/>
      <c r="AB684" s="28"/>
      <c r="AC684" s="28"/>
      <c r="AD684" s="29"/>
      <c r="AF684" s="30"/>
      <c r="AG684" s="30"/>
    </row>
    <row r="685" spans="18:33" x14ac:dyDescent="0.3">
      <c r="R685" s="36"/>
      <c r="S685" s="36"/>
      <c r="T685" s="36"/>
      <c r="U685" s="36"/>
      <c r="V685" s="49"/>
      <c r="X685" s="28"/>
      <c r="Y685" s="32"/>
      <c r="Z685" s="33"/>
      <c r="AA685" s="34"/>
      <c r="AB685" s="28"/>
      <c r="AC685" s="28"/>
      <c r="AD685" s="29"/>
      <c r="AF685" s="30"/>
      <c r="AG685" s="30"/>
    </row>
    <row r="686" spans="18:33" x14ac:dyDescent="0.3">
      <c r="R686" s="36"/>
      <c r="S686" s="36"/>
      <c r="T686" s="36"/>
      <c r="U686" s="36"/>
      <c r="V686" s="49"/>
      <c r="X686" s="28"/>
      <c r="Y686" s="32"/>
      <c r="Z686" s="33"/>
      <c r="AA686" s="34"/>
      <c r="AB686" s="28"/>
      <c r="AC686" s="28"/>
      <c r="AD686" s="29"/>
      <c r="AF686" s="30"/>
      <c r="AG686" s="30"/>
    </row>
    <row r="687" spans="18:33" x14ac:dyDescent="0.3">
      <c r="R687" s="36"/>
      <c r="S687" s="36"/>
      <c r="T687" s="36"/>
      <c r="U687" s="36"/>
      <c r="V687" s="49"/>
      <c r="X687" s="28"/>
      <c r="Y687" s="32"/>
      <c r="Z687" s="33"/>
      <c r="AA687" s="34"/>
      <c r="AB687" s="28"/>
      <c r="AC687" s="28"/>
      <c r="AD687" s="29"/>
      <c r="AF687" s="30"/>
      <c r="AG687" s="30"/>
    </row>
    <row r="688" spans="18:33" x14ac:dyDescent="0.3">
      <c r="R688" s="36"/>
      <c r="S688" s="36"/>
      <c r="T688" s="36"/>
      <c r="U688" s="36"/>
      <c r="V688" s="49"/>
      <c r="X688" s="28"/>
      <c r="Y688" s="32"/>
      <c r="Z688" s="33"/>
      <c r="AA688" s="34"/>
      <c r="AB688" s="28"/>
      <c r="AC688" s="28"/>
      <c r="AD688" s="29"/>
      <c r="AF688" s="30"/>
      <c r="AG688" s="30"/>
    </row>
    <row r="689" spans="18:33" x14ac:dyDescent="0.3">
      <c r="R689" s="36"/>
      <c r="S689" s="36"/>
      <c r="T689" s="36"/>
      <c r="U689" s="36"/>
      <c r="V689" s="49"/>
      <c r="X689" s="28"/>
      <c r="Y689" s="32"/>
      <c r="Z689" s="33"/>
      <c r="AA689" s="34"/>
      <c r="AB689" s="28"/>
      <c r="AC689" s="28"/>
      <c r="AD689" s="29"/>
      <c r="AF689" s="30"/>
      <c r="AG689" s="30"/>
    </row>
    <row r="690" spans="18:33" x14ac:dyDescent="0.3">
      <c r="R690" s="36"/>
      <c r="S690" s="36"/>
      <c r="T690" s="36"/>
      <c r="U690" s="36"/>
      <c r="V690" s="49"/>
      <c r="X690" s="28"/>
      <c r="Y690" s="32"/>
      <c r="Z690" s="33"/>
      <c r="AA690" s="34"/>
      <c r="AB690" s="28"/>
      <c r="AC690" s="28"/>
      <c r="AD690" s="29"/>
      <c r="AF690" s="30"/>
      <c r="AG690" s="30"/>
    </row>
    <row r="691" spans="18:33" x14ac:dyDescent="0.3">
      <c r="R691" s="36"/>
      <c r="S691" s="36"/>
      <c r="T691" s="36"/>
      <c r="U691" s="36"/>
      <c r="V691" s="49"/>
      <c r="X691" s="28"/>
      <c r="Y691" s="32"/>
      <c r="Z691" s="33"/>
      <c r="AA691" s="34"/>
      <c r="AB691" s="28"/>
      <c r="AC691" s="28"/>
      <c r="AD691" s="29"/>
      <c r="AF691" s="30"/>
      <c r="AG691" s="30"/>
    </row>
    <row r="692" spans="18:33" x14ac:dyDescent="0.3">
      <c r="R692" s="36"/>
      <c r="S692" s="36"/>
      <c r="T692" s="36"/>
      <c r="U692" s="36"/>
      <c r="V692" s="49"/>
      <c r="X692" s="28"/>
      <c r="Y692" s="32"/>
      <c r="Z692" s="33"/>
      <c r="AA692" s="34"/>
      <c r="AB692" s="28"/>
      <c r="AC692" s="28"/>
      <c r="AD692" s="29"/>
      <c r="AF692" s="30"/>
      <c r="AG692" s="30"/>
    </row>
    <row r="693" spans="18:33" x14ac:dyDescent="0.3">
      <c r="R693" s="36"/>
      <c r="S693" s="36"/>
      <c r="T693" s="36"/>
      <c r="U693" s="36"/>
      <c r="V693" s="49"/>
      <c r="X693" s="28"/>
      <c r="Y693" s="32"/>
      <c r="Z693" s="33"/>
      <c r="AA693" s="34"/>
      <c r="AB693" s="28"/>
      <c r="AC693" s="28"/>
      <c r="AD693" s="29"/>
      <c r="AF693" s="30"/>
      <c r="AG693" s="30"/>
    </row>
    <row r="694" spans="18:33" x14ac:dyDescent="0.3">
      <c r="R694" s="36"/>
      <c r="S694" s="36"/>
      <c r="T694" s="36"/>
      <c r="U694" s="36"/>
      <c r="V694" s="49"/>
      <c r="X694" s="28"/>
      <c r="Y694" s="32"/>
      <c r="Z694" s="33"/>
      <c r="AA694" s="34"/>
      <c r="AB694" s="28"/>
      <c r="AC694" s="28"/>
      <c r="AD694" s="29"/>
      <c r="AF694" s="30"/>
      <c r="AG694" s="30"/>
    </row>
    <row r="695" spans="18:33" x14ac:dyDescent="0.3">
      <c r="R695" s="36"/>
      <c r="S695" s="36"/>
      <c r="T695" s="36"/>
      <c r="U695" s="36"/>
      <c r="V695" s="49"/>
      <c r="X695" s="28"/>
      <c r="Y695" s="32"/>
      <c r="Z695" s="33"/>
      <c r="AA695" s="34"/>
      <c r="AB695" s="28"/>
      <c r="AC695" s="28"/>
      <c r="AD695" s="29"/>
      <c r="AF695" s="30"/>
      <c r="AG695" s="30"/>
    </row>
    <row r="696" spans="18:33" x14ac:dyDescent="0.3">
      <c r="R696" s="36"/>
      <c r="S696" s="36"/>
      <c r="T696" s="36"/>
      <c r="U696" s="36"/>
      <c r="V696" s="49"/>
      <c r="X696" s="28"/>
      <c r="Y696" s="32"/>
      <c r="Z696" s="33"/>
      <c r="AA696" s="34"/>
      <c r="AB696" s="28"/>
      <c r="AC696" s="28"/>
      <c r="AD696" s="29"/>
      <c r="AF696" s="30"/>
      <c r="AG696" s="30"/>
    </row>
    <row r="697" spans="18:33" x14ac:dyDescent="0.3">
      <c r="R697" s="36"/>
      <c r="S697" s="36"/>
      <c r="T697" s="36"/>
      <c r="U697" s="36"/>
      <c r="V697" s="49"/>
      <c r="X697" s="28"/>
      <c r="Y697" s="32"/>
      <c r="Z697" s="33"/>
      <c r="AA697" s="34"/>
      <c r="AB697" s="28"/>
      <c r="AC697" s="28"/>
      <c r="AD697" s="29"/>
      <c r="AF697" s="30"/>
      <c r="AG697" s="30"/>
    </row>
    <row r="698" spans="18:33" x14ac:dyDescent="0.3">
      <c r="R698" s="36"/>
      <c r="S698" s="36"/>
      <c r="T698" s="36"/>
      <c r="U698" s="36"/>
      <c r="V698" s="49"/>
      <c r="X698" s="28"/>
      <c r="Y698" s="32"/>
      <c r="Z698" s="33"/>
      <c r="AA698" s="34"/>
      <c r="AB698" s="28"/>
      <c r="AC698" s="28"/>
      <c r="AD698" s="29"/>
      <c r="AF698" s="30"/>
      <c r="AG698" s="30"/>
    </row>
    <row r="699" spans="18:33" x14ac:dyDescent="0.3">
      <c r="R699" s="36"/>
      <c r="S699" s="36"/>
      <c r="T699" s="36"/>
      <c r="U699" s="36"/>
      <c r="V699" s="49"/>
      <c r="X699" s="28"/>
      <c r="Y699" s="32"/>
      <c r="Z699" s="33"/>
      <c r="AA699" s="34"/>
      <c r="AB699" s="28"/>
      <c r="AC699" s="28"/>
      <c r="AD699" s="29"/>
      <c r="AF699" s="30"/>
      <c r="AG699" s="30"/>
    </row>
    <row r="700" spans="18:33" x14ac:dyDescent="0.3">
      <c r="R700" s="36"/>
      <c r="S700" s="36"/>
      <c r="T700" s="36"/>
      <c r="U700" s="36"/>
      <c r="V700" s="49"/>
      <c r="X700" s="28"/>
      <c r="Y700" s="32"/>
      <c r="Z700" s="33"/>
      <c r="AA700" s="34"/>
      <c r="AB700" s="28"/>
      <c r="AC700" s="28"/>
      <c r="AD700" s="29"/>
      <c r="AF700" s="30"/>
      <c r="AG700" s="30"/>
    </row>
    <row r="701" spans="18:33" x14ac:dyDescent="0.3">
      <c r="R701" s="36"/>
      <c r="S701" s="36"/>
      <c r="T701" s="36"/>
      <c r="U701" s="36"/>
      <c r="V701" s="49"/>
      <c r="X701" s="28"/>
      <c r="Y701" s="32"/>
      <c r="Z701" s="33"/>
      <c r="AA701" s="34"/>
      <c r="AB701" s="28"/>
      <c r="AC701" s="28"/>
      <c r="AD701" s="29"/>
      <c r="AF701" s="30"/>
      <c r="AG701" s="30"/>
    </row>
    <row r="702" spans="18:33" x14ac:dyDescent="0.3">
      <c r="R702" s="36"/>
      <c r="S702" s="36"/>
      <c r="T702" s="36"/>
      <c r="U702" s="36"/>
      <c r="V702" s="49"/>
      <c r="X702" s="28"/>
      <c r="Y702" s="32"/>
      <c r="Z702" s="33"/>
      <c r="AA702" s="34"/>
      <c r="AB702" s="28"/>
      <c r="AC702" s="28"/>
      <c r="AD702" s="29"/>
      <c r="AF702" s="30"/>
      <c r="AG702" s="30"/>
    </row>
    <row r="703" spans="18:33" x14ac:dyDescent="0.3">
      <c r="R703" s="36"/>
      <c r="S703" s="36"/>
      <c r="T703" s="36"/>
      <c r="U703" s="36"/>
      <c r="V703" s="49"/>
      <c r="X703" s="28"/>
      <c r="Y703" s="32"/>
      <c r="Z703" s="33"/>
      <c r="AA703" s="34"/>
      <c r="AB703" s="28"/>
      <c r="AC703" s="28"/>
      <c r="AD703" s="29"/>
      <c r="AF703" s="30"/>
      <c r="AG703" s="30"/>
    </row>
    <row r="704" spans="18:33" x14ac:dyDescent="0.3">
      <c r="R704" s="36"/>
      <c r="S704" s="36"/>
      <c r="T704" s="36"/>
      <c r="U704" s="36"/>
      <c r="V704" s="49"/>
      <c r="X704" s="28"/>
      <c r="Y704" s="32"/>
      <c r="Z704" s="33"/>
      <c r="AA704" s="34"/>
      <c r="AB704" s="28"/>
      <c r="AC704" s="28"/>
      <c r="AD704" s="29"/>
      <c r="AF704" s="30"/>
      <c r="AG704" s="30"/>
    </row>
    <row r="705" spans="18:33" x14ac:dyDescent="0.3">
      <c r="R705" s="36"/>
      <c r="S705" s="36"/>
      <c r="T705" s="36"/>
      <c r="U705" s="36"/>
      <c r="V705" s="49"/>
      <c r="X705" s="28"/>
      <c r="Y705" s="32"/>
      <c r="Z705" s="33"/>
      <c r="AA705" s="34"/>
      <c r="AB705" s="28"/>
      <c r="AC705" s="28"/>
      <c r="AD705" s="29"/>
      <c r="AF705" s="30"/>
      <c r="AG705" s="30"/>
    </row>
    <row r="706" spans="18:33" x14ac:dyDescent="0.3">
      <c r="R706" s="36"/>
      <c r="S706" s="36"/>
      <c r="T706" s="36"/>
      <c r="U706" s="36"/>
      <c r="V706" s="49"/>
      <c r="X706" s="28"/>
      <c r="Y706" s="32"/>
      <c r="Z706" s="33"/>
      <c r="AA706" s="34"/>
      <c r="AB706" s="28"/>
      <c r="AC706" s="28"/>
      <c r="AD706" s="29"/>
      <c r="AF706" s="30"/>
      <c r="AG706" s="30"/>
    </row>
    <row r="707" spans="18:33" x14ac:dyDescent="0.3">
      <c r="R707" s="36"/>
      <c r="S707" s="36"/>
      <c r="T707" s="36"/>
      <c r="U707" s="36"/>
      <c r="V707" s="49"/>
      <c r="X707" s="28"/>
      <c r="Y707" s="32"/>
      <c r="Z707" s="33"/>
      <c r="AA707" s="34"/>
      <c r="AB707" s="28"/>
      <c r="AC707" s="28"/>
      <c r="AD707" s="29"/>
      <c r="AF707" s="30"/>
      <c r="AG707" s="30"/>
    </row>
    <row r="708" spans="18:33" x14ac:dyDescent="0.3">
      <c r="R708" s="36"/>
      <c r="S708" s="36"/>
      <c r="T708" s="36"/>
      <c r="U708" s="36"/>
      <c r="V708" s="49"/>
      <c r="X708" s="28"/>
      <c r="Y708" s="32"/>
      <c r="Z708" s="33"/>
      <c r="AA708" s="34"/>
      <c r="AB708" s="28"/>
      <c r="AC708" s="28"/>
      <c r="AD708" s="29"/>
      <c r="AF708" s="30"/>
      <c r="AG708" s="30"/>
    </row>
    <row r="709" spans="18:33" x14ac:dyDescent="0.3">
      <c r="R709" s="36"/>
      <c r="S709" s="36"/>
      <c r="T709" s="36"/>
      <c r="U709" s="36"/>
      <c r="V709" s="49"/>
      <c r="X709" s="28"/>
      <c r="Y709" s="32"/>
      <c r="Z709" s="33"/>
      <c r="AA709" s="34"/>
      <c r="AB709" s="28"/>
      <c r="AC709" s="28"/>
      <c r="AD709" s="29"/>
      <c r="AF709" s="30"/>
      <c r="AG709" s="30"/>
    </row>
    <row r="710" spans="18:33" x14ac:dyDescent="0.3">
      <c r="R710" s="36"/>
      <c r="S710" s="36"/>
      <c r="T710" s="36"/>
      <c r="U710" s="36"/>
      <c r="V710" s="49"/>
      <c r="X710" s="28"/>
      <c r="Y710" s="32"/>
      <c r="Z710" s="33"/>
      <c r="AA710" s="34"/>
      <c r="AB710" s="28"/>
      <c r="AC710" s="28"/>
      <c r="AD710" s="29"/>
      <c r="AF710" s="30"/>
      <c r="AG710" s="30"/>
    </row>
    <row r="711" spans="18:33" x14ac:dyDescent="0.3">
      <c r="R711" s="36"/>
      <c r="S711" s="36"/>
      <c r="T711" s="36"/>
      <c r="U711" s="36"/>
      <c r="V711" s="49"/>
      <c r="X711" s="28"/>
      <c r="Y711" s="32"/>
      <c r="Z711" s="33"/>
      <c r="AA711" s="34"/>
      <c r="AB711" s="28"/>
      <c r="AC711" s="28"/>
      <c r="AD711" s="29"/>
      <c r="AF711" s="30"/>
      <c r="AG711" s="30"/>
    </row>
    <row r="712" spans="18:33" x14ac:dyDescent="0.3">
      <c r="R712" s="36"/>
      <c r="S712" s="36"/>
      <c r="T712" s="36"/>
      <c r="U712" s="36"/>
      <c r="V712" s="49"/>
      <c r="X712" s="28"/>
      <c r="Y712" s="32"/>
      <c r="Z712" s="33"/>
      <c r="AA712" s="34"/>
      <c r="AB712" s="28"/>
      <c r="AC712" s="28"/>
      <c r="AD712" s="29"/>
      <c r="AF712" s="30"/>
      <c r="AG712" s="30"/>
    </row>
    <row r="713" spans="18:33" x14ac:dyDescent="0.3">
      <c r="R713" s="36"/>
      <c r="S713" s="36"/>
      <c r="T713" s="36"/>
      <c r="U713" s="36"/>
      <c r="V713" s="49"/>
      <c r="X713" s="28"/>
      <c r="Y713" s="32"/>
      <c r="Z713" s="33"/>
      <c r="AA713" s="34"/>
      <c r="AB713" s="28"/>
      <c r="AC713" s="28"/>
      <c r="AD713" s="29"/>
      <c r="AF713" s="30"/>
      <c r="AG713" s="30"/>
    </row>
    <row r="714" spans="18:33" x14ac:dyDescent="0.3">
      <c r="R714" s="36"/>
      <c r="S714" s="36"/>
      <c r="T714" s="36"/>
      <c r="U714" s="36"/>
      <c r="V714" s="49"/>
      <c r="X714" s="28"/>
      <c r="Y714" s="32"/>
      <c r="Z714" s="33"/>
      <c r="AA714" s="34"/>
      <c r="AB714" s="28"/>
      <c r="AC714" s="28"/>
      <c r="AD714" s="29"/>
      <c r="AF714" s="30"/>
      <c r="AG714" s="30"/>
    </row>
    <row r="715" spans="18:33" x14ac:dyDescent="0.3">
      <c r="R715" s="36"/>
      <c r="S715" s="36"/>
      <c r="T715" s="36"/>
      <c r="U715" s="36"/>
      <c r="V715" s="49"/>
      <c r="X715" s="28"/>
      <c r="Y715" s="32"/>
      <c r="Z715" s="33"/>
      <c r="AA715" s="34"/>
      <c r="AB715" s="28"/>
      <c r="AC715" s="28"/>
      <c r="AD715" s="29"/>
      <c r="AF715" s="30"/>
      <c r="AG715" s="30"/>
    </row>
    <row r="716" spans="18:33" x14ac:dyDescent="0.3">
      <c r="R716" s="36"/>
      <c r="S716" s="36"/>
      <c r="T716" s="36"/>
      <c r="U716" s="36"/>
      <c r="V716" s="49"/>
      <c r="X716" s="28"/>
      <c r="Y716" s="32"/>
      <c r="Z716" s="33"/>
      <c r="AA716" s="34"/>
      <c r="AB716" s="28"/>
      <c r="AC716" s="28"/>
      <c r="AD716" s="29"/>
      <c r="AF716" s="30"/>
      <c r="AG716" s="30"/>
    </row>
    <row r="717" spans="18:33" x14ac:dyDescent="0.3">
      <c r="R717" s="36"/>
      <c r="S717" s="36"/>
      <c r="T717" s="36"/>
      <c r="U717" s="36"/>
      <c r="V717" s="49"/>
      <c r="X717" s="28"/>
      <c r="Y717" s="32"/>
      <c r="Z717" s="33"/>
      <c r="AA717" s="34"/>
      <c r="AB717" s="28"/>
      <c r="AC717" s="28"/>
      <c r="AD717" s="29"/>
      <c r="AF717" s="30"/>
      <c r="AG717" s="30"/>
    </row>
    <row r="718" spans="18:33" x14ac:dyDescent="0.3">
      <c r="R718" s="36"/>
      <c r="S718" s="36"/>
      <c r="T718" s="36"/>
      <c r="U718" s="36"/>
      <c r="V718" s="49"/>
      <c r="X718" s="28"/>
      <c r="Y718" s="32"/>
      <c r="Z718" s="33"/>
      <c r="AA718" s="34"/>
      <c r="AB718" s="28"/>
      <c r="AC718" s="28"/>
      <c r="AD718" s="29"/>
      <c r="AF718" s="30"/>
      <c r="AG718" s="30"/>
    </row>
    <row r="719" spans="18:33" x14ac:dyDescent="0.3">
      <c r="R719" s="36"/>
      <c r="S719" s="36"/>
      <c r="T719" s="36"/>
      <c r="U719" s="36"/>
      <c r="V719" s="49"/>
      <c r="X719" s="28"/>
      <c r="Y719" s="32"/>
      <c r="Z719" s="33"/>
      <c r="AA719" s="34"/>
      <c r="AB719" s="28"/>
      <c r="AC719" s="28"/>
      <c r="AD719" s="29"/>
      <c r="AF719" s="30"/>
      <c r="AG719" s="30"/>
    </row>
    <row r="720" spans="18:33" x14ac:dyDescent="0.3">
      <c r="R720" s="36"/>
      <c r="S720" s="36"/>
      <c r="T720" s="36"/>
      <c r="U720" s="36"/>
      <c r="V720" s="49"/>
      <c r="X720" s="28"/>
      <c r="Y720" s="32"/>
      <c r="Z720" s="33"/>
      <c r="AA720" s="34"/>
      <c r="AB720" s="28"/>
      <c r="AC720" s="28"/>
      <c r="AD720" s="29"/>
      <c r="AF720" s="30"/>
      <c r="AG720" s="30"/>
    </row>
    <row r="721" spans="18:33" x14ac:dyDescent="0.3">
      <c r="R721" s="36"/>
      <c r="S721" s="36"/>
      <c r="T721" s="36"/>
      <c r="U721" s="36"/>
      <c r="V721" s="49"/>
      <c r="X721" s="28"/>
      <c r="Y721" s="32"/>
      <c r="Z721" s="33"/>
      <c r="AA721" s="34"/>
      <c r="AB721" s="28"/>
      <c r="AC721" s="28"/>
      <c r="AD721" s="29"/>
      <c r="AF721" s="30"/>
      <c r="AG721" s="30"/>
    </row>
    <row r="722" spans="18:33" x14ac:dyDescent="0.3">
      <c r="R722" s="36"/>
      <c r="S722" s="36"/>
      <c r="T722" s="36"/>
      <c r="U722" s="36"/>
      <c r="V722" s="49"/>
      <c r="X722" s="28"/>
      <c r="Y722" s="32"/>
      <c r="Z722" s="33"/>
      <c r="AA722" s="34"/>
      <c r="AB722" s="28"/>
      <c r="AC722" s="28"/>
      <c r="AD722" s="29"/>
      <c r="AF722" s="30"/>
      <c r="AG722" s="30"/>
    </row>
    <row r="723" spans="18:33" x14ac:dyDescent="0.3">
      <c r="R723" s="36"/>
      <c r="S723" s="36"/>
      <c r="T723" s="36"/>
      <c r="U723" s="36"/>
      <c r="V723" s="49"/>
      <c r="X723" s="28"/>
      <c r="Y723" s="32"/>
      <c r="Z723" s="33"/>
      <c r="AA723" s="34"/>
      <c r="AB723" s="28"/>
      <c r="AC723" s="28"/>
      <c r="AD723" s="29"/>
      <c r="AF723" s="30"/>
      <c r="AG723" s="30"/>
    </row>
    <row r="724" spans="18:33" x14ac:dyDescent="0.3">
      <c r="R724" s="36"/>
      <c r="S724" s="36"/>
      <c r="T724" s="36"/>
      <c r="U724" s="36"/>
      <c r="V724" s="49"/>
      <c r="X724" s="28"/>
      <c r="Y724" s="32"/>
      <c r="Z724" s="33"/>
      <c r="AA724" s="34"/>
      <c r="AB724" s="28"/>
      <c r="AC724" s="28"/>
      <c r="AD724" s="29"/>
      <c r="AF724" s="30"/>
      <c r="AG724" s="30"/>
    </row>
    <row r="725" spans="18:33" x14ac:dyDescent="0.3">
      <c r="R725" s="36"/>
      <c r="S725" s="36"/>
      <c r="T725" s="36"/>
      <c r="U725" s="36"/>
      <c r="V725" s="49"/>
      <c r="X725" s="28"/>
      <c r="Y725" s="32"/>
      <c r="Z725" s="33"/>
      <c r="AA725" s="34"/>
      <c r="AB725" s="28"/>
      <c r="AC725" s="28"/>
      <c r="AD725" s="29"/>
      <c r="AF725" s="30"/>
      <c r="AG725" s="30"/>
    </row>
    <row r="726" spans="18:33" x14ac:dyDescent="0.3">
      <c r="R726" s="36"/>
      <c r="S726" s="36"/>
      <c r="T726" s="36"/>
      <c r="U726" s="36"/>
      <c r="V726" s="49"/>
      <c r="X726" s="28"/>
      <c r="Y726" s="32"/>
      <c r="Z726" s="33"/>
      <c r="AA726" s="34"/>
      <c r="AB726" s="28"/>
      <c r="AC726" s="28"/>
      <c r="AD726" s="29"/>
      <c r="AF726" s="30"/>
      <c r="AG726" s="30"/>
    </row>
    <row r="727" spans="18:33" x14ac:dyDescent="0.3">
      <c r="R727" s="36"/>
      <c r="S727" s="36"/>
      <c r="T727" s="36"/>
      <c r="U727" s="36"/>
      <c r="V727" s="49"/>
      <c r="X727" s="28"/>
      <c r="Y727" s="32"/>
      <c r="Z727" s="33"/>
      <c r="AA727" s="34"/>
      <c r="AB727" s="28"/>
      <c r="AC727" s="28"/>
      <c r="AD727" s="29"/>
      <c r="AF727" s="30"/>
      <c r="AG727" s="30"/>
    </row>
    <row r="728" spans="18:33" x14ac:dyDescent="0.3">
      <c r="R728" s="36"/>
      <c r="S728" s="36"/>
      <c r="T728" s="36"/>
      <c r="U728" s="36"/>
      <c r="V728" s="49"/>
      <c r="X728" s="28"/>
      <c r="Y728" s="32"/>
      <c r="Z728" s="33"/>
      <c r="AA728" s="34"/>
      <c r="AB728" s="28"/>
      <c r="AC728" s="28"/>
      <c r="AD728" s="29"/>
      <c r="AF728" s="30"/>
      <c r="AG728" s="30"/>
    </row>
    <row r="729" spans="18:33" x14ac:dyDescent="0.3">
      <c r="R729" s="36"/>
      <c r="S729" s="36"/>
      <c r="T729" s="36"/>
      <c r="U729" s="36"/>
      <c r="V729" s="49"/>
      <c r="X729" s="28"/>
      <c r="Y729" s="32"/>
      <c r="Z729" s="33"/>
      <c r="AA729" s="34"/>
      <c r="AB729" s="28"/>
      <c r="AC729" s="28"/>
      <c r="AD729" s="29"/>
      <c r="AF729" s="30"/>
      <c r="AG729" s="30"/>
    </row>
    <row r="730" spans="18:33" x14ac:dyDescent="0.3">
      <c r="R730" s="36"/>
      <c r="S730" s="36"/>
      <c r="T730" s="36"/>
      <c r="U730" s="36"/>
      <c r="V730" s="49"/>
      <c r="X730" s="28"/>
      <c r="Y730" s="32"/>
      <c r="Z730" s="33"/>
      <c r="AA730" s="34"/>
      <c r="AB730" s="28"/>
      <c r="AC730" s="28"/>
      <c r="AD730" s="29"/>
      <c r="AF730" s="30"/>
      <c r="AG730" s="30"/>
    </row>
    <row r="731" spans="18:33" x14ac:dyDescent="0.3">
      <c r="R731" s="36"/>
      <c r="S731" s="36"/>
      <c r="T731" s="36"/>
      <c r="U731" s="36"/>
      <c r="V731" s="49"/>
      <c r="X731" s="28"/>
      <c r="Y731" s="32"/>
      <c r="Z731" s="33"/>
      <c r="AA731" s="34"/>
      <c r="AB731" s="28"/>
      <c r="AC731" s="28"/>
      <c r="AD731" s="29"/>
      <c r="AF731" s="30"/>
      <c r="AG731" s="30"/>
    </row>
    <row r="732" spans="18:33" x14ac:dyDescent="0.3">
      <c r="R732" s="36"/>
      <c r="S732" s="36"/>
      <c r="T732" s="36"/>
      <c r="U732" s="36"/>
      <c r="V732" s="49"/>
      <c r="X732" s="28"/>
      <c r="Y732" s="32"/>
      <c r="Z732" s="33"/>
      <c r="AA732" s="34"/>
      <c r="AB732" s="28"/>
      <c r="AC732" s="28"/>
      <c r="AD732" s="29"/>
      <c r="AF732" s="30"/>
      <c r="AG732" s="30"/>
    </row>
    <row r="733" spans="18:33" x14ac:dyDescent="0.3">
      <c r="R733" s="36"/>
      <c r="S733" s="36"/>
      <c r="T733" s="36"/>
      <c r="U733" s="36"/>
      <c r="V733" s="49"/>
      <c r="X733" s="28"/>
      <c r="Y733" s="32"/>
      <c r="Z733" s="33"/>
      <c r="AA733" s="34"/>
      <c r="AB733" s="28"/>
      <c r="AC733" s="28"/>
      <c r="AD733" s="29"/>
      <c r="AF733" s="30"/>
      <c r="AG733" s="30"/>
    </row>
    <row r="734" spans="18:33" x14ac:dyDescent="0.3">
      <c r="R734" s="36"/>
      <c r="S734" s="36"/>
      <c r="T734" s="36"/>
      <c r="U734" s="36"/>
      <c r="V734" s="49"/>
      <c r="X734" s="28"/>
      <c r="Y734" s="32"/>
      <c r="Z734" s="33"/>
      <c r="AA734" s="34"/>
      <c r="AB734" s="28"/>
      <c r="AC734" s="28"/>
      <c r="AD734" s="29"/>
      <c r="AF734" s="30"/>
      <c r="AG734" s="30"/>
    </row>
    <row r="735" spans="18:33" x14ac:dyDescent="0.3">
      <c r="R735" s="36"/>
      <c r="S735" s="36"/>
      <c r="T735" s="36"/>
      <c r="U735" s="36"/>
      <c r="V735" s="49"/>
      <c r="X735" s="28"/>
      <c r="Y735" s="32"/>
      <c r="Z735" s="33"/>
      <c r="AA735" s="34"/>
      <c r="AB735" s="28"/>
      <c r="AC735" s="28"/>
      <c r="AD735" s="29"/>
      <c r="AF735" s="30"/>
      <c r="AG735" s="30"/>
    </row>
    <row r="736" spans="18:33" x14ac:dyDescent="0.3">
      <c r="R736" s="36"/>
      <c r="S736" s="36"/>
      <c r="T736" s="36"/>
      <c r="U736" s="36"/>
      <c r="V736" s="49"/>
      <c r="X736" s="28"/>
      <c r="Y736" s="32"/>
      <c r="Z736" s="33"/>
      <c r="AA736" s="34"/>
      <c r="AB736" s="28"/>
      <c r="AC736" s="28"/>
      <c r="AD736" s="29"/>
      <c r="AF736" s="30"/>
      <c r="AG736" s="30"/>
    </row>
    <row r="737" spans="18:33" x14ac:dyDescent="0.3">
      <c r="R737" s="36"/>
      <c r="S737" s="36"/>
      <c r="T737" s="36"/>
      <c r="U737" s="36"/>
      <c r="V737" s="49"/>
      <c r="X737" s="28"/>
      <c r="Y737" s="32"/>
      <c r="Z737" s="33"/>
      <c r="AA737" s="34"/>
      <c r="AB737" s="28"/>
      <c r="AC737" s="28"/>
      <c r="AD737" s="29"/>
      <c r="AF737" s="30"/>
      <c r="AG737" s="30"/>
    </row>
    <row r="738" spans="18:33" x14ac:dyDescent="0.3">
      <c r="R738" s="36"/>
      <c r="S738" s="36"/>
      <c r="T738" s="36"/>
      <c r="U738" s="36"/>
      <c r="V738" s="49"/>
      <c r="X738" s="28"/>
      <c r="Y738" s="32"/>
      <c r="Z738" s="33"/>
      <c r="AA738" s="34"/>
      <c r="AB738" s="28"/>
      <c r="AC738" s="28"/>
      <c r="AD738" s="29"/>
      <c r="AF738" s="30"/>
      <c r="AG738" s="30"/>
    </row>
    <row r="739" spans="18:33" x14ac:dyDescent="0.3">
      <c r="R739" s="36"/>
      <c r="S739" s="36"/>
      <c r="T739" s="36"/>
      <c r="U739" s="36"/>
      <c r="V739" s="49"/>
      <c r="X739" s="28"/>
      <c r="Y739" s="32"/>
      <c r="Z739" s="33"/>
      <c r="AA739" s="34"/>
      <c r="AB739" s="28"/>
      <c r="AC739" s="28"/>
      <c r="AD739" s="29"/>
      <c r="AF739" s="30"/>
      <c r="AG739" s="30"/>
    </row>
    <row r="740" spans="18:33" x14ac:dyDescent="0.3">
      <c r="R740" s="36"/>
      <c r="S740" s="36"/>
      <c r="T740" s="36"/>
      <c r="U740" s="36"/>
      <c r="V740" s="49"/>
      <c r="X740" s="28"/>
      <c r="Y740" s="32"/>
      <c r="Z740" s="33"/>
      <c r="AA740" s="34"/>
      <c r="AB740" s="28"/>
      <c r="AC740" s="28"/>
      <c r="AD740" s="29"/>
      <c r="AF740" s="30"/>
      <c r="AG740" s="30"/>
    </row>
    <row r="741" spans="18:33" x14ac:dyDescent="0.3">
      <c r="R741" s="36"/>
      <c r="S741" s="36"/>
      <c r="T741" s="36"/>
      <c r="U741" s="36"/>
      <c r="V741" s="49"/>
      <c r="X741" s="28"/>
      <c r="Y741" s="32"/>
      <c r="Z741" s="33"/>
      <c r="AA741" s="34"/>
      <c r="AB741" s="28"/>
      <c r="AC741" s="28"/>
      <c r="AD741" s="29"/>
      <c r="AF741" s="30"/>
      <c r="AG741" s="30"/>
    </row>
    <row r="742" spans="18:33" x14ac:dyDescent="0.3">
      <c r="R742" s="36"/>
      <c r="S742" s="36"/>
      <c r="T742" s="36"/>
      <c r="U742" s="36"/>
      <c r="V742" s="49"/>
      <c r="X742" s="28"/>
      <c r="Y742" s="32"/>
      <c r="Z742" s="33"/>
      <c r="AA742" s="34"/>
      <c r="AB742" s="28"/>
      <c r="AC742" s="28"/>
      <c r="AD742" s="29"/>
      <c r="AF742" s="30"/>
      <c r="AG742" s="30"/>
    </row>
    <row r="743" spans="18:33" x14ac:dyDescent="0.3">
      <c r="R743" s="36"/>
      <c r="S743" s="36"/>
      <c r="T743" s="36"/>
      <c r="U743" s="36"/>
      <c r="V743" s="49"/>
      <c r="X743" s="28"/>
      <c r="Y743" s="32"/>
      <c r="Z743" s="33"/>
      <c r="AA743" s="34"/>
      <c r="AB743" s="28"/>
      <c r="AC743" s="28"/>
      <c r="AD743" s="29"/>
      <c r="AF743" s="30"/>
      <c r="AG743" s="30"/>
    </row>
    <row r="744" spans="18:33" x14ac:dyDescent="0.3">
      <c r="R744" s="36"/>
      <c r="S744" s="36"/>
      <c r="T744" s="36"/>
      <c r="U744" s="36"/>
      <c r="V744" s="49"/>
      <c r="X744" s="28"/>
      <c r="Y744" s="32"/>
      <c r="Z744" s="33"/>
      <c r="AA744" s="34"/>
      <c r="AB744" s="28"/>
      <c r="AC744" s="28"/>
      <c r="AD744" s="29"/>
      <c r="AF744" s="30"/>
      <c r="AG744" s="30"/>
    </row>
    <row r="745" spans="18:33" x14ac:dyDescent="0.3">
      <c r="R745" s="36"/>
      <c r="S745" s="36"/>
      <c r="T745" s="36"/>
      <c r="U745" s="36"/>
      <c r="V745" s="49"/>
      <c r="X745" s="28"/>
      <c r="Y745" s="32"/>
      <c r="Z745" s="33"/>
      <c r="AA745" s="34"/>
      <c r="AB745" s="28"/>
      <c r="AC745" s="28"/>
      <c r="AD745" s="29"/>
      <c r="AF745" s="30"/>
      <c r="AG745" s="30"/>
    </row>
    <row r="746" spans="18:33" x14ac:dyDescent="0.3">
      <c r="R746" s="36"/>
      <c r="S746" s="36"/>
      <c r="T746" s="36"/>
      <c r="U746" s="36"/>
      <c r="V746" s="49"/>
      <c r="X746" s="28"/>
      <c r="Y746" s="32"/>
      <c r="Z746" s="33"/>
      <c r="AA746" s="34"/>
      <c r="AB746" s="28"/>
      <c r="AC746" s="28"/>
      <c r="AD746" s="29"/>
      <c r="AF746" s="30"/>
      <c r="AG746" s="30"/>
    </row>
    <row r="747" spans="18:33" x14ac:dyDescent="0.3">
      <c r="R747" s="36"/>
      <c r="S747" s="36"/>
      <c r="T747" s="36"/>
      <c r="U747" s="36"/>
      <c r="V747" s="49"/>
      <c r="X747" s="28"/>
      <c r="Y747" s="32"/>
      <c r="Z747" s="33"/>
      <c r="AA747" s="34"/>
      <c r="AB747" s="28"/>
      <c r="AC747" s="28"/>
      <c r="AD747" s="29"/>
      <c r="AF747" s="30"/>
      <c r="AG747" s="30"/>
    </row>
    <row r="748" spans="18:33" x14ac:dyDescent="0.3">
      <c r="R748" s="36"/>
      <c r="S748" s="36"/>
      <c r="T748" s="36"/>
      <c r="U748" s="36"/>
      <c r="V748" s="49"/>
      <c r="X748" s="28"/>
      <c r="Y748" s="32"/>
      <c r="Z748" s="33"/>
      <c r="AA748" s="34"/>
      <c r="AB748" s="28"/>
      <c r="AC748" s="28"/>
      <c r="AD748" s="29"/>
      <c r="AF748" s="30"/>
      <c r="AG748" s="30"/>
    </row>
    <row r="749" spans="18:33" x14ac:dyDescent="0.3">
      <c r="R749" s="36"/>
      <c r="S749" s="36"/>
      <c r="T749" s="36"/>
      <c r="U749" s="36"/>
      <c r="V749" s="49"/>
      <c r="X749" s="28"/>
      <c r="Y749" s="32"/>
      <c r="Z749" s="33"/>
      <c r="AA749" s="34"/>
      <c r="AB749" s="28"/>
      <c r="AC749" s="28"/>
      <c r="AD749" s="29"/>
      <c r="AF749" s="30"/>
      <c r="AG749" s="30"/>
    </row>
    <row r="750" spans="18:33" x14ac:dyDescent="0.3">
      <c r="R750" s="36"/>
      <c r="S750" s="36"/>
      <c r="T750" s="36"/>
      <c r="U750" s="36"/>
      <c r="V750" s="49"/>
      <c r="X750" s="28"/>
      <c r="Y750" s="32"/>
      <c r="Z750" s="33"/>
      <c r="AA750" s="34"/>
      <c r="AB750" s="28"/>
      <c r="AC750" s="28"/>
      <c r="AD750" s="29"/>
      <c r="AF750" s="30"/>
      <c r="AG750" s="30"/>
    </row>
    <row r="751" spans="18:33" x14ac:dyDescent="0.3">
      <c r="R751" s="36"/>
      <c r="S751" s="36"/>
      <c r="T751" s="36"/>
      <c r="U751" s="36"/>
      <c r="V751" s="49"/>
      <c r="X751" s="28"/>
      <c r="Y751" s="32"/>
      <c r="Z751" s="33"/>
      <c r="AA751" s="34"/>
      <c r="AB751" s="28"/>
      <c r="AC751" s="28"/>
      <c r="AD751" s="29"/>
      <c r="AF751" s="30"/>
      <c r="AG751" s="30"/>
    </row>
    <row r="752" spans="18:33" x14ac:dyDescent="0.3">
      <c r="R752" s="36"/>
      <c r="S752" s="36"/>
      <c r="T752" s="36"/>
      <c r="U752" s="36"/>
      <c r="V752" s="49"/>
      <c r="X752" s="28"/>
      <c r="Y752" s="32"/>
      <c r="Z752" s="33"/>
      <c r="AA752" s="34"/>
      <c r="AB752" s="28"/>
      <c r="AC752" s="28"/>
      <c r="AD752" s="29"/>
      <c r="AF752" s="30"/>
      <c r="AG752" s="30"/>
    </row>
    <row r="753" spans="18:33" x14ac:dyDescent="0.3">
      <c r="R753" s="36"/>
      <c r="S753" s="36"/>
      <c r="T753" s="36"/>
      <c r="U753" s="36"/>
      <c r="V753" s="49"/>
      <c r="X753" s="28"/>
      <c r="Y753" s="32"/>
      <c r="Z753" s="33"/>
      <c r="AA753" s="34"/>
      <c r="AB753" s="28"/>
      <c r="AC753" s="28"/>
      <c r="AD753" s="29"/>
      <c r="AF753" s="30"/>
      <c r="AG753" s="30"/>
    </row>
    <row r="754" spans="18:33" x14ac:dyDescent="0.3">
      <c r="R754" s="36"/>
      <c r="S754" s="36"/>
      <c r="T754" s="36"/>
      <c r="U754" s="36"/>
      <c r="V754" s="49"/>
      <c r="X754" s="28"/>
      <c r="Y754" s="32"/>
      <c r="Z754" s="33"/>
      <c r="AA754" s="34"/>
      <c r="AB754" s="28"/>
      <c r="AC754" s="28"/>
      <c r="AD754" s="29"/>
      <c r="AF754" s="30"/>
      <c r="AG754" s="30"/>
    </row>
    <row r="755" spans="18:33" x14ac:dyDescent="0.3">
      <c r="R755" s="36"/>
      <c r="S755" s="36"/>
      <c r="T755" s="36"/>
      <c r="U755" s="36"/>
      <c r="V755" s="49"/>
      <c r="X755" s="28"/>
      <c r="Y755" s="32"/>
      <c r="Z755" s="33"/>
      <c r="AA755" s="34"/>
      <c r="AB755" s="28"/>
      <c r="AC755" s="28"/>
      <c r="AD755" s="29"/>
      <c r="AF755" s="30"/>
      <c r="AG755" s="30"/>
    </row>
    <row r="756" spans="18:33" x14ac:dyDescent="0.3">
      <c r="R756" s="36"/>
      <c r="S756" s="36"/>
      <c r="T756" s="36"/>
      <c r="U756" s="36"/>
      <c r="V756" s="49"/>
      <c r="X756" s="28"/>
      <c r="Y756" s="32"/>
      <c r="Z756" s="33"/>
      <c r="AA756" s="34"/>
      <c r="AB756" s="28"/>
      <c r="AC756" s="28"/>
      <c r="AD756" s="29"/>
      <c r="AF756" s="30"/>
      <c r="AG756" s="30"/>
    </row>
    <row r="757" spans="18:33" x14ac:dyDescent="0.3">
      <c r="R757" s="36"/>
      <c r="S757" s="36"/>
      <c r="T757" s="36"/>
      <c r="U757" s="36"/>
      <c r="V757" s="49"/>
      <c r="X757" s="28"/>
      <c r="Y757" s="32"/>
      <c r="Z757" s="33"/>
      <c r="AA757" s="34"/>
      <c r="AB757" s="28"/>
      <c r="AC757" s="28"/>
      <c r="AD757" s="29"/>
      <c r="AF757" s="30"/>
      <c r="AG757" s="30"/>
    </row>
    <row r="758" spans="18:33" x14ac:dyDescent="0.3">
      <c r="R758" s="36"/>
      <c r="S758" s="36"/>
      <c r="T758" s="36"/>
      <c r="U758" s="36"/>
      <c r="V758" s="49"/>
      <c r="X758" s="28"/>
      <c r="Y758" s="32"/>
      <c r="Z758" s="33"/>
      <c r="AA758" s="34"/>
      <c r="AB758" s="28"/>
      <c r="AC758" s="28"/>
      <c r="AD758" s="29"/>
      <c r="AF758" s="30"/>
      <c r="AG758" s="30"/>
    </row>
    <row r="759" spans="18:33" x14ac:dyDescent="0.3">
      <c r="R759" s="36"/>
      <c r="S759" s="36"/>
      <c r="T759" s="36"/>
      <c r="U759" s="36"/>
      <c r="V759" s="49"/>
      <c r="X759" s="28"/>
      <c r="Y759" s="32"/>
      <c r="Z759" s="33"/>
      <c r="AA759" s="34"/>
      <c r="AB759" s="28"/>
      <c r="AC759" s="28"/>
      <c r="AD759" s="29"/>
      <c r="AF759" s="30"/>
      <c r="AG759" s="30"/>
    </row>
    <row r="760" spans="18:33" x14ac:dyDescent="0.3">
      <c r="R760" s="36"/>
      <c r="S760" s="36"/>
      <c r="T760" s="36"/>
      <c r="U760" s="36"/>
      <c r="V760" s="49"/>
      <c r="X760" s="28"/>
      <c r="Y760" s="32"/>
      <c r="Z760" s="33"/>
      <c r="AA760" s="34"/>
      <c r="AB760" s="28"/>
      <c r="AC760" s="28"/>
      <c r="AD760" s="29"/>
      <c r="AF760" s="30"/>
      <c r="AG760" s="30"/>
    </row>
    <row r="761" spans="18:33" x14ac:dyDescent="0.3">
      <c r="R761" s="36"/>
      <c r="S761" s="36"/>
      <c r="T761" s="36"/>
      <c r="U761" s="36"/>
      <c r="V761" s="49"/>
      <c r="X761" s="28"/>
      <c r="Y761" s="32"/>
      <c r="Z761" s="33"/>
      <c r="AA761" s="34"/>
      <c r="AB761" s="28"/>
      <c r="AC761" s="28"/>
      <c r="AD761" s="29"/>
      <c r="AF761" s="30"/>
      <c r="AG761" s="30"/>
    </row>
    <row r="762" spans="18:33" x14ac:dyDescent="0.3">
      <c r="R762" s="36"/>
      <c r="S762" s="36"/>
      <c r="T762" s="36"/>
      <c r="U762" s="36"/>
      <c r="V762" s="49"/>
      <c r="X762" s="28"/>
      <c r="Y762" s="32"/>
      <c r="Z762" s="33"/>
      <c r="AA762" s="34"/>
      <c r="AB762" s="28"/>
      <c r="AC762" s="28"/>
      <c r="AD762" s="29"/>
      <c r="AF762" s="30"/>
      <c r="AG762" s="30"/>
    </row>
    <row r="763" spans="18:33" x14ac:dyDescent="0.3">
      <c r="R763" s="36"/>
      <c r="S763" s="36"/>
      <c r="T763" s="36"/>
      <c r="U763" s="36"/>
      <c r="V763" s="49"/>
      <c r="X763" s="28"/>
      <c r="Y763" s="32"/>
      <c r="Z763" s="33"/>
      <c r="AA763" s="34"/>
      <c r="AB763" s="28"/>
      <c r="AC763" s="28"/>
      <c r="AD763" s="29"/>
      <c r="AF763" s="30"/>
      <c r="AG763" s="30"/>
    </row>
    <row r="764" spans="18:33" x14ac:dyDescent="0.3">
      <c r="R764" s="36"/>
      <c r="S764" s="36"/>
      <c r="T764" s="36"/>
      <c r="U764" s="36"/>
      <c r="V764" s="49"/>
      <c r="X764" s="28"/>
      <c r="Y764" s="32"/>
      <c r="Z764" s="33"/>
      <c r="AA764" s="34"/>
      <c r="AB764" s="28"/>
      <c r="AC764" s="28"/>
      <c r="AD764" s="29"/>
      <c r="AF764" s="30"/>
      <c r="AG764" s="30"/>
    </row>
    <row r="765" spans="18:33" x14ac:dyDescent="0.3">
      <c r="R765" s="36"/>
      <c r="S765" s="36"/>
      <c r="T765" s="36"/>
      <c r="U765" s="36"/>
      <c r="V765" s="49"/>
      <c r="X765" s="28"/>
      <c r="Y765" s="32"/>
      <c r="Z765" s="33"/>
      <c r="AA765" s="34"/>
      <c r="AB765" s="28"/>
      <c r="AC765" s="28"/>
      <c r="AD765" s="29"/>
      <c r="AF765" s="30"/>
      <c r="AG765" s="30"/>
    </row>
    <row r="766" spans="18:33" x14ac:dyDescent="0.3">
      <c r="R766" s="36"/>
      <c r="S766" s="36"/>
      <c r="T766" s="36"/>
      <c r="U766" s="36"/>
      <c r="V766" s="49"/>
      <c r="X766" s="28"/>
      <c r="Y766" s="32"/>
      <c r="Z766" s="33"/>
      <c r="AA766" s="34"/>
      <c r="AB766" s="28"/>
      <c r="AC766" s="28"/>
      <c r="AD766" s="29"/>
      <c r="AF766" s="30"/>
      <c r="AG766" s="30"/>
    </row>
    <row r="767" spans="18:33" x14ac:dyDescent="0.3">
      <c r="R767" s="36"/>
      <c r="S767" s="36"/>
      <c r="T767" s="36"/>
      <c r="U767" s="36"/>
      <c r="V767" s="49"/>
      <c r="X767" s="28"/>
      <c r="Y767" s="32"/>
      <c r="Z767" s="33"/>
      <c r="AA767" s="34"/>
      <c r="AB767" s="28"/>
      <c r="AC767" s="28"/>
      <c r="AD767" s="29"/>
      <c r="AF767" s="30"/>
      <c r="AG767" s="30"/>
    </row>
    <row r="768" spans="18:33" x14ac:dyDescent="0.3">
      <c r="R768" s="36"/>
      <c r="S768" s="36"/>
      <c r="T768" s="36"/>
      <c r="U768" s="36"/>
      <c r="V768" s="49"/>
      <c r="X768" s="28"/>
      <c r="Y768" s="32"/>
      <c r="Z768" s="33"/>
      <c r="AA768" s="34"/>
      <c r="AB768" s="28"/>
      <c r="AC768" s="28"/>
      <c r="AD768" s="29"/>
      <c r="AF768" s="30"/>
      <c r="AG768" s="30"/>
    </row>
    <row r="769" spans="18:33" x14ac:dyDescent="0.3">
      <c r="R769" s="36"/>
      <c r="S769" s="36"/>
      <c r="T769" s="36"/>
      <c r="U769" s="36"/>
      <c r="V769" s="49"/>
      <c r="X769" s="28"/>
      <c r="Y769" s="32"/>
      <c r="Z769" s="33"/>
      <c r="AA769" s="34"/>
      <c r="AB769" s="28"/>
      <c r="AC769" s="28"/>
      <c r="AD769" s="29"/>
      <c r="AF769" s="30"/>
      <c r="AG769" s="30"/>
    </row>
    <row r="770" spans="18:33" x14ac:dyDescent="0.3">
      <c r="R770" s="36"/>
      <c r="S770" s="36"/>
      <c r="T770" s="36"/>
      <c r="U770" s="36"/>
      <c r="V770" s="49"/>
      <c r="X770" s="28"/>
      <c r="Y770" s="32"/>
      <c r="Z770" s="33"/>
      <c r="AA770" s="34"/>
      <c r="AB770" s="28"/>
      <c r="AC770" s="28"/>
      <c r="AD770" s="29"/>
      <c r="AF770" s="30"/>
      <c r="AG770" s="30"/>
    </row>
    <row r="771" spans="18:33" x14ac:dyDescent="0.3">
      <c r="R771" s="36"/>
      <c r="S771" s="36"/>
      <c r="T771" s="36"/>
      <c r="U771" s="36"/>
      <c r="V771" s="49"/>
      <c r="X771" s="28"/>
      <c r="Y771" s="32"/>
      <c r="Z771" s="33"/>
      <c r="AA771" s="34"/>
      <c r="AB771" s="28"/>
      <c r="AC771" s="28"/>
      <c r="AD771" s="29"/>
      <c r="AF771" s="30"/>
      <c r="AG771" s="30"/>
    </row>
    <row r="772" spans="18:33" x14ac:dyDescent="0.3">
      <c r="R772" s="36"/>
      <c r="S772" s="36"/>
      <c r="T772" s="36"/>
      <c r="U772" s="36"/>
      <c r="V772" s="49"/>
      <c r="X772" s="28"/>
      <c r="Y772" s="32"/>
      <c r="Z772" s="33"/>
      <c r="AA772" s="34"/>
      <c r="AB772" s="28"/>
      <c r="AC772" s="28"/>
      <c r="AD772" s="29"/>
      <c r="AF772" s="30"/>
      <c r="AG772" s="30"/>
    </row>
    <row r="773" spans="18:33" x14ac:dyDescent="0.3">
      <c r="R773" s="36"/>
      <c r="S773" s="36"/>
      <c r="T773" s="36"/>
      <c r="U773" s="36"/>
      <c r="V773" s="49"/>
      <c r="X773" s="28"/>
      <c r="Y773" s="32"/>
      <c r="Z773" s="33"/>
      <c r="AA773" s="34"/>
      <c r="AB773" s="28"/>
      <c r="AC773" s="28"/>
      <c r="AD773" s="29"/>
      <c r="AF773" s="30"/>
      <c r="AG773" s="30"/>
    </row>
    <row r="774" spans="18:33" x14ac:dyDescent="0.3">
      <c r="R774" s="36"/>
      <c r="S774" s="36"/>
      <c r="T774" s="36"/>
      <c r="U774" s="36"/>
      <c r="V774" s="49"/>
      <c r="X774" s="28"/>
      <c r="Y774" s="32"/>
      <c r="Z774" s="33"/>
      <c r="AA774" s="34"/>
      <c r="AB774" s="28"/>
      <c r="AC774" s="28"/>
      <c r="AD774" s="29"/>
      <c r="AF774" s="30"/>
      <c r="AG774" s="30"/>
    </row>
    <row r="775" spans="18:33" x14ac:dyDescent="0.3">
      <c r="R775" s="36"/>
      <c r="S775" s="36"/>
      <c r="T775" s="36"/>
      <c r="U775" s="36"/>
      <c r="V775" s="49"/>
      <c r="X775" s="28"/>
      <c r="Y775" s="32"/>
      <c r="Z775" s="33"/>
      <c r="AA775" s="34"/>
      <c r="AB775" s="28"/>
      <c r="AC775" s="28"/>
      <c r="AD775" s="29"/>
      <c r="AF775" s="30"/>
      <c r="AG775" s="30"/>
    </row>
    <row r="776" spans="18:33" x14ac:dyDescent="0.3">
      <c r="R776" s="36"/>
      <c r="S776" s="36"/>
      <c r="T776" s="36"/>
      <c r="U776" s="36"/>
      <c r="V776" s="49"/>
      <c r="X776" s="28"/>
      <c r="Y776" s="32"/>
      <c r="Z776" s="33"/>
      <c r="AA776" s="34"/>
      <c r="AB776" s="28"/>
      <c r="AC776" s="28"/>
      <c r="AD776" s="29"/>
      <c r="AF776" s="30"/>
      <c r="AG776" s="30"/>
    </row>
    <row r="777" spans="18:33" x14ac:dyDescent="0.3">
      <c r="R777" s="36"/>
      <c r="S777" s="36"/>
      <c r="T777" s="36"/>
      <c r="U777" s="36"/>
      <c r="V777" s="49"/>
      <c r="X777" s="28"/>
      <c r="Y777" s="32"/>
      <c r="Z777" s="33"/>
      <c r="AA777" s="34"/>
      <c r="AB777" s="28"/>
      <c r="AC777" s="28"/>
      <c r="AD777" s="29"/>
      <c r="AF777" s="30"/>
      <c r="AG777" s="30"/>
    </row>
    <row r="778" spans="18:33" x14ac:dyDescent="0.3">
      <c r="R778" s="36"/>
      <c r="S778" s="36"/>
      <c r="T778" s="36"/>
      <c r="U778" s="36"/>
      <c r="V778" s="49"/>
      <c r="X778" s="28"/>
      <c r="Y778" s="32"/>
      <c r="Z778" s="33"/>
      <c r="AA778" s="34"/>
      <c r="AB778" s="28"/>
      <c r="AC778" s="28"/>
      <c r="AD778" s="29"/>
      <c r="AF778" s="30"/>
      <c r="AG778" s="30"/>
    </row>
    <row r="779" spans="18:33" x14ac:dyDescent="0.3">
      <c r="R779" s="36"/>
      <c r="S779" s="36"/>
      <c r="T779" s="36"/>
      <c r="U779" s="36"/>
      <c r="V779" s="49"/>
      <c r="X779" s="28"/>
      <c r="Y779" s="32"/>
      <c r="Z779" s="33"/>
      <c r="AA779" s="34"/>
      <c r="AB779" s="28"/>
      <c r="AC779" s="28"/>
      <c r="AD779" s="29"/>
      <c r="AF779" s="30"/>
      <c r="AG779" s="30"/>
    </row>
    <row r="780" spans="18:33" x14ac:dyDescent="0.3">
      <c r="R780" s="36"/>
      <c r="S780" s="36"/>
      <c r="T780" s="36"/>
      <c r="U780" s="36"/>
      <c r="V780" s="49"/>
      <c r="X780" s="28"/>
      <c r="Y780" s="32"/>
      <c r="Z780" s="33"/>
      <c r="AA780" s="34"/>
      <c r="AB780" s="28"/>
      <c r="AC780" s="28"/>
      <c r="AD780" s="29"/>
      <c r="AF780" s="30"/>
      <c r="AG780" s="30"/>
    </row>
    <row r="781" spans="18:33" x14ac:dyDescent="0.3">
      <c r="R781" s="36"/>
      <c r="S781" s="36"/>
      <c r="T781" s="36"/>
      <c r="U781" s="36"/>
      <c r="V781" s="49"/>
      <c r="X781" s="28"/>
      <c r="Y781" s="32"/>
      <c r="Z781" s="33"/>
      <c r="AA781" s="34"/>
      <c r="AB781" s="28"/>
      <c r="AC781" s="28"/>
      <c r="AD781" s="29"/>
      <c r="AF781" s="30"/>
      <c r="AG781" s="30"/>
    </row>
    <row r="782" spans="18:33" x14ac:dyDescent="0.3">
      <c r="R782" s="36"/>
      <c r="S782" s="36"/>
      <c r="T782" s="36"/>
      <c r="U782" s="36"/>
      <c r="V782" s="49"/>
      <c r="X782" s="28"/>
      <c r="Y782" s="32"/>
      <c r="Z782" s="33"/>
      <c r="AA782" s="34"/>
      <c r="AB782" s="28"/>
      <c r="AC782" s="28"/>
      <c r="AD782" s="29"/>
      <c r="AF782" s="30"/>
      <c r="AG782" s="30"/>
    </row>
    <row r="783" spans="18:33" x14ac:dyDescent="0.3">
      <c r="R783" s="36"/>
      <c r="S783" s="36"/>
      <c r="T783" s="36"/>
      <c r="U783" s="36"/>
      <c r="V783" s="49"/>
      <c r="X783" s="28"/>
      <c r="Y783" s="32"/>
      <c r="Z783" s="33"/>
      <c r="AA783" s="34"/>
      <c r="AB783" s="28"/>
      <c r="AC783" s="28"/>
      <c r="AD783" s="29"/>
      <c r="AF783" s="30"/>
      <c r="AG783" s="30"/>
    </row>
    <row r="784" spans="18:33" x14ac:dyDescent="0.3">
      <c r="R784" s="36"/>
      <c r="S784" s="36"/>
      <c r="T784" s="36"/>
      <c r="U784" s="36"/>
      <c r="V784" s="49"/>
      <c r="X784" s="28"/>
      <c r="Y784" s="32"/>
      <c r="Z784" s="33"/>
      <c r="AA784" s="34"/>
      <c r="AB784" s="28"/>
      <c r="AC784" s="28"/>
      <c r="AD784" s="29"/>
      <c r="AF784" s="30"/>
      <c r="AG784" s="30"/>
    </row>
    <row r="785" spans="18:33" x14ac:dyDescent="0.3">
      <c r="R785" s="36"/>
      <c r="S785" s="36"/>
      <c r="T785" s="36"/>
      <c r="U785" s="36"/>
      <c r="V785" s="49"/>
      <c r="X785" s="28"/>
      <c r="Y785" s="32"/>
      <c r="Z785" s="33"/>
      <c r="AA785" s="34"/>
      <c r="AB785" s="28"/>
      <c r="AC785" s="28"/>
      <c r="AD785" s="29"/>
      <c r="AF785" s="30"/>
      <c r="AG785" s="30"/>
    </row>
    <row r="786" spans="18:33" x14ac:dyDescent="0.3">
      <c r="R786" s="36"/>
      <c r="S786" s="36"/>
      <c r="T786" s="36"/>
      <c r="U786" s="36"/>
      <c r="V786" s="49"/>
      <c r="X786" s="28"/>
      <c r="Y786" s="32"/>
      <c r="Z786" s="33"/>
      <c r="AA786" s="34"/>
      <c r="AB786" s="28"/>
      <c r="AC786" s="28"/>
      <c r="AD786" s="29"/>
      <c r="AF786" s="30"/>
      <c r="AG786" s="30"/>
    </row>
    <row r="787" spans="18:33" x14ac:dyDescent="0.3">
      <c r="R787" s="36"/>
      <c r="S787" s="36"/>
      <c r="T787" s="36"/>
      <c r="U787" s="36"/>
      <c r="V787" s="49"/>
      <c r="X787" s="28"/>
      <c r="Y787" s="32"/>
      <c r="Z787" s="33"/>
      <c r="AA787" s="34"/>
      <c r="AB787" s="28"/>
      <c r="AC787" s="28"/>
      <c r="AD787" s="29"/>
      <c r="AF787" s="30"/>
      <c r="AG787" s="30"/>
    </row>
    <row r="788" spans="18:33" x14ac:dyDescent="0.3">
      <c r="R788" s="36"/>
      <c r="S788" s="36"/>
      <c r="T788" s="36"/>
      <c r="U788" s="36"/>
      <c r="V788" s="49"/>
      <c r="X788" s="28"/>
      <c r="Y788" s="32"/>
      <c r="Z788" s="33"/>
      <c r="AA788" s="34"/>
      <c r="AB788" s="28"/>
      <c r="AC788" s="28"/>
      <c r="AD788" s="29"/>
      <c r="AF788" s="30"/>
      <c r="AG788" s="30"/>
    </row>
    <row r="789" spans="18:33" x14ac:dyDescent="0.3">
      <c r="R789" s="36"/>
      <c r="S789" s="36"/>
      <c r="T789" s="36"/>
      <c r="U789" s="36"/>
      <c r="V789" s="49"/>
      <c r="X789" s="28"/>
      <c r="Y789" s="32"/>
      <c r="Z789" s="33"/>
      <c r="AA789" s="34"/>
      <c r="AB789" s="28"/>
      <c r="AC789" s="28"/>
      <c r="AD789" s="29"/>
      <c r="AF789" s="30"/>
      <c r="AG789" s="30"/>
    </row>
    <row r="790" spans="18:33" x14ac:dyDescent="0.3">
      <c r="R790" s="36"/>
      <c r="S790" s="36"/>
      <c r="T790" s="36"/>
      <c r="U790" s="36"/>
      <c r="V790" s="49"/>
      <c r="X790" s="28"/>
      <c r="Y790" s="32"/>
      <c r="Z790" s="33"/>
      <c r="AA790" s="34"/>
      <c r="AB790" s="28"/>
      <c r="AC790" s="28"/>
      <c r="AD790" s="29"/>
      <c r="AF790" s="30"/>
      <c r="AG790" s="30"/>
    </row>
    <row r="791" spans="18:33" x14ac:dyDescent="0.3">
      <c r="R791" s="36"/>
      <c r="S791" s="36"/>
      <c r="T791" s="36"/>
      <c r="U791" s="36"/>
      <c r="V791" s="49"/>
      <c r="X791" s="28"/>
      <c r="Y791" s="32"/>
      <c r="Z791" s="33"/>
      <c r="AA791" s="34"/>
      <c r="AB791" s="28"/>
      <c r="AC791" s="28"/>
      <c r="AD791" s="29"/>
      <c r="AF791" s="30"/>
      <c r="AG791" s="30"/>
    </row>
    <row r="792" spans="18:33" x14ac:dyDescent="0.3">
      <c r="R792" s="36"/>
      <c r="S792" s="36"/>
      <c r="T792" s="36"/>
      <c r="U792" s="36"/>
      <c r="V792" s="49"/>
      <c r="X792" s="28"/>
      <c r="Y792" s="32"/>
      <c r="Z792" s="33"/>
      <c r="AA792" s="34"/>
      <c r="AB792" s="28"/>
      <c r="AC792" s="28"/>
      <c r="AD792" s="29"/>
      <c r="AF792" s="30"/>
      <c r="AG792" s="30"/>
    </row>
    <row r="793" spans="18:33" x14ac:dyDescent="0.3">
      <c r="R793" s="36"/>
      <c r="S793" s="36"/>
      <c r="T793" s="36"/>
      <c r="U793" s="36"/>
      <c r="V793" s="49"/>
      <c r="X793" s="28"/>
      <c r="Y793" s="32"/>
      <c r="Z793" s="33"/>
      <c r="AA793" s="34"/>
      <c r="AB793" s="28"/>
      <c r="AC793" s="28"/>
      <c r="AD793" s="29"/>
      <c r="AF793" s="30"/>
      <c r="AG793" s="30"/>
    </row>
    <row r="794" spans="18:33" x14ac:dyDescent="0.3">
      <c r="R794" s="36"/>
      <c r="S794" s="36"/>
      <c r="T794" s="36"/>
      <c r="U794" s="36"/>
      <c r="V794" s="49"/>
      <c r="X794" s="28"/>
      <c r="Y794" s="32"/>
      <c r="Z794" s="33"/>
      <c r="AA794" s="34"/>
      <c r="AB794" s="28"/>
      <c r="AC794" s="28"/>
      <c r="AD794" s="29"/>
      <c r="AF794" s="30"/>
      <c r="AG794" s="30"/>
    </row>
    <row r="795" spans="18:33" x14ac:dyDescent="0.3">
      <c r="R795" s="36"/>
      <c r="S795" s="36"/>
      <c r="T795" s="36"/>
      <c r="U795" s="36"/>
      <c r="V795" s="49"/>
      <c r="X795" s="28"/>
      <c r="Y795" s="32"/>
      <c r="Z795" s="33"/>
      <c r="AA795" s="34"/>
      <c r="AB795" s="28"/>
      <c r="AC795" s="28"/>
      <c r="AD795" s="29"/>
      <c r="AF795" s="30"/>
      <c r="AG795" s="30"/>
    </row>
    <row r="796" spans="18:33" x14ac:dyDescent="0.3">
      <c r="R796" s="36"/>
      <c r="S796" s="36"/>
      <c r="T796" s="36"/>
      <c r="U796" s="36"/>
      <c r="V796" s="49"/>
      <c r="X796" s="28"/>
      <c r="Y796" s="32"/>
      <c r="Z796" s="33"/>
      <c r="AA796" s="34"/>
      <c r="AB796" s="28"/>
      <c r="AC796" s="28"/>
      <c r="AD796" s="29"/>
      <c r="AF796" s="30"/>
      <c r="AG796" s="30"/>
    </row>
    <row r="797" spans="18:33" x14ac:dyDescent="0.3">
      <c r="R797" s="36"/>
      <c r="S797" s="36"/>
      <c r="T797" s="36"/>
      <c r="U797" s="36"/>
      <c r="V797" s="49"/>
      <c r="X797" s="28"/>
      <c r="Y797" s="32"/>
      <c r="Z797" s="33"/>
      <c r="AA797" s="34"/>
      <c r="AB797" s="28"/>
      <c r="AC797" s="28"/>
      <c r="AD797" s="29"/>
      <c r="AF797" s="30"/>
      <c r="AG797" s="30"/>
    </row>
    <row r="798" spans="18:33" x14ac:dyDescent="0.3">
      <c r="R798" s="36"/>
      <c r="S798" s="36"/>
      <c r="T798" s="36"/>
      <c r="U798" s="36"/>
      <c r="V798" s="49"/>
      <c r="X798" s="28"/>
      <c r="Y798" s="32"/>
      <c r="Z798" s="33"/>
      <c r="AA798" s="34"/>
      <c r="AB798" s="28"/>
      <c r="AC798" s="28"/>
      <c r="AD798" s="29"/>
      <c r="AF798" s="30"/>
      <c r="AG798" s="30"/>
    </row>
    <row r="799" spans="18:33" x14ac:dyDescent="0.3">
      <c r="R799" s="36"/>
      <c r="S799" s="36"/>
      <c r="T799" s="36"/>
      <c r="U799" s="36"/>
      <c r="V799" s="49"/>
      <c r="X799" s="28"/>
      <c r="Y799" s="32"/>
      <c r="Z799" s="33"/>
      <c r="AA799" s="34"/>
      <c r="AB799" s="28"/>
      <c r="AC799" s="28"/>
      <c r="AD799" s="29"/>
      <c r="AF799" s="30"/>
      <c r="AG799" s="30"/>
    </row>
    <row r="800" spans="18:33" x14ac:dyDescent="0.3">
      <c r="R800" s="36"/>
      <c r="S800" s="36"/>
      <c r="T800" s="36"/>
      <c r="U800" s="36"/>
      <c r="V800" s="49"/>
      <c r="X800" s="28"/>
      <c r="Y800" s="32"/>
      <c r="Z800" s="33"/>
      <c r="AA800" s="34"/>
      <c r="AB800" s="28"/>
      <c r="AC800" s="28"/>
      <c r="AD800" s="29"/>
      <c r="AF800" s="30"/>
      <c r="AG800" s="30"/>
    </row>
    <row r="801" spans="18:33" x14ac:dyDescent="0.3">
      <c r="R801" s="36"/>
      <c r="S801" s="36"/>
      <c r="T801" s="36"/>
      <c r="U801" s="36"/>
      <c r="V801" s="49"/>
      <c r="X801" s="28"/>
      <c r="Y801" s="32"/>
      <c r="Z801" s="33"/>
      <c r="AA801" s="34"/>
      <c r="AB801" s="28"/>
      <c r="AC801" s="28"/>
      <c r="AD801" s="29"/>
      <c r="AF801" s="30"/>
      <c r="AG801" s="30"/>
    </row>
    <row r="802" spans="18:33" x14ac:dyDescent="0.3">
      <c r="R802" s="36"/>
      <c r="S802" s="36"/>
      <c r="T802" s="36"/>
      <c r="U802" s="36"/>
      <c r="V802" s="49"/>
      <c r="X802" s="28"/>
      <c r="Y802" s="32"/>
      <c r="Z802" s="33"/>
      <c r="AA802" s="34"/>
      <c r="AB802" s="28"/>
      <c r="AC802" s="28"/>
      <c r="AD802" s="29"/>
      <c r="AF802" s="30"/>
      <c r="AG802" s="30"/>
    </row>
    <row r="803" spans="18:33" x14ac:dyDescent="0.3">
      <c r="R803" s="36"/>
      <c r="S803" s="36"/>
      <c r="T803" s="36"/>
      <c r="U803" s="36"/>
      <c r="V803" s="49"/>
      <c r="X803" s="28"/>
      <c r="Y803" s="32"/>
      <c r="Z803" s="33"/>
      <c r="AA803" s="34"/>
      <c r="AB803" s="28"/>
      <c r="AC803" s="28"/>
      <c r="AD803" s="29"/>
      <c r="AF803" s="30"/>
      <c r="AG803" s="30"/>
    </row>
    <row r="804" spans="18:33" x14ac:dyDescent="0.3">
      <c r="R804" s="36"/>
      <c r="S804" s="36"/>
      <c r="T804" s="36"/>
      <c r="U804" s="36"/>
      <c r="V804" s="49"/>
      <c r="X804" s="28"/>
      <c r="Y804" s="32"/>
      <c r="Z804" s="33"/>
      <c r="AA804" s="34"/>
      <c r="AB804" s="28"/>
      <c r="AC804" s="28"/>
      <c r="AD804" s="29"/>
      <c r="AF804" s="30"/>
      <c r="AG804" s="30"/>
    </row>
    <row r="805" spans="18:33" x14ac:dyDescent="0.3">
      <c r="R805" s="36"/>
      <c r="S805" s="36"/>
      <c r="T805" s="36"/>
      <c r="U805" s="36"/>
      <c r="V805" s="49"/>
      <c r="X805" s="28"/>
      <c r="Y805" s="32"/>
      <c r="Z805" s="33"/>
      <c r="AA805" s="34"/>
      <c r="AB805" s="28"/>
      <c r="AC805" s="28"/>
      <c r="AD805" s="29"/>
      <c r="AF805" s="30"/>
      <c r="AG805" s="30"/>
    </row>
    <row r="806" spans="18:33" x14ac:dyDescent="0.3">
      <c r="R806" s="36"/>
      <c r="S806" s="36"/>
      <c r="T806" s="36"/>
      <c r="U806" s="36"/>
      <c r="V806" s="49"/>
      <c r="X806" s="28"/>
      <c r="Y806" s="32"/>
      <c r="Z806" s="33"/>
      <c r="AA806" s="34"/>
      <c r="AB806" s="28"/>
      <c r="AC806" s="28"/>
      <c r="AD806" s="29"/>
      <c r="AF806" s="30"/>
      <c r="AG806" s="30"/>
    </row>
    <row r="807" spans="18:33" x14ac:dyDescent="0.3">
      <c r="R807" s="36"/>
      <c r="S807" s="36"/>
      <c r="T807" s="36"/>
      <c r="U807" s="36"/>
      <c r="V807" s="49"/>
      <c r="X807" s="28"/>
      <c r="Y807" s="32"/>
      <c r="Z807" s="33"/>
      <c r="AA807" s="34"/>
      <c r="AB807" s="28"/>
      <c r="AC807" s="28"/>
      <c r="AD807" s="29"/>
      <c r="AF807" s="30"/>
      <c r="AG807" s="30"/>
    </row>
    <row r="808" spans="18:33" x14ac:dyDescent="0.3">
      <c r="R808" s="36"/>
      <c r="S808" s="36"/>
      <c r="T808" s="36"/>
      <c r="U808" s="36"/>
      <c r="V808" s="49"/>
      <c r="X808" s="28"/>
      <c r="Y808" s="32"/>
      <c r="Z808" s="33"/>
      <c r="AA808" s="34"/>
      <c r="AB808" s="28"/>
      <c r="AC808" s="28"/>
      <c r="AD808" s="29"/>
      <c r="AF808" s="30"/>
      <c r="AG808" s="30"/>
    </row>
    <row r="809" spans="18:33" x14ac:dyDescent="0.3">
      <c r="R809" s="36"/>
      <c r="S809" s="36"/>
      <c r="T809" s="36"/>
      <c r="U809" s="36"/>
      <c r="V809" s="49"/>
      <c r="X809" s="28"/>
      <c r="Y809" s="32"/>
      <c r="Z809" s="33"/>
      <c r="AA809" s="34"/>
      <c r="AB809" s="28"/>
      <c r="AC809" s="28"/>
      <c r="AD809" s="29"/>
      <c r="AF809" s="30"/>
      <c r="AG809" s="30"/>
    </row>
    <row r="810" spans="18:33" x14ac:dyDescent="0.3">
      <c r="R810" s="36"/>
      <c r="S810" s="36"/>
      <c r="T810" s="36"/>
      <c r="U810" s="36"/>
      <c r="V810" s="49"/>
      <c r="X810" s="28"/>
      <c r="Y810" s="32"/>
      <c r="Z810" s="33"/>
      <c r="AA810" s="34"/>
      <c r="AB810" s="28"/>
      <c r="AC810" s="28"/>
      <c r="AD810" s="29"/>
      <c r="AF810" s="30"/>
      <c r="AG810" s="30"/>
    </row>
    <row r="811" spans="18:33" x14ac:dyDescent="0.3">
      <c r="R811" s="36"/>
      <c r="S811" s="36"/>
      <c r="T811" s="36"/>
      <c r="U811" s="36"/>
      <c r="V811" s="49"/>
      <c r="X811" s="28"/>
      <c r="Y811" s="32"/>
      <c r="Z811" s="33"/>
      <c r="AA811" s="34"/>
      <c r="AB811" s="28"/>
      <c r="AC811" s="28"/>
      <c r="AD811" s="29"/>
      <c r="AF811" s="30"/>
      <c r="AG811" s="30"/>
    </row>
    <row r="812" spans="18:33" x14ac:dyDescent="0.3">
      <c r="R812" s="36"/>
      <c r="S812" s="36"/>
      <c r="T812" s="36"/>
      <c r="U812" s="36"/>
      <c r="V812" s="49"/>
      <c r="X812" s="28"/>
      <c r="Y812" s="32"/>
      <c r="Z812" s="33"/>
      <c r="AA812" s="34"/>
      <c r="AB812" s="28"/>
      <c r="AC812" s="28"/>
      <c r="AD812" s="29"/>
      <c r="AF812" s="30"/>
      <c r="AG812" s="30"/>
    </row>
    <row r="813" spans="18:33" x14ac:dyDescent="0.3">
      <c r="R813" s="36"/>
      <c r="S813" s="36"/>
      <c r="T813" s="36"/>
      <c r="U813" s="36"/>
      <c r="V813" s="49"/>
      <c r="X813" s="28"/>
      <c r="Y813" s="32"/>
      <c r="Z813" s="33"/>
      <c r="AA813" s="34"/>
      <c r="AB813" s="28"/>
      <c r="AC813" s="28"/>
      <c r="AD813" s="29"/>
      <c r="AF813" s="30"/>
      <c r="AG813" s="30"/>
    </row>
    <row r="814" spans="18:33" x14ac:dyDescent="0.3">
      <c r="R814" s="36"/>
      <c r="S814" s="36"/>
      <c r="T814" s="36"/>
      <c r="U814" s="36"/>
      <c r="V814" s="49"/>
      <c r="X814" s="28"/>
      <c r="Y814" s="32"/>
      <c r="Z814" s="33"/>
      <c r="AA814" s="34"/>
      <c r="AB814" s="28"/>
      <c r="AC814" s="28"/>
      <c r="AD814" s="29"/>
      <c r="AF814" s="30"/>
      <c r="AG814" s="30"/>
    </row>
    <row r="815" spans="18:33" x14ac:dyDescent="0.3">
      <c r="R815" s="36"/>
      <c r="S815" s="36"/>
      <c r="T815" s="36"/>
      <c r="U815" s="36"/>
      <c r="V815" s="49"/>
      <c r="X815" s="28"/>
      <c r="Y815" s="32"/>
      <c r="Z815" s="33"/>
      <c r="AA815" s="34"/>
      <c r="AB815" s="28"/>
      <c r="AC815" s="28"/>
      <c r="AD815" s="29"/>
      <c r="AF815" s="30"/>
      <c r="AG815" s="30"/>
    </row>
    <row r="816" spans="18:33" x14ac:dyDescent="0.3">
      <c r="R816" s="36"/>
      <c r="S816" s="36"/>
      <c r="T816" s="36"/>
      <c r="U816" s="36"/>
      <c r="V816" s="49"/>
      <c r="X816" s="28"/>
      <c r="Y816" s="32"/>
      <c r="Z816" s="33"/>
      <c r="AA816" s="34"/>
      <c r="AB816" s="28"/>
      <c r="AC816" s="28"/>
      <c r="AD816" s="29"/>
      <c r="AF816" s="30"/>
      <c r="AG816" s="30"/>
    </row>
    <row r="817" spans="18:33" x14ac:dyDescent="0.3">
      <c r="R817" s="36"/>
      <c r="S817" s="36"/>
      <c r="T817" s="36"/>
      <c r="U817" s="36"/>
      <c r="V817" s="49"/>
      <c r="X817" s="28"/>
      <c r="Y817" s="32"/>
      <c r="Z817" s="33"/>
      <c r="AA817" s="34"/>
      <c r="AB817" s="28"/>
      <c r="AC817" s="28"/>
      <c r="AD817" s="29"/>
      <c r="AF817" s="30"/>
      <c r="AG817" s="30"/>
    </row>
    <row r="818" spans="18:33" x14ac:dyDescent="0.3">
      <c r="R818" s="36"/>
      <c r="S818" s="36"/>
      <c r="T818" s="36"/>
      <c r="U818" s="36"/>
      <c r="V818" s="49"/>
      <c r="X818" s="28"/>
      <c r="Y818" s="32"/>
      <c r="Z818" s="33"/>
      <c r="AA818" s="34"/>
      <c r="AB818" s="28"/>
      <c r="AC818" s="28"/>
      <c r="AD818" s="29"/>
      <c r="AF818" s="30"/>
      <c r="AG818" s="30"/>
    </row>
    <row r="819" spans="18:33" x14ac:dyDescent="0.3">
      <c r="R819" s="36"/>
      <c r="S819" s="36"/>
      <c r="T819" s="36"/>
      <c r="U819" s="36"/>
      <c r="V819" s="49"/>
      <c r="X819" s="28"/>
      <c r="Y819" s="32"/>
      <c r="Z819" s="33"/>
      <c r="AA819" s="34"/>
      <c r="AB819" s="28"/>
      <c r="AC819" s="28"/>
      <c r="AD819" s="29"/>
      <c r="AF819" s="30"/>
      <c r="AG819" s="30"/>
    </row>
    <row r="820" spans="18:33" x14ac:dyDescent="0.3">
      <c r="R820" s="36"/>
      <c r="S820" s="36"/>
      <c r="T820" s="36"/>
      <c r="U820" s="36"/>
      <c r="V820" s="49"/>
      <c r="X820" s="28"/>
      <c r="Y820" s="32"/>
      <c r="Z820" s="33"/>
      <c r="AA820" s="34"/>
      <c r="AB820" s="28"/>
      <c r="AC820" s="28"/>
      <c r="AD820" s="29"/>
      <c r="AF820" s="30"/>
      <c r="AG820" s="30"/>
    </row>
    <row r="821" spans="18:33" x14ac:dyDescent="0.3">
      <c r="R821" s="36"/>
      <c r="S821" s="36"/>
      <c r="T821" s="36"/>
      <c r="U821" s="36"/>
      <c r="V821" s="49"/>
      <c r="X821" s="28"/>
      <c r="Y821" s="32"/>
      <c r="Z821" s="33"/>
      <c r="AA821" s="34"/>
      <c r="AB821" s="28"/>
      <c r="AC821" s="28"/>
      <c r="AD821" s="29"/>
      <c r="AF821" s="30"/>
      <c r="AG821" s="30"/>
    </row>
    <row r="822" spans="18:33" x14ac:dyDescent="0.3">
      <c r="R822" s="36"/>
      <c r="S822" s="36"/>
      <c r="T822" s="36"/>
      <c r="U822" s="36"/>
      <c r="V822" s="49"/>
      <c r="X822" s="28"/>
      <c r="Y822" s="32"/>
      <c r="Z822" s="33"/>
      <c r="AA822" s="34"/>
      <c r="AB822" s="28"/>
      <c r="AC822" s="28"/>
      <c r="AD822" s="29"/>
      <c r="AF822" s="30"/>
      <c r="AG822" s="30"/>
    </row>
    <row r="823" spans="18:33" x14ac:dyDescent="0.3">
      <c r="R823" s="36"/>
      <c r="S823" s="36"/>
      <c r="T823" s="36"/>
      <c r="U823" s="36"/>
      <c r="V823" s="49"/>
      <c r="X823" s="28"/>
      <c r="Y823" s="32"/>
      <c r="Z823" s="33"/>
      <c r="AA823" s="34"/>
      <c r="AB823" s="28"/>
      <c r="AC823" s="28"/>
      <c r="AD823" s="29"/>
      <c r="AF823" s="30"/>
      <c r="AG823" s="30"/>
    </row>
    <row r="824" spans="18:33" x14ac:dyDescent="0.3">
      <c r="R824" s="36"/>
      <c r="S824" s="36"/>
      <c r="T824" s="36"/>
      <c r="U824" s="36"/>
      <c r="V824" s="49"/>
      <c r="X824" s="28"/>
      <c r="Y824" s="32"/>
      <c r="Z824" s="33"/>
      <c r="AA824" s="34"/>
      <c r="AB824" s="28"/>
      <c r="AC824" s="28"/>
      <c r="AD824" s="29"/>
      <c r="AF824" s="30"/>
      <c r="AG824" s="30"/>
    </row>
    <row r="825" spans="18:33" x14ac:dyDescent="0.3">
      <c r="R825" s="36"/>
      <c r="S825" s="36"/>
      <c r="T825" s="36"/>
      <c r="U825" s="36"/>
      <c r="V825" s="49"/>
      <c r="X825" s="28"/>
      <c r="Y825" s="32"/>
      <c r="Z825" s="33"/>
      <c r="AA825" s="34"/>
      <c r="AB825" s="28"/>
      <c r="AC825" s="28"/>
      <c r="AD825" s="29"/>
      <c r="AF825" s="30"/>
      <c r="AG825" s="30"/>
    </row>
    <row r="826" spans="18:33" x14ac:dyDescent="0.3">
      <c r="R826" s="36"/>
      <c r="S826" s="36"/>
      <c r="T826" s="36"/>
      <c r="U826" s="36"/>
      <c r="V826" s="49"/>
      <c r="X826" s="28"/>
      <c r="Y826" s="32"/>
      <c r="Z826" s="33"/>
      <c r="AA826" s="34"/>
      <c r="AB826" s="28"/>
      <c r="AC826" s="28"/>
      <c r="AD826" s="29"/>
      <c r="AF826" s="30"/>
      <c r="AG826" s="30"/>
    </row>
    <row r="827" spans="18:33" x14ac:dyDescent="0.3">
      <c r="R827" s="36"/>
      <c r="S827" s="36"/>
      <c r="T827" s="36"/>
      <c r="U827" s="36"/>
      <c r="V827" s="49"/>
      <c r="X827" s="28"/>
      <c r="Y827" s="32"/>
      <c r="Z827" s="33"/>
      <c r="AA827" s="34"/>
      <c r="AB827" s="28"/>
      <c r="AC827" s="28"/>
      <c r="AD827" s="29"/>
      <c r="AF827" s="30"/>
      <c r="AG827" s="30"/>
    </row>
    <row r="828" spans="18:33" x14ac:dyDescent="0.3">
      <c r="R828" s="36"/>
      <c r="S828" s="36"/>
      <c r="T828" s="36"/>
      <c r="U828" s="36"/>
      <c r="V828" s="49"/>
      <c r="X828" s="28"/>
      <c r="Y828" s="32"/>
      <c r="Z828" s="33"/>
      <c r="AA828" s="34"/>
      <c r="AB828" s="28"/>
      <c r="AC828" s="28"/>
      <c r="AD828" s="29"/>
      <c r="AF828" s="30"/>
      <c r="AG828" s="30"/>
    </row>
    <row r="829" spans="18:33" x14ac:dyDescent="0.3">
      <c r="R829" s="36"/>
      <c r="S829" s="36"/>
      <c r="T829" s="36"/>
      <c r="U829" s="36"/>
      <c r="V829" s="49"/>
      <c r="X829" s="28"/>
      <c r="Y829" s="32"/>
      <c r="Z829" s="33"/>
      <c r="AA829" s="34"/>
      <c r="AB829" s="28"/>
      <c r="AC829" s="28"/>
      <c r="AD829" s="29"/>
      <c r="AF829" s="30"/>
      <c r="AG829" s="30"/>
    </row>
    <row r="830" spans="18:33" x14ac:dyDescent="0.3">
      <c r="R830" s="36"/>
      <c r="S830" s="36"/>
      <c r="T830" s="36"/>
      <c r="U830" s="36"/>
      <c r="V830" s="49"/>
      <c r="X830" s="28"/>
      <c r="Y830" s="32"/>
      <c r="Z830" s="33"/>
      <c r="AA830" s="34"/>
      <c r="AB830" s="28"/>
      <c r="AC830" s="28"/>
      <c r="AD830" s="29"/>
      <c r="AF830" s="30"/>
      <c r="AG830" s="30"/>
    </row>
    <row r="831" spans="18:33" x14ac:dyDescent="0.3">
      <c r="R831" s="36"/>
      <c r="S831" s="36"/>
      <c r="T831" s="36"/>
      <c r="U831" s="36"/>
      <c r="V831" s="49"/>
      <c r="X831" s="28"/>
      <c r="Y831" s="32"/>
      <c r="Z831" s="33"/>
      <c r="AA831" s="34"/>
      <c r="AB831" s="28"/>
      <c r="AC831" s="28"/>
      <c r="AD831" s="29"/>
      <c r="AF831" s="30"/>
      <c r="AG831" s="30"/>
    </row>
    <row r="832" spans="18:33" x14ac:dyDescent="0.3">
      <c r="R832" s="36"/>
      <c r="S832" s="36"/>
      <c r="T832" s="36"/>
      <c r="U832" s="36"/>
      <c r="V832" s="49"/>
      <c r="X832" s="28"/>
      <c r="Y832" s="32"/>
      <c r="Z832" s="33"/>
      <c r="AA832" s="34"/>
      <c r="AB832" s="28"/>
      <c r="AC832" s="28"/>
      <c r="AD832" s="29"/>
      <c r="AF832" s="30"/>
      <c r="AG832" s="30"/>
    </row>
    <row r="833" spans="18:33" x14ac:dyDescent="0.3">
      <c r="R833" s="36"/>
      <c r="S833" s="36"/>
      <c r="T833" s="36"/>
      <c r="U833" s="36"/>
      <c r="V833" s="49"/>
      <c r="X833" s="28"/>
      <c r="Y833" s="32"/>
      <c r="Z833" s="33"/>
      <c r="AA833" s="34"/>
      <c r="AB833" s="28"/>
      <c r="AC833" s="28"/>
      <c r="AD833" s="29"/>
      <c r="AF833" s="30"/>
      <c r="AG833" s="30"/>
    </row>
    <row r="834" spans="18:33" x14ac:dyDescent="0.3">
      <c r="R834" s="36"/>
      <c r="S834" s="36"/>
      <c r="T834" s="36"/>
      <c r="U834" s="36"/>
      <c r="V834" s="49"/>
      <c r="X834" s="28"/>
      <c r="Y834" s="32"/>
      <c r="Z834" s="33"/>
      <c r="AA834" s="34"/>
      <c r="AB834" s="28"/>
      <c r="AC834" s="28"/>
      <c r="AD834" s="29"/>
      <c r="AF834" s="30"/>
      <c r="AG834" s="30"/>
    </row>
    <row r="835" spans="18:33" x14ac:dyDescent="0.3">
      <c r="R835" s="36"/>
      <c r="S835" s="36"/>
      <c r="T835" s="36"/>
      <c r="U835" s="36"/>
      <c r="V835" s="49"/>
      <c r="X835" s="28"/>
      <c r="Y835" s="32"/>
      <c r="Z835" s="33"/>
      <c r="AA835" s="34"/>
      <c r="AB835" s="28"/>
      <c r="AC835" s="28"/>
      <c r="AD835" s="29"/>
      <c r="AF835" s="30"/>
      <c r="AG835" s="30"/>
    </row>
    <row r="836" spans="18:33" x14ac:dyDescent="0.3">
      <c r="R836" s="36"/>
      <c r="S836" s="36"/>
      <c r="T836" s="36"/>
      <c r="U836" s="36"/>
      <c r="V836" s="49"/>
      <c r="X836" s="28"/>
      <c r="Y836" s="32"/>
      <c r="Z836" s="33"/>
      <c r="AA836" s="34"/>
      <c r="AB836" s="28"/>
      <c r="AC836" s="28"/>
      <c r="AD836" s="29"/>
      <c r="AF836" s="30"/>
      <c r="AG836" s="30"/>
    </row>
    <row r="837" spans="18:33" x14ac:dyDescent="0.3">
      <c r="R837" s="36"/>
      <c r="S837" s="36"/>
      <c r="T837" s="36"/>
      <c r="U837" s="36"/>
      <c r="V837" s="49"/>
      <c r="X837" s="28"/>
      <c r="Y837" s="32"/>
      <c r="Z837" s="33"/>
      <c r="AA837" s="34"/>
      <c r="AB837" s="28"/>
      <c r="AC837" s="28"/>
      <c r="AD837" s="29"/>
      <c r="AF837" s="30"/>
      <c r="AG837" s="30"/>
    </row>
    <row r="838" spans="18:33" x14ac:dyDescent="0.3">
      <c r="R838" s="36"/>
      <c r="S838" s="36"/>
      <c r="T838" s="36"/>
      <c r="U838" s="36"/>
      <c r="V838" s="49"/>
      <c r="X838" s="28"/>
      <c r="Y838" s="32"/>
      <c r="Z838" s="33"/>
      <c r="AA838" s="34"/>
      <c r="AB838" s="28"/>
      <c r="AC838" s="28"/>
      <c r="AD838" s="29"/>
      <c r="AF838" s="30"/>
      <c r="AG838" s="30"/>
    </row>
    <row r="839" spans="18:33" x14ac:dyDescent="0.3">
      <c r="R839" s="36"/>
      <c r="S839" s="36"/>
      <c r="T839" s="36"/>
      <c r="U839" s="36"/>
      <c r="V839" s="49"/>
      <c r="X839" s="28"/>
      <c r="Y839" s="32"/>
      <c r="Z839" s="33"/>
      <c r="AA839" s="34"/>
      <c r="AB839" s="28"/>
      <c r="AC839" s="28"/>
      <c r="AD839" s="29"/>
      <c r="AF839" s="30"/>
      <c r="AG839" s="30"/>
    </row>
    <row r="840" spans="18:33" x14ac:dyDescent="0.3">
      <c r="R840" s="36"/>
      <c r="S840" s="36"/>
      <c r="T840" s="36"/>
      <c r="U840" s="36"/>
      <c r="V840" s="49"/>
      <c r="X840" s="28"/>
      <c r="Y840" s="32"/>
      <c r="Z840" s="33"/>
      <c r="AA840" s="34"/>
      <c r="AB840" s="28"/>
      <c r="AC840" s="28"/>
      <c r="AD840" s="29"/>
      <c r="AF840" s="30"/>
      <c r="AG840" s="30"/>
    </row>
    <row r="841" spans="18:33" x14ac:dyDescent="0.3">
      <c r="R841" s="36"/>
      <c r="S841" s="36"/>
      <c r="T841" s="36"/>
      <c r="U841" s="36"/>
      <c r="V841" s="49"/>
      <c r="X841" s="28"/>
      <c r="Y841" s="32"/>
      <c r="Z841" s="33"/>
      <c r="AA841" s="34"/>
      <c r="AB841" s="28"/>
      <c r="AC841" s="28"/>
      <c r="AD841" s="29"/>
      <c r="AF841" s="30"/>
      <c r="AG841" s="30"/>
    </row>
    <row r="842" spans="18:33" x14ac:dyDescent="0.3">
      <c r="R842" s="36"/>
      <c r="S842" s="36"/>
      <c r="T842" s="36"/>
      <c r="U842" s="36"/>
      <c r="V842" s="49"/>
      <c r="X842" s="28"/>
      <c r="Y842" s="32"/>
      <c r="Z842" s="33"/>
      <c r="AA842" s="34"/>
      <c r="AB842" s="28"/>
      <c r="AC842" s="28"/>
      <c r="AD842" s="29"/>
      <c r="AF842" s="30"/>
      <c r="AG842" s="30"/>
    </row>
    <row r="843" spans="18:33" x14ac:dyDescent="0.3">
      <c r="R843" s="36"/>
      <c r="S843" s="36"/>
      <c r="T843" s="36"/>
      <c r="U843" s="36"/>
      <c r="V843" s="49"/>
      <c r="X843" s="28"/>
      <c r="Y843" s="32"/>
      <c r="Z843" s="33"/>
      <c r="AA843" s="34"/>
      <c r="AB843" s="28"/>
      <c r="AC843" s="28"/>
      <c r="AD843" s="29"/>
      <c r="AF843" s="30"/>
      <c r="AG843" s="30"/>
    </row>
    <row r="844" spans="18:33" x14ac:dyDescent="0.3">
      <c r="R844" s="36"/>
      <c r="S844" s="36"/>
      <c r="T844" s="36"/>
      <c r="U844" s="36"/>
      <c r="V844" s="49"/>
      <c r="X844" s="28"/>
      <c r="Y844" s="32"/>
      <c r="Z844" s="33"/>
      <c r="AA844" s="34"/>
      <c r="AB844" s="28"/>
      <c r="AC844" s="28"/>
      <c r="AD844" s="29"/>
      <c r="AF844" s="30"/>
      <c r="AG844" s="30"/>
    </row>
    <row r="845" spans="18:33" x14ac:dyDescent="0.3">
      <c r="R845" s="36"/>
      <c r="S845" s="36"/>
      <c r="T845" s="36"/>
      <c r="U845" s="36"/>
      <c r="V845" s="49"/>
      <c r="X845" s="28"/>
      <c r="Y845" s="32"/>
      <c r="Z845" s="33"/>
      <c r="AA845" s="34"/>
      <c r="AB845" s="28"/>
      <c r="AC845" s="28"/>
      <c r="AD845" s="29"/>
      <c r="AF845" s="30"/>
      <c r="AG845" s="30"/>
    </row>
    <row r="846" spans="18:33" x14ac:dyDescent="0.3">
      <c r="R846" s="36"/>
      <c r="S846" s="36"/>
      <c r="T846" s="36"/>
      <c r="U846" s="36"/>
      <c r="V846" s="49"/>
      <c r="X846" s="28"/>
      <c r="Y846" s="32"/>
      <c r="Z846" s="33"/>
      <c r="AA846" s="34"/>
      <c r="AB846" s="28"/>
      <c r="AC846" s="28"/>
      <c r="AD846" s="29"/>
      <c r="AF846" s="30"/>
      <c r="AG846" s="30"/>
    </row>
    <row r="847" spans="18:33" x14ac:dyDescent="0.3">
      <c r="R847" s="36"/>
      <c r="S847" s="36"/>
      <c r="T847" s="36"/>
      <c r="U847" s="36"/>
      <c r="V847" s="49"/>
      <c r="X847" s="28"/>
      <c r="Y847" s="32"/>
      <c r="Z847" s="33"/>
      <c r="AA847" s="34"/>
      <c r="AB847" s="28"/>
      <c r="AC847" s="28"/>
      <c r="AD847" s="29"/>
      <c r="AF847" s="30"/>
      <c r="AG847" s="30"/>
    </row>
    <row r="848" spans="18:33" x14ac:dyDescent="0.3">
      <c r="R848" s="36"/>
      <c r="S848" s="36"/>
      <c r="T848" s="36"/>
      <c r="U848" s="36"/>
      <c r="V848" s="49"/>
      <c r="X848" s="28"/>
      <c r="Y848" s="32"/>
      <c r="Z848" s="33"/>
      <c r="AA848" s="34"/>
      <c r="AB848" s="28"/>
      <c r="AC848" s="28"/>
      <c r="AD848" s="29"/>
      <c r="AF848" s="30"/>
      <c r="AG848" s="30"/>
    </row>
    <row r="849" spans="18:33" x14ac:dyDescent="0.3">
      <c r="R849" s="36"/>
      <c r="S849" s="36"/>
      <c r="T849" s="36"/>
      <c r="U849" s="36"/>
      <c r="V849" s="49"/>
      <c r="X849" s="28"/>
      <c r="Y849" s="32"/>
      <c r="Z849" s="33"/>
      <c r="AA849" s="34"/>
      <c r="AB849" s="28"/>
      <c r="AC849" s="28"/>
      <c r="AD849" s="29"/>
      <c r="AF849" s="30"/>
      <c r="AG849" s="30"/>
    </row>
    <row r="850" spans="18:33" x14ac:dyDescent="0.3">
      <c r="R850" s="36"/>
      <c r="S850" s="36"/>
      <c r="T850" s="36"/>
      <c r="U850" s="36"/>
      <c r="V850" s="49"/>
      <c r="X850" s="28"/>
      <c r="Y850" s="32"/>
      <c r="Z850" s="33"/>
      <c r="AA850" s="34"/>
      <c r="AB850" s="28"/>
      <c r="AC850" s="28"/>
      <c r="AD850" s="29"/>
      <c r="AF850" s="30"/>
      <c r="AG850" s="30"/>
    </row>
    <row r="851" spans="18:33" x14ac:dyDescent="0.3">
      <c r="R851" s="36"/>
      <c r="S851" s="36"/>
      <c r="T851" s="36"/>
      <c r="U851" s="36"/>
      <c r="V851" s="49"/>
      <c r="X851" s="28"/>
      <c r="Y851" s="32"/>
      <c r="Z851" s="33"/>
      <c r="AA851" s="34"/>
      <c r="AB851" s="28"/>
      <c r="AC851" s="28"/>
      <c r="AD851" s="29"/>
      <c r="AF851" s="30"/>
      <c r="AG851" s="30"/>
    </row>
    <row r="852" spans="18:33" x14ac:dyDescent="0.3">
      <c r="R852" s="36"/>
      <c r="S852" s="36"/>
      <c r="T852" s="36"/>
      <c r="U852" s="36"/>
      <c r="V852" s="49"/>
      <c r="X852" s="28"/>
      <c r="Y852" s="32"/>
      <c r="Z852" s="33"/>
      <c r="AA852" s="34"/>
      <c r="AB852" s="28"/>
      <c r="AC852" s="28"/>
      <c r="AD852" s="29"/>
      <c r="AF852" s="30"/>
      <c r="AG852" s="30"/>
    </row>
    <row r="853" spans="18:33" x14ac:dyDescent="0.3">
      <c r="R853" s="36"/>
      <c r="S853" s="36"/>
      <c r="T853" s="36"/>
      <c r="U853" s="36"/>
      <c r="V853" s="49"/>
      <c r="X853" s="28"/>
      <c r="Y853" s="32"/>
      <c r="Z853" s="33"/>
      <c r="AA853" s="34"/>
      <c r="AB853" s="28"/>
      <c r="AC853" s="28"/>
      <c r="AD853" s="29"/>
      <c r="AF853" s="30"/>
      <c r="AG853" s="30"/>
    </row>
    <row r="854" spans="18:33" x14ac:dyDescent="0.3">
      <c r="R854" s="36"/>
      <c r="S854" s="36"/>
      <c r="T854" s="36"/>
      <c r="U854" s="36"/>
      <c r="V854" s="49"/>
      <c r="X854" s="28"/>
      <c r="Y854" s="32"/>
      <c r="Z854" s="33"/>
      <c r="AA854" s="34"/>
      <c r="AB854" s="28"/>
      <c r="AC854" s="28"/>
      <c r="AD854" s="29"/>
      <c r="AF854" s="30"/>
      <c r="AG854" s="30"/>
    </row>
    <row r="855" spans="18:33" x14ac:dyDescent="0.3">
      <c r="R855" s="36"/>
      <c r="S855" s="36"/>
      <c r="T855" s="36"/>
      <c r="U855" s="36"/>
      <c r="V855" s="49"/>
      <c r="X855" s="28"/>
      <c r="Y855" s="32"/>
      <c r="Z855" s="33"/>
      <c r="AA855" s="34"/>
      <c r="AB855" s="28"/>
      <c r="AC855" s="28"/>
      <c r="AD855" s="29"/>
      <c r="AF855" s="30"/>
      <c r="AG855" s="30"/>
    </row>
    <row r="856" spans="18:33" x14ac:dyDescent="0.3">
      <c r="R856" s="36"/>
      <c r="S856" s="36"/>
      <c r="T856" s="36"/>
      <c r="U856" s="36"/>
      <c r="V856" s="49"/>
      <c r="X856" s="28"/>
      <c r="Y856" s="32"/>
      <c r="Z856" s="33"/>
      <c r="AA856" s="34"/>
      <c r="AB856" s="28"/>
      <c r="AC856" s="28"/>
      <c r="AD856" s="29"/>
      <c r="AF856" s="30"/>
      <c r="AG856" s="30"/>
    </row>
    <row r="857" spans="18:33" x14ac:dyDescent="0.3">
      <c r="R857" s="36"/>
      <c r="S857" s="36"/>
      <c r="T857" s="36"/>
      <c r="U857" s="36"/>
      <c r="V857" s="49"/>
      <c r="X857" s="28"/>
      <c r="Y857" s="32"/>
      <c r="Z857" s="33"/>
      <c r="AA857" s="34"/>
      <c r="AB857" s="28"/>
      <c r="AC857" s="28"/>
      <c r="AD857" s="29"/>
      <c r="AF857" s="30"/>
      <c r="AG857" s="30"/>
    </row>
    <row r="858" spans="18:33" x14ac:dyDescent="0.3">
      <c r="R858" s="36"/>
      <c r="S858" s="36"/>
      <c r="T858" s="36"/>
      <c r="U858" s="36"/>
      <c r="V858" s="49"/>
      <c r="X858" s="28"/>
      <c r="Y858" s="32"/>
      <c r="Z858" s="33"/>
      <c r="AA858" s="34"/>
      <c r="AB858" s="28"/>
      <c r="AC858" s="28"/>
      <c r="AD858" s="29"/>
      <c r="AF858" s="30"/>
      <c r="AG858" s="30"/>
    </row>
    <row r="859" spans="18:33" x14ac:dyDescent="0.3">
      <c r="R859" s="36"/>
      <c r="S859" s="36"/>
      <c r="T859" s="36"/>
      <c r="U859" s="36"/>
      <c r="V859" s="49"/>
      <c r="X859" s="28"/>
      <c r="Y859" s="32"/>
      <c r="Z859" s="33"/>
      <c r="AA859" s="34"/>
      <c r="AB859" s="28"/>
      <c r="AC859" s="28"/>
      <c r="AD859" s="29"/>
      <c r="AF859" s="30"/>
      <c r="AG859" s="30"/>
    </row>
    <row r="860" spans="18:33" x14ac:dyDescent="0.3">
      <c r="R860" s="36"/>
      <c r="S860" s="36"/>
      <c r="T860" s="36"/>
      <c r="U860" s="36"/>
      <c r="V860" s="49"/>
      <c r="X860" s="28"/>
      <c r="Y860" s="32"/>
      <c r="Z860" s="33"/>
      <c r="AA860" s="34"/>
      <c r="AB860" s="28"/>
      <c r="AC860" s="28"/>
      <c r="AD860" s="29"/>
      <c r="AF860" s="30"/>
      <c r="AG860" s="30"/>
    </row>
    <row r="861" spans="18:33" x14ac:dyDescent="0.3">
      <c r="R861" s="36"/>
      <c r="S861" s="36"/>
      <c r="T861" s="36"/>
      <c r="U861" s="36"/>
      <c r="V861" s="49"/>
      <c r="X861" s="28"/>
      <c r="Y861" s="32"/>
      <c r="Z861" s="33"/>
      <c r="AA861" s="34"/>
      <c r="AB861" s="28"/>
      <c r="AC861" s="28"/>
      <c r="AD861" s="29"/>
      <c r="AF861" s="30"/>
      <c r="AG861" s="30"/>
    </row>
    <row r="862" spans="18:33" x14ac:dyDescent="0.3">
      <c r="R862" s="36"/>
      <c r="S862" s="36"/>
      <c r="T862" s="36"/>
      <c r="U862" s="36"/>
      <c r="V862" s="49"/>
      <c r="X862" s="28"/>
      <c r="Y862" s="32"/>
      <c r="Z862" s="33"/>
      <c r="AA862" s="34"/>
      <c r="AB862" s="28"/>
      <c r="AC862" s="28"/>
      <c r="AD862" s="29"/>
      <c r="AF862" s="30"/>
      <c r="AG862" s="30"/>
    </row>
    <row r="863" spans="18:33" x14ac:dyDescent="0.3">
      <c r="R863" s="36"/>
      <c r="S863" s="36"/>
      <c r="T863" s="36"/>
      <c r="U863" s="36"/>
      <c r="V863" s="49"/>
      <c r="X863" s="28"/>
      <c r="Y863" s="32"/>
      <c r="Z863" s="33"/>
      <c r="AA863" s="34"/>
      <c r="AB863" s="28"/>
      <c r="AC863" s="28"/>
      <c r="AD863" s="29"/>
      <c r="AF863" s="30"/>
      <c r="AG863" s="30"/>
    </row>
    <row r="864" spans="18:33" x14ac:dyDescent="0.3">
      <c r="R864" s="36"/>
      <c r="S864" s="36"/>
      <c r="T864" s="36"/>
      <c r="U864" s="36"/>
      <c r="V864" s="49"/>
      <c r="X864" s="28"/>
      <c r="Y864" s="32"/>
      <c r="Z864" s="33"/>
      <c r="AA864" s="34"/>
      <c r="AB864" s="28"/>
      <c r="AC864" s="28"/>
      <c r="AD864" s="29"/>
      <c r="AF864" s="30"/>
      <c r="AG864" s="30"/>
    </row>
    <row r="865" spans="18:33" x14ac:dyDescent="0.3">
      <c r="R865" s="36"/>
      <c r="S865" s="36"/>
      <c r="T865" s="36"/>
      <c r="U865" s="36"/>
      <c r="V865" s="49"/>
      <c r="X865" s="28"/>
      <c r="Y865" s="32"/>
      <c r="Z865" s="33"/>
      <c r="AA865" s="34"/>
      <c r="AB865" s="28"/>
      <c r="AC865" s="28"/>
      <c r="AD865" s="29"/>
      <c r="AF865" s="30"/>
      <c r="AG865" s="30"/>
    </row>
    <row r="866" spans="18:33" x14ac:dyDescent="0.3">
      <c r="R866" s="36"/>
      <c r="S866" s="36"/>
      <c r="T866" s="36"/>
      <c r="U866" s="36"/>
      <c r="V866" s="49"/>
      <c r="X866" s="28"/>
      <c r="Y866" s="32"/>
      <c r="Z866" s="33"/>
      <c r="AA866" s="34"/>
      <c r="AB866" s="28"/>
      <c r="AC866" s="28"/>
      <c r="AD866" s="29"/>
      <c r="AF866" s="30"/>
      <c r="AG866" s="30"/>
    </row>
    <row r="867" spans="18:33" x14ac:dyDescent="0.3">
      <c r="R867" s="36"/>
      <c r="S867" s="36"/>
      <c r="T867" s="36"/>
      <c r="U867" s="36"/>
      <c r="V867" s="49"/>
      <c r="X867" s="28"/>
      <c r="Y867" s="32"/>
      <c r="Z867" s="33"/>
      <c r="AA867" s="34"/>
      <c r="AB867" s="28"/>
      <c r="AC867" s="28"/>
      <c r="AD867" s="29"/>
      <c r="AF867" s="30"/>
      <c r="AG867" s="30"/>
    </row>
    <row r="868" spans="18:33" x14ac:dyDescent="0.3">
      <c r="R868" s="36"/>
      <c r="S868" s="36"/>
      <c r="T868" s="36"/>
      <c r="U868" s="36"/>
      <c r="V868" s="49"/>
      <c r="X868" s="28"/>
      <c r="Y868" s="32"/>
      <c r="Z868" s="33"/>
      <c r="AA868" s="34"/>
      <c r="AB868" s="28"/>
      <c r="AC868" s="28"/>
      <c r="AD868" s="29"/>
      <c r="AF868" s="30"/>
      <c r="AG868" s="30"/>
    </row>
    <row r="869" spans="18:33" x14ac:dyDescent="0.3">
      <c r="R869" s="36"/>
      <c r="S869" s="36"/>
      <c r="T869" s="36"/>
      <c r="U869" s="36"/>
      <c r="V869" s="49"/>
      <c r="X869" s="28"/>
      <c r="Y869" s="32"/>
      <c r="Z869" s="33"/>
      <c r="AA869" s="34"/>
      <c r="AB869" s="28"/>
      <c r="AC869" s="28"/>
      <c r="AD869" s="29"/>
      <c r="AF869" s="30"/>
      <c r="AG869" s="30"/>
    </row>
    <row r="870" spans="18:33" x14ac:dyDescent="0.3">
      <c r="R870" s="36"/>
      <c r="S870" s="36"/>
      <c r="T870" s="36"/>
      <c r="U870" s="36"/>
      <c r="V870" s="49"/>
      <c r="X870" s="28"/>
      <c r="Y870" s="32"/>
      <c r="Z870" s="33"/>
      <c r="AA870" s="34"/>
      <c r="AB870" s="28"/>
      <c r="AC870" s="28"/>
      <c r="AD870" s="29"/>
      <c r="AF870" s="30"/>
      <c r="AG870" s="30"/>
    </row>
    <row r="871" spans="18:33" x14ac:dyDescent="0.3">
      <c r="R871" s="36"/>
      <c r="S871" s="36"/>
      <c r="T871" s="36"/>
      <c r="U871" s="36"/>
      <c r="V871" s="49"/>
      <c r="X871" s="28"/>
      <c r="Y871" s="32"/>
      <c r="Z871" s="33"/>
      <c r="AA871" s="34"/>
      <c r="AB871" s="28"/>
      <c r="AC871" s="28"/>
      <c r="AD871" s="29"/>
      <c r="AF871" s="30"/>
      <c r="AG871" s="30"/>
    </row>
    <row r="872" spans="18:33" x14ac:dyDescent="0.3">
      <c r="R872" s="36"/>
      <c r="S872" s="36"/>
      <c r="T872" s="36"/>
      <c r="U872" s="36"/>
      <c r="V872" s="49"/>
      <c r="X872" s="28"/>
      <c r="Y872" s="32"/>
      <c r="Z872" s="33"/>
      <c r="AA872" s="34"/>
      <c r="AB872" s="28"/>
      <c r="AC872" s="28"/>
      <c r="AD872" s="29"/>
      <c r="AF872" s="30"/>
      <c r="AG872" s="30"/>
    </row>
    <row r="873" spans="18:33" x14ac:dyDescent="0.3">
      <c r="R873" s="36"/>
      <c r="S873" s="36"/>
      <c r="T873" s="36"/>
      <c r="U873" s="36"/>
      <c r="V873" s="49"/>
      <c r="X873" s="28"/>
      <c r="Y873" s="32"/>
      <c r="Z873" s="33"/>
      <c r="AA873" s="34"/>
      <c r="AB873" s="28"/>
      <c r="AC873" s="28"/>
      <c r="AD873" s="29"/>
      <c r="AF873" s="30"/>
      <c r="AG873" s="30"/>
    </row>
    <row r="874" spans="18:33" x14ac:dyDescent="0.3">
      <c r="R874" s="36"/>
      <c r="S874" s="36"/>
      <c r="T874" s="36"/>
      <c r="U874" s="36"/>
      <c r="V874" s="49"/>
      <c r="X874" s="28"/>
      <c r="Y874" s="32"/>
      <c r="Z874" s="33"/>
      <c r="AA874" s="34"/>
      <c r="AB874" s="28"/>
      <c r="AC874" s="28"/>
      <c r="AD874" s="29"/>
      <c r="AF874" s="30"/>
      <c r="AG874" s="30"/>
    </row>
    <row r="875" spans="18:33" x14ac:dyDescent="0.3">
      <c r="R875" s="36"/>
      <c r="S875" s="36"/>
      <c r="T875" s="36"/>
      <c r="U875" s="36"/>
      <c r="V875" s="49"/>
      <c r="X875" s="28"/>
      <c r="Y875" s="32"/>
      <c r="Z875" s="33"/>
      <c r="AA875" s="34"/>
      <c r="AB875" s="28"/>
      <c r="AC875" s="28"/>
      <c r="AD875" s="29"/>
      <c r="AF875" s="30"/>
      <c r="AG875" s="30"/>
    </row>
    <row r="876" spans="18:33" x14ac:dyDescent="0.3">
      <c r="R876" s="36"/>
      <c r="S876" s="36"/>
      <c r="T876" s="36"/>
      <c r="U876" s="36"/>
      <c r="V876" s="49"/>
      <c r="X876" s="28"/>
      <c r="Y876" s="32"/>
      <c r="Z876" s="33"/>
      <c r="AA876" s="34"/>
      <c r="AB876" s="28"/>
      <c r="AC876" s="28"/>
      <c r="AD876" s="29"/>
      <c r="AF876" s="30"/>
      <c r="AG876" s="30"/>
    </row>
    <row r="877" spans="18:33" x14ac:dyDescent="0.3">
      <c r="R877" s="36"/>
      <c r="S877" s="36"/>
      <c r="T877" s="36"/>
      <c r="U877" s="36"/>
      <c r="V877" s="49"/>
      <c r="X877" s="28"/>
      <c r="Y877" s="32"/>
      <c r="Z877" s="33"/>
      <c r="AA877" s="34"/>
      <c r="AB877" s="28"/>
      <c r="AC877" s="28"/>
      <c r="AD877" s="29"/>
      <c r="AF877" s="30"/>
      <c r="AG877" s="30"/>
    </row>
    <row r="878" spans="18:33" x14ac:dyDescent="0.3">
      <c r="R878" s="36"/>
      <c r="S878" s="36"/>
      <c r="T878" s="36"/>
      <c r="U878" s="36"/>
      <c r="V878" s="49"/>
      <c r="X878" s="28"/>
      <c r="Y878" s="32"/>
      <c r="Z878" s="33"/>
      <c r="AA878" s="34"/>
      <c r="AB878" s="28"/>
      <c r="AC878" s="28"/>
      <c r="AD878" s="29"/>
      <c r="AF878" s="30"/>
      <c r="AG878" s="30"/>
    </row>
    <row r="879" spans="18:33" x14ac:dyDescent="0.3">
      <c r="R879" s="36"/>
      <c r="S879" s="36"/>
      <c r="T879" s="36"/>
      <c r="U879" s="36"/>
      <c r="V879" s="49"/>
      <c r="X879" s="28"/>
      <c r="Y879" s="32"/>
      <c r="Z879" s="33"/>
      <c r="AA879" s="34"/>
      <c r="AB879" s="28"/>
      <c r="AC879" s="28"/>
      <c r="AD879" s="29"/>
      <c r="AF879" s="30"/>
      <c r="AG879" s="30"/>
    </row>
    <row r="880" spans="18:33" x14ac:dyDescent="0.3">
      <c r="R880" s="36"/>
      <c r="S880" s="36"/>
      <c r="T880" s="36"/>
      <c r="U880" s="36"/>
      <c r="V880" s="49"/>
      <c r="X880" s="28"/>
      <c r="Y880" s="32"/>
      <c r="Z880" s="33"/>
      <c r="AA880" s="34"/>
      <c r="AB880" s="28"/>
      <c r="AC880" s="28"/>
      <c r="AD880" s="29"/>
      <c r="AF880" s="30"/>
      <c r="AG880" s="30"/>
    </row>
    <row r="881" spans="18:33" x14ac:dyDescent="0.3">
      <c r="R881" s="36"/>
      <c r="S881" s="36"/>
      <c r="T881" s="36"/>
      <c r="U881" s="36"/>
      <c r="V881" s="49"/>
      <c r="X881" s="28"/>
      <c r="Y881" s="32"/>
      <c r="Z881" s="33"/>
      <c r="AA881" s="34"/>
      <c r="AB881" s="28"/>
      <c r="AC881" s="28"/>
      <c r="AD881" s="29"/>
      <c r="AF881" s="30"/>
      <c r="AG881" s="30"/>
    </row>
    <row r="882" spans="18:33" x14ac:dyDescent="0.3">
      <c r="R882" s="36"/>
      <c r="S882" s="36"/>
      <c r="T882" s="36"/>
      <c r="U882" s="36"/>
      <c r="V882" s="49"/>
      <c r="X882" s="28"/>
      <c r="Y882" s="32"/>
      <c r="Z882" s="33"/>
      <c r="AA882" s="34"/>
      <c r="AB882" s="28"/>
      <c r="AC882" s="28"/>
      <c r="AD882" s="29"/>
      <c r="AF882" s="30"/>
      <c r="AG882" s="30"/>
    </row>
    <row r="883" spans="18:33" x14ac:dyDescent="0.3">
      <c r="R883" s="36"/>
      <c r="S883" s="36"/>
      <c r="T883" s="36"/>
      <c r="U883" s="36"/>
      <c r="V883" s="49"/>
      <c r="X883" s="28"/>
      <c r="Y883" s="32"/>
      <c r="Z883" s="33"/>
      <c r="AA883" s="34"/>
      <c r="AB883" s="28"/>
      <c r="AC883" s="28"/>
      <c r="AD883" s="29"/>
      <c r="AF883" s="30"/>
      <c r="AG883" s="30"/>
    </row>
    <row r="884" spans="18:33" x14ac:dyDescent="0.3">
      <c r="R884" s="36"/>
      <c r="S884" s="36"/>
      <c r="T884" s="36"/>
      <c r="U884" s="36"/>
      <c r="V884" s="49"/>
      <c r="X884" s="28"/>
      <c r="Y884" s="32"/>
      <c r="Z884" s="33"/>
      <c r="AA884" s="34"/>
      <c r="AB884" s="28"/>
      <c r="AC884" s="28"/>
      <c r="AD884" s="29"/>
      <c r="AF884" s="30"/>
      <c r="AG884" s="30"/>
    </row>
    <row r="885" spans="18:33" x14ac:dyDescent="0.3">
      <c r="R885" s="36"/>
      <c r="S885" s="36"/>
      <c r="T885" s="36"/>
      <c r="U885" s="36"/>
      <c r="V885" s="49"/>
      <c r="X885" s="28"/>
      <c r="Y885" s="32"/>
      <c r="Z885" s="33"/>
      <c r="AA885" s="34"/>
      <c r="AB885" s="28"/>
      <c r="AC885" s="28"/>
      <c r="AD885" s="29"/>
      <c r="AF885" s="30"/>
      <c r="AG885" s="30"/>
    </row>
    <row r="886" spans="18:33" x14ac:dyDescent="0.3">
      <c r="R886" s="36"/>
      <c r="S886" s="36"/>
      <c r="T886" s="36"/>
      <c r="U886" s="36"/>
      <c r="V886" s="49"/>
      <c r="X886" s="28"/>
      <c r="Y886" s="32"/>
      <c r="Z886" s="33"/>
      <c r="AA886" s="34"/>
      <c r="AB886" s="28"/>
      <c r="AC886" s="28"/>
      <c r="AD886" s="29"/>
      <c r="AF886" s="30"/>
      <c r="AG886" s="30"/>
    </row>
    <row r="887" spans="18:33" x14ac:dyDescent="0.3">
      <c r="R887" s="36"/>
      <c r="S887" s="36"/>
      <c r="T887" s="36"/>
      <c r="U887" s="36"/>
      <c r="V887" s="49"/>
      <c r="X887" s="28"/>
      <c r="Y887" s="32"/>
      <c r="Z887" s="33"/>
      <c r="AA887" s="34"/>
      <c r="AB887" s="28"/>
      <c r="AC887" s="28"/>
      <c r="AD887" s="29"/>
      <c r="AF887" s="30"/>
      <c r="AG887" s="30"/>
    </row>
    <row r="888" spans="18:33" x14ac:dyDescent="0.3">
      <c r="R888" s="36"/>
      <c r="S888" s="36"/>
      <c r="T888" s="36"/>
      <c r="U888" s="36"/>
      <c r="V888" s="49"/>
      <c r="X888" s="28"/>
      <c r="Y888" s="32"/>
      <c r="Z888" s="33"/>
      <c r="AA888" s="34"/>
      <c r="AB888" s="28"/>
      <c r="AC888" s="28"/>
      <c r="AD888" s="29"/>
      <c r="AF888" s="30"/>
      <c r="AG888" s="30"/>
    </row>
    <row r="889" spans="18:33" x14ac:dyDescent="0.3">
      <c r="R889" s="36"/>
      <c r="S889" s="36"/>
      <c r="T889" s="36"/>
      <c r="U889" s="36"/>
      <c r="V889" s="49"/>
      <c r="X889" s="28"/>
      <c r="Y889" s="32"/>
      <c r="Z889" s="33"/>
      <c r="AA889" s="34"/>
      <c r="AB889" s="28"/>
      <c r="AC889" s="28"/>
      <c r="AD889" s="29"/>
      <c r="AF889" s="30"/>
      <c r="AG889" s="30"/>
    </row>
    <row r="890" spans="18:33" x14ac:dyDescent="0.3">
      <c r="R890" s="36"/>
      <c r="S890" s="36"/>
      <c r="T890" s="36"/>
      <c r="U890" s="36"/>
      <c r="V890" s="49"/>
      <c r="X890" s="28"/>
      <c r="Y890" s="32"/>
      <c r="Z890" s="33"/>
      <c r="AA890" s="34"/>
      <c r="AB890" s="28"/>
      <c r="AC890" s="28"/>
      <c r="AD890" s="29"/>
      <c r="AF890" s="30"/>
      <c r="AG890" s="30"/>
    </row>
    <row r="891" spans="18:33" x14ac:dyDescent="0.3">
      <c r="R891" s="36"/>
      <c r="S891" s="36"/>
      <c r="T891" s="36"/>
      <c r="U891" s="36"/>
      <c r="V891" s="49"/>
      <c r="X891" s="28"/>
      <c r="Y891" s="32"/>
      <c r="Z891" s="33"/>
      <c r="AA891" s="34"/>
      <c r="AB891" s="28"/>
      <c r="AC891" s="28"/>
      <c r="AD891" s="29"/>
      <c r="AF891" s="30"/>
      <c r="AG891" s="30"/>
    </row>
    <row r="892" spans="18:33" x14ac:dyDescent="0.3">
      <c r="R892" s="36"/>
      <c r="S892" s="36"/>
      <c r="T892" s="36"/>
      <c r="U892" s="36"/>
      <c r="V892" s="49"/>
      <c r="X892" s="28"/>
      <c r="Y892" s="32"/>
      <c r="Z892" s="33"/>
      <c r="AA892" s="34"/>
      <c r="AB892" s="28"/>
      <c r="AC892" s="28"/>
      <c r="AD892" s="29"/>
      <c r="AF892" s="30"/>
      <c r="AG892" s="30"/>
    </row>
    <row r="893" spans="18:33" x14ac:dyDescent="0.3">
      <c r="R893" s="36"/>
      <c r="S893" s="36"/>
      <c r="T893" s="36"/>
      <c r="U893" s="36"/>
      <c r="V893" s="49"/>
      <c r="X893" s="28"/>
      <c r="Y893" s="32"/>
      <c r="Z893" s="33"/>
      <c r="AA893" s="34"/>
      <c r="AB893" s="28"/>
      <c r="AC893" s="28"/>
      <c r="AD893" s="29"/>
      <c r="AF893" s="30"/>
      <c r="AG893" s="30"/>
    </row>
    <row r="894" spans="18:33" x14ac:dyDescent="0.3">
      <c r="R894" s="36"/>
      <c r="S894" s="36"/>
      <c r="T894" s="36"/>
      <c r="U894" s="36"/>
      <c r="V894" s="49"/>
      <c r="X894" s="28"/>
      <c r="Y894" s="32"/>
      <c r="Z894" s="33"/>
      <c r="AA894" s="34"/>
      <c r="AB894" s="28"/>
      <c r="AC894" s="28"/>
      <c r="AD894" s="29"/>
      <c r="AF894" s="30"/>
      <c r="AG894" s="30"/>
    </row>
    <row r="895" spans="18:33" x14ac:dyDescent="0.3">
      <c r="R895" s="36"/>
      <c r="S895" s="36"/>
      <c r="T895" s="36"/>
      <c r="U895" s="36"/>
      <c r="V895" s="49"/>
      <c r="X895" s="28"/>
      <c r="Y895" s="32"/>
      <c r="Z895" s="33"/>
      <c r="AA895" s="34"/>
      <c r="AB895" s="28"/>
      <c r="AC895" s="28"/>
      <c r="AD895" s="29"/>
      <c r="AF895" s="30"/>
      <c r="AG895" s="30"/>
    </row>
    <row r="896" spans="18:33" x14ac:dyDescent="0.3">
      <c r="R896" s="36"/>
      <c r="S896" s="36"/>
      <c r="T896" s="36"/>
      <c r="U896" s="36"/>
      <c r="V896" s="49"/>
      <c r="X896" s="28"/>
      <c r="Y896" s="32"/>
      <c r="Z896" s="33"/>
      <c r="AA896" s="34"/>
      <c r="AB896" s="28"/>
      <c r="AC896" s="28"/>
      <c r="AD896" s="29"/>
      <c r="AF896" s="30"/>
      <c r="AG896" s="30"/>
    </row>
    <row r="897" spans="18:33" x14ac:dyDescent="0.3">
      <c r="R897" s="36"/>
      <c r="S897" s="36"/>
      <c r="T897" s="36"/>
      <c r="U897" s="36"/>
      <c r="V897" s="49"/>
      <c r="X897" s="28"/>
      <c r="Y897" s="32"/>
      <c r="Z897" s="33"/>
      <c r="AA897" s="34"/>
      <c r="AB897" s="28"/>
      <c r="AC897" s="28"/>
      <c r="AD897" s="29"/>
      <c r="AF897" s="30"/>
      <c r="AG897" s="30"/>
    </row>
    <row r="898" spans="18:33" x14ac:dyDescent="0.3">
      <c r="R898" s="36"/>
      <c r="S898" s="36"/>
      <c r="T898" s="36"/>
      <c r="U898" s="36"/>
      <c r="V898" s="49"/>
      <c r="X898" s="28"/>
      <c r="Y898" s="32"/>
      <c r="Z898" s="33"/>
      <c r="AA898" s="34"/>
      <c r="AB898" s="28"/>
      <c r="AC898" s="28"/>
      <c r="AD898" s="29"/>
      <c r="AF898" s="30"/>
      <c r="AG898" s="30"/>
    </row>
    <row r="899" spans="18:33" x14ac:dyDescent="0.3">
      <c r="R899" s="36"/>
      <c r="S899" s="36"/>
      <c r="T899" s="36"/>
      <c r="U899" s="36"/>
      <c r="V899" s="49"/>
      <c r="X899" s="28"/>
      <c r="Y899" s="32"/>
      <c r="Z899" s="33"/>
      <c r="AA899" s="34"/>
      <c r="AB899" s="28"/>
      <c r="AC899" s="28"/>
      <c r="AD899" s="29"/>
      <c r="AF899" s="30"/>
      <c r="AG899" s="30"/>
    </row>
    <row r="900" spans="18:33" x14ac:dyDescent="0.3">
      <c r="R900" s="36"/>
      <c r="S900" s="36"/>
      <c r="T900" s="36"/>
      <c r="U900" s="36"/>
      <c r="V900" s="49"/>
      <c r="X900" s="28"/>
      <c r="Y900" s="32"/>
      <c r="Z900" s="33"/>
      <c r="AA900" s="34"/>
      <c r="AB900" s="28"/>
      <c r="AC900" s="28"/>
      <c r="AD900" s="29"/>
      <c r="AF900" s="30"/>
      <c r="AG900" s="30"/>
    </row>
    <row r="901" spans="18:33" x14ac:dyDescent="0.3">
      <c r="R901" s="36"/>
      <c r="S901" s="36"/>
      <c r="T901" s="36"/>
      <c r="U901" s="36"/>
      <c r="V901" s="49"/>
      <c r="X901" s="28"/>
      <c r="Y901" s="32"/>
      <c r="Z901" s="33"/>
      <c r="AA901" s="34"/>
      <c r="AB901" s="28"/>
      <c r="AC901" s="28"/>
      <c r="AD901" s="29"/>
      <c r="AF901" s="30"/>
      <c r="AG901" s="30"/>
    </row>
    <row r="902" spans="18:33" x14ac:dyDescent="0.3">
      <c r="R902" s="36"/>
      <c r="S902" s="36"/>
      <c r="T902" s="36"/>
      <c r="U902" s="36"/>
      <c r="V902" s="49"/>
      <c r="X902" s="28"/>
      <c r="Y902" s="32"/>
      <c r="Z902" s="33"/>
      <c r="AA902" s="34"/>
      <c r="AB902" s="28"/>
      <c r="AC902" s="28"/>
      <c r="AD902" s="29"/>
      <c r="AF902" s="30"/>
      <c r="AG902" s="30"/>
    </row>
    <row r="903" spans="18:33" x14ac:dyDescent="0.3">
      <c r="R903" s="36"/>
      <c r="S903" s="36"/>
      <c r="T903" s="36"/>
      <c r="U903" s="36"/>
      <c r="V903" s="49"/>
      <c r="X903" s="28"/>
      <c r="Y903" s="32"/>
      <c r="Z903" s="33"/>
      <c r="AA903" s="34"/>
      <c r="AB903" s="28"/>
      <c r="AC903" s="28"/>
      <c r="AD903" s="29"/>
      <c r="AF903" s="30"/>
      <c r="AG903" s="30"/>
    </row>
    <row r="904" spans="18:33" x14ac:dyDescent="0.3">
      <c r="R904" s="36"/>
      <c r="S904" s="36"/>
      <c r="T904" s="36"/>
      <c r="U904" s="36"/>
      <c r="V904" s="49"/>
      <c r="X904" s="28"/>
      <c r="Y904" s="32"/>
      <c r="Z904" s="33"/>
      <c r="AA904" s="34"/>
      <c r="AB904" s="28"/>
      <c r="AC904" s="28"/>
      <c r="AD904" s="29"/>
      <c r="AF904" s="30"/>
      <c r="AG904" s="30"/>
    </row>
    <row r="905" spans="18:33" x14ac:dyDescent="0.3">
      <c r="R905" s="36"/>
      <c r="S905" s="36"/>
      <c r="T905" s="36"/>
      <c r="U905" s="36"/>
      <c r="V905" s="49"/>
      <c r="X905" s="28"/>
      <c r="Y905" s="32"/>
      <c r="Z905" s="33"/>
      <c r="AA905" s="34"/>
      <c r="AB905" s="28"/>
      <c r="AC905" s="28"/>
      <c r="AD905" s="29"/>
      <c r="AF905" s="30"/>
      <c r="AG905" s="30"/>
    </row>
    <row r="906" spans="18:33" x14ac:dyDescent="0.3">
      <c r="R906" s="36"/>
      <c r="S906" s="36"/>
      <c r="T906" s="36"/>
      <c r="U906" s="36"/>
      <c r="V906" s="49"/>
      <c r="X906" s="28"/>
      <c r="Y906" s="32"/>
      <c r="Z906" s="33"/>
      <c r="AA906" s="34"/>
      <c r="AB906" s="28"/>
      <c r="AC906" s="28"/>
      <c r="AD906" s="29"/>
      <c r="AF906" s="30"/>
      <c r="AG906" s="30"/>
    </row>
    <row r="907" spans="18:33" x14ac:dyDescent="0.3">
      <c r="R907" s="36"/>
      <c r="S907" s="36"/>
      <c r="T907" s="36"/>
      <c r="U907" s="36"/>
      <c r="V907" s="49"/>
      <c r="X907" s="28"/>
      <c r="Y907" s="32"/>
      <c r="Z907" s="33"/>
      <c r="AA907" s="34"/>
      <c r="AB907" s="28"/>
      <c r="AC907" s="28"/>
      <c r="AD907" s="29"/>
      <c r="AF907" s="30"/>
      <c r="AG907" s="30"/>
    </row>
    <row r="908" spans="18:33" x14ac:dyDescent="0.3">
      <c r="R908" s="36"/>
      <c r="S908" s="36"/>
      <c r="T908" s="36"/>
      <c r="U908" s="36"/>
      <c r="V908" s="49"/>
      <c r="X908" s="28"/>
      <c r="Y908" s="32"/>
      <c r="Z908" s="33"/>
      <c r="AA908" s="34"/>
      <c r="AB908" s="28"/>
      <c r="AC908" s="28"/>
      <c r="AD908" s="29"/>
      <c r="AF908" s="30"/>
      <c r="AG908" s="30"/>
    </row>
    <row r="909" spans="18:33" x14ac:dyDescent="0.3">
      <c r="R909" s="36"/>
      <c r="S909" s="36"/>
      <c r="T909" s="36"/>
      <c r="U909" s="36"/>
      <c r="V909" s="49"/>
      <c r="X909" s="28"/>
      <c r="Y909" s="32"/>
      <c r="Z909" s="33"/>
      <c r="AA909" s="34"/>
      <c r="AB909" s="28"/>
      <c r="AC909" s="28"/>
      <c r="AD909" s="29"/>
      <c r="AF909" s="30"/>
      <c r="AG909" s="30"/>
    </row>
    <row r="910" spans="18:33" x14ac:dyDescent="0.3">
      <c r="R910" s="36"/>
      <c r="S910" s="36"/>
      <c r="T910" s="36"/>
      <c r="U910" s="36"/>
      <c r="V910" s="49"/>
      <c r="X910" s="28"/>
      <c r="Y910" s="32"/>
      <c r="Z910" s="33"/>
      <c r="AA910" s="34"/>
      <c r="AB910" s="28"/>
      <c r="AC910" s="28"/>
      <c r="AD910" s="29"/>
      <c r="AF910" s="30"/>
      <c r="AG910" s="30"/>
    </row>
    <row r="911" spans="18:33" x14ac:dyDescent="0.3">
      <c r="R911" s="36"/>
      <c r="S911" s="36"/>
      <c r="T911" s="36"/>
      <c r="U911" s="36"/>
      <c r="V911" s="49"/>
      <c r="X911" s="28"/>
      <c r="Y911" s="32"/>
      <c r="Z911" s="33"/>
      <c r="AA911" s="34"/>
      <c r="AB911" s="28"/>
      <c r="AC911" s="28"/>
      <c r="AD911" s="29"/>
      <c r="AF911" s="30"/>
      <c r="AG911" s="30"/>
    </row>
    <row r="912" spans="18:33" x14ac:dyDescent="0.3">
      <c r="R912" s="36"/>
      <c r="S912" s="36"/>
      <c r="T912" s="36"/>
      <c r="U912" s="36"/>
      <c r="V912" s="49"/>
      <c r="X912" s="28"/>
      <c r="Y912" s="32"/>
      <c r="Z912" s="33"/>
      <c r="AA912" s="34"/>
      <c r="AB912" s="28"/>
      <c r="AC912" s="28"/>
      <c r="AD912" s="29"/>
      <c r="AF912" s="30"/>
      <c r="AG912" s="30"/>
    </row>
    <row r="913" spans="18:33" x14ac:dyDescent="0.3">
      <c r="R913" s="36"/>
      <c r="S913" s="36"/>
      <c r="T913" s="36"/>
      <c r="U913" s="36"/>
      <c r="V913" s="49"/>
      <c r="X913" s="28"/>
      <c r="Y913" s="32"/>
      <c r="Z913" s="33"/>
      <c r="AA913" s="34"/>
      <c r="AB913" s="28"/>
      <c r="AC913" s="28"/>
      <c r="AD913" s="29"/>
      <c r="AF913" s="30"/>
      <c r="AG913" s="30"/>
    </row>
    <row r="914" spans="18:33" x14ac:dyDescent="0.3">
      <c r="R914" s="36"/>
      <c r="S914" s="36"/>
      <c r="T914" s="36"/>
      <c r="U914" s="36"/>
      <c r="V914" s="49"/>
      <c r="X914" s="28"/>
      <c r="Y914" s="32"/>
      <c r="Z914" s="33"/>
      <c r="AA914" s="34"/>
      <c r="AB914" s="28"/>
      <c r="AC914" s="28"/>
      <c r="AD914" s="29"/>
      <c r="AF914" s="30"/>
      <c r="AG914" s="30"/>
    </row>
    <row r="915" spans="18:33" x14ac:dyDescent="0.3">
      <c r="R915" s="36"/>
      <c r="S915" s="36"/>
      <c r="T915" s="36"/>
      <c r="U915" s="36"/>
      <c r="V915" s="49"/>
      <c r="X915" s="28"/>
      <c r="Y915" s="32"/>
      <c r="Z915" s="33"/>
      <c r="AA915" s="34"/>
      <c r="AB915" s="28"/>
      <c r="AC915" s="28"/>
      <c r="AD915" s="29"/>
      <c r="AF915" s="30"/>
      <c r="AG915" s="30"/>
    </row>
    <row r="916" spans="18:33" x14ac:dyDescent="0.3">
      <c r="R916" s="36"/>
      <c r="S916" s="36"/>
      <c r="T916" s="36"/>
      <c r="U916" s="36"/>
      <c r="V916" s="49"/>
      <c r="X916" s="28"/>
      <c r="Y916" s="32"/>
      <c r="Z916" s="33"/>
      <c r="AA916" s="34"/>
      <c r="AB916" s="28"/>
      <c r="AC916" s="28"/>
      <c r="AD916" s="29"/>
      <c r="AF916" s="30"/>
      <c r="AG916" s="30"/>
    </row>
    <row r="917" spans="18:33" x14ac:dyDescent="0.3">
      <c r="R917" s="36"/>
      <c r="S917" s="36"/>
      <c r="T917" s="36"/>
      <c r="U917" s="36"/>
      <c r="V917" s="49"/>
      <c r="X917" s="28"/>
      <c r="Y917" s="32"/>
      <c r="Z917" s="33"/>
      <c r="AA917" s="34"/>
      <c r="AB917" s="28"/>
      <c r="AC917" s="28"/>
      <c r="AD917" s="29"/>
      <c r="AF917" s="30"/>
      <c r="AG917" s="30"/>
    </row>
    <row r="918" spans="18:33" x14ac:dyDescent="0.3">
      <c r="R918" s="36"/>
      <c r="S918" s="36"/>
      <c r="T918" s="36"/>
      <c r="U918" s="36"/>
      <c r="V918" s="49"/>
      <c r="X918" s="28"/>
      <c r="Y918" s="32"/>
      <c r="Z918" s="33"/>
      <c r="AA918" s="34"/>
      <c r="AB918" s="28"/>
      <c r="AC918" s="28"/>
      <c r="AD918" s="29"/>
      <c r="AF918" s="30"/>
      <c r="AG918" s="30"/>
    </row>
    <row r="919" spans="18:33" x14ac:dyDescent="0.3">
      <c r="R919" s="36"/>
      <c r="S919" s="36"/>
      <c r="T919" s="36"/>
      <c r="U919" s="36"/>
      <c r="V919" s="49"/>
      <c r="X919" s="28"/>
      <c r="Y919" s="32"/>
      <c r="Z919" s="33"/>
      <c r="AA919" s="34"/>
      <c r="AB919" s="28"/>
      <c r="AC919" s="28"/>
      <c r="AD919" s="29"/>
      <c r="AF919" s="30"/>
      <c r="AG919" s="30"/>
    </row>
    <row r="920" spans="18:33" x14ac:dyDescent="0.3">
      <c r="R920" s="36"/>
      <c r="S920" s="36"/>
      <c r="T920" s="36"/>
      <c r="U920" s="36"/>
      <c r="V920" s="49"/>
      <c r="X920" s="28"/>
      <c r="Y920" s="32"/>
      <c r="Z920" s="33"/>
      <c r="AA920" s="34"/>
      <c r="AB920" s="28"/>
      <c r="AC920" s="28"/>
      <c r="AD920" s="29"/>
      <c r="AF920" s="30"/>
      <c r="AG920" s="30"/>
    </row>
    <row r="921" spans="18:33" x14ac:dyDescent="0.3">
      <c r="R921" s="36"/>
      <c r="S921" s="36"/>
      <c r="T921" s="36"/>
      <c r="U921" s="36"/>
      <c r="V921" s="49"/>
      <c r="X921" s="28"/>
      <c r="Y921" s="32"/>
      <c r="Z921" s="33"/>
      <c r="AA921" s="34"/>
      <c r="AB921" s="28"/>
      <c r="AC921" s="28"/>
      <c r="AD921" s="29"/>
      <c r="AF921" s="30"/>
      <c r="AG921" s="30"/>
    </row>
    <row r="922" spans="18:33" x14ac:dyDescent="0.3">
      <c r="R922" s="36"/>
      <c r="S922" s="36"/>
      <c r="T922" s="36"/>
      <c r="U922" s="36"/>
      <c r="V922" s="49"/>
      <c r="X922" s="28"/>
      <c r="Y922" s="32"/>
      <c r="Z922" s="33"/>
      <c r="AA922" s="34"/>
      <c r="AB922" s="28"/>
      <c r="AC922" s="28"/>
      <c r="AD922" s="29"/>
      <c r="AF922" s="30"/>
      <c r="AG922" s="30"/>
    </row>
    <row r="923" spans="18:33" x14ac:dyDescent="0.3">
      <c r="R923" s="36"/>
      <c r="S923" s="36"/>
      <c r="T923" s="36"/>
      <c r="U923" s="36"/>
      <c r="V923" s="49"/>
      <c r="X923" s="28"/>
      <c r="Y923" s="32"/>
      <c r="Z923" s="33"/>
      <c r="AA923" s="34"/>
      <c r="AB923" s="28"/>
      <c r="AC923" s="28"/>
      <c r="AD923" s="29"/>
      <c r="AF923" s="30"/>
      <c r="AG923" s="30"/>
    </row>
    <row r="924" spans="18:33" x14ac:dyDescent="0.3">
      <c r="R924" s="36"/>
      <c r="S924" s="36"/>
      <c r="T924" s="36"/>
      <c r="U924" s="36"/>
      <c r="V924" s="49"/>
      <c r="X924" s="28"/>
      <c r="Y924" s="32"/>
      <c r="Z924" s="33"/>
      <c r="AA924" s="34"/>
      <c r="AB924" s="28"/>
      <c r="AC924" s="28"/>
      <c r="AD924" s="29"/>
      <c r="AF924" s="30"/>
      <c r="AG924" s="30"/>
    </row>
    <row r="925" spans="18:33" x14ac:dyDescent="0.3">
      <c r="R925" s="36"/>
      <c r="S925" s="36"/>
      <c r="T925" s="36"/>
      <c r="U925" s="36"/>
      <c r="V925" s="49"/>
      <c r="X925" s="28"/>
      <c r="Y925" s="32"/>
      <c r="Z925" s="33"/>
      <c r="AA925" s="34"/>
      <c r="AB925" s="28"/>
      <c r="AC925" s="28"/>
      <c r="AD925" s="29"/>
      <c r="AF925" s="30"/>
      <c r="AG925" s="30"/>
    </row>
    <row r="926" spans="18:33" x14ac:dyDescent="0.3">
      <c r="R926" s="36"/>
      <c r="S926" s="36"/>
      <c r="T926" s="36"/>
      <c r="U926" s="36"/>
      <c r="V926" s="49"/>
      <c r="X926" s="28"/>
      <c r="Y926" s="32"/>
      <c r="Z926" s="33"/>
      <c r="AA926" s="34"/>
      <c r="AB926" s="28"/>
      <c r="AC926" s="28"/>
      <c r="AD926" s="29"/>
      <c r="AF926" s="30"/>
      <c r="AG926" s="30"/>
    </row>
    <row r="927" spans="18:33" x14ac:dyDescent="0.3">
      <c r="R927" s="36"/>
      <c r="S927" s="36"/>
      <c r="T927" s="36"/>
      <c r="U927" s="36"/>
      <c r="V927" s="49"/>
      <c r="X927" s="28"/>
      <c r="Y927" s="32"/>
      <c r="Z927" s="33"/>
      <c r="AA927" s="34"/>
      <c r="AB927" s="28"/>
      <c r="AC927" s="28"/>
      <c r="AD927" s="29"/>
      <c r="AF927" s="30"/>
      <c r="AG927" s="30"/>
    </row>
    <row r="928" spans="18:33" x14ac:dyDescent="0.3">
      <c r="R928" s="36"/>
      <c r="S928" s="36"/>
      <c r="T928" s="36"/>
      <c r="U928" s="36"/>
      <c r="V928" s="49"/>
      <c r="X928" s="28"/>
      <c r="Y928" s="32"/>
      <c r="Z928" s="33"/>
      <c r="AA928" s="34"/>
      <c r="AB928" s="28"/>
      <c r="AC928" s="28"/>
      <c r="AD928" s="29"/>
      <c r="AF928" s="30"/>
      <c r="AG928" s="30"/>
    </row>
    <row r="929" spans="18:33" x14ac:dyDescent="0.3">
      <c r="R929" s="36"/>
      <c r="S929" s="36"/>
      <c r="T929" s="36"/>
      <c r="U929" s="36"/>
      <c r="V929" s="49"/>
      <c r="X929" s="28"/>
      <c r="Y929" s="32"/>
      <c r="Z929" s="33"/>
      <c r="AA929" s="34"/>
      <c r="AB929" s="28"/>
      <c r="AC929" s="28"/>
      <c r="AD929" s="29"/>
      <c r="AF929" s="30"/>
      <c r="AG929" s="30"/>
    </row>
    <row r="930" spans="18:33" x14ac:dyDescent="0.3">
      <c r="R930" s="36"/>
      <c r="S930" s="36"/>
      <c r="T930" s="36"/>
      <c r="U930" s="36"/>
      <c r="V930" s="49"/>
      <c r="X930" s="28"/>
      <c r="Y930" s="32"/>
      <c r="Z930" s="33"/>
      <c r="AA930" s="34"/>
      <c r="AB930" s="28"/>
      <c r="AC930" s="28"/>
      <c r="AD930" s="29"/>
      <c r="AF930" s="30"/>
      <c r="AG930" s="30"/>
    </row>
    <row r="931" spans="18:33" x14ac:dyDescent="0.3">
      <c r="R931" s="36"/>
      <c r="S931" s="36"/>
      <c r="T931" s="36"/>
      <c r="U931" s="36"/>
      <c r="V931" s="49"/>
      <c r="X931" s="28"/>
      <c r="Y931" s="32"/>
      <c r="Z931" s="33"/>
      <c r="AA931" s="34"/>
      <c r="AB931" s="28"/>
      <c r="AC931" s="28"/>
      <c r="AD931" s="29"/>
      <c r="AF931" s="30"/>
      <c r="AG931" s="30"/>
    </row>
    <row r="932" spans="18:33" x14ac:dyDescent="0.3">
      <c r="R932" s="36"/>
      <c r="S932" s="36"/>
      <c r="T932" s="36"/>
      <c r="U932" s="36"/>
      <c r="V932" s="49"/>
      <c r="X932" s="28"/>
      <c r="Y932" s="32"/>
      <c r="Z932" s="33"/>
      <c r="AA932" s="34"/>
      <c r="AB932" s="28"/>
      <c r="AC932" s="28"/>
      <c r="AD932" s="29"/>
      <c r="AF932" s="30"/>
      <c r="AG932" s="30"/>
    </row>
    <row r="933" spans="18:33" x14ac:dyDescent="0.3">
      <c r="R933" s="36"/>
      <c r="S933" s="36"/>
      <c r="T933" s="36"/>
      <c r="U933" s="36"/>
      <c r="V933" s="49"/>
      <c r="X933" s="28"/>
      <c r="Y933" s="32"/>
      <c r="Z933" s="33"/>
      <c r="AA933" s="34"/>
      <c r="AB933" s="28"/>
      <c r="AC933" s="28"/>
      <c r="AD933" s="29"/>
      <c r="AF933" s="30"/>
      <c r="AG933" s="30"/>
    </row>
    <row r="934" spans="18:33" x14ac:dyDescent="0.3">
      <c r="R934" s="36"/>
      <c r="S934" s="36"/>
      <c r="T934" s="36"/>
      <c r="U934" s="36"/>
      <c r="V934" s="49"/>
      <c r="X934" s="28"/>
      <c r="Y934" s="32"/>
      <c r="Z934" s="33"/>
      <c r="AA934" s="34"/>
      <c r="AB934" s="28"/>
      <c r="AC934" s="28"/>
      <c r="AD934" s="29"/>
      <c r="AF934" s="30"/>
      <c r="AG934" s="30"/>
    </row>
    <row r="935" spans="18:33" x14ac:dyDescent="0.3">
      <c r="R935" s="36"/>
      <c r="S935" s="36"/>
      <c r="T935" s="36"/>
      <c r="U935" s="36"/>
      <c r="V935" s="49"/>
      <c r="X935" s="28"/>
      <c r="Y935" s="32"/>
      <c r="Z935" s="33"/>
      <c r="AA935" s="34"/>
      <c r="AB935" s="28"/>
      <c r="AC935" s="28"/>
      <c r="AD935" s="29"/>
      <c r="AF935" s="30"/>
      <c r="AG935" s="30"/>
    </row>
    <row r="936" spans="18:33" x14ac:dyDescent="0.3">
      <c r="R936" s="36"/>
      <c r="S936" s="36"/>
      <c r="T936" s="36"/>
      <c r="U936" s="36"/>
      <c r="V936" s="49"/>
      <c r="X936" s="28"/>
      <c r="Y936" s="32"/>
      <c r="Z936" s="33"/>
      <c r="AA936" s="34"/>
      <c r="AB936" s="28"/>
      <c r="AC936" s="28"/>
      <c r="AD936" s="29"/>
      <c r="AF936" s="30"/>
      <c r="AG936" s="30"/>
    </row>
    <row r="937" spans="18:33" x14ac:dyDescent="0.3">
      <c r="R937" s="36"/>
      <c r="S937" s="36"/>
      <c r="T937" s="36"/>
      <c r="U937" s="36"/>
      <c r="V937" s="49"/>
      <c r="X937" s="28"/>
      <c r="Y937" s="32"/>
      <c r="Z937" s="33"/>
      <c r="AA937" s="34"/>
      <c r="AB937" s="28"/>
      <c r="AC937" s="28"/>
      <c r="AD937" s="29"/>
      <c r="AF937" s="30"/>
      <c r="AG937" s="30"/>
    </row>
    <row r="938" spans="18:33" x14ac:dyDescent="0.3">
      <c r="R938" s="36"/>
      <c r="S938" s="36"/>
      <c r="T938" s="36"/>
      <c r="U938" s="36"/>
      <c r="V938" s="49"/>
      <c r="X938" s="28"/>
      <c r="Y938" s="32"/>
      <c r="Z938" s="33"/>
      <c r="AA938" s="34"/>
      <c r="AB938" s="28"/>
      <c r="AC938" s="28"/>
      <c r="AD938" s="29"/>
      <c r="AF938" s="30"/>
      <c r="AG938" s="30"/>
    </row>
    <row r="939" spans="18:33" x14ac:dyDescent="0.3">
      <c r="R939" s="36"/>
      <c r="S939" s="36"/>
      <c r="T939" s="36"/>
      <c r="U939" s="36"/>
      <c r="V939" s="49"/>
      <c r="X939" s="28"/>
      <c r="Y939" s="32"/>
      <c r="Z939" s="33"/>
      <c r="AA939" s="34"/>
      <c r="AB939" s="28"/>
      <c r="AC939" s="28"/>
      <c r="AD939" s="29"/>
      <c r="AF939" s="30"/>
      <c r="AG939" s="30"/>
    </row>
    <row r="940" spans="18:33" x14ac:dyDescent="0.3">
      <c r="R940" s="36"/>
      <c r="S940" s="36"/>
      <c r="T940" s="36"/>
      <c r="U940" s="36"/>
      <c r="V940" s="49"/>
      <c r="X940" s="28"/>
      <c r="Y940" s="32"/>
      <c r="Z940" s="33"/>
      <c r="AA940" s="34"/>
      <c r="AB940" s="28"/>
      <c r="AC940" s="28"/>
      <c r="AD940" s="29"/>
      <c r="AF940" s="30"/>
      <c r="AG940" s="30"/>
    </row>
    <row r="941" spans="18:33" x14ac:dyDescent="0.3">
      <c r="R941" s="36"/>
      <c r="S941" s="36"/>
      <c r="T941" s="36"/>
      <c r="U941" s="36"/>
      <c r="V941" s="49"/>
      <c r="X941" s="28"/>
      <c r="Y941" s="32"/>
      <c r="Z941" s="33"/>
      <c r="AA941" s="34"/>
      <c r="AB941" s="28"/>
      <c r="AC941" s="28"/>
      <c r="AD941" s="29"/>
      <c r="AF941" s="30"/>
      <c r="AG941" s="30"/>
    </row>
    <row r="942" spans="18:33" x14ac:dyDescent="0.3">
      <c r="R942" s="36"/>
      <c r="S942" s="36"/>
      <c r="T942" s="36"/>
      <c r="U942" s="36"/>
      <c r="V942" s="49"/>
      <c r="X942" s="28"/>
      <c r="Y942" s="32"/>
      <c r="Z942" s="33"/>
      <c r="AA942" s="34"/>
      <c r="AB942" s="28"/>
      <c r="AC942" s="28"/>
      <c r="AD942" s="29"/>
      <c r="AF942" s="30"/>
      <c r="AG942" s="30"/>
    </row>
    <row r="943" spans="18:33" x14ac:dyDescent="0.3">
      <c r="R943" s="36"/>
      <c r="S943" s="36"/>
      <c r="T943" s="36"/>
      <c r="U943" s="36"/>
      <c r="V943" s="49"/>
      <c r="X943" s="28"/>
      <c r="Y943" s="32"/>
      <c r="Z943" s="33"/>
      <c r="AA943" s="34"/>
      <c r="AB943" s="28"/>
      <c r="AC943" s="28"/>
      <c r="AD943" s="29"/>
      <c r="AF943" s="30"/>
      <c r="AG943" s="30"/>
    </row>
    <row r="944" spans="18:33" x14ac:dyDescent="0.3">
      <c r="R944" s="36"/>
      <c r="S944" s="36"/>
      <c r="T944" s="36"/>
      <c r="U944" s="36"/>
      <c r="V944" s="49"/>
      <c r="X944" s="28"/>
      <c r="Y944" s="32"/>
      <c r="Z944" s="33"/>
      <c r="AA944" s="34"/>
      <c r="AB944" s="28"/>
      <c r="AC944" s="28"/>
      <c r="AD944" s="29"/>
      <c r="AF944" s="30"/>
      <c r="AG944" s="30"/>
    </row>
    <row r="945" spans="18:33" x14ac:dyDescent="0.3">
      <c r="R945" s="36"/>
      <c r="S945" s="36"/>
      <c r="T945" s="36"/>
      <c r="U945" s="36"/>
      <c r="V945" s="49"/>
      <c r="X945" s="28"/>
      <c r="Y945" s="32"/>
      <c r="Z945" s="33"/>
      <c r="AA945" s="34"/>
      <c r="AB945" s="28"/>
      <c r="AC945" s="28"/>
      <c r="AD945" s="29"/>
      <c r="AF945" s="30"/>
      <c r="AG945" s="30"/>
    </row>
    <row r="946" spans="18:33" x14ac:dyDescent="0.3">
      <c r="R946" s="36"/>
      <c r="S946" s="36"/>
      <c r="T946" s="36"/>
      <c r="U946" s="36"/>
      <c r="V946" s="49"/>
      <c r="X946" s="28"/>
      <c r="Y946" s="32"/>
      <c r="Z946" s="33"/>
      <c r="AA946" s="34"/>
      <c r="AB946" s="28"/>
      <c r="AC946" s="28"/>
      <c r="AD946" s="29"/>
      <c r="AF946" s="30"/>
      <c r="AG946" s="30"/>
    </row>
    <row r="947" spans="18:33" x14ac:dyDescent="0.3">
      <c r="R947" s="36"/>
      <c r="S947" s="36"/>
      <c r="T947" s="36"/>
      <c r="U947" s="36"/>
      <c r="V947" s="49"/>
      <c r="X947" s="28"/>
      <c r="Y947" s="32"/>
      <c r="Z947" s="33"/>
      <c r="AA947" s="34"/>
      <c r="AB947" s="28"/>
      <c r="AC947" s="28"/>
      <c r="AD947" s="29"/>
      <c r="AF947" s="30"/>
      <c r="AG947" s="30"/>
    </row>
    <row r="948" spans="18:33" x14ac:dyDescent="0.3">
      <c r="R948" s="36"/>
      <c r="S948" s="36"/>
      <c r="T948" s="36"/>
      <c r="U948" s="36"/>
      <c r="V948" s="49"/>
      <c r="X948" s="28"/>
      <c r="Y948" s="32"/>
      <c r="Z948" s="33"/>
      <c r="AA948" s="34"/>
      <c r="AB948" s="28"/>
      <c r="AC948" s="28"/>
      <c r="AD948" s="29"/>
      <c r="AF948" s="30"/>
      <c r="AG948" s="30"/>
    </row>
    <row r="949" spans="18:33" x14ac:dyDescent="0.3">
      <c r="R949" s="36"/>
      <c r="S949" s="36"/>
      <c r="T949" s="36"/>
      <c r="U949" s="36"/>
      <c r="V949" s="49"/>
      <c r="X949" s="28"/>
      <c r="Y949" s="32"/>
      <c r="Z949" s="33"/>
      <c r="AA949" s="34"/>
      <c r="AB949" s="28"/>
      <c r="AC949" s="28"/>
      <c r="AD949" s="29"/>
      <c r="AF949" s="30"/>
      <c r="AG949" s="30"/>
    </row>
    <row r="950" spans="18:33" x14ac:dyDescent="0.3">
      <c r="R950" s="36"/>
      <c r="S950" s="36"/>
      <c r="T950" s="36"/>
      <c r="U950" s="36"/>
      <c r="V950" s="49"/>
      <c r="X950" s="28"/>
      <c r="Y950" s="32"/>
      <c r="Z950" s="33"/>
      <c r="AA950" s="34"/>
      <c r="AB950" s="28"/>
      <c r="AC950" s="28"/>
      <c r="AD950" s="29"/>
      <c r="AF950" s="30"/>
      <c r="AG950" s="30"/>
    </row>
    <row r="951" spans="18:33" x14ac:dyDescent="0.3">
      <c r="R951" s="36"/>
      <c r="S951" s="36"/>
      <c r="T951" s="36"/>
      <c r="U951" s="36"/>
      <c r="V951" s="49"/>
      <c r="X951" s="28"/>
      <c r="Y951" s="32"/>
      <c r="Z951" s="33"/>
      <c r="AA951" s="34"/>
      <c r="AB951" s="28"/>
      <c r="AC951" s="28"/>
      <c r="AD951" s="29"/>
      <c r="AF951" s="30"/>
      <c r="AG951" s="30"/>
    </row>
    <row r="952" spans="18:33" x14ac:dyDescent="0.3">
      <c r="R952" s="36"/>
      <c r="S952" s="36"/>
      <c r="T952" s="36"/>
      <c r="U952" s="36"/>
      <c r="V952" s="49"/>
      <c r="X952" s="28"/>
      <c r="Y952" s="32"/>
      <c r="Z952" s="33"/>
      <c r="AA952" s="34"/>
      <c r="AB952" s="28"/>
      <c r="AC952" s="28"/>
      <c r="AD952" s="29"/>
      <c r="AF952" s="30"/>
      <c r="AG952" s="30"/>
    </row>
    <row r="953" spans="18:33" x14ac:dyDescent="0.3">
      <c r="R953" s="36"/>
      <c r="S953" s="36"/>
      <c r="T953" s="36"/>
      <c r="U953" s="36"/>
      <c r="V953" s="49"/>
      <c r="X953" s="28"/>
      <c r="Y953" s="32"/>
      <c r="Z953" s="33"/>
      <c r="AA953" s="34"/>
      <c r="AB953" s="28"/>
      <c r="AC953" s="28"/>
      <c r="AD953" s="29"/>
      <c r="AF953" s="30"/>
      <c r="AG953" s="30"/>
    </row>
    <row r="954" spans="18:33" x14ac:dyDescent="0.3">
      <c r="R954" s="36"/>
      <c r="S954" s="36"/>
      <c r="T954" s="36"/>
      <c r="U954" s="36"/>
      <c r="V954" s="49"/>
      <c r="X954" s="28"/>
      <c r="Y954" s="32"/>
      <c r="Z954" s="33"/>
      <c r="AA954" s="34"/>
      <c r="AB954" s="28"/>
      <c r="AC954" s="28"/>
      <c r="AD954" s="29"/>
      <c r="AF954" s="30"/>
      <c r="AG954" s="30"/>
    </row>
    <row r="955" spans="18:33" x14ac:dyDescent="0.3">
      <c r="R955" s="36"/>
      <c r="S955" s="36"/>
      <c r="T955" s="36"/>
      <c r="U955" s="36"/>
      <c r="V955" s="49"/>
      <c r="X955" s="28"/>
      <c r="Y955" s="32"/>
      <c r="Z955" s="33"/>
      <c r="AA955" s="34"/>
      <c r="AB955" s="28"/>
      <c r="AC955" s="28"/>
      <c r="AD955" s="29"/>
      <c r="AF955" s="30"/>
      <c r="AG955" s="30"/>
    </row>
    <row r="956" spans="18:33" x14ac:dyDescent="0.3">
      <c r="R956" s="36"/>
      <c r="S956" s="36"/>
      <c r="T956" s="36"/>
      <c r="U956" s="36"/>
      <c r="V956" s="49"/>
      <c r="X956" s="28"/>
      <c r="Y956" s="32"/>
      <c r="Z956" s="33"/>
      <c r="AA956" s="34"/>
      <c r="AB956" s="28"/>
      <c r="AC956" s="28"/>
      <c r="AD956" s="29"/>
      <c r="AF956" s="30"/>
      <c r="AG956" s="30"/>
    </row>
    <row r="957" spans="18:33" x14ac:dyDescent="0.3">
      <c r="R957" s="36"/>
      <c r="S957" s="36"/>
      <c r="T957" s="36"/>
      <c r="U957" s="36"/>
      <c r="V957" s="49"/>
      <c r="X957" s="28"/>
      <c r="Y957" s="32"/>
      <c r="Z957" s="33"/>
      <c r="AA957" s="34"/>
      <c r="AB957" s="28"/>
      <c r="AC957" s="28"/>
      <c r="AD957" s="29"/>
      <c r="AF957" s="30"/>
      <c r="AG957" s="30"/>
    </row>
    <row r="958" spans="18:33" x14ac:dyDescent="0.3">
      <c r="R958" s="36"/>
      <c r="S958" s="36"/>
      <c r="T958" s="36"/>
      <c r="U958" s="36"/>
      <c r="V958" s="49"/>
      <c r="X958" s="28"/>
      <c r="Y958" s="32"/>
      <c r="Z958" s="33"/>
      <c r="AA958" s="34"/>
      <c r="AB958" s="28"/>
      <c r="AC958" s="28"/>
      <c r="AD958" s="29"/>
      <c r="AF958" s="30"/>
      <c r="AG958" s="30"/>
    </row>
    <row r="959" spans="18:33" x14ac:dyDescent="0.3">
      <c r="R959" s="36"/>
      <c r="S959" s="36"/>
      <c r="T959" s="36"/>
      <c r="U959" s="36"/>
      <c r="V959" s="49"/>
      <c r="X959" s="28"/>
      <c r="Y959" s="32"/>
      <c r="Z959" s="33"/>
      <c r="AA959" s="34"/>
      <c r="AB959" s="28"/>
      <c r="AC959" s="28"/>
      <c r="AD959" s="29"/>
      <c r="AF959" s="30"/>
      <c r="AG959" s="30"/>
    </row>
    <row r="960" spans="18:33" x14ac:dyDescent="0.3">
      <c r="R960" s="36"/>
      <c r="S960" s="36"/>
      <c r="T960" s="36"/>
      <c r="U960" s="36"/>
      <c r="V960" s="49"/>
      <c r="X960" s="28"/>
      <c r="Y960" s="32"/>
      <c r="Z960" s="33"/>
      <c r="AA960" s="34"/>
      <c r="AB960" s="28"/>
      <c r="AC960" s="28"/>
      <c r="AD960" s="29"/>
      <c r="AF960" s="30"/>
      <c r="AG960" s="30"/>
    </row>
    <row r="961" spans="18:33" x14ac:dyDescent="0.3">
      <c r="R961" s="36"/>
      <c r="S961" s="36"/>
      <c r="T961" s="36"/>
      <c r="U961" s="36"/>
      <c r="V961" s="49"/>
      <c r="X961" s="28"/>
      <c r="Y961" s="32"/>
      <c r="Z961" s="33"/>
      <c r="AA961" s="34"/>
      <c r="AB961" s="28"/>
      <c r="AC961" s="28"/>
      <c r="AD961" s="29"/>
      <c r="AF961" s="30"/>
      <c r="AG961" s="30"/>
    </row>
    <row r="962" spans="18:33" x14ac:dyDescent="0.3">
      <c r="R962" s="36"/>
      <c r="S962" s="36"/>
      <c r="T962" s="36"/>
      <c r="U962" s="36"/>
      <c r="V962" s="49"/>
      <c r="X962" s="28"/>
      <c r="Y962" s="32"/>
      <c r="Z962" s="33"/>
      <c r="AA962" s="34"/>
      <c r="AB962" s="28"/>
      <c r="AC962" s="28"/>
      <c r="AD962" s="29"/>
      <c r="AF962" s="30"/>
      <c r="AG962" s="30"/>
    </row>
    <row r="963" spans="18:33" x14ac:dyDescent="0.3">
      <c r="R963" s="36"/>
      <c r="S963" s="36"/>
      <c r="T963" s="36"/>
      <c r="U963" s="36"/>
      <c r="V963" s="49"/>
      <c r="X963" s="28"/>
      <c r="Y963" s="32"/>
      <c r="Z963" s="33"/>
      <c r="AA963" s="34"/>
      <c r="AB963" s="28"/>
      <c r="AC963" s="28"/>
      <c r="AD963" s="29"/>
      <c r="AF963" s="30"/>
      <c r="AG963" s="30"/>
    </row>
    <row r="964" spans="18:33" x14ac:dyDescent="0.3">
      <c r="R964" s="36"/>
      <c r="S964" s="36"/>
      <c r="T964" s="36"/>
      <c r="U964" s="36"/>
      <c r="V964" s="49"/>
      <c r="X964" s="28"/>
      <c r="Y964" s="32"/>
      <c r="Z964" s="33"/>
      <c r="AA964" s="34"/>
      <c r="AB964" s="28"/>
      <c r="AC964" s="28"/>
      <c r="AD964" s="29"/>
      <c r="AF964" s="30"/>
      <c r="AG964" s="30"/>
    </row>
    <row r="965" spans="18:33" x14ac:dyDescent="0.3">
      <c r="R965" s="36"/>
      <c r="S965" s="36"/>
      <c r="T965" s="36"/>
      <c r="U965" s="36"/>
      <c r="V965" s="49"/>
      <c r="X965" s="28"/>
      <c r="Y965" s="32"/>
      <c r="Z965" s="33"/>
      <c r="AA965" s="34"/>
      <c r="AB965" s="28"/>
      <c r="AC965" s="28"/>
      <c r="AD965" s="29"/>
      <c r="AF965" s="30"/>
      <c r="AG965" s="30"/>
    </row>
    <row r="966" spans="18:33" x14ac:dyDescent="0.3">
      <c r="R966" s="36"/>
      <c r="S966" s="36"/>
      <c r="T966" s="36"/>
      <c r="U966" s="36"/>
      <c r="V966" s="49"/>
      <c r="X966" s="28"/>
      <c r="Y966" s="32"/>
      <c r="Z966" s="33"/>
      <c r="AA966" s="34"/>
      <c r="AB966" s="28"/>
      <c r="AC966" s="28"/>
      <c r="AD966" s="29"/>
      <c r="AF966" s="30"/>
      <c r="AG966" s="30"/>
    </row>
    <row r="967" spans="18:33" x14ac:dyDescent="0.3">
      <c r="R967" s="36"/>
      <c r="S967" s="36"/>
      <c r="T967" s="36"/>
      <c r="U967" s="36"/>
      <c r="V967" s="49"/>
      <c r="X967" s="28"/>
      <c r="Y967" s="32"/>
      <c r="Z967" s="33"/>
      <c r="AA967" s="34"/>
      <c r="AB967" s="28"/>
      <c r="AC967" s="28"/>
      <c r="AD967" s="29"/>
      <c r="AF967" s="30"/>
      <c r="AG967" s="30"/>
    </row>
    <row r="968" spans="18:33" x14ac:dyDescent="0.3">
      <c r="R968" s="36"/>
      <c r="S968" s="36"/>
      <c r="T968" s="36"/>
      <c r="U968" s="36"/>
      <c r="V968" s="49"/>
      <c r="X968" s="28"/>
      <c r="Y968" s="32"/>
      <c r="Z968" s="33"/>
      <c r="AA968" s="34"/>
      <c r="AB968" s="28"/>
      <c r="AC968" s="28"/>
      <c r="AD968" s="29"/>
      <c r="AF968" s="30"/>
      <c r="AG968" s="30"/>
    </row>
    <row r="969" spans="18:33" x14ac:dyDescent="0.3">
      <c r="R969" s="36"/>
      <c r="S969" s="36"/>
      <c r="T969" s="36"/>
      <c r="U969" s="36"/>
      <c r="V969" s="49"/>
      <c r="X969" s="28"/>
      <c r="Y969" s="32"/>
      <c r="Z969" s="33"/>
      <c r="AA969" s="34"/>
      <c r="AB969" s="28"/>
      <c r="AC969" s="28"/>
      <c r="AD969" s="29"/>
      <c r="AF969" s="30"/>
      <c r="AG969" s="30"/>
    </row>
    <row r="970" spans="18:33" x14ac:dyDescent="0.3">
      <c r="R970" s="36"/>
      <c r="S970" s="36"/>
      <c r="T970" s="36"/>
      <c r="U970" s="36"/>
      <c r="V970" s="49"/>
      <c r="X970" s="28"/>
      <c r="Y970" s="32"/>
      <c r="Z970" s="33"/>
      <c r="AA970" s="34"/>
      <c r="AB970" s="28"/>
      <c r="AC970" s="28"/>
      <c r="AD970" s="29"/>
      <c r="AF970" s="30"/>
      <c r="AG970" s="30"/>
    </row>
    <row r="971" spans="18:33" x14ac:dyDescent="0.3">
      <c r="R971" s="36"/>
      <c r="S971" s="36"/>
      <c r="T971" s="36"/>
      <c r="U971" s="36"/>
      <c r="V971" s="49"/>
      <c r="X971" s="28"/>
      <c r="Y971" s="32"/>
      <c r="Z971" s="33"/>
      <c r="AA971" s="34"/>
      <c r="AB971" s="28"/>
      <c r="AC971" s="28"/>
      <c r="AD971" s="29"/>
      <c r="AF971" s="30"/>
      <c r="AG971" s="30"/>
    </row>
    <row r="972" spans="18:33" x14ac:dyDescent="0.3">
      <c r="R972" s="36"/>
      <c r="S972" s="36"/>
      <c r="T972" s="36"/>
      <c r="U972" s="36"/>
      <c r="V972" s="49"/>
      <c r="X972" s="28"/>
      <c r="Y972" s="32"/>
      <c r="Z972" s="33"/>
      <c r="AA972" s="34"/>
      <c r="AB972" s="28"/>
      <c r="AC972" s="28"/>
      <c r="AD972" s="29"/>
      <c r="AF972" s="30"/>
      <c r="AG972" s="30"/>
    </row>
    <row r="973" spans="18:33" x14ac:dyDescent="0.3">
      <c r="R973" s="36"/>
      <c r="S973" s="36"/>
      <c r="T973" s="36"/>
      <c r="U973" s="36"/>
      <c r="V973" s="49"/>
      <c r="X973" s="28"/>
      <c r="Y973" s="32"/>
      <c r="Z973" s="33"/>
      <c r="AA973" s="34"/>
      <c r="AB973" s="28"/>
      <c r="AC973" s="28"/>
      <c r="AD973" s="29"/>
      <c r="AF973" s="30"/>
      <c r="AG973" s="30"/>
    </row>
    <row r="974" spans="18:33" x14ac:dyDescent="0.3">
      <c r="R974" s="36"/>
      <c r="S974" s="36"/>
      <c r="T974" s="36"/>
      <c r="U974" s="36"/>
      <c r="V974" s="49"/>
      <c r="X974" s="28"/>
      <c r="Y974" s="32"/>
      <c r="Z974" s="33"/>
      <c r="AA974" s="34"/>
      <c r="AB974" s="28"/>
      <c r="AC974" s="28"/>
      <c r="AD974" s="29"/>
      <c r="AF974" s="30"/>
      <c r="AG974" s="30"/>
    </row>
    <row r="975" spans="18:33" x14ac:dyDescent="0.3">
      <c r="R975" s="36"/>
      <c r="S975" s="36"/>
      <c r="T975" s="36"/>
      <c r="U975" s="36"/>
      <c r="V975" s="49"/>
      <c r="X975" s="28"/>
      <c r="Y975" s="32"/>
      <c r="Z975" s="33"/>
      <c r="AA975" s="34"/>
      <c r="AB975" s="28"/>
      <c r="AC975" s="28"/>
      <c r="AD975" s="29"/>
      <c r="AF975" s="30"/>
      <c r="AG975" s="30"/>
    </row>
    <row r="976" spans="18:33" x14ac:dyDescent="0.3">
      <c r="R976" s="36"/>
      <c r="S976" s="36"/>
      <c r="T976" s="36"/>
      <c r="U976" s="36"/>
      <c r="V976" s="49"/>
      <c r="X976" s="28"/>
      <c r="Y976" s="32"/>
      <c r="Z976" s="33"/>
      <c r="AA976" s="34"/>
      <c r="AB976" s="28"/>
      <c r="AC976" s="28"/>
      <c r="AD976" s="29"/>
      <c r="AF976" s="30"/>
      <c r="AG976" s="30"/>
    </row>
    <row r="977" spans="18:33" x14ac:dyDescent="0.3">
      <c r="R977" s="36"/>
      <c r="S977" s="36"/>
      <c r="T977" s="36"/>
      <c r="U977" s="36"/>
      <c r="V977" s="49"/>
      <c r="X977" s="28"/>
      <c r="Y977" s="32"/>
      <c r="Z977" s="33"/>
      <c r="AA977" s="34"/>
      <c r="AB977" s="28"/>
      <c r="AC977" s="28"/>
      <c r="AD977" s="29"/>
      <c r="AF977" s="30"/>
      <c r="AG977" s="30"/>
    </row>
    <row r="978" spans="18:33" x14ac:dyDescent="0.3">
      <c r="R978" s="36"/>
      <c r="S978" s="36"/>
      <c r="T978" s="36"/>
      <c r="U978" s="36"/>
      <c r="V978" s="49"/>
      <c r="X978" s="28"/>
      <c r="Y978" s="32"/>
      <c r="Z978" s="33"/>
      <c r="AA978" s="34"/>
      <c r="AB978" s="28"/>
      <c r="AC978" s="28"/>
      <c r="AD978" s="29"/>
      <c r="AF978" s="30"/>
      <c r="AG978" s="30"/>
    </row>
    <row r="979" spans="18:33" x14ac:dyDescent="0.3">
      <c r="R979" s="36"/>
      <c r="S979" s="36"/>
      <c r="T979" s="36"/>
      <c r="U979" s="36"/>
      <c r="V979" s="49"/>
      <c r="X979" s="28"/>
      <c r="Y979" s="32"/>
      <c r="Z979" s="33"/>
      <c r="AA979" s="34"/>
      <c r="AB979" s="28"/>
      <c r="AC979" s="28"/>
      <c r="AD979" s="29"/>
      <c r="AF979" s="30"/>
      <c r="AG979" s="30"/>
    </row>
    <row r="980" spans="18:33" x14ac:dyDescent="0.3">
      <c r="R980" s="36"/>
      <c r="S980" s="36"/>
      <c r="T980" s="36"/>
      <c r="U980" s="36"/>
      <c r="V980" s="49"/>
      <c r="X980" s="28"/>
      <c r="Y980" s="32"/>
      <c r="Z980" s="33"/>
      <c r="AA980" s="34"/>
      <c r="AB980" s="28"/>
      <c r="AC980" s="28"/>
      <c r="AD980" s="29"/>
      <c r="AF980" s="30"/>
      <c r="AG980" s="30"/>
    </row>
    <row r="981" spans="18:33" x14ac:dyDescent="0.3">
      <c r="R981" s="36"/>
      <c r="S981" s="36"/>
      <c r="T981" s="36"/>
      <c r="U981" s="36"/>
      <c r="V981" s="49"/>
      <c r="X981" s="28"/>
      <c r="Y981" s="32"/>
      <c r="Z981" s="33"/>
      <c r="AA981" s="34"/>
      <c r="AB981" s="28"/>
      <c r="AC981" s="28"/>
      <c r="AD981" s="29"/>
      <c r="AF981" s="30"/>
      <c r="AG981" s="30"/>
    </row>
    <row r="982" spans="18:33" x14ac:dyDescent="0.3">
      <c r="R982" s="36"/>
      <c r="S982" s="36"/>
      <c r="T982" s="36"/>
      <c r="U982" s="36"/>
      <c r="V982" s="49"/>
      <c r="X982" s="28"/>
      <c r="Y982" s="32"/>
      <c r="Z982" s="33"/>
      <c r="AA982" s="34"/>
      <c r="AB982" s="28"/>
      <c r="AC982" s="28"/>
      <c r="AD982" s="29"/>
      <c r="AF982" s="30"/>
      <c r="AG982" s="30"/>
    </row>
    <row r="983" spans="18:33" x14ac:dyDescent="0.3">
      <c r="R983" s="36"/>
      <c r="S983" s="36"/>
      <c r="T983" s="36"/>
      <c r="U983" s="36"/>
      <c r="V983" s="49"/>
      <c r="X983" s="28"/>
      <c r="Y983" s="32"/>
      <c r="Z983" s="33"/>
      <c r="AA983" s="34"/>
      <c r="AB983" s="28"/>
      <c r="AC983" s="28"/>
      <c r="AD983" s="29"/>
      <c r="AF983" s="30"/>
      <c r="AG983" s="30"/>
    </row>
    <row r="984" spans="18:33" x14ac:dyDescent="0.3">
      <c r="R984" s="36"/>
      <c r="S984" s="36"/>
      <c r="T984" s="36"/>
      <c r="U984" s="36"/>
      <c r="V984" s="49"/>
      <c r="X984" s="28"/>
      <c r="Y984" s="32"/>
      <c r="Z984" s="33"/>
      <c r="AA984" s="34"/>
      <c r="AB984" s="28"/>
      <c r="AC984" s="28"/>
      <c r="AD984" s="29"/>
      <c r="AF984" s="30"/>
      <c r="AG984" s="30"/>
    </row>
    <row r="985" spans="18:33" x14ac:dyDescent="0.3">
      <c r="R985" s="36"/>
      <c r="S985" s="36"/>
      <c r="T985" s="36"/>
      <c r="U985" s="36"/>
      <c r="V985" s="49"/>
      <c r="X985" s="28"/>
      <c r="Y985" s="32"/>
      <c r="Z985" s="33"/>
      <c r="AA985" s="34"/>
      <c r="AB985" s="28"/>
      <c r="AC985" s="28"/>
      <c r="AD985" s="29"/>
      <c r="AF985" s="30"/>
      <c r="AG985" s="30"/>
    </row>
    <row r="986" spans="18:33" x14ac:dyDescent="0.3">
      <c r="R986" s="36"/>
      <c r="S986" s="36"/>
      <c r="T986" s="36"/>
      <c r="U986" s="36"/>
      <c r="V986" s="49"/>
      <c r="X986" s="28"/>
      <c r="Y986" s="32"/>
      <c r="Z986" s="33"/>
      <c r="AA986" s="34"/>
      <c r="AB986" s="28"/>
      <c r="AC986" s="28"/>
      <c r="AD986" s="29"/>
      <c r="AF986" s="30"/>
      <c r="AG986" s="30"/>
    </row>
    <row r="987" spans="18:33" x14ac:dyDescent="0.3">
      <c r="R987" s="36"/>
      <c r="S987" s="36"/>
      <c r="T987" s="36"/>
      <c r="U987" s="36"/>
      <c r="V987" s="49"/>
      <c r="X987" s="28"/>
      <c r="Y987" s="32"/>
      <c r="Z987" s="33"/>
      <c r="AA987" s="34"/>
      <c r="AB987" s="28"/>
      <c r="AC987" s="28"/>
      <c r="AD987" s="29"/>
      <c r="AF987" s="30"/>
      <c r="AG987" s="30"/>
    </row>
    <row r="988" spans="18:33" x14ac:dyDescent="0.3">
      <c r="R988" s="36"/>
      <c r="S988" s="36"/>
      <c r="T988" s="36"/>
      <c r="U988" s="36"/>
      <c r="V988" s="49"/>
      <c r="X988" s="28"/>
      <c r="Y988" s="32"/>
      <c r="Z988" s="33"/>
      <c r="AA988" s="34"/>
      <c r="AB988" s="28"/>
      <c r="AC988" s="28"/>
      <c r="AD988" s="29"/>
      <c r="AF988" s="30"/>
      <c r="AG988" s="30"/>
    </row>
    <row r="989" spans="18:33" x14ac:dyDescent="0.3">
      <c r="R989" s="36"/>
      <c r="S989" s="36"/>
      <c r="T989" s="36"/>
      <c r="U989" s="36"/>
      <c r="V989" s="49"/>
      <c r="X989" s="28"/>
      <c r="Y989" s="32"/>
      <c r="Z989" s="33"/>
      <c r="AA989" s="34"/>
      <c r="AB989" s="28"/>
      <c r="AC989" s="28"/>
      <c r="AD989" s="29"/>
      <c r="AF989" s="30"/>
      <c r="AG989" s="30"/>
    </row>
    <row r="990" spans="18:33" x14ac:dyDescent="0.3">
      <c r="R990" s="36"/>
      <c r="S990" s="36"/>
      <c r="T990" s="36"/>
      <c r="U990" s="36"/>
      <c r="V990" s="49"/>
      <c r="X990" s="28"/>
      <c r="Y990" s="32"/>
      <c r="Z990" s="33"/>
      <c r="AA990" s="34"/>
      <c r="AB990" s="28"/>
      <c r="AC990" s="28"/>
      <c r="AD990" s="29"/>
      <c r="AF990" s="30"/>
      <c r="AG990" s="30"/>
    </row>
    <row r="991" spans="18:33" x14ac:dyDescent="0.3">
      <c r="R991" s="36"/>
      <c r="S991" s="36"/>
      <c r="T991" s="36"/>
      <c r="U991" s="36"/>
      <c r="V991" s="49"/>
      <c r="X991" s="28"/>
      <c r="Y991" s="32"/>
      <c r="Z991" s="33"/>
      <c r="AA991" s="34"/>
      <c r="AB991" s="28"/>
      <c r="AC991" s="28"/>
      <c r="AD991" s="29"/>
      <c r="AF991" s="30"/>
      <c r="AG991" s="30"/>
    </row>
    <row r="992" spans="18:33" x14ac:dyDescent="0.3">
      <c r="R992" s="36"/>
      <c r="S992" s="36"/>
      <c r="T992" s="36"/>
      <c r="U992" s="36"/>
      <c r="V992" s="49"/>
      <c r="X992" s="28"/>
      <c r="Y992" s="32"/>
      <c r="Z992" s="33"/>
      <c r="AA992" s="34"/>
      <c r="AB992" s="28"/>
      <c r="AC992" s="28"/>
      <c r="AD992" s="29"/>
      <c r="AF992" s="30"/>
      <c r="AG992" s="30"/>
    </row>
    <row r="993" spans="18:33" x14ac:dyDescent="0.3">
      <c r="R993" s="36"/>
      <c r="S993" s="36"/>
      <c r="T993" s="36"/>
      <c r="U993" s="36"/>
      <c r="V993" s="49"/>
      <c r="X993" s="28"/>
      <c r="Y993" s="32"/>
      <c r="Z993" s="33"/>
      <c r="AA993" s="34"/>
      <c r="AB993" s="28"/>
      <c r="AC993" s="28"/>
      <c r="AD993" s="29"/>
      <c r="AF993" s="30"/>
      <c r="AG993" s="30"/>
    </row>
    <row r="994" spans="18:33" x14ac:dyDescent="0.3">
      <c r="R994" s="36"/>
      <c r="S994" s="36"/>
      <c r="T994" s="36"/>
      <c r="U994" s="36"/>
      <c r="V994" s="49"/>
      <c r="X994" s="28"/>
      <c r="Y994" s="32"/>
      <c r="Z994" s="33"/>
      <c r="AA994" s="34"/>
      <c r="AB994" s="28"/>
      <c r="AC994" s="28"/>
      <c r="AD994" s="29"/>
      <c r="AF994" s="30"/>
      <c r="AG994" s="30"/>
    </row>
    <row r="995" spans="18:33" x14ac:dyDescent="0.3">
      <c r="R995" s="36"/>
      <c r="S995" s="36"/>
      <c r="T995" s="36"/>
      <c r="U995" s="36"/>
      <c r="V995" s="49"/>
      <c r="X995" s="28"/>
      <c r="Y995" s="32"/>
      <c r="Z995" s="33"/>
      <c r="AA995" s="34"/>
      <c r="AB995" s="28"/>
      <c r="AC995" s="28"/>
      <c r="AD995" s="29"/>
      <c r="AF995" s="30"/>
      <c r="AG995" s="30"/>
    </row>
    <row r="996" spans="18:33" x14ac:dyDescent="0.3">
      <c r="R996" s="36"/>
      <c r="S996" s="36"/>
      <c r="T996" s="36"/>
      <c r="U996" s="36"/>
      <c r="V996" s="49"/>
      <c r="X996" s="28"/>
      <c r="Y996" s="32"/>
      <c r="Z996" s="33"/>
      <c r="AA996" s="34"/>
      <c r="AB996" s="28"/>
      <c r="AC996" s="28"/>
      <c r="AD996" s="29"/>
      <c r="AF996" s="30"/>
      <c r="AG996" s="30"/>
    </row>
    <row r="997" spans="18:33" x14ac:dyDescent="0.3">
      <c r="R997" s="36"/>
      <c r="S997" s="36"/>
      <c r="T997" s="36"/>
      <c r="U997" s="36"/>
      <c r="V997" s="49"/>
      <c r="X997" s="28"/>
      <c r="Y997" s="32"/>
      <c r="Z997" s="33"/>
      <c r="AA997" s="34"/>
      <c r="AB997" s="28"/>
      <c r="AC997" s="28"/>
      <c r="AD997" s="29"/>
      <c r="AF997" s="30"/>
      <c r="AG997" s="30"/>
    </row>
    <row r="998" spans="18:33" x14ac:dyDescent="0.3">
      <c r="R998" s="36"/>
      <c r="S998" s="36"/>
      <c r="T998" s="36"/>
      <c r="U998" s="36"/>
      <c r="V998" s="49"/>
      <c r="X998" s="28"/>
      <c r="Y998" s="32"/>
      <c r="Z998" s="33"/>
      <c r="AA998" s="34"/>
      <c r="AB998" s="28"/>
      <c r="AC998" s="28"/>
      <c r="AD998" s="29"/>
      <c r="AF998" s="30"/>
      <c r="AG998" s="30"/>
    </row>
    <row r="999" spans="18:33" x14ac:dyDescent="0.3">
      <c r="R999" s="36"/>
      <c r="S999" s="36"/>
      <c r="T999" s="36"/>
      <c r="U999" s="36"/>
      <c r="V999" s="49"/>
      <c r="X999" s="28"/>
      <c r="Y999" s="32"/>
      <c r="Z999" s="33"/>
      <c r="AA999" s="34"/>
      <c r="AB999" s="28"/>
      <c r="AC999" s="28"/>
      <c r="AD999" s="29"/>
      <c r="AF999" s="30"/>
      <c r="AG999" s="30"/>
    </row>
    <row r="1000" spans="18:33" x14ac:dyDescent="0.3">
      <c r="R1000" s="36"/>
      <c r="S1000" s="36"/>
      <c r="T1000" s="36"/>
      <c r="U1000" s="36"/>
      <c r="V1000" s="49"/>
      <c r="X1000" s="28"/>
      <c r="Y1000" s="32"/>
      <c r="Z1000" s="33"/>
      <c r="AA1000" s="34"/>
      <c r="AB1000" s="28"/>
      <c r="AC1000" s="28"/>
      <c r="AD1000" s="29"/>
      <c r="AF1000" s="30"/>
      <c r="AG1000" s="30"/>
    </row>
    <row r="1001" spans="18:33" x14ac:dyDescent="0.3">
      <c r="R1001" s="36"/>
      <c r="S1001" s="36"/>
      <c r="T1001" s="36"/>
      <c r="U1001" s="36"/>
      <c r="V1001" s="49"/>
      <c r="X1001" s="28"/>
      <c r="Y1001" s="32"/>
      <c r="Z1001" s="33"/>
      <c r="AA1001" s="34"/>
      <c r="AB1001" s="28"/>
      <c r="AC1001" s="28"/>
      <c r="AD1001" s="29"/>
      <c r="AF1001" s="30"/>
      <c r="AG1001" s="30"/>
    </row>
    <row r="1002" spans="18:33" x14ac:dyDescent="0.3">
      <c r="R1002" s="36"/>
      <c r="S1002" s="36"/>
      <c r="T1002" s="36"/>
      <c r="U1002" s="36"/>
      <c r="V1002" s="49"/>
      <c r="X1002" s="28"/>
      <c r="Y1002" s="32"/>
      <c r="Z1002" s="33"/>
      <c r="AA1002" s="34"/>
      <c r="AB1002" s="28"/>
      <c r="AC1002" s="28"/>
      <c r="AD1002" s="29"/>
      <c r="AF1002" s="30"/>
      <c r="AG1002" s="30"/>
    </row>
    <row r="1003" spans="18:33" x14ac:dyDescent="0.3">
      <c r="R1003" s="36"/>
      <c r="S1003" s="36"/>
      <c r="T1003" s="36"/>
      <c r="U1003" s="36"/>
      <c r="V1003" s="49"/>
      <c r="X1003" s="28"/>
      <c r="Y1003" s="32"/>
      <c r="Z1003" s="33"/>
      <c r="AA1003" s="34"/>
      <c r="AB1003" s="28"/>
      <c r="AC1003" s="28"/>
      <c r="AD1003" s="29"/>
      <c r="AF1003" s="30"/>
      <c r="AG1003" s="30"/>
    </row>
    <row r="1004" spans="18:33" x14ac:dyDescent="0.3">
      <c r="R1004" s="36"/>
      <c r="S1004" s="36"/>
      <c r="T1004" s="36"/>
      <c r="U1004" s="36"/>
      <c r="V1004" s="49"/>
      <c r="X1004" s="28"/>
      <c r="Y1004" s="32"/>
      <c r="Z1004" s="33"/>
      <c r="AA1004" s="34"/>
      <c r="AB1004" s="28"/>
      <c r="AC1004" s="28"/>
      <c r="AD1004" s="29"/>
      <c r="AF1004" s="30"/>
      <c r="AG1004" s="30"/>
    </row>
    <row r="1005" spans="18:33" x14ac:dyDescent="0.3">
      <c r="R1005" s="36"/>
      <c r="S1005" s="36"/>
      <c r="T1005" s="36"/>
      <c r="U1005" s="36"/>
      <c r="V1005" s="49"/>
      <c r="X1005" s="28"/>
      <c r="Y1005" s="32"/>
      <c r="Z1005" s="33"/>
      <c r="AA1005" s="34"/>
      <c r="AB1005" s="28"/>
      <c r="AC1005" s="28"/>
      <c r="AD1005" s="29"/>
      <c r="AF1005" s="30"/>
      <c r="AG1005" s="30"/>
    </row>
    <row r="1006" spans="18:33" x14ac:dyDescent="0.3">
      <c r="R1006" s="36"/>
      <c r="S1006" s="36"/>
      <c r="T1006" s="36"/>
      <c r="U1006" s="36"/>
      <c r="V1006" s="49"/>
      <c r="X1006" s="28"/>
      <c r="Y1006" s="32"/>
      <c r="Z1006" s="33"/>
      <c r="AA1006" s="34"/>
      <c r="AB1006" s="28"/>
      <c r="AC1006" s="28"/>
      <c r="AD1006" s="29"/>
      <c r="AF1006" s="30"/>
      <c r="AG1006" s="30"/>
    </row>
    <row r="1007" spans="18:33" x14ac:dyDescent="0.3">
      <c r="R1007" s="36"/>
      <c r="S1007" s="36"/>
      <c r="T1007" s="36"/>
      <c r="U1007" s="36"/>
      <c r="V1007" s="49"/>
      <c r="X1007" s="28"/>
      <c r="Y1007" s="32"/>
      <c r="Z1007" s="33"/>
      <c r="AA1007" s="34"/>
      <c r="AB1007" s="28"/>
      <c r="AC1007" s="28"/>
      <c r="AD1007" s="29"/>
      <c r="AF1007" s="30"/>
      <c r="AG1007" s="30"/>
    </row>
    <row r="1008" spans="18:33" x14ac:dyDescent="0.3">
      <c r="R1008" s="36"/>
      <c r="S1008" s="36"/>
      <c r="T1008" s="36"/>
      <c r="U1008" s="36"/>
      <c r="V1008" s="49"/>
      <c r="X1008" s="28"/>
      <c r="Y1008" s="32"/>
      <c r="Z1008" s="33"/>
      <c r="AA1008" s="34"/>
      <c r="AB1008" s="28"/>
      <c r="AC1008" s="28"/>
      <c r="AD1008" s="29"/>
      <c r="AF1008" s="30"/>
      <c r="AG1008" s="30"/>
    </row>
    <row r="1009" spans="18:33" x14ac:dyDescent="0.3">
      <c r="R1009" s="36"/>
      <c r="S1009" s="36"/>
      <c r="T1009" s="36"/>
      <c r="U1009" s="36"/>
      <c r="V1009" s="49"/>
      <c r="X1009" s="28"/>
      <c r="Y1009" s="32"/>
      <c r="Z1009" s="33"/>
      <c r="AA1009" s="34"/>
      <c r="AB1009" s="28"/>
      <c r="AC1009" s="28"/>
      <c r="AD1009" s="29"/>
      <c r="AF1009" s="30"/>
      <c r="AG1009" s="30"/>
    </row>
    <row r="1010" spans="18:33" x14ac:dyDescent="0.3">
      <c r="R1010" s="36"/>
      <c r="S1010" s="36"/>
      <c r="T1010" s="36"/>
      <c r="U1010" s="36"/>
      <c r="V1010" s="49"/>
      <c r="X1010" s="28"/>
      <c r="Y1010" s="32"/>
      <c r="Z1010" s="33"/>
      <c r="AA1010" s="34"/>
      <c r="AB1010" s="28"/>
      <c r="AC1010" s="28"/>
      <c r="AD1010" s="29"/>
      <c r="AF1010" s="30"/>
      <c r="AG1010" s="30"/>
    </row>
    <row r="1011" spans="18:33" x14ac:dyDescent="0.3">
      <c r="R1011" s="36"/>
      <c r="S1011" s="36"/>
      <c r="T1011" s="36"/>
      <c r="U1011" s="36"/>
      <c r="V1011" s="49"/>
      <c r="X1011" s="28"/>
      <c r="Y1011" s="32"/>
      <c r="Z1011" s="33"/>
      <c r="AA1011" s="34"/>
      <c r="AB1011" s="28"/>
      <c r="AC1011" s="28"/>
      <c r="AD1011" s="29"/>
      <c r="AF1011" s="30"/>
      <c r="AG1011" s="30"/>
    </row>
  </sheetData>
  <autoFilter ref="A1:BD415" xr:uid="{0C926E7C-5C6C-4BA0-BBBF-E9A3C29D8EFE}"/>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4AC8-53CC-4833-AAEB-E4D3D7AC975B}">
  <dimension ref="A1:M34"/>
  <sheetViews>
    <sheetView workbookViewId="0">
      <selection activeCell="C4" sqref="C4"/>
    </sheetView>
  </sheetViews>
  <sheetFormatPr defaultColWidth="9.109375" defaultRowHeight="14.4" x14ac:dyDescent="0.3"/>
  <cols>
    <col min="1" max="1" width="9.33203125" style="48" bestFit="1" customWidth="1"/>
    <col min="2" max="2" width="48.5546875" style="48" bestFit="1" customWidth="1"/>
    <col min="3" max="3" width="25.88671875" style="48" bestFit="1" customWidth="1"/>
    <col min="4" max="5" width="80.44140625" style="48" customWidth="1"/>
    <col min="6" max="6" width="10.33203125" style="48" bestFit="1" customWidth="1"/>
    <col min="7" max="7" width="9.109375" style="48"/>
    <col min="8" max="8" width="13.33203125" style="48" bestFit="1" customWidth="1"/>
    <col min="9" max="11" width="9.109375" style="48"/>
    <col min="12" max="12" width="31.109375" style="48" bestFit="1" customWidth="1"/>
    <col min="13" max="13" width="27" style="48" bestFit="1" customWidth="1"/>
    <col min="14" max="16384" width="9.109375" style="48"/>
  </cols>
  <sheetData>
    <row r="1" spans="1:13" x14ac:dyDescent="0.3">
      <c r="A1" s="48" t="s">
        <v>74</v>
      </c>
      <c r="B1" s="48" t="s">
        <v>75</v>
      </c>
      <c r="C1" s="48" t="s">
        <v>188</v>
      </c>
    </row>
    <row r="2" spans="1:13" x14ac:dyDescent="0.3">
      <c r="A2" s="48" t="s">
        <v>24</v>
      </c>
      <c r="B2" s="48" t="s">
        <v>77</v>
      </c>
      <c r="C2" s="48">
        <v>1</v>
      </c>
    </row>
    <row r="3" spans="1:13" x14ac:dyDescent="0.3">
      <c r="A3" s="48" t="s">
        <v>25</v>
      </c>
      <c r="B3" s="48" t="s">
        <v>78</v>
      </c>
      <c r="C3" s="48">
        <v>0</v>
      </c>
    </row>
    <row r="4" spans="1:13" x14ac:dyDescent="0.3">
      <c r="A4" s="48" t="s">
        <v>26</v>
      </c>
      <c r="B4" s="48" t="s">
        <v>79</v>
      </c>
      <c r="C4" s="48">
        <v>1</v>
      </c>
    </row>
    <row r="5" spans="1:13" x14ac:dyDescent="0.3">
      <c r="A5" s="48" t="s">
        <v>27</v>
      </c>
      <c r="B5" s="48" t="s">
        <v>80</v>
      </c>
      <c r="C5" s="48">
        <v>1</v>
      </c>
      <c r="D5" s="48" t="str">
        <f t="shared" ref="D5:D14" si="0">IF(C5=1,"Atendida","Não Atendida")</f>
        <v>Atendida</v>
      </c>
    </row>
    <row r="6" spans="1:13" x14ac:dyDescent="0.3">
      <c r="A6" s="48" t="s">
        <v>28</v>
      </c>
      <c r="B6" s="48" t="s">
        <v>81</v>
      </c>
      <c r="C6" s="48">
        <v>1</v>
      </c>
      <c r="D6" s="48" t="str">
        <f t="shared" si="0"/>
        <v>Atendida</v>
      </c>
    </row>
    <row r="7" spans="1:13" x14ac:dyDescent="0.3">
      <c r="A7" s="48" t="s">
        <v>29</v>
      </c>
      <c r="B7" s="48" t="s">
        <v>82</v>
      </c>
      <c r="C7" s="48">
        <v>0</v>
      </c>
      <c r="D7" s="48" t="str">
        <f t="shared" si="0"/>
        <v>Não Atendida</v>
      </c>
    </row>
    <row r="8" spans="1:13" x14ac:dyDescent="0.3">
      <c r="A8" s="48" t="s">
        <v>30</v>
      </c>
      <c r="B8" s="48" t="s">
        <v>83</v>
      </c>
      <c r="C8" s="48">
        <v>0</v>
      </c>
      <c r="D8" s="48" t="str">
        <f t="shared" si="0"/>
        <v>Não Atendida</v>
      </c>
    </row>
    <row r="9" spans="1:13" x14ac:dyDescent="0.3">
      <c r="A9" s="48" t="s">
        <v>31</v>
      </c>
      <c r="B9" s="48" t="s">
        <v>84</v>
      </c>
      <c r="C9" s="48">
        <v>0</v>
      </c>
      <c r="D9" s="48" t="str">
        <f t="shared" si="0"/>
        <v>Não Atendida</v>
      </c>
    </row>
    <row r="10" spans="1:13" x14ac:dyDescent="0.3">
      <c r="A10" s="48" t="s">
        <v>32</v>
      </c>
      <c r="B10" s="48" t="s">
        <v>85</v>
      </c>
      <c r="C10" s="48">
        <v>0</v>
      </c>
      <c r="D10" s="48" t="str">
        <f t="shared" si="0"/>
        <v>Não Atendida</v>
      </c>
    </row>
    <row r="11" spans="1:13" x14ac:dyDescent="0.3">
      <c r="A11" s="48" t="s">
        <v>33</v>
      </c>
      <c r="B11" s="48" t="s">
        <v>86</v>
      </c>
      <c r="C11" s="48">
        <v>1</v>
      </c>
      <c r="D11" s="48" t="str">
        <f t="shared" si="0"/>
        <v>Atendida</v>
      </c>
    </row>
    <row r="12" spans="1:13" x14ac:dyDescent="0.3">
      <c r="A12" s="48" t="s">
        <v>35</v>
      </c>
      <c r="B12" s="48" t="s">
        <v>87</v>
      </c>
      <c r="C12" s="48">
        <v>0</v>
      </c>
      <c r="D12" s="48" t="str">
        <f t="shared" si="0"/>
        <v>Não Atendida</v>
      </c>
    </row>
    <row r="13" spans="1:13" x14ac:dyDescent="0.3">
      <c r="A13" s="48" t="s">
        <v>36</v>
      </c>
      <c r="B13" s="48" t="s">
        <v>88</v>
      </c>
      <c r="C13" s="48">
        <v>0</v>
      </c>
      <c r="D13" s="48" t="str">
        <f t="shared" si="0"/>
        <v>Não Atendida</v>
      </c>
    </row>
    <row r="14" spans="1:13" x14ac:dyDescent="0.3">
      <c r="A14" s="48" t="s">
        <v>90</v>
      </c>
      <c r="B14" s="48" t="s">
        <v>89</v>
      </c>
      <c r="C14" s="48">
        <v>0</v>
      </c>
      <c r="D14" s="48" t="str">
        <f t="shared" si="0"/>
        <v>Não Atendida</v>
      </c>
    </row>
    <row r="15" spans="1:13" x14ac:dyDescent="0.3">
      <c r="L15" s="47"/>
      <c r="M15" s="47"/>
    </row>
    <row r="16" spans="1:13" x14ac:dyDescent="0.3">
      <c r="L16" s="47"/>
      <c r="M16" s="47"/>
    </row>
    <row r="17" spans="1:13" x14ac:dyDescent="0.3">
      <c r="L17" s="47"/>
      <c r="M17" s="47"/>
    </row>
    <row r="18" spans="1:13" x14ac:dyDescent="0.3">
      <c r="A18" s="48" t="s">
        <v>74</v>
      </c>
      <c r="B18" s="48" t="s">
        <v>75</v>
      </c>
      <c r="C18" s="48" t="s">
        <v>76</v>
      </c>
      <c r="D18" s="48" t="s">
        <v>191</v>
      </c>
      <c r="E18" s="48" t="s">
        <v>192</v>
      </c>
      <c r="L18" s="47"/>
      <c r="M18" s="47"/>
    </row>
    <row r="19" spans="1:13" ht="43.2" x14ac:dyDescent="0.3">
      <c r="A19" s="48" t="s">
        <v>24</v>
      </c>
      <c r="B19" s="48" t="s">
        <v>77</v>
      </c>
      <c r="C19" s="48" t="s">
        <v>185</v>
      </c>
      <c r="D19" s="47" t="s">
        <v>187</v>
      </c>
      <c r="E19" s="47"/>
    </row>
    <row r="20" spans="1:13" x14ac:dyDescent="0.3">
      <c r="A20" s="48" t="s">
        <v>25</v>
      </c>
      <c r="B20" s="48" t="s">
        <v>78</v>
      </c>
      <c r="D20" s="48" t="s">
        <v>169</v>
      </c>
    </row>
    <row r="21" spans="1:13" ht="129.6" x14ac:dyDescent="0.3">
      <c r="A21" s="48" t="s">
        <v>26</v>
      </c>
      <c r="B21" s="48" t="s">
        <v>79</v>
      </c>
      <c r="C21" s="48" t="s">
        <v>185</v>
      </c>
      <c r="D21" s="48" t="s">
        <v>189</v>
      </c>
    </row>
    <row r="22" spans="1:13" ht="43.2" x14ac:dyDescent="0.3">
      <c r="A22" s="48" t="s">
        <v>27</v>
      </c>
      <c r="B22" s="48" t="s">
        <v>80</v>
      </c>
      <c r="C22" s="48" t="s">
        <v>185</v>
      </c>
      <c r="D22" s="48" t="s">
        <v>194</v>
      </c>
    </row>
    <row r="23" spans="1:13" ht="57.6" x14ac:dyDescent="0.3">
      <c r="A23" s="48" t="s">
        <v>28</v>
      </c>
      <c r="B23" s="48" t="s">
        <v>81</v>
      </c>
      <c r="C23" s="48" t="s">
        <v>185</v>
      </c>
      <c r="D23" s="48" t="s">
        <v>186</v>
      </c>
    </row>
    <row r="24" spans="1:13" ht="28.8" x14ac:dyDescent="0.3">
      <c r="D24" s="46" t="s">
        <v>195</v>
      </c>
    </row>
    <row r="25" spans="1:13" ht="57.6" x14ac:dyDescent="0.3">
      <c r="A25" s="48" t="s">
        <v>29</v>
      </c>
      <c r="B25" s="48" t="s">
        <v>82</v>
      </c>
      <c r="C25" s="48" t="s">
        <v>185</v>
      </c>
      <c r="D25" s="48" t="s">
        <v>190</v>
      </c>
    </row>
    <row r="26" spans="1:13" ht="28.8" x14ac:dyDescent="0.3">
      <c r="C26" s="48" t="s">
        <v>185</v>
      </c>
      <c r="D26" s="48" t="s">
        <v>193</v>
      </c>
    </row>
    <row r="27" spans="1:13" ht="43.2" x14ac:dyDescent="0.3">
      <c r="C27" s="48" t="s">
        <v>185</v>
      </c>
      <c r="D27" s="48" t="s">
        <v>197</v>
      </c>
    </row>
    <row r="28" spans="1:13" x14ac:dyDescent="0.3">
      <c r="A28" s="48" t="s">
        <v>30</v>
      </c>
      <c r="B28" s="48" t="s">
        <v>83</v>
      </c>
    </row>
    <row r="29" spans="1:13" x14ac:dyDescent="0.3">
      <c r="A29" s="48" t="s">
        <v>31</v>
      </c>
      <c r="B29" s="48" t="s">
        <v>84</v>
      </c>
    </row>
    <row r="30" spans="1:13" x14ac:dyDescent="0.3">
      <c r="A30" s="48" t="s">
        <v>32</v>
      </c>
      <c r="B30" s="48" t="s">
        <v>85</v>
      </c>
    </row>
    <row r="31" spans="1:13" ht="57.6" x14ac:dyDescent="0.3">
      <c r="A31" s="48" t="s">
        <v>33</v>
      </c>
      <c r="B31" s="48" t="s">
        <v>86</v>
      </c>
      <c r="C31" s="48" t="s">
        <v>185</v>
      </c>
      <c r="D31" s="48" t="s">
        <v>196</v>
      </c>
    </row>
    <row r="32" spans="1:13" x14ac:dyDescent="0.3">
      <c r="A32" s="48" t="s">
        <v>35</v>
      </c>
      <c r="B32" s="48" t="s">
        <v>87</v>
      </c>
    </row>
    <row r="33" spans="1:2" x14ac:dyDescent="0.3">
      <c r="A33" s="48" t="s">
        <v>36</v>
      </c>
      <c r="B33" s="48" t="s">
        <v>88</v>
      </c>
    </row>
    <row r="34" spans="1:2" x14ac:dyDescent="0.3">
      <c r="A34" s="48" t="s">
        <v>90</v>
      </c>
      <c r="B34" s="48" t="s">
        <v>89</v>
      </c>
    </row>
  </sheetData>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5AA2-262A-4EDB-B781-F80DE35FB984}">
  <dimension ref="A1:X30"/>
  <sheetViews>
    <sheetView zoomScale="74" zoomScaleNormal="74" workbookViewId="0">
      <selection activeCell="B3" sqref="B3"/>
    </sheetView>
  </sheetViews>
  <sheetFormatPr defaultColWidth="9.109375" defaultRowHeight="14.4" x14ac:dyDescent="0.3"/>
  <cols>
    <col min="1" max="1" width="8.6640625" style="40" bestFit="1" customWidth="1"/>
    <col min="2" max="2" width="21.44140625" style="40" bestFit="1" customWidth="1"/>
    <col min="3" max="3" width="16.109375" style="40" customWidth="1"/>
    <col min="4" max="4" width="24.6640625" style="40" bestFit="1" customWidth="1"/>
    <col min="5" max="5" width="11.44140625" style="40" bestFit="1" customWidth="1"/>
    <col min="6" max="6" width="31.33203125" style="40" bestFit="1" customWidth="1"/>
    <col min="7" max="7" width="30.44140625" bestFit="1" customWidth="1"/>
    <col min="8" max="8" width="31.44140625" bestFit="1" customWidth="1"/>
    <col min="9" max="9" width="31.33203125" bestFit="1" customWidth="1"/>
    <col min="10" max="10" width="3.6640625" customWidth="1"/>
    <col min="11" max="22" width="5.5546875" style="40" bestFit="1" customWidth="1"/>
    <col min="23" max="24" width="21.109375" style="40" bestFit="1" customWidth="1"/>
    <col min="25" max="25" width="67.88671875" style="40" bestFit="1" customWidth="1"/>
    <col min="26" max="27" width="9.109375" style="40"/>
    <col min="28" max="28" width="4.5546875" style="40" bestFit="1" customWidth="1"/>
    <col min="29" max="16384" width="9.109375" style="40"/>
  </cols>
  <sheetData>
    <row r="1" spans="1:24" x14ac:dyDescent="0.3">
      <c r="A1" s="41" t="s">
        <v>1804</v>
      </c>
      <c r="G1" s="40"/>
      <c r="H1" s="40"/>
      <c r="I1" s="40"/>
      <c r="J1" s="40"/>
    </row>
    <row r="2" spans="1:24" ht="15.6" x14ac:dyDescent="0.3">
      <c r="A2" s="60" t="s">
        <v>74</v>
      </c>
      <c r="B2" s="60" t="s">
        <v>1803</v>
      </c>
      <c r="C2" s="60" t="s">
        <v>1800</v>
      </c>
      <c r="D2" s="60" t="s">
        <v>1801</v>
      </c>
      <c r="E2" s="60" t="s">
        <v>1802</v>
      </c>
      <c r="F2" s="94" t="s">
        <v>1810</v>
      </c>
      <c r="G2" s="106" t="s">
        <v>1829</v>
      </c>
      <c r="H2" s="105" t="s">
        <v>1831</v>
      </c>
      <c r="I2" s="105" t="s">
        <v>1828</v>
      </c>
      <c r="K2" s="61" t="s">
        <v>71</v>
      </c>
      <c r="L2" s="62" t="s">
        <v>72</v>
      </c>
      <c r="M2" s="63" t="s">
        <v>73</v>
      </c>
      <c r="N2" s="64" t="s">
        <v>94</v>
      </c>
      <c r="O2" s="65" t="s">
        <v>95</v>
      </c>
      <c r="P2" s="66" t="s">
        <v>96</v>
      </c>
      <c r="Q2" s="67" t="s">
        <v>97</v>
      </c>
      <c r="R2" s="68" t="s">
        <v>98</v>
      </c>
      <c r="S2" s="69" t="s">
        <v>39</v>
      </c>
      <c r="T2" s="70" t="s">
        <v>40</v>
      </c>
      <c r="U2" s="71" t="s">
        <v>34</v>
      </c>
      <c r="V2" s="72" t="s">
        <v>41</v>
      </c>
    </row>
    <row r="3" spans="1:24" ht="15.6" x14ac:dyDescent="0.3">
      <c r="A3" s="73" t="s">
        <v>4</v>
      </c>
      <c r="B3" s="73">
        <f>[2]Baseline!G75</f>
        <v>285440.32313309913</v>
      </c>
      <c r="C3" s="73">
        <f>HLOOKUP('Agregação Lvl 3-1'!A3,'Entrada Lvl 5-4 qt'!$AH$1:$BB$2,2,FALSE)</f>
        <v>299057.80591922824</v>
      </c>
      <c r="D3" s="73">
        <f>IFERROR(((C3-B3)/B3)*100,IF(B3=C3,0,100))</f>
        <v>4.770693445361383</v>
      </c>
      <c r="E3" s="74">
        <v>0.4</v>
      </c>
      <c r="F3" s="105" t="s">
        <v>1828</v>
      </c>
      <c r="G3" s="106">
        <v>0</v>
      </c>
      <c r="H3" s="105" t="s">
        <v>1832</v>
      </c>
      <c r="I3" s="105">
        <v>1</v>
      </c>
      <c r="K3" s="75">
        <f>AVERAGE(E3:E4)</f>
        <v>0.4</v>
      </c>
      <c r="L3" s="76">
        <f>AVERAGE(E5:E9)</f>
        <v>0.67999999999999994</v>
      </c>
      <c r="M3" s="77">
        <f>AVERAGE(E10:E12)</f>
        <v>0.33333333333333331</v>
      </c>
      <c r="N3" s="78">
        <f>AVERAGE(E17:E19,E13:E14)</f>
        <v>0.72</v>
      </c>
      <c r="O3" s="79">
        <f>SUM(E20:E20)</f>
        <v>1</v>
      </c>
      <c r="P3" s="80">
        <f>AVERAGE(E21:E23)</f>
        <v>0.66666666666666663</v>
      </c>
      <c r="Q3" s="81">
        <f>AVERAGE(E24:E26)</f>
        <v>0</v>
      </c>
      <c r="R3" s="82">
        <f>AVERAGE(E27:E30)</f>
        <v>0.25</v>
      </c>
      <c r="S3" s="83">
        <f>AVERAGE(K3:M3)</f>
        <v>0.47111111111111109</v>
      </c>
      <c r="T3" s="84">
        <f>AVERAGE(N3:O3)</f>
        <v>0.86</v>
      </c>
      <c r="U3" s="85">
        <f>AVERAGE(P3:R3)</f>
        <v>0.30555555555555552</v>
      </c>
      <c r="V3" s="86">
        <f>SUMPRODUCT(S3:U3,Constantes!N2:P2)</f>
        <v>0.48555555555555552</v>
      </c>
    </row>
    <row r="4" spans="1:24" ht="15.6" x14ac:dyDescent="0.3">
      <c r="A4" s="73" t="s">
        <v>6</v>
      </c>
      <c r="B4" s="73">
        <f>[2]Baseline!G76</f>
        <v>674.23901453608528</v>
      </c>
      <c r="C4" s="73">
        <f>HLOOKUP('Agregação Lvl 3-1'!A4,'Entrada Lvl 5-4 qt'!$AH$1:$BB$2,2,FALSE)</f>
        <v>722.36185004644506</v>
      </c>
      <c r="D4" s="73">
        <f t="shared" ref="D4:D14" si="0">IFERROR(((C4-B4)/B4)*100,IF(B4=C4,0,100))</f>
        <v>7.1373555182758173</v>
      </c>
      <c r="E4" s="74">
        <v>0.4</v>
      </c>
      <c r="F4" s="105" t="s">
        <v>1828</v>
      </c>
      <c r="G4" s="106">
        <v>0.1</v>
      </c>
      <c r="H4" s="105" t="s">
        <v>1833</v>
      </c>
      <c r="I4" s="105">
        <v>0.9</v>
      </c>
    </row>
    <row r="5" spans="1:24" ht="15.6" x14ac:dyDescent="0.3">
      <c r="A5" s="87" t="s">
        <v>51</v>
      </c>
      <c r="B5" s="87">
        <f>[2]Baseline!G77</f>
        <v>1738431.1628214018</v>
      </c>
      <c r="C5" s="87">
        <f>HLOOKUP('Agregação Lvl 3-1'!A5,'Entrada Lvl 5-4 qt'!$AH$1:$BB$2,2,FALSE)</f>
        <v>1610128.7746285002</v>
      </c>
      <c r="D5" s="87">
        <f t="shared" si="0"/>
        <v>-7.3803548243274788</v>
      </c>
      <c r="E5" s="74">
        <v>0.6</v>
      </c>
      <c r="F5" s="105" t="s">
        <v>1828</v>
      </c>
      <c r="G5" s="106">
        <v>0.2</v>
      </c>
      <c r="H5" s="105" t="s">
        <v>1834</v>
      </c>
      <c r="I5" s="105">
        <v>0.8</v>
      </c>
    </row>
    <row r="6" spans="1:24" ht="15.6" x14ac:dyDescent="0.3">
      <c r="A6" s="87" t="s">
        <v>5</v>
      </c>
      <c r="B6" s="87">
        <f>[2]Baseline!G78</f>
        <v>3947.2024815641644</v>
      </c>
      <c r="C6" s="87">
        <f>HLOOKUP('Agregação Lvl 3-1'!A6,'Entrada Lvl 5-4 qt'!$AH$1:$BB$2,2,FALSE)</f>
        <v>3889.1999387161841</v>
      </c>
      <c r="D6" s="87">
        <f t="shared" si="0"/>
        <v>-1.4694595252938616</v>
      </c>
      <c r="E6" s="74">
        <v>0.6</v>
      </c>
      <c r="F6" s="105" t="s">
        <v>1828</v>
      </c>
      <c r="G6" s="106">
        <v>0.3</v>
      </c>
      <c r="H6" s="105" t="s">
        <v>1835</v>
      </c>
      <c r="I6" s="105">
        <v>0.7</v>
      </c>
    </row>
    <row r="7" spans="1:24" ht="15.6" x14ac:dyDescent="0.3">
      <c r="A7" s="87" t="s">
        <v>69</v>
      </c>
      <c r="B7" s="87">
        <f>[2]Baseline!G79</f>
        <v>444</v>
      </c>
      <c r="C7" s="87">
        <f>HLOOKUP('Agregação Lvl 3-1'!A7,'Entrada Lvl 5-4 qt'!$AH$1:$BB$2,2,FALSE)</f>
        <v>414</v>
      </c>
      <c r="D7" s="87">
        <f t="shared" si="0"/>
        <v>-6.756756756756757</v>
      </c>
      <c r="E7" s="74">
        <v>0.6</v>
      </c>
      <c r="F7" s="105" t="s">
        <v>1828</v>
      </c>
      <c r="G7" s="106">
        <v>0.4</v>
      </c>
      <c r="H7" s="105" t="s">
        <v>1836</v>
      </c>
      <c r="I7" s="105">
        <v>0.6</v>
      </c>
    </row>
    <row r="8" spans="1:24" ht="15.6" x14ac:dyDescent="0.3">
      <c r="A8" s="87" t="s">
        <v>68</v>
      </c>
      <c r="B8" s="87">
        <f>[2]Baseline!G80</f>
        <v>7.4944835035219435E-3</v>
      </c>
      <c r="C8" s="87">
        <f>HLOOKUP('Agregação Lvl 3-1'!A8,'Entrada Lvl 5-4 qt'!$AH$1:$BB$2,2,FALSE)</f>
        <v>7.246376811594203E-3</v>
      </c>
      <c r="D8" s="87">
        <f t="shared" si="0"/>
        <v>-3.3105242250669535</v>
      </c>
      <c r="E8" s="74">
        <v>0.6</v>
      </c>
      <c r="F8" s="105" t="s">
        <v>1828</v>
      </c>
      <c r="G8" s="106">
        <v>0.5</v>
      </c>
      <c r="H8" s="105" t="s">
        <v>1837</v>
      </c>
      <c r="I8" s="105">
        <v>0.5</v>
      </c>
      <c r="W8" s="5"/>
      <c r="X8" s="5"/>
    </row>
    <row r="9" spans="1:24" ht="15.6" x14ac:dyDescent="0.3">
      <c r="A9" s="87" t="s">
        <v>1805</v>
      </c>
      <c r="B9" s="87">
        <f>[2]Baseline!G81</f>
        <v>1</v>
      </c>
      <c r="C9" s="87">
        <f>HLOOKUP('Agregação Lvl 3-1'!A9,'Entrada Lvl 5-4 qt'!$AH$1:$BB$2,2,FALSE)</f>
        <v>1</v>
      </c>
      <c r="D9" s="87">
        <f t="shared" si="0"/>
        <v>0</v>
      </c>
      <c r="E9" s="74">
        <v>1</v>
      </c>
      <c r="F9" s="110" t="s">
        <v>1852</v>
      </c>
      <c r="G9" s="106">
        <v>0.6</v>
      </c>
      <c r="H9" s="105" t="s">
        <v>1838</v>
      </c>
      <c r="I9" s="105">
        <v>0.4</v>
      </c>
      <c r="W9" s="5"/>
      <c r="X9" s="5"/>
    </row>
    <row r="10" spans="1:24" ht="15.6" x14ac:dyDescent="0.3">
      <c r="A10" s="88" t="s">
        <v>7</v>
      </c>
      <c r="B10" s="88">
        <f>[2]Baseline!G82</f>
        <v>1196933.5299197398</v>
      </c>
      <c r="C10" s="88">
        <f>HLOOKUP('Agregação Lvl 3-1'!A10,'Entrada Lvl 5-4 qt'!$AH$1:$BB$2,2,FALSE)</f>
        <v>1150238.0099999981</v>
      </c>
      <c r="D10" s="88">
        <f>IFERROR(((C10-B10)/B10)*100,IF(B10=C10,0,100))</f>
        <v>-3.9012625807945094</v>
      </c>
      <c r="E10" s="74">
        <v>0.3</v>
      </c>
      <c r="F10" s="105" t="s">
        <v>1828</v>
      </c>
      <c r="G10" s="106">
        <v>0.7</v>
      </c>
      <c r="H10" s="105" t="s">
        <v>1839</v>
      </c>
      <c r="I10" s="105">
        <v>0.3</v>
      </c>
      <c r="W10" s="5"/>
      <c r="X10" s="5"/>
    </row>
    <row r="11" spans="1:24" ht="15.6" x14ac:dyDescent="0.3">
      <c r="A11" s="88" t="s">
        <v>8</v>
      </c>
      <c r="B11" s="88">
        <f>[2]Baseline!G83</f>
        <v>521235.34831655817</v>
      </c>
      <c r="C11" s="88">
        <f>HLOOKUP('Agregação Lvl 3-1'!A11,'Entrada Lvl 5-4 qt'!$AH$1:$BB$2,2,FALSE)</f>
        <v>547335.04</v>
      </c>
      <c r="D11" s="88">
        <f>IFERROR(((C11-B11)/B11)*100,IF(B11=C11,0,100))</f>
        <v>5.007275843385611</v>
      </c>
      <c r="E11" s="74">
        <v>0.4</v>
      </c>
      <c r="F11" s="105" t="s">
        <v>1828</v>
      </c>
      <c r="G11" s="106">
        <v>0.8</v>
      </c>
      <c r="H11" s="105" t="s">
        <v>1840</v>
      </c>
      <c r="I11" s="105">
        <v>0.2</v>
      </c>
      <c r="W11" s="5"/>
      <c r="X11" s="5"/>
    </row>
    <row r="12" spans="1:24" ht="15.6" x14ac:dyDescent="0.3">
      <c r="A12" s="88" t="s">
        <v>1806</v>
      </c>
      <c r="B12" s="88">
        <f>[2]Baseline!G84</f>
        <v>3454.7583234811427</v>
      </c>
      <c r="C12" s="88">
        <f>HLOOKUP('Agregação Lvl 3-1'!A12,'Entrada Lvl 5-4 qt'!$AH$1:$BB$2,2,FALSE)</f>
        <v>4100.4179951690776</v>
      </c>
      <c r="D12" s="88">
        <f>IFERROR(((C12-B12)/B12)*100,IF(B12=C12,0,100))</f>
        <v>18.68899677582495</v>
      </c>
      <c r="E12" s="74">
        <v>0.3</v>
      </c>
      <c r="F12" s="105" t="s">
        <v>1828</v>
      </c>
      <c r="G12" s="106">
        <v>0.9</v>
      </c>
      <c r="H12" s="105" t="s">
        <v>1841</v>
      </c>
      <c r="I12" s="105">
        <v>0.1</v>
      </c>
      <c r="W12" s="5"/>
      <c r="X12" s="5"/>
    </row>
    <row r="13" spans="1:24" ht="15.6" x14ac:dyDescent="0.3">
      <c r="A13" s="89" t="s">
        <v>1795</v>
      </c>
      <c r="B13" s="89">
        <f>[2]Baseline!G85</f>
        <v>3.4715825884130386E-2</v>
      </c>
      <c r="C13" s="89">
        <f>HLOOKUP('Agregação Lvl 3-1'!A13,'Entrada Lvl 5-4 qt'!$AH$1:$BB$2,2,FALSE)</f>
        <v>3.140096618357488E-2</v>
      </c>
      <c r="D13" s="89">
        <f t="shared" si="0"/>
        <v>-9.5485549202239337</v>
      </c>
      <c r="E13" s="74">
        <v>0.6</v>
      </c>
      <c r="F13" s="105" t="s">
        <v>1828</v>
      </c>
      <c r="G13" s="106">
        <v>1</v>
      </c>
      <c r="H13" s="105" t="s">
        <v>1842</v>
      </c>
      <c r="I13" s="105">
        <v>0</v>
      </c>
      <c r="W13" s="5"/>
      <c r="X13" s="5"/>
    </row>
    <row r="14" spans="1:24" ht="15.6" x14ac:dyDescent="0.3">
      <c r="A14" s="89" t="s">
        <v>1796</v>
      </c>
      <c r="B14" s="89">
        <f>[2]Baseline!G86</f>
        <v>0</v>
      </c>
      <c r="C14" s="89">
        <f>HLOOKUP('Agregação Lvl 3-1'!A14,'Entrada Lvl 5-4 qt'!$AH$1:$BB$2,2,FALSE)</f>
        <v>0</v>
      </c>
      <c r="D14" s="89">
        <f t="shared" si="0"/>
        <v>0</v>
      </c>
      <c r="E14" s="74">
        <v>1</v>
      </c>
      <c r="F14" s="105" t="s">
        <v>1828</v>
      </c>
      <c r="G14" s="106">
        <v>0</v>
      </c>
      <c r="H14" s="105" t="s">
        <v>1843</v>
      </c>
      <c r="I14" s="105">
        <v>0</v>
      </c>
      <c r="W14" s="5"/>
      <c r="X14" s="5"/>
    </row>
    <row r="15" spans="1:24" x14ac:dyDescent="0.3">
      <c r="F15" s="105"/>
      <c r="W15" s="5"/>
      <c r="X15" s="5"/>
    </row>
    <row r="16" spans="1:24" x14ac:dyDescent="0.3">
      <c r="A16" s="40" t="s">
        <v>1827</v>
      </c>
      <c r="W16" s="5"/>
      <c r="X16" s="5"/>
    </row>
    <row r="17" spans="1:24" x14ac:dyDescent="0.3">
      <c r="A17" s="90" t="s">
        <v>24</v>
      </c>
      <c r="B17" s="90"/>
      <c r="C17" s="90"/>
      <c r="D17" s="90"/>
      <c r="E17" s="90">
        <f>'Entrada Lvl 5-4 ql'!C2</f>
        <v>1</v>
      </c>
      <c r="F17" s="107" t="s">
        <v>1830</v>
      </c>
      <c r="W17" s="5"/>
      <c r="X17" s="5"/>
    </row>
    <row r="18" spans="1:24" x14ac:dyDescent="0.3">
      <c r="A18" s="90" t="s">
        <v>25</v>
      </c>
      <c r="B18" s="90"/>
      <c r="C18" s="90"/>
      <c r="D18" s="90"/>
      <c r="E18" s="90">
        <f>'Entrada Lvl 5-4 ql'!C3</f>
        <v>0</v>
      </c>
      <c r="F18" s="107" t="s">
        <v>1830</v>
      </c>
      <c r="W18" s="5"/>
      <c r="X18" s="5"/>
    </row>
    <row r="19" spans="1:24" x14ac:dyDescent="0.3">
      <c r="A19" s="90" t="s">
        <v>26</v>
      </c>
      <c r="B19" s="90"/>
      <c r="C19" s="90"/>
      <c r="D19" s="90"/>
      <c r="E19" s="90">
        <f>'Entrada Lvl 5-4 ql'!C4</f>
        <v>1</v>
      </c>
      <c r="F19" s="107" t="s">
        <v>1830</v>
      </c>
      <c r="H19" s="109"/>
      <c r="W19" s="5"/>
      <c r="X19" s="5"/>
    </row>
    <row r="20" spans="1:24" x14ac:dyDescent="0.3">
      <c r="A20" s="104" t="s">
        <v>38</v>
      </c>
      <c r="B20" s="104"/>
      <c r="C20" s="104"/>
      <c r="D20" s="104"/>
      <c r="E20" s="104">
        <f>SUM('Entrada Lvl 5-4 qt'!AZ2:BC2)</f>
        <v>1</v>
      </c>
      <c r="F20" s="107" t="s">
        <v>1830</v>
      </c>
      <c r="W20" s="5"/>
      <c r="X20" s="5"/>
    </row>
    <row r="21" spans="1:24" x14ac:dyDescent="0.3">
      <c r="A21" s="91" t="s">
        <v>27</v>
      </c>
      <c r="B21" s="91"/>
      <c r="C21" s="91"/>
      <c r="D21" s="91"/>
      <c r="E21" s="91">
        <f>'Entrada Lvl 5-4 ql'!C5</f>
        <v>1</v>
      </c>
      <c r="F21" s="107" t="s">
        <v>1830</v>
      </c>
    </row>
    <row r="22" spans="1:24" x14ac:dyDescent="0.3">
      <c r="A22" s="91" t="s">
        <v>28</v>
      </c>
      <c r="B22" s="91"/>
      <c r="C22" s="91"/>
      <c r="D22" s="91"/>
      <c r="E22" s="91">
        <f>'Entrada Lvl 5-4 ql'!C6</f>
        <v>1</v>
      </c>
      <c r="F22" s="107" t="s">
        <v>1830</v>
      </c>
    </row>
    <row r="23" spans="1:24" x14ac:dyDescent="0.3">
      <c r="A23" s="91" t="s">
        <v>29</v>
      </c>
      <c r="B23" s="91"/>
      <c r="C23" s="91"/>
      <c r="D23" s="91"/>
      <c r="E23" s="91">
        <f>'Entrada Lvl 5-4 ql'!C7</f>
        <v>0</v>
      </c>
      <c r="F23" s="107" t="s">
        <v>1830</v>
      </c>
    </row>
    <row r="24" spans="1:24" x14ac:dyDescent="0.3">
      <c r="A24" s="92" t="s">
        <v>30</v>
      </c>
      <c r="B24" s="92"/>
      <c r="C24" s="92"/>
      <c r="D24" s="92"/>
      <c r="E24" s="92">
        <f>'Entrada Lvl 5-4 ql'!C8</f>
        <v>0</v>
      </c>
      <c r="F24" s="107" t="s">
        <v>1830</v>
      </c>
    </row>
    <row r="25" spans="1:24" x14ac:dyDescent="0.3">
      <c r="A25" s="92" t="s">
        <v>31</v>
      </c>
      <c r="B25" s="92"/>
      <c r="C25" s="92"/>
      <c r="D25" s="92"/>
      <c r="E25" s="92">
        <f>'Entrada Lvl 5-4 ql'!C9</f>
        <v>0</v>
      </c>
      <c r="F25" s="107" t="s">
        <v>1830</v>
      </c>
      <c r="H25" s="109"/>
    </row>
    <row r="26" spans="1:24" x14ac:dyDescent="0.3">
      <c r="A26" s="92" t="s">
        <v>32</v>
      </c>
      <c r="B26" s="92"/>
      <c r="C26" s="92"/>
      <c r="D26" s="92"/>
      <c r="E26" s="92">
        <f>'Entrada Lvl 5-4 ql'!C10</f>
        <v>0</v>
      </c>
      <c r="F26" s="107" t="s">
        <v>1830</v>
      </c>
      <c r="H26" s="109"/>
    </row>
    <row r="27" spans="1:24" x14ac:dyDescent="0.3">
      <c r="A27" s="93" t="s">
        <v>33</v>
      </c>
      <c r="B27" s="93"/>
      <c r="C27" s="93"/>
      <c r="D27" s="93"/>
      <c r="E27" s="93">
        <f>'Entrada Lvl 5-4 ql'!C11</f>
        <v>1</v>
      </c>
      <c r="F27" s="107" t="s">
        <v>1830</v>
      </c>
    </row>
    <row r="28" spans="1:24" x14ac:dyDescent="0.3">
      <c r="A28" s="93" t="s">
        <v>35</v>
      </c>
      <c r="B28" s="93"/>
      <c r="C28" s="93"/>
      <c r="D28" s="93"/>
      <c r="E28" s="93">
        <f>'Entrada Lvl 5-4 ql'!C12</f>
        <v>0</v>
      </c>
      <c r="F28" s="107" t="s">
        <v>1830</v>
      </c>
    </row>
    <row r="29" spans="1:24" x14ac:dyDescent="0.3">
      <c r="A29" s="93" t="s">
        <v>36</v>
      </c>
      <c r="B29" s="93"/>
      <c r="C29" s="93"/>
      <c r="D29" s="93"/>
      <c r="E29" s="93">
        <f>'Entrada Lvl 5-4 ql'!C13</f>
        <v>0</v>
      </c>
      <c r="F29" s="107" t="s">
        <v>1830</v>
      </c>
    </row>
    <row r="30" spans="1:24" x14ac:dyDescent="0.3">
      <c r="A30" s="93" t="s">
        <v>90</v>
      </c>
      <c r="B30" s="93"/>
      <c r="C30" s="93"/>
      <c r="D30" s="93"/>
      <c r="E30" s="93">
        <f>'Entrada Lvl 5-4 ql'!C14</f>
        <v>0</v>
      </c>
      <c r="F30" s="107" t="s">
        <v>1830</v>
      </c>
    </row>
  </sheetData>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3468-E747-4F50-90A6-B6C4E32ED1C5}">
  <dimension ref="A1:XFC50"/>
  <sheetViews>
    <sheetView showGridLines="0" showRowColHeaders="0" zoomScale="36" zoomScaleNormal="49" workbookViewId="0">
      <selection activeCell="M44" sqref="M44"/>
    </sheetView>
  </sheetViews>
  <sheetFormatPr defaultColWidth="0" defaultRowHeight="14.4" zeroHeight="1" x14ac:dyDescent="0.3"/>
  <cols>
    <col min="1" max="1" width="24.6640625" style="6" customWidth="1"/>
    <col min="2" max="12" width="44.6640625" style="6" customWidth="1"/>
    <col min="13" max="13" width="24.6640625" style="6" customWidth="1"/>
    <col min="14" max="16381" width="9.109375" style="6" hidden="1"/>
    <col min="16382" max="16382" width="8.109375" style="6" hidden="1" customWidth="1"/>
    <col min="16383" max="16383" width="36.6640625" style="6" hidden="1" customWidth="1"/>
    <col min="16384" max="16384" width="9.5546875" style="6" hidden="1" customWidth="1"/>
  </cols>
  <sheetData>
    <row r="1" spans="2:12" ht="24" customHeight="1" x14ac:dyDescent="0.3">
      <c r="E1"/>
      <c r="F1"/>
      <c r="G1"/>
      <c r="J1" s="8"/>
      <c r="K1" s="56" t="s">
        <v>52</v>
      </c>
      <c r="L1" s="56" t="s">
        <v>1799</v>
      </c>
    </row>
    <row r="2" spans="2:12" ht="63.75" customHeight="1" x14ac:dyDescent="0.3">
      <c r="B2" s="8"/>
      <c r="C2" s="8"/>
      <c r="D2" s="8"/>
      <c r="E2" s="8"/>
      <c r="F2" s="8"/>
      <c r="G2" s="8"/>
      <c r="H2" s="8"/>
      <c r="I2" s="8"/>
      <c r="J2" s="8"/>
      <c r="K2" s="8"/>
      <c r="L2" s="8"/>
    </row>
    <row r="3" spans="2:12" ht="92.25" customHeight="1" x14ac:dyDescent="0.3">
      <c r="B3" s="117" t="s">
        <v>48</v>
      </c>
      <c r="C3" s="117"/>
      <c r="D3" s="59">
        <f>'Agregação Lvl 3-1'!S3</f>
        <v>0.47111111111111109</v>
      </c>
      <c r="E3" s="9"/>
      <c r="F3" s="119" t="s">
        <v>49</v>
      </c>
      <c r="G3" s="120"/>
      <c r="H3" s="59">
        <f>'Agregação Lvl 3-1'!T3</f>
        <v>0.86</v>
      </c>
      <c r="I3" s="9"/>
      <c r="J3" s="118" t="s">
        <v>50</v>
      </c>
      <c r="K3" s="118"/>
      <c r="L3" s="59">
        <f>'Agregação Lvl 3-1'!U3</f>
        <v>0.30555555555555552</v>
      </c>
    </row>
    <row r="4" spans="2:12" ht="14.25" customHeight="1" x14ac:dyDescent="0.3">
      <c r="B4" s="8"/>
      <c r="C4" s="8"/>
      <c r="D4" s="8"/>
      <c r="E4" s="8"/>
      <c r="F4" s="8"/>
      <c r="G4" s="8"/>
      <c r="H4" s="8"/>
      <c r="I4" s="8"/>
      <c r="J4" s="8"/>
      <c r="K4" s="8"/>
      <c r="L4" s="8"/>
    </row>
    <row r="5" spans="2:12" ht="23.4" x14ac:dyDescent="0.3">
      <c r="B5" s="95" t="s">
        <v>176</v>
      </c>
      <c r="C5" s="96" t="s">
        <v>177</v>
      </c>
      <c r="D5" s="97" t="s">
        <v>178</v>
      </c>
      <c r="E5" s="98"/>
      <c r="F5" s="99" t="s">
        <v>179</v>
      </c>
      <c r="G5" s="99" t="s">
        <v>180</v>
      </c>
      <c r="H5" s="98"/>
      <c r="I5" s="98"/>
      <c r="J5" s="100" t="s">
        <v>181</v>
      </c>
      <c r="K5" s="101" t="s">
        <v>182</v>
      </c>
      <c r="L5" s="102" t="s">
        <v>183</v>
      </c>
    </row>
    <row r="6" spans="2:12" ht="23.4" x14ac:dyDescent="0.3">
      <c r="B6" s="103">
        <f>'Agregação Lvl 3-1'!K3</f>
        <v>0.4</v>
      </c>
      <c r="C6" s="103">
        <f>'Agregação Lvl 3-1'!L3</f>
        <v>0.67999999999999994</v>
      </c>
      <c r="D6" s="103">
        <f>'Agregação Lvl 3-1'!M3</f>
        <v>0.33333333333333331</v>
      </c>
      <c r="E6" s="98"/>
      <c r="F6" s="103">
        <f>'Agregação Lvl 3-1'!N3</f>
        <v>0.72</v>
      </c>
      <c r="G6" s="103">
        <f>'Agregação Lvl 3-1'!O3</f>
        <v>1</v>
      </c>
      <c r="H6" s="98"/>
      <c r="I6" s="98"/>
      <c r="J6" s="103">
        <f>'Agregação Lvl 3-1'!P3</f>
        <v>0.66666666666666663</v>
      </c>
      <c r="K6" s="103">
        <f>'Agregação Lvl 3-1'!Q3</f>
        <v>0</v>
      </c>
      <c r="L6" s="103">
        <f>'Agregação Lvl 3-1'!R3</f>
        <v>0.25</v>
      </c>
    </row>
    <row r="7" spans="2:12" x14ac:dyDescent="0.3"/>
    <row r="8" spans="2:12" x14ac:dyDescent="0.3"/>
    <row r="9" spans="2:12" x14ac:dyDescent="0.3"/>
    <row r="10" spans="2:12" x14ac:dyDescent="0.3"/>
    <row r="11" spans="2:12" x14ac:dyDescent="0.3"/>
    <row r="12" spans="2:12" x14ac:dyDescent="0.3"/>
    <row r="13" spans="2:12" x14ac:dyDescent="0.3"/>
    <row r="14" spans="2:12" x14ac:dyDescent="0.3"/>
    <row r="15" spans="2:12" x14ac:dyDescent="0.3"/>
    <row r="16" spans="2:12" x14ac:dyDescent="0.3"/>
    <row r="17" spans="2:2" x14ac:dyDescent="0.3"/>
    <row r="18" spans="2:2" x14ac:dyDescent="0.3"/>
    <row r="19" spans="2:2" x14ac:dyDescent="0.3"/>
    <row r="20" spans="2:2" x14ac:dyDescent="0.3"/>
    <row r="21" spans="2:2" x14ac:dyDescent="0.3">
      <c r="B21" s="55"/>
    </row>
    <row r="22" spans="2:2" x14ac:dyDescent="0.3"/>
    <row r="23" spans="2:2" x14ac:dyDescent="0.3"/>
    <row r="24" spans="2:2" x14ac:dyDescent="0.3"/>
    <row r="25" spans="2:2" x14ac:dyDescent="0.3"/>
    <row r="26" spans="2:2" x14ac:dyDescent="0.3"/>
    <row r="27" spans="2:2" x14ac:dyDescent="0.3"/>
    <row r="28" spans="2:2" x14ac:dyDescent="0.3"/>
    <row r="29" spans="2:2" x14ac:dyDescent="0.3"/>
    <row r="30" spans="2:2" x14ac:dyDescent="0.3"/>
    <row r="31" spans="2:2" x14ac:dyDescent="0.3"/>
    <row r="32" spans="2:2" x14ac:dyDescent="0.3"/>
    <row r="33" x14ac:dyDescent="0.3"/>
    <row r="34" x14ac:dyDescent="0.3"/>
    <row r="35" x14ac:dyDescent="0.3"/>
    <row r="36" x14ac:dyDescent="0.3"/>
    <row r="37" x14ac:dyDescent="0.3"/>
    <row r="38" x14ac:dyDescent="0.3"/>
    <row r="39" x14ac:dyDescent="0.3"/>
    <row r="40" x14ac:dyDescent="0.3"/>
    <row r="41" ht="15" customHeight="1" x14ac:dyDescent="0.3"/>
    <row r="42" x14ac:dyDescent="0.3"/>
    <row r="43" x14ac:dyDescent="0.3"/>
    <row r="44" ht="85.5" customHeight="1" x14ac:dyDescent="0.3"/>
    <row r="45" ht="81.75" customHeight="1" x14ac:dyDescent="0.3"/>
    <row r="46" ht="18.75" hidden="1" customHeight="1" x14ac:dyDescent="0.3"/>
    <row r="47" ht="16.5" hidden="1" customHeight="1" x14ac:dyDescent="0.3"/>
    <row r="48" ht="16.5" hidden="1" customHeight="1" x14ac:dyDescent="0.3"/>
    <row r="49" ht="21.75" hidden="1" customHeight="1" x14ac:dyDescent="0.3"/>
    <row r="50" ht="10.5" hidden="1" customHeight="1" x14ac:dyDescent="0.3"/>
  </sheetData>
  <mergeCells count="3">
    <mergeCell ref="B3:C3"/>
    <mergeCell ref="J3:K3"/>
    <mergeCell ref="F3:G3"/>
  </mergeCells>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CEDD-5CAC-4BE5-8E3B-9A2CB8EF8811}">
  <dimension ref="A1:Y21"/>
  <sheetViews>
    <sheetView workbookViewId="0">
      <selection activeCell="O3" sqref="O3"/>
    </sheetView>
  </sheetViews>
  <sheetFormatPr defaultRowHeight="14.4" x14ac:dyDescent="0.3"/>
  <cols>
    <col min="1" max="1" width="25.6640625" bestFit="1" customWidth="1"/>
    <col min="2" max="2" width="10.44140625" bestFit="1" customWidth="1"/>
    <col min="3" max="3" width="14.6640625" bestFit="1" customWidth="1"/>
    <col min="4" max="4" width="9.6640625" customWidth="1"/>
    <col min="5" max="5" width="8.5546875" bestFit="1" customWidth="1"/>
    <col min="6" max="6" width="4.109375" customWidth="1"/>
    <col min="7" max="8" width="5" bestFit="1" customWidth="1"/>
    <col min="9" max="9" width="9.6640625" bestFit="1" customWidth="1"/>
    <col min="11" max="11" width="13.6640625" bestFit="1" customWidth="1"/>
    <col min="12" max="12" width="3.88671875" customWidth="1"/>
    <col min="13" max="13" width="8.88671875" bestFit="1" customWidth="1"/>
    <col min="14" max="14" width="5" bestFit="1" customWidth="1"/>
    <col min="15" max="15" width="4" bestFit="1" customWidth="1"/>
    <col min="16" max="16" width="5" bestFit="1" customWidth="1"/>
    <col min="17" max="17" width="4.5546875" customWidth="1"/>
    <col min="18" max="18" width="31.109375" bestFit="1" customWidth="1"/>
    <col min="19" max="19" width="39.6640625" bestFit="1" customWidth="1"/>
    <col min="20" max="20" width="35.88671875" bestFit="1" customWidth="1"/>
    <col min="21" max="21" width="39.6640625" bestFit="1" customWidth="1"/>
    <col min="22" max="22" width="6.109375" customWidth="1"/>
    <col min="23" max="24" width="22.44140625" bestFit="1" customWidth="1"/>
    <col min="25" max="25" width="73.5546875" bestFit="1" customWidth="1"/>
  </cols>
  <sheetData>
    <row r="1" spans="1:25" ht="30" customHeight="1" x14ac:dyDescent="0.3">
      <c r="A1" s="14" t="s">
        <v>0</v>
      </c>
      <c r="B1" s="15" t="s">
        <v>10</v>
      </c>
      <c r="C1" s="15" t="s">
        <v>11</v>
      </c>
      <c r="D1" s="15" t="s">
        <v>12</v>
      </c>
      <c r="E1" s="16" t="s">
        <v>13</v>
      </c>
      <c r="G1" s="15" t="s">
        <v>15</v>
      </c>
      <c r="H1" s="15" t="s">
        <v>16</v>
      </c>
      <c r="J1" s="15"/>
      <c r="K1" s="16"/>
      <c r="M1" s="14" t="s">
        <v>45</v>
      </c>
      <c r="N1" s="24" t="s">
        <v>42</v>
      </c>
      <c r="O1" s="24" t="s">
        <v>43</v>
      </c>
      <c r="P1" s="25" t="s">
        <v>44</v>
      </c>
      <c r="R1" s="11" t="s">
        <v>53</v>
      </c>
      <c r="S1" s="11"/>
    </row>
    <row r="2" spans="1:25" ht="15" thickBot="1" x14ac:dyDescent="0.35">
      <c r="A2" s="17" t="s">
        <v>1846</v>
      </c>
      <c r="B2" s="18">
        <v>0.27257678523489931</v>
      </c>
      <c r="C2" s="18">
        <v>0.27257678523489931</v>
      </c>
      <c r="D2" s="18">
        <v>0.27257678523489931</v>
      </c>
      <c r="E2" s="19">
        <v>0.27257678523489931</v>
      </c>
      <c r="G2" s="17">
        <v>600</v>
      </c>
      <c r="H2" s="3">
        <v>3700</v>
      </c>
      <c r="I2" s="3"/>
      <c r="K2" s="20" t="s">
        <v>21</v>
      </c>
      <c r="M2" s="37">
        <f>SUM(N2:P2)</f>
        <v>1</v>
      </c>
      <c r="N2" s="22">
        <v>0.25</v>
      </c>
      <c r="O2" s="22">
        <v>0.25</v>
      </c>
      <c r="P2" s="23">
        <v>0.5</v>
      </c>
      <c r="R2" s="12" t="s">
        <v>54</v>
      </c>
      <c r="S2" s="12">
        <v>0</v>
      </c>
    </row>
    <row r="3" spans="1:25" x14ac:dyDescent="0.3">
      <c r="A3" s="17" t="s">
        <v>1846</v>
      </c>
      <c r="B3" s="18">
        <v>0.27257678523489931</v>
      </c>
      <c r="C3" s="18">
        <v>0.27257678523489931</v>
      </c>
      <c r="D3" s="18">
        <v>0.27257678523489931</v>
      </c>
      <c r="E3" s="19">
        <v>0.27257678523489931</v>
      </c>
      <c r="G3" s="17"/>
      <c r="H3" s="3"/>
      <c r="I3" s="3"/>
      <c r="K3" s="20" t="s">
        <v>20</v>
      </c>
      <c r="R3" s="12" t="s">
        <v>55</v>
      </c>
      <c r="S3" s="12" t="s">
        <v>57</v>
      </c>
    </row>
    <row r="4" spans="1:25" x14ac:dyDescent="0.3">
      <c r="A4" s="17" t="s">
        <v>17</v>
      </c>
      <c r="B4" s="18">
        <v>0.18286935436241611</v>
      </c>
      <c r="C4" s="18">
        <v>0.27430287785234903</v>
      </c>
      <c r="D4" s="18">
        <v>0.27430287785234903</v>
      </c>
      <c r="E4" s="19">
        <v>0.27430287785234903</v>
      </c>
      <c r="G4" s="17"/>
      <c r="K4" s="20" t="s">
        <v>19</v>
      </c>
      <c r="R4" s="13" t="s">
        <v>58</v>
      </c>
      <c r="S4" s="12" t="s">
        <v>99</v>
      </c>
    </row>
    <row r="5" spans="1:25" ht="15" thickBot="1" x14ac:dyDescent="0.35">
      <c r="A5" s="17" t="s">
        <v>18</v>
      </c>
      <c r="B5" s="18">
        <v>0.20010828053691276</v>
      </c>
      <c r="C5" s="18">
        <v>0.3201551932885906</v>
      </c>
      <c r="D5" s="18">
        <v>0.58028693020134225</v>
      </c>
      <c r="E5" s="19">
        <v>0.80040302953020126</v>
      </c>
      <c r="G5" s="21"/>
      <c r="H5" s="22"/>
      <c r="I5" s="22"/>
      <c r="J5" s="22"/>
      <c r="K5" s="23"/>
      <c r="R5" s="12" t="s">
        <v>56</v>
      </c>
      <c r="S5" s="13" t="s">
        <v>59</v>
      </c>
    </row>
    <row r="6" spans="1:25" x14ac:dyDescent="0.3">
      <c r="A6" s="17"/>
      <c r="E6" s="20"/>
      <c r="R6" s="13"/>
      <c r="S6" s="13"/>
    </row>
    <row r="7" spans="1:25" x14ac:dyDescent="0.3">
      <c r="A7" s="17" t="s">
        <v>66</v>
      </c>
      <c r="D7" t="s">
        <v>14</v>
      </c>
      <c r="E7" s="20"/>
      <c r="R7" s="11" t="s">
        <v>53</v>
      </c>
      <c r="S7" s="13"/>
    </row>
    <row r="8" spans="1:25" ht="15" thickBot="1" x14ac:dyDescent="0.35">
      <c r="A8" s="21"/>
      <c r="B8" s="22"/>
      <c r="C8" s="22"/>
      <c r="D8" s="22" t="s">
        <v>22</v>
      </c>
      <c r="E8" s="23"/>
      <c r="R8" s="12" t="s">
        <v>56</v>
      </c>
      <c r="S8" s="39">
        <f>IF(SUM('Entrada Lvl 5-4 ql'!C8,'Entrada Lvl 5-4 ql'!C9,'Entrada Lvl 5-4 ql'!C10,'Entrada Lvl 5-4 ql'!C12)&gt;1,1,0)</f>
        <v>0</v>
      </c>
      <c r="T8" t="s">
        <v>100</v>
      </c>
      <c r="U8" t="s">
        <v>101</v>
      </c>
    </row>
    <row r="9" spans="1:25" x14ac:dyDescent="0.3">
      <c r="R9" s="13" t="s">
        <v>58</v>
      </c>
      <c r="S9" s="39">
        <f>IF(SUM('Entrada Lvl 5-4 ql'!C5,'Entrada Lvl 5-4 ql'!C6,'Entrada Lvl 5-4 ql'!C7,'Entrada Lvl 5-4 ql'!C13,'Entrada Lvl 5-4 ql'!C14)&gt;1,1,0)</f>
        <v>1</v>
      </c>
      <c r="T9" t="s">
        <v>104</v>
      </c>
      <c r="U9" t="s">
        <v>102</v>
      </c>
    </row>
    <row r="10" spans="1:25" x14ac:dyDescent="0.3">
      <c r="R10" s="12" t="s">
        <v>55</v>
      </c>
      <c r="S10" s="39">
        <f>IF(SUM('Entrada Lvl 5-4 ql'!C11,'Entrada Lvl 5-4 ql'!C14)&gt;0,1,0)</f>
        <v>1</v>
      </c>
      <c r="T10" t="s">
        <v>105</v>
      </c>
      <c r="U10" t="s">
        <v>103</v>
      </c>
    </row>
    <row r="11" spans="1:25" x14ac:dyDescent="0.3">
      <c r="R11" s="12" t="s">
        <v>65</v>
      </c>
      <c r="S11" s="39">
        <f>'Entrada Lvl 5-4 ql'!C11</f>
        <v>1</v>
      </c>
    </row>
    <row r="12" spans="1:25" x14ac:dyDescent="0.3">
      <c r="R12" s="13" t="s">
        <v>60</v>
      </c>
      <c r="S12" s="13" t="str">
        <f>IF(S11=0,R11,(IF(S8=1,R8,IF(S9=1,R9,IF(S10=1,R10,R11)))))</f>
        <v>Redutora de viagens aéreas</v>
      </c>
    </row>
    <row r="14" spans="1:25" x14ac:dyDescent="0.3">
      <c r="R14" s="29" t="s">
        <v>60</v>
      </c>
      <c r="S14" t="str">
        <f>IF(S11=0,U10,IF(S10=1,T10,U10))</f>
        <v>Faz o levantamento de viagens aéreas</v>
      </c>
    </row>
    <row r="15" spans="1:25" x14ac:dyDescent="0.3">
      <c r="S15" t="str">
        <f>IF(S9=1,T9,U9)</f>
        <v>Busca reduzir viagens aéreas</v>
      </c>
    </row>
    <row r="16" spans="1:25" x14ac:dyDescent="0.3">
      <c r="S16" t="str">
        <f>IF(S8=1,T8,U8)</f>
        <v>Não busca substituir viagens aéreas</v>
      </c>
      <c r="X16" s="7"/>
      <c r="Y16" s="40"/>
    </row>
    <row r="17" spans="24:25" x14ac:dyDescent="0.3">
      <c r="X17" s="7"/>
      <c r="Y17" s="40"/>
    </row>
    <row r="18" spans="24:25" x14ac:dyDescent="0.3">
      <c r="X18" s="7"/>
      <c r="Y18" s="41"/>
    </row>
    <row r="19" spans="24:25" x14ac:dyDescent="0.3">
      <c r="X19" s="7"/>
      <c r="Y19" s="40"/>
    </row>
    <row r="21" spans="24:25" x14ac:dyDescent="0.3">
      <c r="X21" s="7"/>
    </row>
  </sheetData>
  <conditionalFormatting sqref="B2:E2">
    <cfRule type="colorScale" priority="2">
      <colorScale>
        <cfvo type="min"/>
        <cfvo type="percentile" val="50"/>
        <cfvo type="max"/>
        <color rgb="FF63BE7B"/>
        <color rgb="FFFCFCFF"/>
        <color rgb="FFF8696B"/>
      </colorScale>
    </cfRule>
    <cfRule type="colorScale" priority="3">
      <colorScale>
        <cfvo type="min"/>
        <cfvo type="percentile" val="50"/>
        <cfvo type="max"/>
        <color rgb="FF63BE7B"/>
        <color rgb="FFFCFCFF"/>
        <color rgb="FFF8696B"/>
      </colorScale>
    </cfRule>
  </conditionalFormatting>
  <conditionalFormatting sqref="B2:E5">
    <cfRule type="colorScale" priority="1">
      <colorScale>
        <cfvo type="min"/>
        <cfvo type="percentile" val="50"/>
        <cfvo type="max"/>
        <color rgb="FF63BE7B"/>
        <color rgb="FFFCFCFF"/>
        <color rgb="FFF8696B"/>
      </colorScale>
    </cfRule>
  </conditionalFormatting>
  <conditionalFormatting sqref="B3:E4">
    <cfRule type="colorScale" priority="5">
      <colorScale>
        <cfvo type="min"/>
        <cfvo type="percentile" val="50"/>
        <cfvo type="max"/>
        <color rgb="FF63BE7B"/>
        <color rgb="FFFCFCFF"/>
        <color rgb="FFF8696B"/>
      </colorScale>
    </cfRule>
  </conditionalFormatting>
  <conditionalFormatting sqref="B3:E5">
    <cfRule type="colorScale" priority="4">
      <colorScale>
        <cfvo type="min"/>
        <cfvo type="percentile" val="50"/>
        <cfvo type="max"/>
        <color rgb="FF63BE7B"/>
        <color rgb="FFFCFCFF"/>
        <color rgb="FFF8696B"/>
      </colorScale>
    </cfRule>
  </conditionalFormatting>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31FD-B72F-49EF-9743-8052487E3CD1}">
  <dimension ref="A1:AH46"/>
  <sheetViews>
    <sheetView topLeftCell="I1" zoomScale="70" workbookViewId="0">
      <selection activeCell="X2" sqref="X2"/>
    </sheetView>
  </sheetViews>
  <sheetFormatPr defaultRowHeight="14.4" x14ac:dyDescent="0.3"/>
  <cols>
    <col min="1" max="1" width="18.6640625" bestFit="1" customWidth="1"/>
    <col min="2" max="2" width="21.33203125" bestFit="1" customWidth="1"/>
    <col min="3" max="3" width="16.88671875" bestFit="1" customWidth="1"/>
    <col min="4" max="4" width="3" customWidth="1"/>
    <col min="5" max="5" width="28.5546875" bestFit="1" customWidth="1"/>
    <col min="6" max="6" width="16.88671875" bestFit="1" customWidth="1"/>
    <col min="7" max="7" width="3.109375" customWidth="1"/>
    <col min="8" max="8" width="37.88671875" bestFit="1" customWidth="1"/>
    <col min="9" max="9" width="29.44140625" bestFit="1" customWidth="1"/>
    <col min="10" max="10" width="4.33203125" customWidth="1"/>
    <col min="11" max="11" width="18.6640625" bestFit="1" customWidth="1"/>
    <col min="12" max="12" width="31.5546875" bestFit="1" customWidth="1"/>
    <col min="13" max="13" width="3.5546875" customWidth="1"/>
    <col min="14" max="14" width="28.5546875" bestFit="1" customWidth="1"/>
    <col min="15" max="15" width="22.33203125" bestFit="1" customWidth="1"/>
    <col min="16" max="16" width="4" customWidth="1"/>
    <col min="17" max="17" width="18.6640625" bestFit="1" customWidth="1"/>
    <col min="18" max="18" width="35" bestFit="1" customWidth="1"/>
    <col min="19" max="19" width="28.5546875" bestFit="1" customWidth="1"/>
    <col min="20" max="20" width="4.88671875" customWidth="1"/>
    <col min="21" max="21" width="18.6640625" bestFit="1" customWidth="1"/>
    <col min="22" max="22" width="18.5546875" bestFit="1" customWidth="1"/>
    <col min="23" max="23" width="7.6640625" customWidth="1"/>
    <col min="24" max="24" width="18.6640625" bestFit="1" customWidth="1"/>
    <col min="25" max="25" width="26.44140625" bestFit="1" customWidth="1"/>
    <col min="26" max="26" width="3" bestFit="1" customWidth="1"/>
    <col min="27" max="27" width="34" bestFit="1" customWidth="1"/>
    <col min="28" max="28" width="36" customWidth="1"/>
    <col min="29" max="29" width="3" bestFit="1" customWidth="1"/>
    <col min="30" max="30" width="18.6640625" bestFit="1" customWidth="1"/>
    <col min="31" max="31" width="25.6640625" bestFit="1" customWidth="1"/>
    <col min="32" max="32" width="2.6640625" customWidth="1"/>
    <col min="33" max="33" width="18.6640625" bestFit="1" customWidth="1"/>
    <col min="34" max="34" width="20.5546875" bestFit="1" customWidth="1"/>
    <col min="35" max="43" width="3" bestFit="1" customWidth="1"/>
    <col min="44" max="44" width="10.33203125" bestFit="1" customWidth="1"/>
  </cols>
  <sheetData>
    <row r="1" spans="1:34" x14ac:dyDescent="0.3">
      <c r="A1" s="4" t="s">
        <v>46</v>
      </c>
      <c r="B1" t="s">
        <v>1853</v>
      </c>
      <c r="C1" t="s">
        <v>1792</v>
      </c>
      <c r="E1" s="4" t="s">
        <v>46</v>
      </c>
      <c r="F1" t="s">
        <v>1792</v>
      </c>
      <c r="H1" s="4" t="s">
        <v>46</v>
      </c>
      <c r="I1" t="s">
        <v>1786</v>
      </c>
      <c r="K1" s="4" t="s">
        <v>46</v>
      </c>
      <c r="L1" t="s">
        <v>1785</v>
      </c>
      <c r="N1" s="4" t="s">
        <v>46</v>
      </c>
      <c r="O1" t="s">
        <v>1788</v>
      </c>
      <c r="Q1" s="4" t="s">
        <v>46</v>
      </c>
      <c r="R1" t="s">
        <v>63</v>
      </c>
      <c r="S1" t="s">
        <v>64</v>
      </c>
      <c r="U1" s="4" t="s">
        <v>46</v>
      </c>
      <c r="V1" t="s">
        <v>1789</v>
      </c>
      <c r="X1" s="4" t="s">
        <v>46</v>
      </c>
      <c r="Y1" t="s">
        <v>1793</v>
      </c>
      <c r="AA1" s="4" t="s">
        <v>46</v>
      </c>
      <c r="AB1" t="s">
        <v>1851</v>
      </c>
      <c r="AD1" s="4" t="s">
        <v>46</v>
      </c>
      <c r="AE1" t="s">
        <v>1848</v>
      </c>
      <c r="AG1" s="4" t="s">
        <v>46</v>
      </c>
      <c r="AH1" t="s">
        <v>1847</v>
      </c>
    </row>
    <row r="2" spans="1:34" x14ac:dyDescent="0.3">
      <c r="A2" s="5" t="s">
        <v>17</v>
      </c>
      <c r="B2" s="121">
        <v>9474.0458340000005</v>
      </c>
      <c r="C2" s="121">
        <v>1732.5126448635181</v>
      </c>
      <c r="D2" s="42"/>
      <c r="E2" s="5" t="s">
        <v>1784</v>
      </c>
      <c r="F2" s="42">
        <v>1344.0607796460372</v>
      </c>
      <c r="H2" s="5" t="s">
        <v>1814</v>
      </c>
      <c r="I2" s="121">
        <v>4</v>
      </c>
      <c r="K2" s="5" t="s">
        <v>1784</v>
      </c>
      <c r="L2" s="121">
        <v>2</v>
      </c>
      <c r="N2" s="5" t="s">
        <v>1784</v>
      </c>
      <c r="O2" s="121">
        <v>0</v>
      </c>
      <c r="Q2" s="5" t="s">
        <v>18</v>
      </c>
      <c r="R2" s="121">
        <v>6475.92</v>
      </c>
      <c r="S2" s="121">
        <v>1868.2000000000003</v>
      </c>
      <c r="U2" s="5" t="s">
        <v>18</v>
      </c>
      <c r="V2" s="121">
        <v>3</v>
      </c>
      <c r="X2" s="5" t="s">
        <v>1849</v>
      </c>
      <c r="Y2" s="121">
        <v>7</v>
      </c>
      <c r="AA2" s="5" t="s">
        <v>203</v>
      </c>
      <c r="AB2" s="121">
        <v>7</v>
      </c>
      <c r="AD2" s="5" t="s">
        <v>47</v>
      </c>
      <c r="AE2" s="121"/>
      <c r="AG2" s="5" t="s">
        <v>17</v>
      </c>
      <c r="AH2" s="121">
        <v>4</v>
      </c>
    </row>
    <row r="3" spans="1:34" x14ac:dyDescent="0.3">
      <c r="A3" s="5" t="s">
        <v>18</v>
      </c>
      <c r="B3" s="121">
        <v>12225.951627999999</v>
      </c>
      <c r="C3" s="121">
        <v>2235.7518806784901</v>
      </c>
      <c r="D3" s="42"/>
      <c r="E3" s="5" t="s">
        <v>1820</v>
      </c>
      <c r="F3" s="42">
        <v>1105.8486298518644</v>
      </c>
      <c r="H3" s="5" t="s">
        <v>1813</v>
      </c>
      <c r="I3" s="121">
        <v>2</v>
      </c>
      <c r="K3" s="5" t="s">
        <v>1820</v>
      </c>
      <c r="L3" s="121">
        <v>3</v>
      </c>
      <c r="N3" s="5" t="s">
        <v>1820</v>
      </c>
      <c r="O3" s="121">
        <v>0</v>
      </c>
      <c r="Q3" s="5" t="s">
        <v>17</v>
      </c>
      <c r="R3" s="121">
        <v>10033.120000000001</v>
      </c>
      <c r="S3" s="121">
        <v>1951.87</v>
      </c>
      <c r="U3" s="5" t="s">
        <v>17</v>
      </c>
      <c r="V3" s="121">
        <v>4</v>
      </c>
      <c r="X3" s="5" t="s">
        <v>47</v>
      </c>
      <c r="Y3" s="121">
        <v>7</v>
      </c>
      <c r="AA3" s="5" t="s">
        <v>47</v>
      </c>
      <c r="AB3" s="121">
        <v>7</v>
      </c>
      <c r="AG3" s="5" t="s">
        <v>18</v>
      </c>
      <c r="AH3" s="121">
        <v>3</v>
      </c>
    </row>
    <row r="4" spans="1:34" x14ac:dyDescent="0.3">
      <c r="A4" s="5" t="s">
        <v>47</v>
      </c>
      <c r="B4" s="121">
        <v>21699.997461999999</v>
      </c>
      <c r="C4" s="121">
        <v>3968.2645255420084</v>
      </c>
      <c r="D4" s="42"/>
      <c r="E4" s="5" t="s">
        <v>1821</v>
      </c>
      <c r="F4" s="42">
        <v>1518.3551160441066</v>
      </c>
      <c r="H4" s="5" t="s">
        <v>1815</v>
      </c>
      <c r="I4" s="121">
        <v>1</v>
      </c>
      <c r="K4" s="5" t="s">
        <v>1821</v>
      </c>
      <c r="L4" s="121">
        <v>2</v>
      </c>
      <c r="N4" s="5" t="s">
        <v>1821</v>
      </c>
      <c r="O4" s="121">
        <v>0</v>
      </c>
      <c r="Q4" s="5" t="s">
        <v>47</v>
      </c>
      <c r="R4" s="121">
        <v>16509.04</v>
      </c>
      <c r="S4" s="121">
        <v>3820.07</v>
      </c>
      <c r="U4" s="5" t="s">
        <v>47</v>
      </c>
      <c r="V4" s="121">
        <v>7</v>
      </c>
      <c r="AG4" s="5" t="s">
        <v>47</v>
      </c>
      <c r="AH4" s="121">
        <v>7</v>
      </c>
    </row>
    <row r="5" spans="1:34" x14ac:dyDescent="0.3">
      <c r="D5" s="42"/>
      <c r="E5" s="5" t="s">
        <v>47</v>
      </c>
      <c r="F5" s="42">
        <v>3968.2645255420084</v>
      </c>
      <c r="H5" s="5" t="s">
        <v>47</v>
      </c>
      <c r="I5" s="121">
        <v>7</v>
      </c>
      <c r="K5" s="5" t="s">
        <v>47</v>
      </c>
      <c r="L5" s="121">
        <v>7</v>
      </c>
      <c r="N5" s="5" t="s">
        <v>47</v>
      </c>
      <c r="O5" s="121">
        <v>0</v>
      </c>
    </row>
    <row r="6" spans="1:34" x14ac:dyDescent="0.3">
      <c r="D6" s="42"/>
    </row>
    <row r="43" spans="1:28" x14ac:dyDescent="0.3">
      <c r="A43" t="s">
        <v>170</v>
      </c>
      <c r="B43" s="45">
        <f>GETPIVOTDATA("Distância (km)",$A$1)</f>
        <v>21699.997461999999</v>
      </c>
      <c r="R43" t="s">
        <v>173</v>
      </c>
      <c r="S43" s="44">
        <f>GETPIVOTDATA("Soma de Custo da passagem",$Q$1)</f>
        <v>16509.04</v>
      </c>
      <c r="U43" t="s">
        <v>174</v>
      </c>
      <c r="V43">
        <f>GETPIVOTDATA("Classe",$U$1)</f>
        <v>7</v>
      </c>
      <c r="X43" t="s">
        <v>1844</v>
      </c>
      <c r="Y43">
        <f>IFERROR(GETPIVOTDATA("Dias de viagem",$X$1,"Dias de viagem2","Até 1 dia"), 0)</f>
        <v>7</v>
      </c>
      <c r="AA43" t="s">
        <v>1797</v>
      </c>
      <c r="AB43">
        <f>IFERROR(GETPIVOTDATA("Viagem Urgente sem justificativa",$AA$1,"Viagem Urgente sem justificativa","SIM"),0)</f>
        <v>0</v>
      </c>
    </row>
    <row r="44" spans="1:28" x14ac:dyDescent="0.3">
      <c r="A44" t="s">
        <v>171</v>
      </c>
      <c r="B44" s="45">
        <f>GETPIVOTDATA("Soma de Emissões",$A$1)</f>
        <v>3968.2645255420084</v>
      </c>
      <c r="E44" t="s">
        <v>171</v>
      </c>
      <c r="F44" s="45">
        <f>GETPIVOTDATA("Emissões",$E$1)</f>
        <v>3968.2645255420084</v>
      </c>
      <c r="H44" t="s">
        <v>1787</v>
      </c>
      <c r="I44">
        <f>GETPIVOTDATA("Situação",$AG$1)</f>
        <v>7</v>
      </c>
      <c r="N44" t="s">
        <v>172</v>
      </c>
      <c r="O44">
        <f>GETPIVOTDATA("Voo com Escala",$N$1)</f>
        <v>0</v>
      </c>
      <c r="R44" s="44" t="s">
        <v>2</v>
      </c>
      <c r="S44" s="44">
        <f>GETPIVOTDATA("Soma de Outros custos",$Q$1)</f>
        <v>3820.07</v>
      </c>
      <c r="U44" t="s">
        <v>175</v>
      </c>
      <c r="V44" s="43">
        <f>IFERROR(V43/I44,0)</f>
        <v>1</v>
      </c>
      <c r="X44" t="s">
        <v>1845</v>
      </c>
      <c r="Y44">
        <f>IFERROR(GETPIVOTDATA("Distância (km)",$AD$1),0)</f>
        <v>0</v>
      </c>
      <c r="AA44" t="s">
        <v>1798</v>
      </c>
      <c r="AB44" s="54">
        <f>IFERROR(AB43/V43,0)</f>
        <v>0</v>
      </c>
    </row>
    <row r="45" spans="1:28" x14ac:dyDescent="0.3">
      <c r="H45" t="s">
        <v>61</v>
      </c>
      <c r="I45" s="45">
        <f>IFERROR(B44/I44,0)</f>
        <v>566.89493222028693</v>
      </c>
      <c r="N45" t="s">
        <v>62</v>
      </c>
      <c r="O45" s="54">
        <f>IFERROR(O44/I44,0)</f>
        <v>0</v>
      </c>
      <c r="R45" t="s">
        <v>1811</v>
      </c>
      <c r="S45" s="36">
        <f>IFERROR(SUM(S43:S44)/I44,0)</f>
        <v>2904.1585714285716</v>
      </c>
    </row>
    <row r="46" spans="1:28" x14ac:dyDescent="0.3">
      <c r="H46" t="s">
        <v>168</v>
      </c>
      <c r="I46" s="45">
        <f>IFERROR(B43/I44,0)</f>
        <v>3099.9996374285715</v>
      </c>
      <c r="X46" t="s">
        <v>1794</v>
      </c>
      <c r="Y46" s="54">
        <f>IFERROR(SUM(Y43:Y44)/I44,0)</f>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Entradas</vt:lpstr>
      <vt:lpstr>Entrada Lvl 5-4 qt</vt:lpstr>
      <vt:lpstr>Entrada Lvl 5-4 ql</vt:lpstr>
      <vt:lpstr>Agregação Lvl 3-1</vt:lpstr>
      <vt:lpstr>Overview</vt:lpstr>
      <vt:lpstr>Constantes</vt:lpstr>
      <vt:lpstr>Dados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Walleci Lira</dc:creator>
  <cp:lastModifiedBy>a623</cp:lastModifiedBy>
  <dcterms:created xsi:type="dcterms:W3CDTF">2015-06-05T18:19:34Z</dcterms:created>
  <dcterms:modified xsi:type="dcterms:W3CDTF">2025-07-18T17:24:27Z</dcterms:modified>
</cp:coreProperties>
</file>